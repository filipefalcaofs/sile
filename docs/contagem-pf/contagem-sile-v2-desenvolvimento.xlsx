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mments3.xml" ContentType="application/vnd.openxmlformats-officedocument.spreadsheetml.comment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ntagem" sheetId="1" state="visible" r:id="rId3"/>
    <sheet name="Funções" sheetId="2" state="visible" r:id="rId4"/>
    <sheet name="Sumário" sheetId="3" state="visible" r:id="rId5"/>
  </sheets>
  <definedNames>
    <definedName function="false" hidden="false" name="CF" vbProcedure="false">Funções!$L$12:$L$845</definedName>
    <definedName function="false" hidden="false" name="Data" vbProcedure="false">Contagem!$Z$11</definedName>
    <definedName function="false" hidden="false" name="Projeto" vbProcedure="false">Contagem!$F$9</definedName>
    <definedName function="false" hidden="false" name="Responsável" vbProcedure="false">Contagem!$F$11</definedName>
    <definedName function="false" hidden="false" name="Revisor" vbProcedure="false">Contagem!$F$12</definedName>
    <definedName function="false" hidden="false" name="Revisão" vbProcedure="false">Contagem!$Z$12</definedName>
    <definedName function="false" hidden="false" name="UFPB" vbProcedure="false">Contagem!$AA$16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A10" authorId="0">
      <text>
        <r>
          <rPr>
            <sz val="10"/>
            <rFont val="Arial"/>
            <family val="2"/>
          </rPr>
          <t xml:space="preserve">======
ID#AAABCFepmZM
    (2023-12-11 12:50:18)
Documento de Visão Número</t>
        </r>
      </text>
      <mc:AlternateContent>
        <mc:Choice Requires="v2">
          <commentPr autoFill="true" autoScale="false" colHidden="false" locked="false" rowHidden="false" textHAlign="justify" textVAlign="top">
            <anchor moveWithCells="false" sizeWithCells="false">
              <xdr:from>
                <xdr:col>4</xdr:col>
                <xdr:colOff>6</xdr:colOff>
                <xdr:row>0</xdr:row>
                <xdr:rowOff>2</xdr:rowOff>
              </xdr:from>
              <xdr:to>
                <xdr:col>10</xdr:col>
                <xdr:colOff>4</xdr:colOff>
                <xdr:row>3</xdr:row>
                <xdr:rowOff>7</xdr:rowOff>
              </xdr:to>
            </anchor>
          </commentPr>
        </mc:Choice>
        <mc:Fallback/>
      </mc:AlternateContent>
    </comment>
    <comment ref="K10" authorId="0">
      <text>
        <r>
          <rPr>
            <sz val="10"/>
            <rFont val="Arial"/>
            <family val="2"/>
          </rPr>
          <t xml:space="preserve">======
ID#AAABCFepmY0
    (2023-12-11 12:50:18)
Número da Versão do Documento de Visão</t>
        </r>
      </text>
      <mc:AlternateContent>
        <mc:Choice Requires="v2">
          <commentPr autoFill="true" autoScale="false" colHidden="false" locked="false" rowHidden="false" textHAlign="justify" textVAlign="top">
            <anchor moveWithCells="false" sizeWithCells="false">
              <xdr:from>
                <xdr:col>4</xdr:col>
                <xdr:colOff>6</xdr:colOff>
                <xdr:row>0</xdr:row>
                <xdr:rowOff>2</xdr:rowOff>
              </xdr:from>
              <xdr:to>
                <xdr:col>10</xdr:col>
                <xdr:colOff>4</xdr:colOff>
                <xdr:row>3</xdr:row>
                <xdr:rowOff>7</xdr:rowOff>
              </xdr:to>
            </anchor>
          </commentPr>
        </mc:Choice>
        <mc:Fallback/>
      </mc:AlternateContent>
    </comment>
    <comment ref="K20" authorId="0">
      <text>
        <r>
          <rPr>
            <sz val="10"/>
            <rFont val="Arial"/>
            <family val="2"/>
          </rPr>
          <t xml:space="preserve">======
ID#AAABCFepmYo
    (2023-12-11 12:50:18)
O propósito de uma contagem de pontos de função, é fornecer uma resposta a um problema de negócios.
Este propósito :  
- Determina o tipo de contagem de pontos de função e o escopo da contagem necessária à obtenção da resposta da questão em análise;
- Influencia o posicionamento da fronteira entre o sistema em análise e seu ambiente.</t>
        </r>
      </text>
      <mc:AlternateContent>
        <mc:Choice Requires="v2">
          <commentPr autoFill="true" autoScale="false" colHidden="false" locked="false" rowHidden="false" textHAlign="justify" textVAlign="top">
            <anchor moveWithCells="false" sizeWithCells="false">
              <xdr:from>
                <xdr:col>4</xdr:col>
                <xdr:colOff>6</xdr:colOff>
                <xdr:row>0</xdr:row>
                <xdr:rowOff>2</xdr:rowOff>
              </xdr:from>
              <xdr:to>
                <xdr:col>10</xdr:col>
                <xdr:colOff>4</xdr:colOff>
                <xdr:row>3</xdr:row>
                <xdr:rowOff>7</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11" authorId="0">
      <text>
        <r>
          <rPr>
            <sz val="10"/>
            <rFont val="Arial"/>
            <family val="2"/>
          </rPr>
          <t xml:space="preserve">======
ID#AAABCFepmZA
    (2023-12-11 12:50:18)
Referenciar a funcionalidade do Documento de Visão. Caso não tenha Documento de Visão não informar.</t>
        </r>
      </text>
      <mc:AlternateContent>
        <mc:Choice Requires="v2">
          <commentPr autoFill="true" autoScale="false" colHidden="false" locked="false" rowHidden="false" textHAlign="justify" textVAlign="top">
            <anchor moveWithCells="false" sizeWithCells="false">
              <xdr:from>
                <xdr:col>2</xdr:col>
                <xdr:colOff>42</xdr:colOff>
                <xdr:row>4</xdr:row>
                <xdr:rowOff>2</xdr:rowOff>
              </xdr:from>
              <xdr:to>
                <xdr:col>3</xdr:col>
                <xdr:colOff>-76</xdr:colOff>
                <xdr:row>7</xdr:row>
                <xdr:rowOff>3</xdr:rowOff>
              </xdr:to>
            </anchor>
          </commentPr>
        </mc:Choice>
        <mc:Fallback/>
      </mc:AlternateContent>
    </comment>
    <comment ref="C11" authorId="0">
      <text>
        <r>
          <rPr>
            <sz val="10"/>
            <rFont val="Arial"/>
            <family val="2"/>
          </rPr>
          <t xml:space="preserve">======
ID#AAABCFepmZE
    (2023-12-11 12:50:18)
Informar função transacional (EE, CE, SE) ou função de dados (ALI, AIE) referente à funcionalidade do Documento de Visão. 
Caso não tenha o Documento de Visão, simplesmente relacionar as funções transacionais e de dados identificadas através de outros tipos de levantamentos de requisitos funcionais.</t>
        </r>
      </text>
      <mc:AlternateContent>
        <mc:Choice Requires="v2">
          <commentPr autoFill="true" autoScale="false" colHidden="false" locked="false" rowHidden="false" textHAlign="justify" textVAlign="top">
            <anchor moveWithCells="false" sizeWithCells="false">
              <xdr:from>
                <xdr:col>2</xdr:col>
                <xdr:colOff>42</xdr:colOff>
                <xdr:row>4</xdr:row>
                <xdr:rowOff>2</xdr:rowOff>
              </xdr:from>
              <xdr:to>
                <xdr:col>3</xdr:col>
                <xdr:colOff>-76</xdr:colOff>
                <xdr:row>7</xdr:row>
                <xdr:rowOff>3</xdr:rowOff>
              </xdr:to>
            </anchor>
          </commentPr>
        </mc:Choice>
        <mc:Fallback/>
      </mc:AlternateContent>
    </comment>
    <comment ref="H11" authorId="0">
      <text>
        <r>
          <rPr>
            <sz val="10"/>
            <rFont val="Arial"/>
            <family val="2"/>
          </rPr>
          <t xml:space="preserve">======
ID#AAABCFepmYs
Tipo de Função    (2023-12-11 12:50:18)
ALI, AIE, EE, SE, CE</t>
        </r>
      </text>
      <mc:AlternateContent>
        <mc:Choice Requires="v2">
          <commentPr autoFill="true" autoScale="false" colHidden="false" locked="false" rowHidden="false" textHAlign="justify" textVAlign="top">
            <anchor moveWithCells="false" sizeWithCells="false">
              <xdr:from>
                <xdr:col>2</xdr:col>
                <xdr:colOff>42</xdr:colOff>
                <xdr:row>4</xdr:row>
                <xdr:rowOff>2</xdr:rowOff>
              </xdr:from>
              <xdr:to>
                <xdr:col>3</xdr:col>
                <xdr:colOff>-76</xdr:colOff>
                <xdr:row>7</xdr:row>
                <xdr:rowOff>3</xdr:rowOff>
              </xdr:to>
            </anchor>
          </commentPr>
        </mc:Choice>
        <mc:Fallback/>
      </mc:AlternateContent>
    </comment>
    <comment ref="I11" authorId="0">
      <text>
        <r>
          <rPr>
            <sz val="10"/>
            <rFont val="Arial"/>
            <family val="2"/>
          </rPr>
          <t xml:space="preserve">======
ID#AAABCFepmYg
Tipo de Manutenção na função    (2023-12-11 12:50:18)
I - Inclusão
A - Alteração  
E - Exclusão  
T- Teste</t>
        </r>
      </text>
      <mc:AlternateContent>
        <mc:Choice Requires="v2">
          <commentPr autoFill="true" autoScale="false" colHidden="false" locked="false" rowHidden="false" textHAlign="justify" textVAlign="top">
            <anchor moveWithCells="false" sizeWithCells="false">
              <xdr:from>
                <xdr:col>2</xdr:col>
                <xdr:colOff>42</xdr:colOff>
                <xdr:row>4</xdr:row>
                <xdr:rowOff>2</xdr:rowOff>
              </xdr:from>
              <xdr:to>
                <xdr:col>3</xdr:col>
                <xdr:colOff>-76</xdr:colOff>
                <xdr:row>7</xdr:row>
                <xdr:rowOff>3</xdr:rowOff>
              </xdr:to>
            </anchor>
          </commentPr>
        </mc:Choice>
        <mc:Fallback/>
      </mc:AlternateContent>
    </comment>
    <comment ref="J11" authorId="0">
      <text>
        <r>
          <rPr>
            <sz val="10"/>
            <rFont val="Arial"/>
            <family val="2"/>
          </rPr>
          <t xml:space="preserve">======
ID#AAABCFepmZQ
    (2023-12-11 12:50:18)
Tipos de Dados (DETs)</t>
        </r>
      </text>
      <mc:AlternateContent>
        <mc:Choice Requires="v2">
          <commentPr autoFill="true" autoScale="false" colHidden="false" locked="false" rowHidden="false" textHAlign="justify" textVAlign="top">
            <anchor moveWithCells="false" sizeWithCells="false">
              <xdr:from>
                <xdr:col>2</xdr:col>
                <xdr:colOff>42</xdr:colOff>
                <xdr:row>4</xdr:row>
                <xdr:rowOff>2</xdr:rowOff>
              </xdr:from>
              <xdr:to>
                <xdr:col>3</xdr:col>
                <xdr:colOff>-76</xdr:colOff>
                <xdr:row>7</xdr:row>
                <xdr:rowOff>3</xdr:rowOff>
              </xdr:to>
            </anchor>
          </commentPr>
        </mc:Choice>
        <mc:Fallback/>
      </mc:AlternateContent>
    </comment>
    <comment ref="K11" authorId="0">
      <text>
        <r>
          <rPr>
            <sz val="10"/>
            <rFont val="Arial"/>
            <family val="2"/>
          </rPr>
          <t xml:space="preserve">======
ID#AAABCFepmYk
    (2023-12-11 12:50:18)
Arquivos Referenciados/ Tipos de Registro</t>
        </r>
      </text>
      <mc:AlternateContent>
        <mc:Choice Requires="v2">
          <commentPr autoFill="true" autoScale="false" colHidden="false" locked="false" rowHidden="false" textHAlign="justify" textVAlign="top">
            <anchor moveWithCells="false" sizeWithCells="false">
              <xdr:from>
                <xdr:col>2</xdr:col>
                <xdr:colOff>42</xdr:colOff>
                <xdr:row>4</xdr:row>
                <xdr:rowOff>2</xdr:rowOff>
              </xdr:from>
              <xdr:to>
                <xdr:col>3</xdr:col>
                <xdr:colOff>-76</xdr:colOff>
                <xdr:row>7</xdr:row>
                <xdr:rowOff>3</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14" authorId="0">
      <text>
        <r>
          <rPr>
            <sz val="10"/>
            <rFont val="Arial"/>
            <family val="2"/>
          </rPr>
          <t xml:space="preserve">======
ID#AAABCFepmZI
    (2023-12-11 12:50:18)
Entrada Externa</t>
        </r>
      </text>
      <mc:AlternateContent>
        <mc:Choice Requires="v2">
          <commentPr autoFill="true" autoScale="false" colHidden="false" locked="false" rowHidden="false" textHAlign="justify" textVAlign="top">
            <anchor moveWithCells="false" sizeWithCells="false">
              <xdr:from>
                <xdr:col>2</xdr:col>
                <xdr:colOff>4</xdr:colOff>
                <xdr:row>0</xdr:row>
                <xdr:rowOff>2</xdr:rowOff>
              </xdr:from>
              <xdr:to>
                <xdr:col>4</xdr:col>
                <xdr:colOff>24</xdr:colOff>
                <xdr:row>3</xdr:row>
                <xdr:rowOff>8</xdr:rowOff>
              </xdr:to>
            </anchor>
          </commentPr>
        </mc:Choice>
        <mc:Fallback/>
      </mc:AlternateContent>
    </comment>
    <comment ref="B21" authorId="0">
      <text>
        <r>
          <rPr>
            <sz val="10"/>
            <rFont val="Arial"/>
            <family val="2"/>
          </rPr>
          <t xml:space="preserve">======
ID#AAABCFepmYc
    (2023-12-11 12:50:18)
Saída Externa</t>
        </r>
      </text>
      <mc:AlternateContent>
        <mc:Choice Requires="v2">
          <commentPr autoFill="true" autoScale="false" colHidden="false" locked="false" rowHidden="false" textHAlign="justify" textVAlign="top">
            <anchor moveWithCells="false" sizeWithCells="false">
              <xdr:from>
                <xdr:col>2</xdr:col>
                <xdr:colOff>4</xdr:colOff>
                <xdr:row>0</xdr:row>
                <xdr:rowOff>2</xdr:rowOff>
              </xdr:from>
              <xdr:to>
                <xdr:col>4</xdr:col>
                <xdr:colOff>24</xdr:colOff>
                <xdr:row>3</xdr:row>
                <xdr:rowOff>8</xdr:rowOff>
              </xdr:to>
            </anchor>
          </commentPr>
        </mc:Choice>
        <mc:Fallback/>
      </mc:AlternateContent>
    </comment>
    <comment ref="B28" authorId="0">
      <text>
        <r>
          <rPr>
            <sz val="10"/>
            <rFont val="Arial"/>
            <family val="2"/>
          </rPr>
          <t xml:space="preserve">======
ID#AAABCFepmY4
    (2023-12-11 12:50:18)
Consulta Externa</t>
        </r>
      </text>
      <mc:AlternateContent>
        <mc:Choice Requires="v2">
          <commentPr autoFill="true" autoScale="false" colHidden="false" locked="false" rowHidden="false" textHAlign="justify" textVAlign="top">
            <anchor moveWithCells="false" sizeWithCells="false">
              <xdr:from>
                <xdr:col>2</xdr:col>
                <xdr:colOff>4</xdr:colOff>
                <xdr:row>0</xdr:row>
                <xdr:rowOff>2</xdr:rowOff>
              </xdr:from>
              <xdr:to>
                <xdr:col>4</xdr:col>
                <xdr:colOff>24</xdr:colOff>
                <xdr:row>3</xdr:row>
                <xdr:rowOff>8</xdr:rowOff>
              </xdr:to>
            </anchor>
          </commentPr>
        </mc:Choice>
        <mc:Fallback/>
      </mc:AlternateContent>
    </comment>
    <comment ref="B35" authorId="0">
      <text>
        <r>
          <rPr>
            <sz val="10"/>
            <rFont val="Arial"/>
            <family val="2"/>
          </rPr>
          <t xml:space="preserve">======
ID#AAABCFepmZU
    (2023-12-11 12:50:18)
Arquivo Lógico Interno</t>
        </r>
      </text>
      <mc:AlternateContent>
        <mc:Choice Requires="v2">
          <commentPr autoFill="true" autoScale="false" colHidden="false" locked="false" rowHidden="false" textHAlign="justify" textVAlign="top">
            <anchor moveWithCells="false" sizeWithCells="false">
              <xdr:from>
                <xdr:col>2</xdr:col>
                <xdr:colOff>4</xdr:colOff>
                <xdr:row>0</xdr:row>
                <xdr:rowOff>2</xdr:rowOff>
              </xdr:from>
              <xdr:to>
                <xdr:col>4</xdr:col>
                <xdr:colOff>24</xdr:colOff>
                <xdr:row>3</xdr:row>
                <xdr:rowOff>8</xdr:rowOff>
              </xdr:to>
            </anchor>
          </commentPr>
        </mc:Choice>
        <mc:Fallback/>
      </mc:AlternateContent>
    </comment>
    <comment ref="B42" authorId="0">
      <text>
        <r>
          <rPr>
            <sz val="10"/>
            <rFont val="Arial"/>
            <family val="2"/>
          </rPr>
          <t xml:space="preserve">======
ID#AAABCFepmYw
    (2023-12-11 12:50:18)
Arquivo de Interface Externa</t>
        </r>
      </text>
      <mc:AlternateContent>
        <mc:Choice Requires="v2">
          <commentPr autoFill="true" autoScale="false" colHidden="false" locked="false" rowHidden="false" textHAlign="justify" textVAlign="top">
            <anchor moveWithCells="false" sizeWithCells="false">
              <xdr:from>
                <xdr:col>2</xdr:col>
                <xdr:colOff>4</xdr:colOff>
                <xdr:row>0</xdr:row>
                <xdr:rowOff>2</xdr:rowOff>
              </xdr:from>
              <xdr:to>
                <xdr:col>4</xdr:col>
                <xdr:colOff>24</xdr:colOff>
                <xdr:row>3</xdr:row>
                <xdr:rowOff>8</xdr:rowOff>
              </xdr:to>
            </anchor>
          </commentPr>
        </mc:Choice>
        <mc:Fallback/>
      </mc:AlternateContent>
    </comment>
    <comment ref="B50" authorId="0">
      <text>
        <r>
          <rPr>
            <sz val="10"/>
            <rFont val="Arial"/>
            <family val="2"/>
          </rPr>
          <t xml:space="preserve">======
ID#AAABCFepmY8
    (2023-12-11 12:50:18)
Técnica de estimativa do tamanho desenvolvida pela NESMA. Assume que os arquivos lógicos são de complexidade baixa e as transações são de complexidade média.</t>
        </r>
      </text>
      <mc:AlternateContent>
        <mc:Choice Requires="v2">
          <commentPr autoFill="true" autoScale="false" colHidden="false" locked="false" rowHidden="false" textHAlign="justify" textVAlign="top">
            <anchor moveWithCells="false" sizeWithCells="false">
              <xdr:from>
                <xdr:col>2</xdr:col>
                <xdr:colOff>4</xdr:colOff>
                <xdr:row>0</xdr:row>
                <xdr:rowOff>2</xdr:rowOff>
              </xdr:from>
              <xdr:to>
                <xdr:col>4</xdr:col>
                <xdr:colOff>24</xdr:colOff>
                <xdr:row>3</xdr:row>
                <xdr:rowOff>8</xdr:rowOff>
              </xdr:to>
            </anchor>
          </commentPr>
        </mc:Choice>
        <mc:Fallback/>
      </mc:AlternateContent>
    </comment>
    <comment ref="B51" authorId="0">
      <text>
        <r>
          <rPr>
            <sz val="10"/>
            <rFont val="Arial"/>
            <family val="2"/>
          </rPr>
          <t xml:space="preserve">======
ID#AAABCFepmZY
    (2023-12-11 12:50:18)
Técnica de estimativa do tamanho desenvolvida pela NESMA. Basie-se apenas nos arquivos lógicos. Assume que cada ALI tem um peso de 35 PF e cada AIE um peso de 15 PF</t>
        </r>
      </text>
      <mc:AlternateContent>
        <mc:Choice Requires="v2">
          <commentPr autoFill="true" autoScale="false" colHidden="false" locked="false" rowHidden="false" textHAlign="justify" textVAlign="top">
            <anchor moveWithCells="false" sizeWithCells="false">
              <xdr:from>
                <xdr:col>2</xdr:col>
                <xdr:colOff>4</xdr:colOff>
                <xdr:row>0</xdr:row>
                <xdr:rowOff>2</xdr:rowOff>
              </xdr:from>
              <xdr:to>
                <xdr:col>4</xdr:col>
                <xdr:colOff>24</xdr:colOff>
                <xdr:row>3</xdr:row>
                <xdr:rowOff>8</xdr:rowOff>
              </xdr:to>
            </anchor>
          </commentPr>
        </mc:Choice>
        <mc:Fallback/>
      </mc:AlternateContent>
    </comment>
  </commentList>
</comments>
</file>

<file path=xl/sharedStrings.xml><?xml version="1.0" encoding="utf-8"?>
<sst xmlns="http://schemas.openxmlformats.org/spreadsheetml/2006/main" count="1506" uniqueCount="809">
  <si>
    <t xml:space="preserve">Sudoeste Informática</t>
  </si>
  <si>
    <t xml:space="preserve">Sudoeste Informática e Consultoria</t>
  </si>
  <si>
    <t xml:space="preserve">Missão: "Ser a mais completa solução na área de Tecnologia da Informação, de forma a contribuir para a modernização da Gestão pública."</t>
  </si>
  <si>
    <t xml:space="preserve">Identificação da Contagem</t>
  </si>
  <si>
    <t xml:space="preserve">Empresa</t>
  </si>
  <si>
    <t xml:space="preserve">R$/PF</t>
  </si>
  <si>
    <t xml:space="preserve">Custo</t>
  </si>
  <si>
    <t xml:space="preserve">Aplicação</t>
  </si>
  <si>
    <t xml:space="preserve">Viabiliza — Sistema de Licenciamento Eletrônico da SEDUR</t>
  </si>
  <si>
    <t xml:space="preserve">PF</t>
  </si>
  <si>
    <t xml:space="preserve">Projeto</t>
  </si>
  <si>
    <t xml:space="preserve">Contagem IFPUG - Projeto de Desenvolvimento (recontagem a partir do código)</t>
  </si>
  <si>
    <t xml:space="preserve">DV Número</t>
  </si>
  <si>
    <t xml:space="preserve">DV-SILE-004</t>
  </si>
  <si>
    <t xml:space="preserve">Versão</t>
  </si>
  <si>
    <t xml:space="preserve">2.0</t>
  </si>
  <si>
    <t xml:space="preserve">Responsável</t>
  </si>
  <si>
    <t xml:space="preserve">Equipe de Análise — Sudoeste Informática</t>
  </si>
  <si>
    <t xml:space="preserve">Data</t>
  </si>
  <si>
    <t xml:space="preserve">08/10/2026</t>
  </si>
  <si>
    <t xml:space="preserve">Revisor</t>
  </si>
  <si>
    <t xml:space="preserve">Filipe Falcão</t>
  </si>
  <si>
    <t xml:space="preserve">Revisão</t>
  </si>
  <si>
    <t xml:space="preserve">Tipo de contagem</t>
  </si>
  <si>
    <t xml:space="preserve">Estimativa</t>
  </si>
  <si>
    <t xml:space="preserve">Sumário</t>
  </si>
  <si>
    <t xml:space="preserve">PF não Ajustado</t>
  </si>
  <si>
    <t xml:space="preserve">Deflator</t>
  </si>
  <si>
    <t xml:space="preserve">PF Local</t>
  </si>
  <si>
    <t xml:space="preserve">Projeto de Desenvolvimento</t>
  </si>
  <si>
    <t xml:space="preserve">x</t>
  </si>
  <si>
    <t xml:space="preserve">ADD</t>
  </si>
  <si>
    <t xml:space="preserve">Projeto de Melhoria</t>
  </si>
  <si>
    <t xml:space="preserve">CHG</t>
  </si>
  <si>
    <t xml:space="preserve">Aplicação ( Baseline )</t>
  </si>
  <si>
    <t xml:space="preserve">DEL</t>
  </si>
  <si>
    <t xml:space="preserve">TST</t>
  </si>
  <si>
    <t xml:space="preserve">Medir o tamanho funcional do Viabiliza — Sistema de Licenciamento Eletrônico da SEDUR (Salvador/BA) como projeto de desenvolvimento, recontado do zero a partir do código atual (versão 0.56.1), conforme o Manual de Práticas de Contagem IFPUG CPM 4.3.1 (PT-BR). Só entram funções que existem hoje (rota, controller, tela e teste automatizado conferidos), nomeadas pela visão do usuário.</t>
  </si>
  <si>
    <t xml:space="preserve">Escopo da Contagem
Fronteira: aplicação Viabiliza completa, com portal do cidadão (empresas, solicitações de viabilidade, consulta prévia, pendências, procurações, conta), retaguarda da SEDUR (processos, fila, caixa do setor, análise técnica, vistoria, malha fina, decisão, TVL, contingência, atendimento presencial), motor de regras da LOUOS e classificação de risco, território/GIS, administração e configuração, auditoria/LGPD e relatórios/indicadores. Integrações percebidas pelo usuário entram como AIE quando implementadas e ligadas ao serviço real: GeoServer SEDUR, cadastro imobiliário, geocodificação, consulta de CNPJ da base SEDUR, autenticação institucional e benchmark REDESIM.
Fora da contagem: integrações bloqueadas ou sem credencial homologada (gov.br, SEFAZ/DAM, provedor de IA e funções de IA da ficha), rotas sem tela, testes de conexão, buscas de apoio a formulário, comandos de carga manual, seeders, numeração sequencial, arquivos temporários de exportação, jobs e filas.</t>
  </si>
  <si>
    <t xml:space="preserve"> Planilha de contagem de ponto de função</t>
  </si>
  <si>
    <t xml:space="preserve">DV Número:</t>
  </si>
  <si>
    <t xml:space="preserve">Versão:</t>
  </si>
  <si>
    <t xml:space="preserve">Tipo da Contagem: </t>
  </si>
  <si>
    <t xml:space="preserve">Id. Func</t>
  </si>
  <si>
    <t xml:space="preserve">Função Transacional (EE, CE, SE) ou Função de Dados (ALI, AIE)</t>
  </si>
  <si>
    <t xml:space="preserve">Tipo</t>
  </si>
  <si>
    <t xml:space="preserve">(I/A/E/T)</t>
  </si>
  <si>
    <t xml:space="preserve">TD</t>
  </si>
  <si>
    <t xml:space="preserve">AR/TR</t>
  </si>
  <si>
    <t xml:space="preserve">ctl</t>
  </si>
  <si>
    <t xml:space="preserve">C</t>
  </si>
  <si>
    <t xml:space="preserve">Complex.</t>
  </si>
  <si>
    <t xml:space="preserve">Observações</t>
  </si>
  <si>
    <t xml:space="preserve">Contas de usuário e autenticação</t>
  </si>
  <si>
    <t xml:space="preserve">Dados - Usuário</t>
  </si>
  <si>
    <t xml:space="preserve">ALI</t>
  </si>
  <si>
    <t xml:space="preserve">I</t>
  </si>
  <si>
    <t xml:space="preserve">Prova: model app/Models/User.php; migrations 0001_01_01_000000_create_users_table, 2026_06_10_020811 (cpf, phone), 2026_06_10_141715 (inactivated_at), 2026_09_24_183700 (auth_type, ad_username), 2026_06_14_215041 (sector_user), 2026_09_24_222200 (user_sector_assignments) e 2026_06_10_022241 (legal_term_acceptances); mantido pelos processos de cadastro, perfil, senha, e-mail, aceite de termo, primeiro acesso da rede corporativa e pela administração de usuários. Justificativa CPM: grupo lógico único de contas (cidadão e servidor) mantido pela aplicação, reconhecido pelo usuário. A lotação do usuário no setor (com origem, período e setor anterior, gravada pelo login corporativo) e o aceite de termo (versão, data, IP, navegador) são subgrupos dependentes, sem existência fora da conta e sem manutenção própria: viram RLR do Usuário (CPM Parte 3 Cap. 2). A tabela de ligação usuário-setor sem atributos é DER (Setores de atuação). Perfil de acesso entra como DER (chave do vínculo); o cadastro do perfil pertence ao domínio B. A conta GOV.BR vinculada (gov_br_accounts) NÃO entra: integração bloqueada (ver itens_retirados). Colunas de segundo fator (two_factor_*) existem na migration, mas o recurso não está habilitado (config/fortify.php) e não entram. Fronteira: mantido aqui; a tela de administração de usuários (gestao/usuarios) é transação do domínio B que cita este ALI. DER=21 (11 da conta + 6 da lotação + 4 do aceite); RLR=3.</t>
  </si>
  <si>
    <t xml:space="preserve">AIE - Autenticação institucional SEDUR (diretório AD)</t>
  </si>
  <si>
    <t xml:space="preserve">AIE</t>
  </si>
  <si>
    <t xml:space="preserve">Prova: interface app/Services/Auth/DirectoryAuthenticator.php ligada a SedurDirectoryAuthenticator em AppServiceProvider.php:74 (bind real, sem adaptador Unavailable); cliente HTTP app/Services/Sedur/SedurAuthClient.php (ws-autenticacao/auth, discovery, pessoaView); parâmetro features.ad_login com padrão LIGADO (ParameterSeeder) e URL de produção em integrations.sedur_auth.*; teste tests/Feature/Auth/SedurDirectoryAuthenticatorTest.php::test_sucesso_retorna_nome_sincronizado_da_pessoa. Justificativa CPM: a API institucional da SEDUR (autenticação e gestão de pessoas) é mantida fora da fronteira; o Viabiliza só a referencia no login da retaguarda e no primeiro acesso, sem gravar o que consulta além da cópia cadastral em Usuário. Fronteira: Usuário (ALI) guarda a conta local e a cópia sincronizada; o diretório (AIE) guarda a credencial e o cadastro corporativo, mantidos pela SEDUR. DER=9; RLR=1. Para demonstrar: features.ad_login ligado (padrão) e credencial corporativa válida na API da SEDUR. Premissa a validar na homologação com a TI-SEDUR: chaves do contrato (token, nome, lotação) documentadas no próprio cliente.</t>
  </si>
  <si>
    <t xml:space="preserve">Cadastro - cadastrar cidadão</t>
  </si>
  <si>
    <t xml:space="preserve">EE</t>
  </si>
  <si>
    <t xml:space="preserve">Prova: rota portal/register (Fortify registerView + CreateNewUser), tela resources/js/pages/auth/register.tsx, app/Actions/Fortify/CreateNewUser.php (valida CPF, telefone com DDD, senha forte, unicidade; atribui o perfil cidadão); permissão: visitante; teste tests/Feature/Auth/RegistrationTest.php::test_usuario_se_cadastra_com_sucesso. Processo elementar independente: o cidadão cria a própria conta e recebe a confirmação; deixa o negócio consistente (conta criada com perfil). A notificação de confirmação de e-mail é embutida. DER=7; AR=2 (Usuário mantido; Perfis de acesso lido para atribuir o perfil cidadão).</t>
  </si>
  <si>
    <t xml:space="preserve">Cadastro - confirmar e-mail da conta</t>
  </si>
  <si>
    <t xml:space="preserve">Prova: rota portal/email/verify/{id}/{hash} (Fortify, feature emailVerification), tela auth/verify-email.tsx (aviso), teste tests/Feature/Auth/EmailVerificationTest.php::test_email_e_verificado_com_link_assinado. Processo elementar independente: o cidadão aciona o link recebido, o sistema grava a data de verificação e libera o portal. DER=4; AR=1 (Usuário). O reenvio do link não é contado (ver itens_retirados).</t>
  </si>
  <si>
    <t xml:space="preserve">Autenticação - entrar no portal do cidadão</t>
  </si>
  <si>
    <t xml:space="preserve">Prova: rota POST portal/login (Fortify), tela auth/login.tsx, FortifyServiceProvider::authenticateUsing (CPF normalizado, conta inativa bloqueada, limite de tentativas parametrizado security.login.max_attempts); teste tests/Feature/Auth/AuthenticationTest.php::test_cidadao_autentica_com_cpf_e_vai_para_o_portal. Processo elementar independente: identifica o cidadão e inicia a sessão, gravando o evento (sucesso, falha, bloqueio, inativada) no registro de acessos. O login automático de sessão, o redirecionamento e o bloqueio por tentativas fazem parte deste processo. DER=4; AR=2 (Usuário; Registro de acessos). Entrada via GOV.BR não contada (itens_retirados).</t>
  </si>
  <si>
    <t xml:space="preserve">Autenticação - entrar na retaguarda</t>
  </si>
  <si>
    <t xml:space="preserve">Prova: rota POST gestao/login (gestao.login.store), Gestao\LoginController::store, tela auth/gestao-login.tsx, FormRequest Gestao\LoginRequest; guard gestao; teste tests/Feature/Auth/GestaoLoginTest.php::test_conta_local_autentica_com_o_email_cadastrado e tests/Feature/Auth/GestaoLoginAdTest.php::test_primeiro_acesso_ad_registra_o_usuario_com_os_dados_da_api. Processo elementar independente: o servidor entra no console por conta local ou da rede corporativa; no primeiro acesso da rede corporativa o mesmo processo cria/atualiza a conta e a lotação do setor. Bloqueios (sem permissão, inativa, e-mail não verificado, limite de tentativas) e registro do evento são embutidos. Lógica distinta do login do portal (identificador, diretório AD, permissão de console). DER=5; AR=3 (Usuário mantido; Registro de acessos mantido; AIE da rede corporativa lido).</t>
  </si>
  <si>
    <t xml:space="preserve">Autenticação - solicitar redefinição de senha do portal</t>
  </si>
  <si>
    <t xml:space="preserve">Prova: rota POST portal/forgot-password (Fortify resetPasswords), tela auth/forgot-password.tsx, resposta anti-oráculo RespostaRecuperacaoSenhaSemRevelarConta; teste tests/Feature/Auth/PasswordResetTest.php::test_link_de_recuperacao_e_enviado. Processo elementar independente: o cidadão pede o link e o sistema registra o pedido do e-mail na fila. DER=2; AR=2 (Usuário lido; Registro de e-mails enviados mantido).</t>
  </si>
  <si>
    <t xml:space="preserve">Autenticação - redefinir senha do portal</t>
  </si>
  <si>
    <t xml:space="preserve">Prova: rota POST portal/reset-password (Fortify) e GET portal/reset-password/{token}, tela auth/reset-password.tsx, ResetUserPassword; teste tests/Feature/Auth/PasswordResetTest.php::test_senha_e_redefinida_com_token_valido. Processo elementar independente: troca a senha com o código recebido. DER=5; AR=1 (Usuário).</t>
  </si>
  <si>
    <t xml:space="preserve">Autenticação - solicitar redefinição de senha da retaguarda</t>
  </si>
  <si>
    <t xml:space="preserve">Prova: rota POST gestao/forgot-password (gestao.forgot-password.store), Gestao\ForgotPasswordController::store, tela auth/gestao-forgot-password.tsx; teste tests/Feature/Auth/GestaoPasswordResetTest.php::test_link_de_recuperacao_do_console_aponta_para_gestao. Processo elementar independente por lógica própria: só contas ativas, locais e com acesso ao console recebem o link (conta da rede corporativa não recebe) e o link aponta para o console; mesmos DER e mesmos arquivos do portal, mas regra de negócio distinta (CPM Parte 1 §5.5.2: processos com lógica de processamento diferente são distintos). DER=2; AR=2.</t>
  </si>
  <si>
    <t xml:space="preserve">Autenticação - redefinir senha da retaguarda</t>
  </si>
  <si>
    <t xml:space="preserve">Prova: rota POST gestao/reset-password (gestao.reset-password.store), Gestao\ResetPasswordController::store, tela auth/gestao-reset-password.tsx; teste tests/Feature/Auth/GestaoPasswordResetTest.php::test_senha_do_console_e_redefinida_com_token_valido. Processo elementar independente por lógica própria: recusa conta da rede corporativa (senha gerida pelo diretório), não autentica automaticamente e devolve ao login interno. DER=5; AR=1.</t>
  </si>
  <si>
    <t xml:space="preserve">Conta, perfil e senha do usuário</t>
  </si>
  <si>
    <t xml:space="preserve">Conta - consultar meu perfil</t>
  </si>
  <si>
    <t xml:space="preserve">CE</t>
  </si>
  <si>
    <t xml:space="preserve">Prova: rotas portal/conta/perfil (Settings\ProfileController::edit, tela settings/profile.tsx) e gestao/conta/perfil (Gestao\Conta\ProfileController::edit, tela gestao/conta/perfil.tsx); mesma lógica nos dois ambientes, contada uma vez; teste tests/Feature/Settings/ProfileTest.php::test_pagina_de_perfil_renderiza_com_dados e tests/Feature/Gestao/ContaConsoleTest.php::test_servidor_acessa_a_conta_do_console. Consulta do próprio cadastro, sem derivação. DER=6; AR=1.</t>
  </si>
  <si>
    <t xml:space="preserve">Conta - alterar meu perfil</t>
  </si>
  <si>
    <t xml:space="preserve">Prova: rotas PATCH portal/conta/perfil e PATCH gestao/conta/perfil, FormRequest ProfileUpdateRequest (CPF imutável), telas settings/profile.tsx e gestao/conta/perfil.tsx; mesma lógica contada uma vez; teste tests/Feature/Settings/ProfileTest.php::test_atualiza_nome_e_telefone e tests/Feature/Gestao/ContaConsoleTest.php::test_servidor_atualiza_o_proprio_perfil_no_console. Troca de e-mail zera a verificação e enfileira nova confirmação (Registro de e-mails enviados). DER=4; AR=2.</t>
  </si>
  <si>
    <t xml:space="preserve">Conta - alterar minha senha</t>
  </si>
  <si>
    <t xml:space="preserve">Prova: rotas PUT portal/conta/senha (Settings\PasswordController::update) e PUT gestao/conta/senha (Gestao\Conta\PasswordController::update), ambas sobre UpdateUserPassword; telas settings/password.tsx e gestao/conta/senha.tsx; mesma lógica contada uma vez (a recusa de conta da rede corporativa no console é regra do mesmo processo); teste tests/Feature/Settings/PasswordUpdateTest.php::test_senha_e_alterada_com_dados_validos e tests/Feature/Gestao/ContaConsoleTest.php::test_servidor_altera_a_propria_senha_no_console. DER=4; AR=1.</t>
  </si>
  <si>
    <t xml:space="preserve">Termo de consentimento LGPD</t>
  </si>
  <si>
    <t xml:space="preserve">Termo LGPD - consultar termo vigente</t>
  </si>
  <si>
    <t xml:space="preserve">Prova: rotas GET portal/termo-lgpd (Portal\LgpdTermController::show, tela portal/termo-lgpd.tsx) e GET gestao/termo-lgpd (Gestao\TermoLgpdController::show, tela gestao/termo-lgpd.tsx); mesma lógica nos dois ambientes, contada uma vez; teste tests/Feature/Lgpd/TermAcceptanceTest.php::test_pagina_do_termo_renderiza_conteudo_vigente. Exibe a versão vigente do termo a quem ainda não a aceitou. DER=3; AR=2 (Termos legais lido; Usuário lido para saber se já aceitou).</t>
  </si>
  <si>
    <t xml:space="preserve">Termo LGPD - aceitar termo vigente</t>
  </si>
  <si>
    <t xml:space="preserve">Prova: rotas POST portal/termo-lgpd e POST gestao/termo-lgpd (accept), telas portal/termo-lgpd.tsx e gestao/termo-lgpd.tsx; mesma lógica contada uma vez; teste tests/Feature/Lgpd/TermAcceptanceTest.php::test_aceite_grava_versao_ip_e_audita e tests/Feature/Lgpd/TermoLgpdPorAmbienteTest.php::test_servidor_aceita_o_termo_no_console. Grava o aceite (RLR do Usuário) e libera o acesso (gate lgpd.accepted). Nova versão publicada reexige o aceite. DER=6; AR=2.</t>
  </si>
  <si>
    <t xml:space="preserve">Histórico de acessos e retenção</t>
  </si>
  <si>
    <t xml:space="preserve">Dados - Registro de acessos</t>
  </si>
  <si>
    <t xml:space="preserve">Prova: model app/Models/AccessLog.php, migrations 2026_06_10_014429_create_access_logs_table e 2026_09_24_184500_add_origin_to_access_logs_table; gravado pelos processos de entrada, saída e bloqueio; consultado pelas telas portal/acessos, gestao/acessos e trilha (fonte acessos). Justificativa CPM: histórico próprio de acessos, com existência independente da conta (preserva falhas pré-login sem usuário) e prazo de retenção parametrizado (retencao.access_logs.dias). Sem subgrupo dependente. DER=8; RLR=1.</t>
  </si>
  <si>
    <t xml:space="preserve">Acessos - consultar meus acessos</t>
  </si>
  <si>
    <t xml:space="preserve">Prova: rota GET portal/acessos (Portal\AccessHistoryController), tela portal/acessos.tsx; escopo do próprio usuário (inclui falhas pré-login pelo e-mail); teste tests/Feature/AccessHistory/AccessHistoryTest.php::test_acessos_exibem_evento_data_e_ip. DER=4; AR=1.</t>
  </si>
  <si>
    <t xml:space="preserve">Acessos - consultar acessos de um usuário</t>
  </si>
  <si>
    <t xml:space="preserve">Prova: rota GET gestao/acessos/{user} (gestao.acessos.show, Gestao\AccessHistoryController), tela gestao/acessos.tsx, permissão consultar-acessos-de-qualquer-conta; teste tests/Feature/AccessHistory/AccessHistoryTest.php::test_admin_consulta_acessos_de_qualquer_conta. Processo distinto do anterior: outro escopo (qualquer conta), permissão própria e consulta auditada como acesso a dado pessoal de terceiro. A exportação por ?formato= pelo mesmo caminho é parte desta consulta e não é contada à parte (a tela não a oferece). DER=6; AR=2.</t>
  </si>
  <si>
    <t xml:space="preserve">Acessos - expurgar registros vencidos pela retenção</t>
  </si>
  <si>
    <t xml:space="preserve">SE</t>
  </si>
  <si>
    <t xml:space="preserve">Prova: routes/console.php (Schedule::command('model:prune', --model AccessLog) diário, withoutOverlapping, onOneServer), AccessLog::prunable() com retencao.access_logs.dias; o resultado (data e quantidade) aparece no painel de monitoramento LGPD; testes tests/Feature/Scheduling/PruneAccessLogsTest.php::test_pruning_remove_acessos_alem_da_retencao_e_preserva_recentes e ::test_pruning_esta_agendado_diariamente_de_forma_idempotente. Rotina agendada reconhecida pelo negócio: cumpre a política de retenção de dados pessoais (LGPD) definida pelo gestor, com efeito funcional visível no monitor LGPD e registro na trilha. Classificada SE conforme a especificação das rotinas agendadas (a CPM a trataria como EE por apagar ALI; mesma ordem de PF). DER=4; AR=3.</t>
  </si>
  <si>
    <t xml:space="preserve">Procurações e representação</t>
  </si>
  <si>
    <t xml:space="preserve">Dados - Procurações</t>
  </si>
  <si>
    <t xml:space="preserve">Prova: model app/Models/Procuration.php, migration 2026_06_10_023838_create_procurations_table; manutenção pelas telas portal/procuracoes (incluir e revogar). Justificativa CPM: vínculo outorgante-procurador com vigência e revogação, reconhecido pelo cidadão, mantido pela aplicação; sem subgrupo. DER=6; RLR=1.</t>
  </si>
  <si>
    <t xml:space="preserve">Procurações - consultar procurações outorgadas e recebidas</t>
  </si>
  <si>
    <t xml:space="preserve">Prova: rota GET portal/procuracoes (portal.procuracoes.index, Portal\ProcurationController::index), tela portal/procuracoes/index.tsx; duas listas na mesma tela, mesmo arquivo, mesma lógica de leitura: uma consulta; teste tests/Feature/Procuration/LinkAttorneyTest.php::test_pagina_de_procuracoes_renderiza. DER=6; AR=2.</t>
  </si>
  <si>
    <t xml:space="preserve">Procurações - incluir procuração</t>
  </si>
  <si>
    <t xml:space="preserve">Prova: rota POST portal/procuracoes (Portal\ProcurationController::store, FormRequest StoreProcurationRequest: conta existente, sem autoprocuração, sem duplicidade ativa, validade futura), tela portal/procuracoes/index.tsx; teste tests/Feature/Procuration/LinkAttorneyTest.php::test_vinculo_de_procurador_criado_com_sucesso. DER=3; AR=2 (Procurações mantido; Usuário lido para localizar o procurador).</t>
  </si>
  <si>
    <t xml:space="preserve">Procurações - revogar procuração</t>
  </si>
  <si>
    <t xml:space="preserve">Prova: rota DELETE portal/procuracoes/{procuration} (Portal\ProcurationController::destroy), que não apaga o registro: grava a revogação com efeito imediato (alteração de situação, não exclusão); policy delete só do outorgante; teste tests/Feature/Procuration/RevokeAttorneyTest.php::test_outorgante_revoga_procuracao. DER=4; AR=1.</t>
  </si>
  <si>
    <t xml:space="preserve">Procurações - iniciar atuação em nome do outorgante</t>
  </si>
  <si>
    <t xml:space="preserve">Prova: rota POST portal/representacao (portal.representacao.store, Portal\RepresentationController::store), tela portal/procuracoes/index.tsx (ação do procurador), middleware ResolveRepresentation; teste tests/Feature/Procuration/RevokeAttorneyTest.php::test_procurador_ativa_representacao. Processo elementar independente: altera o comportamento do sistema (as empresas e solicitações passam a ser do outorgante) e registra a representação na trilha. DER=3; AR=1. O encerramento da atuação não é contado (itens_retirados).</t>
  </si>
  <si>
    <t xml:space="preserve">Central de notificações in-app</t>
  </si>
  <si>
    <t xml:space="preserve">Dados - Notificações in-app</t>
  </si>
  <si>
    <t xml:space="preserve">Decisão: conta como ALI. A central de notificações é consultada e mantida pelo usuário (lista paginada, marcação como lida), com dado próprio que persiste e muda de situação; não é só a fila técnica do framework. Prova: tabela notifications (canal database nativo), NotificationResource, NotificationCenterController, telas portal/notificacoes e gestao/notificacoes (components/notificacoes/notification-center.tsx); criada pelos eventos de pendência, vencimento e SLA (domínios E/outros) e lida/marcada aqui. DER=8; RLR=1.</t>
  </si>
  <si>
    <t xml:space="preserve">Notificações - consultar minhas notificações</t>
  </si>
  <si>
    <t xml:space="preserve">Prova: rotas GET portal/notificacoes e GET gestao/notificacoes (NotificationCenterController::index), telas portal/notificacoes/index.tsx e gestao/notificacoes/index.tsx; mesmo controller e mesma lógica nos dois ambientes, contada uma vez; escopo do dono; teste tests/Feature/Comunicacao/NotificationCenterTest.php::test_portal_lista_notificacoes_e_expoe_badge_de_nao_lidas e ::test_gestao_lista_marca_e_expoe_badge. DER=5; AR=1.</t>
  </si>
  <si>
    <t xml:space="preserve">Notificações - marcar notificação como lida</t>
  </si>
  <si>
    <t xml:space="preserve">Prova: rotas POST portal/notificacoes/{notification}/ler e gestao/notificacoes/{notification}/ler (markAsRead), mesma lógica contada uma vez; anti-IDOR (só do dono); teste tests/Feature/Comunicacao/NotificationCenterTest.php::test_portal_marca_uma_notificacao_como_lida. A marcação de todas não é contada (itens_retirados). DER=2; AR=1.</t>
  </si>
  <si>
    <t xml:space="preserve">Trilha de auditoria</t>
  </si>
  <si>
    <t xml:space="preserve">Dados - Trilha de auditoria</t>
  </si>
  <si>
    <t xml:space="preserve">Prova: model app/Models/Activity.php (spatie/activitylog), migrations 2026_06_09_234627_create_activity_log_table e 2026_06_15_080934 (personal_data); gravado por AuditService e pelo trait HasAuditoria em todos os processos (RN-002); consultado e exportado em gestao/auditoria. Justificativa CPM: trilha única de auditoria, com existência independente das entidades auditadas; sem subgrupo. DER=15; RLR=1. Fronteira: Registro de acessos (access_logs) é arquivo distinto, com ciclo e retenção próprios.</t>
  </si>
  <si>
    <t xml:space="preserve">Trilha de auditoria - consultar atividades</t>
  </si>
  <si>
    <t xml:space="preserve">Prova: rota GET gestao/auditoria (fonte atividade; gestao.auditoria.index, AuditoriaController::index), tela gestao/auditoria/index.tsx, permissão consultar-auditoria; teste tests/Feature/Auditoria/AuditoriaExportTest.php::test_index_lista_atividades_e_audita_a_propria_consulta. Aba com colunas próprias (resultado e versão de regras): função distinta das demais fontes. A própria consulta é auditada (embutido). DER=10; AR=2.</t>
  </si>
  <si>
    <t xml:space="preserve">Trilha de auditoria - consultar histórico de alterações</t>
  </si>
  <si>
    <t xml:space="preserve">Prova: rota GET gestao/auditoria?fonte=alteracoes, mesma tela gestao/auditoria/index.tsx com colunas próprias (diff antes/depois no lugar de resultado e versão); teste tests/Feature/Auditoria/AuditoriaExportTest.php::test_index_fonte_alteracoes_traz_so_registros_com_mudancas. DER=10; AR=2.</t>
  </si>
  <si>
    <t xml:space="preserve">Trilha de auditoria - consultar histórico de acessos</t>
  </si>
  <si>
    <t xml:space="preserve">Prova: rota GET gestao/auditoria?fonte=acessos, mesma tela com dados de arquivo diferente (registro de acessos, não a trilha); teste tests/Feature/Auditoria/AuditoriaExportTest.php::test_index_fonte_acessos_lista_access_logs. Visão global de todos os usuários, distinta da consulta por usuário. DER=8; AR=2.</t>
  </si>
  <si>
    <t xml:space="preserve">Trilha de auditoria - exportar trilha filtrada</t>
  </si>
  <si>
    <t xml:space="preserve">Prova: rota GET gestao/auditoria/export (gestao.auditoria.export, AuditoriaController::export) e botão Exportar CSV de gestao/auditoria/index.tsx; contrato único ReportExporter (guarda de volume auditoria.export.max_linhas); teste tests/Feature/Auditoria/AuditoriaExportTest.php::test_export_csv_respeita_os_filtros_e_e_auditado. Processo elementar independente: o gestor aciona a exportação como objetivo próprio (entrega de prestação de contas) e recebe arquivo CSV completo do recorte filtrado, auditado como acesso a dado pessoal. As consultas da tela não são duplicadas. DER=15; AR=3.</t>
  </si>
  <si>
    <t xml:space="preserve">Log de integrações externas</t>
  </si>
  <si>
    <t xml:space="preserve">Dados - Chamadas de integração</t>
  </si>
  <si>
    <t xml:space="preserve">Prova: model app/Models/IntegrationCall.php, migration 2026_10_01_170000_create_integration_calls_table; gravado em toda chamada HTTP de saída e na entrada do REGIN; consultado em gestao/auditoria/integracoes. Justificativa CPM: registro próprio de evidência das chamadas externas (pedido e resposta, sem segredos), com existência independente. DER=17; RLR=1.</t>
  </si>
  <si>
    <t xml:space="preserve">Integrações - consultar chamadas registradas</t>
  </si>
  <si>
    <t xml:space="preserve">Prova: rota GET gestao/auditoria/integracoes (gestao.auditoria.integracoes.index, IntegrationCallController::index), tela gestao/auditoria/integracoes/index.tsx, permissão consultar-auditoria, filtros sentido/resultado/integração; teste tests/Feature/Integracao/IntegrationCallLogTest.php::test_consulta_exige_permissao_e_mostra_a_chamada. DER=7; AR=1.</t>
  </si>
  <si>
    <t xml:space="preserve">Integrações - consultar detalhe de uma chamada</t>
  </si>
  <si>
    <t xml:space="preserve">Prova: rota GET gestao/auditoria/integracoes/{integrationCall} (gestao.auditoria.integracoes.show), tela gestao/auditoria/integracoes/show.tsx; teste tests/Feature/Integracao/IntegrationCallLogTest.php::test_consulta_exige_permissao_e_mostra_a_chamada (mesmo método cobre a lista e o detalhe). DER=16; AR=1.</t>
  </si>
  <si>
    <t xml:space="preserve">Monitoramento de conformidade LGPD</t>
  </si>
  <si>
    <t xml:space="preserve">Monitor LGPD - consultar conformidade</t>
  </si>
  <si>
    <t xml:space="preserve">Prova: rota GET gestao/lgpd (gestao.lgpd.index, LgpdMonitorController::index), serviço LgpdMonitorService, tela gestao/lgpd/index.tsx, permissão monitorar-lgpd; teste tests/Feature/Lgpd/LgpdMonitorTest.php::test_painel_renderiza_e_audita_para_quem_tem_permissao. SE: agrega e deriva indicadores (percentuais, totais por ação) de quatro arquivos, sem PII crua. O aviso de direitos do titular é texto fixo de pendência do DPO, não é dado nem função. DER=14; AR=4.</t>
  </si>
  <si>
    <t xml:space="preserve">Alertas de abuso e fraude</t>
  </si>
  <si>
    <t xml:space="preserve">Dados - Alertas de abuso</t>
  </si>
  <si>
    <t xml:space="preserve">Prova: model app/Models/AbuseAlert.php, migration 2026_06_15_081545_create_abuse_alerts_table; criado pela rotina abuso:detectar e resolvido por confirmar/descartar. Justificativa CPM: alerta antifraude com ciclo próprio (aberto, confirmado, descartado) e justificativa; sem subgrupo. DER=14; RLR=1.</t>
  </si>
  <si>
    <t xml:space="preserve">Alertas de abuso - consultar alertas e efetividade</t>
  </si>
  <si>
    <t xml:space="preserve">Prova: rota GET gestao/abuso (gestao.abuso.index, AbusoController::index), tela gestao/abuso/index.tsx, permissão gerenciar-alertas-abuso; teste tests/Feature/Abuso/AbusoPainelTest.php::test_lista_alertas_paginados_e_audita_a_consulta e ::test_efetividade_calcula_confirmados_sobre_gerados_geral_e_por_regra. SE: a lista vem acompanhada de indicador derivado de efetividade (confirmados ÷ gerados, geral e por regra). Dados reais só existem com features.deteccao_abuso ligado (padrão desligado); a consulta funciona sempre. DER=16; AR=3.</t>
  </si>
  <si>
    <t xml:space="preserve">Alertas de abuso - confirmar alerta</t>
  </si>
  <si>
    <t xml:space="preserve">Prova: rota POST gestao/abuso/{abuseAlert}/confirmar (AbusoController::confirmar, FormRequest ResolverAbuseAlertRequest com justificativa obrigatória), tela gestao/abuso/index.tsx; muda só a situação do alerta, sem tocar o processo; teste tests/Feature/Abuso/AbusoPainelTest.php::test_confirmar_grava_resolucao_e_audita. DER=6; AR=1.</t>
  </si>
  <si>
    <t xml:space="preserve">Alertas de abuso - descartar alerta</t>
  </si>
  <si>
    <t xml:space="preserve">Prova: rota POST gestao/abuso/{abuseAlert}/descartar (AbusoController::descartar), mesma tela; resultado distinto (falso positivo) que alimenta a taxa de efetividade; teste tests/Feature/Abuso/AbusoPainelTest.php::test_descartar_grava_resolucao_e_audita. DER=6; AR=1.</t>
  </si>
  <si>
    <t xml:space="preserve">Alertas de abuso - detectar abuso e fraude (rotina agendada)</t>
  </si>
  <si>
    <t xml:space="preserve">Prova: routes/console.php (Schedule::command('abuso:detectar')-&gt;daily()-&gt;withoutOverlapping()-&gt;onOneServer()), Console\Commands\AbusoDetectarCommand, AbuseDetectionService com cinco detectores determinísticos (volume por CNPJ, volume por contador, polígono repetido, evasão de condicionante, atividades incompatíveis); testes tests/Feature/Abuso/AbuseDetectionServiceTest.php::test_comando_com_toggle_on_cria_alertas_reais_e_e_idempotente e ::test_deteccao_esta_agendada_diariamente_de_forma_idempotente. Rotina agendada reconhecida pelo negócio (detecção de abuso): grava alertas idempotentes e, acima da severidade parametrizada, encaminha à malha fina como sistema. Nunca pune. Para demonstrar: ligar features.deteccao_abuso (padrão desligado; sem ele o comando é no-op) e ter solicitações que excedam os limiares abuso.*. Classificada SE pela especificação das rotinas agendadas. DER=12; AR=4.</t>
  </si>
  <si>
    <t xml:space="preserve">Auditoria preditiva de processos expressos</t>
  </si>
  <si>
    <t xml:space="preserve">Dados - Anomalias da auditoria preditiva</t>
  </si>
  <si>
    <t xml:space="preserve">Prova: model app/Models/PredictiveAnomaly.php, migration 2026_06_23_223000_create_predictive_anomalies_table; criado pela rotina ia:auditoria-preditiva e resolvido por confirmar/descartar. Justificativa CPM: anomalia com pontuação e fatores por processo expresso deferido, ciclo próprio de revisão; arquivo distinto de alertas de abuso (granularidade por processo, pontuação e fatores, não por regra). DER=13; RLR=1.</t>
  </si>
  <si>
    <t xml:space="preserve">Auditoria preditiva - consultar anomalias e efetividade</t>
  </si>
  <si>
    <t xml:space="preserve">Prova: rota GET gestao/auditoria-preditiva (gestao.auditoria-preditiva.index, AuditoriaPreditivaController::index), tela gestao/auditoria-preditiva/index.tsx (filtros severidade e situação), permissão gerenciar-alertas-abuso; teste tests/Feature/Ia/AuditoriaPreditivaControllerTest.php::test_index_renderiza_anomalias_e_efetividade_auditado. SE: efetividade derivada (confirmadas ÷ geradas). DER=11; AR=3.</t>
  </si>
  <si>
    <t xml:space="preserve">Auditoria preditiva - confirmar anomalia</t>
  </si>
  <si>
    <t xml:space="preserve">Prova: rota POST gestao/auditoria-preditiva/{predictiveAnomaly}/confirmar, FormRequest ResolverAbuseAlertRequest (justificativa obrigatória), tela da auditoria preditiva; não pune nem altera o processo; teste tests/Feature/Ia/AuditoriaPreditivaControllerTest.php::test_confirmar_muda_status_da_anomalia_sem_punir_o_processo. DER=6; AR=1.</t>
  </si>
  <si>
    <t xml:space="preserve">Auditoria preditiva - descartar anomalia</t>
  </si>
  <si>
    <t xml:space="preserve">Prova: rota POST gestao/auditoria-preditiva/{predictiveAnomaly}/descartar, mesma tela; resultado distinto (descarte) que reduz a efetividade; teste tests/Feature/Ia/AuditoriaPreditivaControllerTest.php::test_descartar_marca_como_descartada. DER=6; AR=1.</t>
  </si>
  <si>
    <t xml:space="preserve">Auditoria preditiva - varrer deferimentos do fluxo expresso (rotina agendada)</t>
  </si>
  <si>
    <t xml:space="preserve">Prova: routes/console.php (Schedule::command('ia:auditoria-preditiva')-&gt;weekly()-&gt;withoutOverlapping()-&gt;onOneServer()), Console\Commands\AuditoriaPreditivaCommand, PredictiveAuditService::executar (sinais determinísticos, sem provedor de IA); teste tests/Feature/Ia/PredictiveAuditServiceTest.php::test_gera_anomalia_alta_e_encaminha_malha_fina_sem_punir (cobre o serviço; não há teste do comando nem do agendamento). Rotina agendada reconhecida pelo negócio. Para demonstrar: ligar features.ia_auditoria_preditiva (padrão desligado; sem ele é no-op) e ter deferimentos expressos que somem pontuação acima do limiar. Classificada SE pela especificação. DER=15; AR=5.</t>
  </si>
  <si>
    <t xml:space="preserve">Verificação pública de autenticidade de documentos</t>
  </si>
  <si>
    <t xml:space="preserve">Documentos - verificar autenticidade pelo código</t>
  </si>
  <si>
    <t xml:space="preserve">Prova: rota pública GET /verificar-documento/{codigo} (verificar-documento, VerificacaoDocumentoController::show, VerificacaoDocumentoService), tela verificacao-documento.tsx, throttle consulta-protocolo; teste tests/Feature/Documentos/VerificacaoDocumentoTest.php::test_codigo_tvl_valido_confirma_autenticidade_sem_expor_dados_sensiveis. Consulta pública sem login, payload mínimo (LGPD): confere TVL, indeferimento ou comprovante de protocolo (HMAC conferido contra o protocolo real). CE por apresentar a informação lida; a conferência do código é validação, não cálculo de negócio. DER=6; AR=3. Ajuste de consolidação: Arquivo "Dados - Documentos de indeferimento" retirado do AR: documento de indeferimento sem tela de emissão (retirado). Recontado: TD=6; AR=2.</t>
  </si>
  <si>
    <t xml:space="preserve">CNAEs (catálogo de atividades econômicas)</t>
  </si>
  <si>
    <t xml:space="preserve">Dados - CNAEs</t>
  </si>
  <si>
    <t xml:space="preserve">Prova: model App\Models\Cnae (fillable), migration create_cnaes_table, telas gestao/cnaes/{index,criar,editar}.tsx, testes tests/Feature/Cnae/CnaeCrudTest.php. DER=15 (atributos do CNAE, incluindo hierarquia seção/divisão/grupo/classe e as 4 exigências); RLR=1 (CNAE). O grau de risco municipal gravado na mesma ficha pertence a Dados - Classificação de risco (domínio C), com mantenedor distinto; a carga oficial por ImportCnaeCommand é seeder/carga e não conta. Fronteira: a hierarquia IBGE é atributo do CNAE, não arquivo próprio. Os CNAEs ativos também alimentam o portal (consulta de CNAE do domínio D).</t>
  </si>
  <si>
    <t xml:space="preserve">CNAEs - consultar CNAEs</t>
  </si>
  <si>
    <t xml:space="preserve">Prova: rota gestao.cnaes.index, CnaeController::index, tela gestao/cnaes/index.tsx, permissão consultar-cnaes. Testes: tests/Feature/Cnae/CnaeCrudTest.php::test_administrador_lista_cnaes_paginados, ::test_busca_filtra_por_codigo_ou_denominacao; tests/Feature/Cnae/CnaeIndexTableTest.php::test_filtra_por_situacao. Processo elementar independente: lista filtrada de CNAEs sem cálculo. TD=7; AR=1. A exportação CSV/XLSX/PDF do conjunto filtrado (?formato=) é a mesma lista em outro formato, parte desta consulta. Decisão sobre a ficha única: a abertura da ficha (editar) apenas preenche o formulário de alteração e não é consulta separada.</t>
  </si>
  <si>
    <t xml:space="preserve">CNAEs - incluir CNAE</t>
  </si>
  <si>
    <t xml:space="preserve">Prova: rota gestao.cnaes.store (POST), CnaeController::store com StoreCnaeRequest, tela gestao/cnaes/criar.tsx, permissão manter-cnaes. Testes: CnaeCrudTest::test_cria_cnae_manual_normalizando_codigo, ::test_criar_cnae_grava_classificacao_de_risco_municipal_direto, ::test_codigo_duplicado_e_malformado_bloqueados. Cria o CNAE e grava na mesma transação a classificação de risco municipal na versão vigente (lida de Versões de regras); sem versão vigente a inclusão é recusada com mensagem. TD=16 (14 campos da ficha + grau de risco + mensagem); AR=3.</t>
  </si>
  <si>
    <t xml:space="preserve">CNAEs - alterar CNAE</t>
  </si>
  <si>
    <t xml:space="preserve">Prova: rota gestao.cnaes.update (PUT) e gestao.cnaes.edit (GET que preenche a ficha), CnaeController::update com UpdateCnaeRequest, tela gestao/cnaes/editar.tsx, permissão manter-cnaes. Testes: CnaeCrudTest::test_edicao_atualiza_codigo_hierarquia_e_dados, ::test_edicao_atualiza_grau_de_risco_sem_pedir_quatro_olhos, ::test_edicao_rejeita_codigo_duplicado. Ao trocar o código, o sistema migra as linhas da classificação de risco e do anexo do escritório virtual que apontam para o código antigo (relocateCnaeCode). TD=17; AR=4 (CNAEs, Classificação de risco, Versões de regras, Anexos do escritório virtual).</t>
  </si>
  <si>
    <t xml:space="preserve">CNAEs - alterar situação do CNAE</t>
  </si>
  <si>
    <t xml:space="preserve">Prova: rota gestao.cnaes.situacao.update (PUT), CnaeController::updateSituacao, tela gestao/cnaes/index.tsx (ação ativar/desativar na lista), permissão manter-cnaes. Testes: CnaeCrudTest::test_toggle_de_situacao_funciona_com_payload_minimo, ::test_desativacao_logica_preserva_o_registro. Processo elementar independente: ativar/inativar com rota e payload próprios (apenas a situação), distinto de alterar a ficha. TD=3; AR=1.</t>
  </si>
  <si>
    <t xml:space="preserve">CNAEs - excluir CNAE</t>
  </si>
  <si>
    <t xml:space="preserve">Prova: rota gestao.cnaes.destroy (DELETE), CnaeController::destroy, botão de exclusão em gestao/cnaes/index.tsx, permissão manter-cnaes. Testes: CnaeCrudTest::test_exclusao_de_cnae_e_auditada, ::test_exclusao_de_cnae_vinculado_a_empresa_e_bloqueada. Bloqueia quando há empresa vinculada (leitura de Empresas). TD=2; AR=2.</t>
  </si>
  <si>
    <t xml:space="preserve">Administração de usuários</t>
  </si>
  <si>
    <t xml:space="preserve">Administração de usuários - consultar usuários</t>
  </si>
  <si>
    <t xml:space="preserve">Prova: rota gestao.usuarios.index, UserManagementController::index, tela gestao/usuarios/index.tsx, permissão manter-usuarios. Testes: tests/Feature/Users/ManageUsersTest.php::test_aba_padrao_lista_equipe_sedur_com_papeis_e_situacao, ::test_aba_portal_lista_apenas_usuarios_sem_acesso_a_gestao, ::test_busca_filtra_por_nome_ou_email_dentro_da_aba. Processo elementar independente: consulta a lista de usuários. Unicidade: as duas abas (equipe e portal) têm as mesmas colunas e mudam só o filtro (papel com acessar-gestao), logo são UMA função. A classificação da aba usa Perfis de acesso (papel com permissão acessar-gestao). Exportação (?formato=) é a mesma lista. TD=12; AR=2.</t>
  </si>
  <si>
    <t xml:space="preserve">Administração de usuários - alterar papel do usuário</t>
  </si>
  <si>
    <t xml:space="preserve">Prova: rota gestao.usuarios.papel.update (PUT), UserManagementController::updateRole com UpdateUserRoleRequest, modal em gestao/usuarios/index.tsx, permissão manter-usuarios. Testes: ManageUsersTest::test_altera_papel_do_usuario_com_auditoria, ::test_papel_inexistente_e_rejeitado. Valida o papel contra os perfis cadastrados. TD=3; AR=2.</t>
  </si>
  <si>
    <t xml:space="preserve">Administração de usuários - alterar situação do usuário</t>
  </si>
  <si>
    <t xml:space="preserve">Prova: rota gestao.usuarios.inativacao.update (PUT), UserManagementController::toggleActivation com ToggleUserActivationRequest (bloqueia a própria conta), tela gestao/usuarios/index.tsx. Testes: ManageUsersTest::test_inativa_usuario_com_auditoria, ::test_reativa_usuario_com_auditoria, ::test_administrador_nao_inativa_a_propria_conta, ::test_inativacao_pela_interface_bloqueia_o_login_de_verdade. Inativar e reativar são uma só função (alterar situação). TD=3; AR=1.</t>
  </si>
  <si>
    <t xml:space="preserve">Administração de usuários - alterar tipo de autenticação do usuário</t>
  </si>
  <si>
    <t xml:space="preserve">Prova: rota gestao.usuarios.autenticacao.update (PUT), UserManagementController::updateAuthType com UpdateUserAuthTypeRequest, modal em gestao/usuarios/index.tsx, permissão manter-usuarios. Testes: tests/Feature/Gestao/UserAuthTypeTest.php::test_gestor_vincula_conta_ao_ad_e_senha_local_deixa_de_valer, ::test_conta_ad_exige_ad_username, ::test_conversao_para_local_envia_link_para_definir_nova_senha. O envio do link de redefinição ao converter AD para local é consequência embutida. TD=4; AR=1.</t>
  </si>
  <si>
    <t xml:space="preserve">Perfis de acesso</t>
  </si>
  <si>
    <t xml:space="preserve">Dados - Perfis de acesso</t>
  </si>
  <si>
    <t xml:space="preserve">Regra de negócio: o conjunto de permissões do perfil decide o que cada usuário pode abrir e executar; toda rota da retaguarda é barrada pelo middleware permission:&lt;nome&gt; (routes/gestao.php) e o papel com permissão acessar-gestao define se a conta é equipe SEDUR (UserManagementController::index, linhas de $gestaoRoleIds). Prova: tabelas roles e role_has_permissions (spatie/laravel-permission), RoleController, tela gestao/perfis/index.tsx, testes tests/Feature/Roles/ManageRolesTest.php. DER=3; RLR=1 (Perfil; a permissão é catálogo semeado por RolesAndPermissionsSeeder, sem manutenção na tela, e entra como DER repetido). Fronteira: perfil e permissões são mantidos aqui; o vínculo usuário-perfil pertence a Dados - Usuário (domínio A).</t>
  </si>
  <si>
    <t xml:space="preserve">Perfis de acesso - consultar perfis</t>
  </si>
  <si>
    <t xml:space="preserve">Prova: rota gestao.perfis.index, RoleController::index, tela gestao/perfis/index.tsx, permissão manter-perfis. Teste: tests/Feature/Roles/ManageRolesTest.php::test_administrador_lista_perfis_com_permissoes_e_vinculos. Processo elementar independente: lista perfis com permissões e quantidade de usuários. TD=6; AR=2 (Perfis, Usuário para a contagem de vínculos). Exportação é a mesma lista.</t>
  </si>
  <si>
    <t xml:space="preserve">Perfis de acesso - incluir perfil</t>
  </si>
  <si>
    <t xml:space="preserve">Prova: rota gestao.perfis.store (POST), RoleController::store com StoreRoleRequest, modal em gestao/perfis/index.tsx. Testes: ManageRolesTest::test_cria_perfil_com_permissoes_granulares, ::test_permissoes_de_perfil_novo_tem_efeito_imediato, ::test_nome_duplicado_e_rejeitado. TD=3; AR=1.</t>
  </si>
  <si>
    <t xml:space="preserve">Perfis de acesso - alterar perfil</t>
  </si>
  <si>
    <t xml:space="preserve">Prova: rota gestao.perfis.update (PUT), RoleController::update com UpdateRoleRequest (papel estrutural não renomeia), modal em gestao/perfis/index.tsx. Testes: ManageRolesTest::test_ajusta_permissoes_de_papel_estrutural, ::test_papel_estrutural_nao_pode_ser_renomeado, ::test_nao_remove_acessar_gestao_do_administrador. TD=4; AR=1.</t>
  </si>
  <si>
    <t xml:space="preserve">Perfis de acesso - excluir perfil</t>
  </si>
  <si>
    <t xml:space="preserve">Prova: rota gestao.perfis.destroy (DELETE), RoleController::destroy, confirmação em gestao/perfis/index.tsx. Testes: ManageRolesTest::test_exclui_perfil_custom_sem_usuarios, ::test_exclusao_bloqueada_com_usuarios_vinculados, ::test_papel_estrutural_nao_pode_ser_excluido. Bloqueia se há usuário vinculado (leitura de Usuário). TD=2; AR=2.</t>
  </si>
  <si>
    <t xml:space="preserve">Parâmetros do sistema</t>
  </si>
  <si>
    <t xml:space="preserve">Dados - Parâmetros do sistema</t>
  </si>
  <si>
    <t xml:space="preserve">Prova: models Parameter e ParameterProposal, migrations create_parameters_table e de propostas, ParameterSeeder (catálogo), telas gestao/parametros/{index,historico}.tsx, testes tests/Feature/Parameters/*. DER=15; RLR=2 (Parâmetro; Proposta de alteração, subgrupo dependente sem CRUD próprio, gravado por alterar/aprovar/rejeitar). O histórico de valores vem do log de auditoria (Dados - Trilha de auditoria, domínio A) e não é subgrupo deste arquivo. Os parâmetros de integração das abas de APIs são linhas deste mesmo arquivo.</t>
  </si>
  <si>
    <t xml:space="preserve">Parâmetros - consultar parâmetros</t>
  </si>
  <si>
    <t xml:space="preserve">Prova: rota gestao.parametros.index, ParameterController::index, tela gestao/parametros/index.tsx, permissão manter-parametros. Testes: tests/Feature/Parameters/ManageParametersTest.php::test_administrador_ve_parametros_agrupados, ::test_parametro_sensivel_nunca_e_devolvido_em_claro; ParameterFourEyesTest::test_index_traz_governanca_proposta_e_can_approve. Processo elementar independente: catálogo de parâmetros agrupado, valor sensível nunca em claro. TD=15; AR=1.</t>
  </si>
  <si>
    <t xml:space="preserve">Parâmetros - consultar histórico de alteração do parâmetro</t>
  </si>
  <si>
    <t xml:space="preserve">Prova: rota gestao.parametros.historico, ParameterController::history, tela gestao/parametros/historico.tsx. Teste: ParameterHistoryTest::test_historico_exibe_anterior_novo_responsavel_e_data, ::test_historico_de_sensivel_mascara_valores. Processo elementar independente: consulta a evolução de um parâmetro, lida do log de auditoria. TD=7; AR=2.</t>
  </si>
  <si>
    <t xml:space="preserve">Parâmetros - alterar parâmetro</t>
  </si>
  <si>
    <t xml:space="preserve">Prova: rota gestao.parametros.update (PUT), ParameterController::update com UpdateParameterRequest, formulário em gestao/parametros/index.tsx. Testes: ManageParametersTest::test_atualiza_parametro_valido, ::test_valor_invalido_e_rejeitado_pelas_regras_do_catalogo, ::test_atualizar_sensivel_grava_criptografado, ::test_alteracao_e_auditada_com_valor_anterior_e_novo; ParameterFourEyesTest::test_put_em_decisorio_abre_proposta_sem_aplicar, ::test_put_operacional_ainda_aplica_na_hora. Parâmetro operacional vale na hora; decisório gera Proposta (RLR do arquivo) e só vale após aprovação. Uma só função (mesmos dados e mesmo formulário). TD=3; AR=1.</t>
  </si>
  <si>
    <t xml:space="preserve">Parâmetros - aprovar proposta de alteração</t>
  </si>
  <si>
    <t xml:space="preserve">Prova: rota gestao.parametros.aprovar (POST), ParameterController::approve, ParameterChangeService::approve, botão em gestao/parametros/index.tsx. Testes: ParameterFourEyesTest::test_segundo_aprovador_aplica_e_audita, ::test_autor_nao_pode_aprovar. Aplica o valor vigente (quatro olhos). TD=4; AR=1.</t>
  </si>
  <si>
    <t xml:space="preserve">Parâmetros - rejeitar proposta de alteração</t>
  </si>
  <si>
    <t xml:space="preserve">Prova: rota gestao.parametros.rejeitar (POST), ParameterController::reject, botão em gestao/parametros/index.tsx. Teste: ParameterFourEyesTest::test_rejeitar_preserva_valor. Mantém o valor vigente e encerra a proposta; efeito distinto de aprovar. TD=4; AR=1.</t>
  </si>
  <si>
    <t xml:space="preserve">Configuração de APIs (uma função por aba)</t>
  </si>
  <si>
    <t xml:space="preserve">Configuração de APIs - consultar API REGIN</t>
  </si>
  <si>
    <t xml:space="preserve">Prova: rota gestao.config-apis.edit (GET /gestao/config-apis?aba=regin), ApiIntegracaoController::edit + ApiIntegracaoCatalog::regin, tela gestao/config-apis/index.tsx (aba REGIN), permissão manter-parametros. Teste de leitura: tests/Feature/Gestao/ApiIntegracaoControllerTest.php::test_administrador_ve_as_abas_sem_credencial_em_claro (7 abas, segredo nunca em claro). Processo elementar independente: aba REGIN exibe campos próprios; abas com campos próprios são funções distintas mesmo com rota única. TD=7; AR=1. O botão Testar conexão (quando existe) não é contado.</t>
  </si>
  <si>
    <t xml:space="preserve">Configuração de APIs - alterar API REGIN</t>
  </si>
  <si>
    <t xml:space="preserve">Prova: rota gestao.config-apis.update (PUT /gestao/config-apis/regin), ApiIntegracaoController::update com UpdateApiIntegracaoRequest, tela gestao/config-apis/index.tsx. Teste: ApiIntegracaoControllerTest::test_senha_em_branco_nao_apaga_a_credencial (grava a aba regin). Grava os parâmetros da aba (senha em branco mantém a atual; URL ativa espelhada conforme o interruptor). TD=7; AR=1.</t>
  </si>
  <si>
    <t xml:space="preserve">Configuração de APIs - consultar API Inscrição imobiliária</t>
  </si>
  <si>
    <t xml:space="preserve">Prova: rota gestao.config-apis.edit (GET /gestao/config-apis?aba=inscricao), ApiIntegracaoController::edit + ApiIntegracaoCatalog::inscricao, tela gestao/config-apis/index.tsx (aba Inscrição imobiliária), permissão manter-parametros. Teste de leitura: tests/Feature/Gestao/ApiIntegracaoControllerTest.php::test_administrador_ve_as_abas_sem_credencial_em_claro (7 abas, segredo nunca em claro). Processo elementar independente: aba Inscrição imobiliária exibe campos próprios; abas com campos próprios são funções distintas mesmo com rota única. TD=5; AR=1. O botão Testar conexão (quando existe) não é contado.</t>
  </si>
  <si>
    <t xml:space="preserve">Configuração de APIs - alterar API Inscrição imobiliária</t>
  </si>
  <si>
    <t xml:space="preserve">Prova: rota gestao.config-apis.update (PUT /gestao/config-apis/inscricao), ApiIntegracaoController::update com UpdateApiIntegracaoRequest, tela gestao/config-apis/index.tsx. Teste: tests/Feature/Realty/InscricaoImobiliariaIntegrationControllerTest.php::test_grava_toggle_e_urls_e_escolhe_a_url_de_homologacao (rota legada que grava as mesmas chaves; sem teste da aba pela rota config-apis). Grava os parâmetros da aba (senha em branco mantém a atual; URL ativa espelhada conforme o interruptor). TD=5; AR=1.</t>
  </si>
  <si>
    <t xml:space="preserve">Configuração de APIs - consultar API CPF e CNPJ</t>
  </si>
  <si>
    <t xml:space="preserve">Prova: rota gestao.config-apis.edit (GET /gestao/config-apis?aba=sedur_contato), ApiIntegracaoController::edit + ApiIntegracaoCatalog::sedurContato, tela gestao/config-apis/index.tsx (aba CPF e CNPJ), permissão manter-parametros. Teste de leitura: tests/Feature/Gestao/ApiIntegracaoControllerTest.php::test_administrador_ve_as_abas_sem_credencial_em_claro (7 abas, segredo nunca em claro). Processo elementar independente: aba CPF e CNPJ exibe campos próprios; abas com campos próprios são funções distintas mesmo com rota única. TD=5; AR=1. O botão Testar conexão (quando existe) não é contado.</t>
  </si>
  <si>
    <t xml:space="preserve">Configuração de APIs - alterar API CPF e CNPJ</t>
  </si>
  <si>
    <t xml:space="preserve">Prova: rota gestao.config-apis.update (PUT /gestao/config-apis/sedur_contato), ApiIntegracaoController::update com UpdateApiIntegracaoRequest, tela gestao/config-apis/index.tsx. Teste: ApiIntegracaoControllerTest::test_atualiza_a_url_do_contato_sedur, ::test_url_invalida_e_rejeitada. Grava os parâmetros da aba (senha em branco mantém a atual; URL ativa espelhada conforme o interruptor). TD=5; AR=1.</t>
  </si>
  <si>
    <t xml:space="preserve">Configuração de APIs - consultar API Autenticação SEDUR</t>
  </si>
  <si>
    <t xml:space="preserve">Prova: rota gestao.config-apis.edit (GET /gestao/config-apis?aba=sedur_auth), ApiIntegracaoController::edit + ApiIntegracaoCatalog::sedurAuth, tela gestao/config-apis/index.tsx (aba Autenticação SEDUR), permissão manter-parametros. Teste de leitura: tests/Feature/Gestao/ApiIntegracaoControllerTest.php::test_administrador_ve_as_abas_sem_credencial_em_claro (7 abas, segredo nunca em claro). Processo elementar independente: aba Autenticação SEDUR exibe campos próprios; abas com campos próprios são funções distintas mesmo com rota única. TD=5; AR=1. O botão Testar conexão (quando existe) não é contado.</t>
  </si>
  <si>
    <t xml:space="preserve">Configuração de APIs - alterar API Autenticação SEDUR</t>
  </si>
  <si>
    <t xml:space="preserve">Prova: rota gestao.config-apis.update (PUT /gestao/config-apis/sedur_auth), ApiIntegracaoController::update com UpdateApiIntegracaoRequest, tela gestao/config-apis/index.tsx. Teste: sem teste específico da aba (apenas a leitura em test_administrador_ve_as_abas_sem_credencial_em_claro). Grava os parâmetros da aba (senha em branco mantém a atual; URL ativa espelhada conforme o interruptor). TD=5; AR=1.</t>
  </si>
  <si>
    <t xml:space="preserve">Configuração de APIs - consultar API GOV.BR</t>
  </si>
  <si>
    <t xml:space="preserve">Prova: rota gestao.config-apis.edit (GET /gestao/config-apis?aba=govbr), ApiIntegracaoController::edit + ApiIntegracaoCatalog::govbr, tela gestao/config-apis/index.tsx (aba GOV.BR), permissão manter-parametros. Teste de leitura: tests/Feature/Gestao/ApiIntegracaoControllerTest.php::test_administrador_ve_as_abas_sem_credencial_em_claro (7 abas, segredo nunca em claro). Processo elementar independente: aba GOV.BR exibe campos próprios; abas com campos próprios são funções distintas mesmo com rota única. TD=8; AR=1. O botão Testar conexão (quando existe) não é contado.</t>
  </si>
  <si>
    <t xml:space="preserve">Configuração de APIs - alterar API GOV.BR</t>
  </si>
  <si>
    <t xml:space="preserve">Prova: rota gestao.config-apis.update (PUT /gestao/config-apis/govbr), ApiIntegracaoController::update com UpdateApiIntegracaoRequest, tela gestao/config-apis/index.tsx. Teste: sem teste específico de gravação da aba (leitura sem segredo em test_administrador_ve_as_abas_sem_credencial_em_claro). Grava os parâmetros da aba (senha em branco mantém a atual; URL ativa espelhada conforme o interruptor). TD=8; AR=1.</t>
  </si>
  <si>
    <t xml:space="preserve">Configuração de APIs - consultar API Geocodificação</t>
  </si>
  <si>
    <t xml:space="preserve">Prova: rota gestao.config-apis.edit (GET /gestao/config-apis?aba=geocoding), ApiIntegracaoController::edit + ApiIntegracaoCatalog::geocoding, tela gestao/config-apis/index.tsx (aba Geocodificação), permissão manter-parametros. Teste de leitura: tests/Feature/Gestao/ApiIntegracaoControllerTest.php::test_administrador_ve_as_abas_sem_credencial_em_claro (7 abas, segredo nunca em claro). Processo elementar independente: aba Geocodificação exibe campos próprios; abas com campos próprios são funções distintas mesmo com rota única. TD=5; AR=1. O botão Testar conexão (quando existe) não é contado.</t>
  </si>
  <si>
    <t xml:space="preserve">Configuração de APIs - alterar API Geocodificação</t>
  </si>
  <si>
    <t xml:space="preserve">Prova: rota gestao.config-apis.update (PUT /gestao/config-apis/geocoding), ApiIntegracaoController::update com UpdateApiIntegracaoRequest, tela gestao/config-apis/index.tsx. Teste: sem teste específico da aba (apenas leitura). Grava os parâmetros da aba (senha em branco mantém a atual; URL ativa espelhada conforme o interruptor). TD=5; AR=1.</t>
  </si>
  <si>
    <t xml:space="preserve">Configuração de APIs - consultar API GeoServer</t>
  </si>
  <si>
    <t xml:space="preserve">Prova: rota gestao.config-apis.edit (GET /gestao/config-apis?aba=geoserver), ApiIntegracaoController::edit + ApiIntegracaoCatalog::geoserver, tela gestao/config-apis/index.tsx (aba GeoServer), permissão manter-parametros. Teste de leitura: tests/Feature/Gestao/ApiIntegracaoControllerTest.php::test_administrador_ve_as_abas_sem_credencial_em_claro (7 abas, segredo nunca em claro). Processo elementar independente: aba GeoServer exibe campos próprios; abas com campos próprios são funções distintas mesmo com rota única. TD=8; AR=1. O botão Testar conexão (quando existe) não é contado.</t>
  </si>
  <si>
    <t xml:space="preserve">Configuração de APIs - alterar API GeoServer</t>
  </si>
  <si>
    <t xml:space="preserve">Prova: rota gestao.config-apis.update (PUT /gestao/config-apis/geoserver), ApiIntegracaoController::update com UpdateApiIntegracaoRequest, tela gestao/config-apis/index.tsx. Teste: sem teste específico da aba (apenas leitura). Grava os parâmetros da aba (senha em branco mantém a atual; URL ativa espelhada conforme o interruptor). TD=8; AR=1.</t>
  </si>
  <si>
    <t xml:space="preserve">Monitoramento de e-mails enviados</t>
  </si>
  <si>
    <t xml:space="preserve">Dados - Registro de e-mails enviados</t>
  </si>
  <si>
    <t xml:space="preserve">Prova: model EmailLog (fillable) gravado pelo envio das notificações (markAsSent/markAsFailed), migration create_email_logs_table, tela gestao/emails/index.tsx, teste tests/Feature/Emails/EmailLogIndexTest.php. DER=8; RLR=1. Fronteira: é o registro do que o sistema enviou; não há manutenção manual pela tela, mas o arquivo é mantido pelo processo de envio dentro da fronteira (ALI), distinto de Dados - Comunicações do processo (histórico por processo, domínio E).</t>
  </si>
  <si>
    <t xml:space="preserve">Monitoramento de e-mails - consultar e-mails enviados</t>
  </si>
  <si>
    <t xml:space="preserve">Prova: rota gestao.emails.index, EmailLogController::index, tela gestao/emails/index.tsx, permissão monitorar-emails. Testes: EmailLogIndexTest::test_administrador_consulta_log_de_emails_com_contadores, ::test_filtro_por_status_restringe_a_listagem. Processo elementar independente: consulta do log de envios com contadores. TD=12; AR=1.</t>
  </si>
  <si>
    <t xml:space="preserve">Minutas e textos-padrão do parecer</t>
  </si>
  <si>
    <t xml:space="preserve">Dados - Textos padrão do parecer</t>
  </si>
  <si>
    <t xml:space="preserve">Regra de negócio: o analista monta o parecer a partir dos trechos ativos da categoria; StandardTextComposer::compor (app/Services/Analise/StandardTextComposer.php, linha 22) só lê texto ativo, e editar o conteúdo incrementa a versão (StandardTextController::update). Prova: model StandardText, StandardTextController, tela gestao/textos-padrao/index.tsx, testes tests/Feature/Analise/StandardTextCrudTest.php. DER=4; RLR=1.</t>
  </si>
  <si>
    <t xml:space="preserve">Textos padrão - consultar textos padrão</t>
  </si>
  <si>
    <t xml:space="preserve">Prova: rota gestao.textos-padrao.index, StandardTextController::index, tela gestao/textos-padrao/index.tsx, permissão manter-parametros. Testes: StandardTextCrudTest::test_administrador_lista_textos_padrao, ::test_filtra_por_categoria. Processo elementar independente: lista filtrada. TD=8; AR=1.</t>
  </si>
  <si>
    <t xml:space="preserve">Textos padrão - incluir texto padrão</t>
  </si>
  <si>
    <t xml:space="preserve">Prova: rota gestao.textos-padrao.store (POST), StandardTextController::store com StandardTextRequest. Teste: StandardTextCrudTest::test_cria_texto_padrao_versao_inicial_1_auditado. TD=5; AR=1.</t>
  </si>
  <si>
    <t xml:space="preserve">Textos padrão - alterar texto padrão</t>
  </si>
  <si>
    <t xml:space="preserve">Prova: rota gestao.textos-padrao.update (PUT), StandardTextController::update. Testes: StandardTextCrudTest::test_editar_conteudo_incrementa_versao, ::test_editar_apenas_metadados_nao_incrementa_versao. TD=6; AR=1.</t>
  </si>
  <si>
    <t xml:space="preserve">Textos padrão - alterar situação do texto padrão</t>
  </si>
  <si>
    <t xml:space="preserve">Prova: rota gestao.textos-padrao.ativacao.update (PUT), StandardTextController::toggleActivation, ação na lista de gestao/textos-padrao/index.tsx. Teste: StandardTextCrudTest::test_toggle_desativa_sem_excluir. Não há excluir. TD=3; AR=1.</t>
  </si>
  <si>
    <t xml:space="preserve">Textos decisórios do motor</t>
  </si>
  <si>
    <t xml:space="preserve">Dados - Textos decisórios</t>
  </si>
  <si>
    <t xml:space="preserve">Regra de negócio: o texto emitido em TVL, parecer e ficha do cidadão vem deste catálogo; DecisionTextCatalog::get/render (app/Services/Decisao/DecisionTextCatalog.php, linhas 36 e 67) lê o modelo gravado e editar o modelo muda o documento emitido sem deploy (o model invalida o cache na gravação). Prova: model DecisionText, DecisionTextController, tela gestao/textos-decisao/index.tsx, testes tests/Feature/Decisao/DecisionTextCrudTest.php. DER=3; RLR=1. A chave é ligada ao motor: criar/excluir não existem.</t>
  </si>
  <si>
    <t xml:space="preserve">Textos decisórios - consultar textos decisórios</t>
  </si>
  <si>
    <t xml:space="preserve">Prova: rota gestao.textos-decisao.index, DecisionTextController::index, tela gestao/textos-decisao/index.tsx, permissão manter-parametros. Teste: DecisionTextCrudTest::test_lista_agrupa_os_textos_por_prefixo_da_chave. Processo elementar independente: catálogo agrupado por prefixo. TD=4; AR=1.</t>
  </si>
  <si>
    <t xml:space="preserve">Textos decisórios - alterar texto decisório</t>
  </si>
  <si>
    <t xml:space="preserve">Prova: rota gestao.textos-decisao.update (PUT, binding por chave), DecisionTextController::update com UpdateDecisionTextRequest. Testes: DecisionTextCrudTest::test_edicao_do_template_persiste_e_o_motor_emite_o_novo_texto, ::test_template_e_obrigatorio_na_edicao, ::test_nao_existe_rota_de_criacao_ou_exclusao. TD=4; AR=1.</t>
  </si>
  <si>
    <t xml:space="preserve">Termos legais versionados</t>
  </si>
  <si>
    <t xml:space="preserve">Dados - Termos legais</t>
  </si>
  <si>
    <t xml:space="preserve">Prova: model LegalTerm, migration create_legal_terms_table, LegalTermController, tela gestao/termos-legais/index.tsx, testes tests/Feature/Gestao/LegalTermCrudTest.php. DER=5; RLR=1. Fronteira: o aceite do termo por cada usuário (LegalTermAcceptance) pertence a Dados - Usuário/Registro de acessos do domínio A; aqui só o texto versionado. Termo publicado é imutável.</t>
  </si>
  <si>
    <t xml:space="preserve">Termos legais - consultar termos legais</t>
  </si>
  <si>
    <t xml:space="preserve">Prova: rota gestao.termos-legais.index, LegalTermController::index, tela gestao/termos-legais/index.tsx, permissão manter-parametros. Teste: LegalTermCrudTest::test_lista_exige_permissao. Processo elementar independente: lista de termos com a situação derivada. TD=6; AR=1.</t>
  </si>
  <si>
    <t xml:space="preserve">Termos legais - incluir rascunho de termo legal</t>
  </si>
  <si>
    <t xml:space="preserve">Prova: rota gestao.termos-legais.store (POST), LegalTermController::store com StoreLegalTermRequest. Testes: LegalTermCrudTest::test_cria_rascunho_com_proxima_versao_do_tipo, ::test_versao_nunca_informada_pelo_usuario, ::test_validacao_do_tipo_no_cadastro. TD=5; AR=1.</t>
  </si>
  <si>
    <t xml:space="preserve">Termos legais - alterar rascunho de termo legal</t>
  </si>
  <si>
    <t xml:space="preserve">Prova: rota gestao.termos-legais.update (PUT), LegalTermController::update com UpdateLegalTermRequest. Testes: LegalTermCrudTest::test_rascunho_pode_ser_editado_e_excluido, ::test_termo_publicado_nao_pode_ser_editado_nem_excluido. TD=4; AR=1.</t>
  </si>
  <si>
    <t xml:space="preserve">Termos legais - publicar termo legal</t>
  </si>
  <si>
    <t xml:space="preserve">Prova: rota gestao.termos-legais.publicar.update (PUT), LegalTermController::publicar. Testes: LegalTermCrudTest::test_publicar_torna_o_termo_vigente, ::test_publicar_termo_ja_publicado_e_rejeitado. Torna a versão vigente (consumida por LegalTerm::current no aceite). TD=4; AR=1.</t>
  </si>
  <si>
    <t xml:space="preserve">Termos legais - excluir rascunho de termo legal</t>
  </si>
  <si>
    <t xml:space="preserve">Prova: rota gestao.termos-legais.destroy (DELETE), LegalTermController::destroy, confirmação em gestao/termos-legais/index.tsx. Teste: LegalTermCrudTest::test_rascunho_pode_ser_editado_e_excluido. Só rascunho é excluído. TD=2; AR=1.</t>
  </si>
  <si>
    <t xml:space="preserve">Feriados</t>
  </si>
  <si>
    <t xml:space="preserve">Dados - Feriados</t>
  </si>
  <si>
    <t xml:space="preserve">Regra de negócio: feriado ativo é descontado do cálculo de dias úteis dos prazos e do tempo de análise; DatabaseHolidayProvider::calendar (app/Services/Expresso/DatabaseHolidayProvider.php, linha 58) lê só feriados ativos, recorrentes por mês-dia. Prova: model Holiday, HolidayController, tela gestao/feriados/index.tsx, teste tests/Feature/Relatorios/HolidayCadastroTest.php (model e seeder). DER=4; RLR=1. A carga inicial por HolidaySeeder é seeder e não conta.</t>
  </si>
  <si>
    <t xml:space="preserve">Feriados - consultar feriados</t>
  </si>
  <si>
    <t xml:space="preserve">Prova: rota gestao.feriados.index, HolidayController::index, tela gestao/feriados/index.tsx, permissão manter-parametros. Teste: NÃO há teste HTTP da rota; apenas tests/Feature/Relatorios/HolidayCadastroTest.php::test_seeder_de_feriados_e_idempotente (model/seeder). Registrado em pendências. Processo elementar independente: lista filtrada. TD=6; AR=1.</t>
  </si>
  <si>
    <t xml:space="preserve">Feriados - incluir feriado</t>
  </si>
  <si>
    <t xml:space="preserve">Prova: rota gestao.feriados.store (POST), HolidayController::store com HolidayRequest (data única). Testes de modelo: HolidayCadastroTest::test_data_do_feriado_e_unica, ::test_criacao_de_feriado_e_auditada (sem teste HTTP da rota; pendência). TD=5; AR=1.</t>
  </si>
  <si>
    <t xml:space="preserve">Feriados - alterar feriado</t>
  </si>
  <si>
    <t xml:space="preserve">Prova: rota gestao.feriados.update (PUT), HolidayController::update com HolidayRequest. Teste de modelo: HolidayCadastroTest::test_edicao_de_feriado_e_auditada (sem teste HTTP da rota; pendência). TD=6; AR=1.</t>
  </si>
  <si>
    <t xml:space="preserve">Feriados - alterar situação do feriado</t>
  </si>
  <si>
    <t xml:space="preserve">Prova: rota gestao.feriados.ativacao.update (PUT), HolidayController::toggleActivation, ação na lista de gestao/feriados/index.tsx. Sem teste HTTP (pendência). Não há excluir: o feriado é só inativado. TD=3; AR=1.</t>
  </si>
  <si>
    <t xml:space="preserve">Valores da TLL por exercício</t>
  </si>
  <si>
    <t xml:space="preserve">Dados - Tabela de valores TLL</t>
  </si>
  <si>
    <t xml:space="preserve">Prova: model TllValor, migration de tll_valores, TllValorController, tela gestao/tll/index.tsx, testes tests/Feature/Analise/TllValorControllerTest.php. DER=9; RLR=1. Fronteira: o exercício (rascunho/vigente) é versão de regra, mantida em Dados - Versões de regras (domínio C); aqui ficam as linhas de valor. A carga da planilha por TllValoresImportService é seeder/carga e não conta. O cálculo do DAM (TllCalculoService) lê estes valores.</t>
  </si>
  <si>
    <t xml:space="preserve">Valores TLL - consultar valores</t>
  </si>
  <si>
    <t xml:space="preserve">Prova: rota gestao.tll.index, TllValorController::index, tela gestao/tll/index.tsx, permissão manter-parametros. Testes: TllValorControllerTest::test_administrador_lista_os_valores; tests/Feature/Analise/TllCnaeVinculoTest.php::test_lista_expoe_contagem_de_cnaes_da_planilha_vigente, ::test_busca_por_cnae_mascara_e_digitos_devolve_os_tll_resolvidos. Processo elementar independente: lista de valores com os exercícios e a contagem de CNAEs vinculados. TD=16; AR=3 (valores, versões dos exercícios, planilha de tratamento para a contagem/busca por CNAE).</t>
  </si>
  <si>
    <t xml:space="preserve">Valores TLL - consultar CNAEs de um valor</t>
  </si>
  <si>
    <t xml:space="preserve">Prova: rota gestao.tll.cnaes (GET JSON), TllValorController::cnaes, TllCnaeVinculo::listar, painel de CNAEs em gestao/tll/index.tsx. Teste: TllCnaeVinculoTest::test_endpoint_lista_cnaes_distintos_e_separa_isenta_do_residual, ::test_endpoint_de_cnaes_exige_permissao_e_nao_grava_vinculo. Processo elementar independente: o gestor abre a relação de CNAEs que caem em um valor de TLL, saída própria e paginada, diferente da lista de valores. TD=4; AR=2.</t>
  </si>
  <si>
    <t xml:space="preserve">Valores TLL - incluir valor</t>
  </si>
  <si>
    <t xml:space="preserve">Prova: rota gestao.tll.store (POST), TllValorController::store com TllValorRequest. Testes: TllValorControllerTest::test_cria_valor_auditado, ::test_codigo_e_exercicio_duplicados_sao_rejeitados. TD=10; AR=1.</t>
  </si>
  <si>
    <t xml:space="preserve">Valores TLL - alterar valor</t>
  </si>
  <si>
    <t xml:space="preserve">Prova: rota gestao.tll.update (PUT), TllValorController::update. Teste: TllValorControllerTest::test_edita_valor. TD=11; AR=1.</t>
  </si>
  <si>
    <t xml:space="preserve">Valores TLL - alterar situação do valor</t>
  </si>
  <si>
    <t xml:space="preserve">Prova: rota gestao.tll.ativacao.update (PUT), TllValorController::toggleActivation. Teste: TllValorControllerTest::test_inativa_preserva_o_historico. Não há excluir. TD=3; AR=1.</t>
  </si>
  <si>
    <t xml:space="preserve">Valores TLL - gerar exercício em rascunho</t>
  </si>
  <si>
    <t xml:space="preserve">Prova: rota gestao.tll.exercicios.store (POST), TllValorController::gerarExercicio com PropagacaoTllRequest, TllPropagacaoExercicio::propagar, tela gestao/tll/index.tsx. Teste: TllValorControllerTest::test_gerar_exercicio_cria_rascunho_e_clona_linhas. Clona os valores ativos aplicando o fator e cria a versão do exercício em rascunho. TD=5; AR=2.</t>
  </si>
  <si>
    <t xml:space="preserve">Valores TLL - publicar exercício</t>
  </si>
  <si>
    <t xml:space="preserve">Prova: rota gestao.tll.exercicios.publicar (POST), TllValorController::publicarExercicio, TllPublicacaoExercicio::publicar, tela gestao/tll/index.tsx. Teste: TllValorControllerTest::test_publicar_exige_quatro_olhos. Quatro olhos: o autor do rascunho não publica. TD=4; AR=2.</t>
  </si>
  <si>
    <t xml:space="preserve">Valores TLL - alertar gestores sobre exercício sem tabela vigente</t>
  </si>
  <si>
    <t xml:space="preserve">Prova: comando tll:alertar-exercicio (app/Console/Commands/AlertarExercicioTllCommand.php), agendado em routes/console.php (dailyAt 07:30, withoutOverlapping, onOneServer), TllExercicioFaltanteNotification (canais mail e database). Teste: tests/Feature/Analise/AlertarExercicioTllCommandTest.php::test_notifica_gestor_quando_falta_versao_vigente, ::test_segunda_execucao_nao_reenvia, ::test_fora_de_dezembro_e_janeiro_nao_alerta, ::test_com_versoes_vigentes_nao_alerta. Processo elementar independente: rotina agendada reconhecida pelo negócio: em dezembro e janeiro avisa os gestores quando o exercício corrente ou o seguinte não tem tabela TLL publicada; só notifica, sem gravar/publicar valores. É saída funcional autônoma. TD=8; AR=3 (se a Notificação in-app for aprovada como ALI pelo domínio A, AR=4 e a complexidade sobe para Alta).</t>
  </si>
  <si>
    <t xml:space="preserve">Tipos de serviço da solicitação</t>
  </si>
  <si>
    <t xml:space="preserve">Dados - Tipos de serviço da solicitação</t>
  </si>
  <si>
    <t xml:space="preserve">Regra de negócio: o requerente só escolhe, ao abrir a solicitação, os tipos de serviço ativos (SolicitacaoController, app/Http/Controllers/Portal/SolicitacaoController.php, linha 260) e o código fixa o fluxo (renovacao-tvl em RenovacaoController, linha 145). Desativar preserva o histórico das solicitações. Prova: model ViabilityServiceType, ViabilityServiceTypeController, tela gestao/tipos-servico/index.tsx, testes tests/Feature/Solicitacao/ViabilityServiceTypeCrudTest.php. DER=4; RLR=1.</t>
  </si>
  <si>
    <t xml:space="preserve">Tipos de serviço - consultar tipos de serviço</t>
  </si>
  <si>
    <t xml:space="preserve">Prova: rota gestao.tipos-servico.index, ViabilityServiceTypeController::index, tela gestao/tipos-servico/index.tsx, permissão manter-tipos-servico. Teste: ViabilityServiceTypeCrudTest::test_administrador_lista_tipos_de_servico. Processo elementar independente: lista filtrada. TD=6; AR=1.</t>
  </si>
  <si>
    <t xml:space="preserve">Tipos de serviço - incluir tipo de serviço</t>
  </si>
  <si>
    <t xml:space="preserve">Prova: rota gestao.tipos-servico.store (POST), ViabilityServiceTypeController::store com StoreViabilityServiceTypeRequest. Testes: ViabilityServiceTypeCrudTest::test_cria_tipo_de_servico_auditado, ::test_code_duplicado_e_rejeitado. TD=5; AR=1.</t>
  </si>
  <si>
    <t xml:space="preserve">Tipos de serviço - alterar tipo de serviço</t>
  </si>
  <si>
    <t xml:space="preserve">Prova: rota gestao.tipos-servico.update (PUT), UpdateViabilityServiceTypeRequest (código imutável). Teste: ViabilityServiceTypeCrudTest::test_code_e_imutavel_na_edicao. TD=5; AR=1.</t>
  </si>
  <si>
    <t xml:space="preserve">Tipos de serviço - alterar situação do tipo de serviço</t>
  </si>
  <si>
    <t xml:space="preserve">Prova: rota gestao.tipos-servico.ativacao.update (PUT), ViabilityServiceTypeController::toggleActivation. Teste: ViabilityServiceTypeCrudTest::test_desativar_preserva_registro. Não há excluir. TD=3; AR=1.</t>
  </si>
  <si>
    <t xml:space="preserve">Tipos de imóvel reconhecidos</t>
  </si>
  <si>
    <t xml:space="preserve">Dados - Tipos de imóvel</t>
  </si>
  <si>
    <t xml:space="preserve">Regra de negócio: o tipo de imóvel recebido do REGIN é normalizado pelas grafias e, se 'dirige regra', derruba o processo do fluxo expresso para análise; TipoImovelCatalog (app/Services/Risco/TipoImovelCatalog.php, linhas 40 e 69) lê só tipos ativos com aliases. Prova: models PropertyType e PropertyTypeAlias, PropertyTypeController, tela gestao/tipos-imovel/index.tsx, testes tests/Feature/Risco/PropertyTypeCrudTest.php. DER=5; RLR=2 (Tipo de imóvel; Grafia alternativa, subgrupo dependente mantido junto do tipo, sem tela própria).</t>
  </si>
  <si>
    <t xml:space="preserve">Tipos de imóvel - consultar tipos de imóvel</t>
  </si>
  <si>
    <t xml:space="preserve">Prova: rota gestao.tipos-imovel.index, PropertyTypeController::index, tela gestao/tipos-imovel/index.tsx, permissão manter-tipos-imovel. Teste: PropertyTypeCrudTest::test_lista_exige_permissao (cobre a rota). Processo elementar independente: lista filtrada com grafias. TD=7; AR=1.</t>
  </si>
  <si>
    <t xml:space="preserve">Tipos de imóvel - incluir tipo de imóvel</t>
  </si>
  <si>
    <t xml:space="preserve">Prova: rota gestao.tipos-imovel.store (POST), PropertyTypeController::store com StorePropertyTypeRequest. Testes: PropertyTypeCrudTest::test_cria_tipo_com_aliases_normalizados, ::test_alias_duplicado_entre_tipos_e_rejeitado. TD=6; AR=1.</t>
  </si>
  <si>
    <t xml:space="preserve">Tipos de imóvel - alterar tipo de imóvel</t>
  </si>
  <si>
    <t xml:space="preserve">Prova: rota gestao.tipos-imovel.update (PUT), UpdatePropertyTypeRequest (código imutável). Testes: PropertyTypeCrudTest::test_code_e_imutavel_na_edicao, ::test_remocao_de_alias_e_auditada, ::test_edicao_sem_o_campo_situacao_nao_reativa_o_tipo. TD=6; AR=1.</t>
  </si>
  <si>
    <t xml:space="preserve">Tipos de imóvel - alterar situação do tipo de imóvel</t>
  </si>
  <si>
    <t xml:space="preserve">Prova: rota gestao.tipos-imovel.ativacao.update (PUT), PropertyTypeController::toggleActivation. Teste: PropertyTypeCrudTest::test_toggle_desativa_sem_excluir_e_audita. Não há excluir. TD=3; AR=1.</t>
  </si>
  <si>
    <t xml:space="preserve">Gatilhos de risco do fluxo expresso</t>
  </si>
  <si>
    <t xml:space="preserve">Dados - Gatilhos de risco</t>
  </si>
  <si>
    <t xml:space="preserve">Regra de negócio: gatilho ativo encaminha o processo à análise técnica em vez de concluir no expresso; RiscoClassificationService (app/Services/Risco/RiscoClassificationService.php, linha 320) percorre RiskTrigger::ativos() e devolve o motivo gravado. Desligar muda o roteamento. Prova: model RiskTrigger, RiskTriggerController, tela gestao/gatilhos-risco/index.tsx, testes tests/Feature/Risco/RiskTriggerCrudTest.php. DER=5; RLR=1. O código é amarrado ao enum do motor: sem incluir/excluir.</t>
  </si>
  <si>
    <t xml:space="preserve">Gatilhos de risco - consultar gatilhos de risco</t>
  </si>
  <si>
    <t xml:space="preserve">Prova: rota gestao.gatilhos-risco.index, RiskTriggerController::index, tela gestao/gatilhos-risco/index.tsx, permissão manter-gatilhos-risco. Teste: RiskTriggerCrudTest::test_lista_exige_permissao (cobre a rota). Processo elementar independente: lista dos gatilhos. TD=5; AR=1.</t>
  </si>
  <si>
    <t xml:space="preserve">Gatilhos de risco - alterar gatilho de risco</t>
  </si>
  <si>
    <t xml:space="preserve">Prova: rota gestao.gatilhos-risco.update (PUT), UpdateRiskTriggerRequest. Teste: RiskTriggerCrudTest::test_edita_titulo_e_motivo_com_auditoria. TD=4; AR=1.</t>
  </si>
  <si>
    <t xml:space="preserve">Gatilhos de risco - alterar situação do gatilho de risco</t>
  </si>
  <si>
    <t xml:space="preserve">Prova: rota gestao.gatilhos-risco.ativacao.update (PUT), RiskTriggerController::toggleActivation. Teste: RiskTriggerCrudTest::test_toggle_desativa_gatilho_e_o_motor_para_de_aplicar. TD=3; AR=1.</t>
  </si>
  <si>
    <t xml:space="preserve">Requisitos documentais por CNAE</t>
  </si>
  <si>
    <t xml:space="preserve">Dados - Requisitos documentais</t>
  </si>
  <si>
    <t xml:space="preserve">Prova: model DocumentRequirement, tabela de vínculo cnae_document_requirement (sem atributos próprios, vira DER), DocumentRequirementController, tela gestao/requisitos-documentais/index.tsx, testes tests/Feature/Solicitacao/DocumentRequirementCrudTest.php. DER=7; RLR=1. O resolvedor DocumentRequirementResolver (app/Services/Solicitacao/DocumentRequirementResolver.php, linhas 48 a 52) lê requisitos obrigatórios e ativos dos CNAEs da solicitação.</t>
  </si>
  <si>
    <t xml:space="preserve">Requisitos documentais - consultar requisitos documentais</t>
  </si>
  <si>
    <t xml:space="preserve">Prova: rota gestao.requisitos-documentais.index, DocumentRequirementController::index, tela gestao/requisitos-documentais/index.tsx, permissão manter-requisitos-documentais. Teste: DocumentRequirementCrudTest::test_administrador_lista_requisitos. Processo elementar independente: lista filtrada com CNAEs vinculados. TD=9; AR=2. A busca de CNAEs do seletor (cnaes-disponiveis) é apoio de picker e não conta.</t>
  </si>
  <si>
    <t xml:space="preserve">Requisitos documentais - incluir requisito documental</t>
  </si>
  <si>
    <t xml:space="preserve">Prova: rota gestao.requisitos-documentais.store (POST), StoreDocumentRequirementRequest. Testes: DocumentRequirementCrudTest::test_cria_requisito_e_audita, ::test_code_unico_e_imutavel_na_edicao. TD=6; AR=1.</t>
  </si>
  <si>
    <t xml:space="preserve">Requisitos documentais - alterar requisito documental</t>
  </si>
  <si>
    <t xml:space="preserve">Prova: rota gestao.requisitos-documentais.update (PUT), UpdateDocumentRequirementRequest (código imutável). Teste: DocumentRequirementCrudTest::test_code_unico_e_imutavel_na_edicao. TD=6; AR=1.</t>
  </si>
  <si>
    <t xml:space="preserve">Requisitos documentais - alterar situação do requisito documental</t>
  </si>
  <si>
    <t xml:space="preserve">Prova: rota gestao.requisitos-documentais.toggle (PUT), DocumentRequirementController::toggle. Teste: DocumentRequirementCrudTest::test_desativar_preserva_o_registro. Não há excluir. TD=3; AR=1.</t>
  </si>
  <si>
    <t xml:space="preserve">Requisitos documentais - vincular CNAEs ao requisito</t>
  </si>
  <si>
    <t xml:space="preserve">Prova: rota gestao.requisitos-documentais.cnaes (PUT), DocumentRequirementController::syncCnaes, seletor em gestao/requisitos-documentais/index.tsx. Testes: DocumentRequirementCrudTest::test_vincula_cnaes_por_sync_exato_e_audita, ::test_so_cnaes_ativos_podem_ser_vinculados. Ação própria (rota e dados próprios, só CNAEs ativos), distinta de alterar o requisito. TD=3; AR=2.</t>
  </si>
  <si>
    <t xml:space="preserve">Setores e analistas</t>
  </si>
  <si>
    <t xml:space="preserve">Dados - Setores</t>
  </si>
  <si>
    <t xml:space="preserve">Regra de negócio: o setor define a caixa de análise; o analista só vê e assume processos dos setores a que está vinculado (CaixaSetorController::index, linha 64, e DistribuicaoService, linha 235) e setor inativo não recebe novos processos (OfficialSectorCatalogSync). Prova: model Sector (vínculo N:N sector_user vira DER), SectorController, tela gestao/setores/index.tsx, testes tests/Feature/Analise/SectorCrudTest.php. DER=4; RLR=1. Fronteira: a carga do catálogo oficial é seeder/sincronização; o vínculo com o usuário é lido em Dados - Usuário.</t>
  </si>
  <si>
    <t xml:space="preserve">Setores - consultar setores</t>
  </si>
  <si>
    <t xml:space="preserve">Prova: rota gestao.setores.index, SectorController::index, tela gestao/setores/index.tsx, permissão manter-setores. Teste: SectorCrudTest::test_administrador_lista_setores. Processo elementar independente: lista filtrada com analistas e contagens. TD=8; AR=3.</t>
  </si>
  <si>
    <t xml:space="preserve">Setores - incluir setor</t>
  </si>
  <si>
    <t xml:space="preserve">Prova: rota gestao.setores.store (POST), SectorController::store com SectorRequest. Testes: SectorCrudTest::test_cria_setor_auditado, ::test_nome_duplicado_e_rejeitado. TD=3; AR=1.</t>
  </si>
  <si>
    <t xml:space="preserve">Setores - alterar setor</t>
  </si>
  <si>
    <t xml:space="preserve">Prova: rota gestao.setores.update (PUT), SectorController::update. Testes: SectorCrudTest::test_edita_nome_e_situacao, ::test_nome_proprio_nao_colide_na_edicao. TD=4; AR=1.</t>
  </si>
  <si>
    <t xml:space="preserve">Setores - alterar situação do setor</t>
  </si>
  <si>
    <t xml:space="preserve">Prova: rota gestao.setores.ativacao.update (PUT), SectorController::toggleActivation. Testes: SectorCrudTest::test_inativar_preserva_setor_e_nao_ha_rota_destrutiva, ::test_inativar_setor_com_processo_em_aberto_avisa_mas_nao_bloqueia. Não há excluir. TD=4; AR=2 (lê processos em aberto para o aviso).</t>
  </si>
  <si>
    <t xml:space="preserve">Setores - vincular analistas ao setor</t>
  </si>
  <si>
    <t xml:space="preserve">Prova: rota gestao.setores.analistas.update (PUT), SectorController::syncAnalysts. Teste: SectorCrudTest::test_vincula_e_desvincula_analistas_auditado, ::test_analista_pode_pertencer_a_dois_setores. Ação própria (rota e dados próprios). TD=3; AR=2.</t>
  </si>
  <si>
    <t xml:space="preserve">Servidores de e-mail</t>
  </si>
  <si>
    <t xml:space="preserve">Dados - Servidores de e-mail</t>
  </si>
  <si>
    <t xml:space="preserve">Prova: model EmailServer (senha cifrada e nunca reexibida), EmailServerController, tela gestao/config-email/index.tsx, testes tests/Feature/Email/EmailServerCrudTest.php. DER=12; RLR=1. O servidor padrão ativo comanda o envio real (MailConfigServiceProvider; teste tests/Feature/Email/MailConfigBridgeTest.php). EmailServerSeeder é carga e não conta.</t>
  </si>
  <si>
    <t xml:space="preserve">Servidores de e-mail - consultar servidores de e-mail</t>
  </si>
  <si>
    <t xml:space="preserve">Prova: rota gestao.config-email.index, EmailServerController::index, tela gestao/config-email/index.tsx, permissão manter-config-email. Teste: tests/Feature/Email/EmailServerCrudTest.php::test_administrador_acessa_a_tela_de_configuracao. Processo elementar independente: lista de servidores com senha mascarada. TD=12; AR=1.</t>
  </si>
  <si>
    <t xml:space="preserve">Servidores de e-mail - incluir servidor de e-mail</t>
  </si>
  <si>
    <t xml:space="preserve">Prova: rota gestao.config-email.store (POST), StoreEmailServerRequest. Testes: EmailServerCrudTest::test_cadastra_servidor_e_define_como_padrao_desmarcando_o_anterior, ::test_porta_e_timeout_fora_da_faixa_sao_recusados, ::test_remetente_valido_e_aceito. TD=13; AR=1.</t>
  </si>
  <si>
    <t xml:space="preserve">Servidores de e-mail - alterar servidor de e-mail</t>
  </si>
  <si>
    <t xml:space="preserve">Prova: rota gestao.config-email.update (PUT), UpdateEmailServerRequest (senha em branco mantém a atual). Teste: EmailServerCrudTest::test_atualizar_com_senha_em_branco_mantem_a_senha_atual. TD=14; AR=1.</t>
  </si>
  <si>
    <t xml:space="preserve">Servidores de e-mail - excluir servidor de e-mail</t>
  </si>
  <si>
    <t xml:space="preserve">Prova: rota gestao.config-email.destroy (DELETE), EmailServerController::destroy, confirmação em gestao/config-email/index.tsx. Teste: EmailServerCrudTest::test_excluir_remove_o_servidor. O envio de e-mail de teste (config-email.test, EmailServerCrudTest::test_testar_conexao_dispara_envio_real) é teste de conexão e não conta. TD=2; AR=1.</t>
  </si>
  <si>
    <t xml:space="preserve">Provedores de IA</t>
  </si>
  <si>
    <t xml:space="preserve">Dados - Provedores de IA</t>
  </si>
  <si>
    <t xml:space="preserve">Prova: model AiConfiguration (chave cifrada, oculta na serialização), AiConfigurationController, tela gestao/config-ia/index.tsx, testes tests/Feature/Ai/AiConfigurationControllerTest.php; a configuração gravada alimenta config('ai.*') por AiConfigResolver (tests/Feature/Ai/AiConfigBridgeTest.php). DER=11; RLR=1. A chamada HTTP ao provedor é o AIE do domínio F e não é contada aqui.</t>
  </si>
  <si>
    <t xml:space="preserve">Provedores de IA - consultar provedores de IA</t>
  </si>
  <si>
    <t xml:space="preserve">Prova: rota gestao.config-ia.index, AiConfigurationController::index, tela gestao/config-ia/index.tsx, permissão manter-config-ia. Testes: AiConfigurationControllerTest::test_administrador_acessa_a_tela_de_configuracao, ::test_a_listagem_usa_mascara_e_nunca_expoe_a_api_key_em_claro. Processo elementar independente: lista de provedores com chave mascarada. TD=11; AR=1.</t>
  </si>
  <si>
    <t xml:space="preserve">Provedores de IA - incluir provedor de IA</t>
  </si>
  <si>
    <t xml:space="preserve">Prova: rota gestao.config-ia.store (POST), StoreAiConfigurationRequest (HTTPS e allowlist na URL base). Testes: AiConfigurationControllerTest::test_cadastra_e_define_padrao_desmarcando_a_anterior_da_mesma_capacidade, ::test_base_url_sem_https_e_rejeitada, ::test_nao_grava_configuracao_ativa_sem_chave. TD=12; AR=1.</t>
  </si>
  <si>
    <t xml:space="preserve">Provedores de IA - alterar provedor de IA</t>
  </si>
  <si>
    <t xml:space="preserve">Prova: rota gestao.config-ia.update (PUT), UpdateAiConfigurationRequest (chave em branco mantém a atual). Teste: AiConfigurationControllerTest::test_atualizar_com_chave_em_branco_mantem_a_chave_atual. TD=13; AR=1.</t>
  </si>
  <si>
    <t xml:space="preserve">Provedores de IA - excluir provedor de IA</t>
  </si>
  <si>
    <t xml:space="preserve">Prova: rota gestao.config-ia.destroy (DELETE), AiConfigurationController::destroy, confirmação em gestao/config-ia/index.tsx. Teste: AiConfigurationControllerTest::test_excluir_remove_a_configuracao. TD=2; AR=1.</t>
  </si>
  <si>
    <t xml:space="preserve">Provedores de IA - alterar situação do provedor de IA</t>
  </si>
  <si>
    <t xml:space="preserve">Prova: rota gestao.config-ia.ativacao.update (PUT), AiConfigurationController::toggleActivation (recusa ativar sem chave). Testes: AiConfigurationControllerTest::test_alterna_a_ativacao_da_configuracao, ::test_nao_ativa_configuracao_sem_chave_de_api. O teste de conexão (config-ia.test) faz chamada real, mas é teste de conexão e não conta. TD=4; AR=1.</t>
  </si>
  <si>
    <t xml:space="preserve">Território - identificação e localização do imóvel</t>
  </si>
  <si>
    <t xml:space="preserve">Dados - Camadas geográficas</t>
  </si>
  <si>
    <t xml:space="preserve">Prova: models GeoLayer e GeoFeature, migrations create_geo_layers_table e create_geo_features_table (sem migration de drop); tela gestao/territorio/camadas.tsx e gestao/territorio/index.tsx; teste tests/Feature/Geo/GeoLayerManagementTest.php e GeoLayerManagementPostgisTest.php. Justificativa CPM: a camada versionada (bairro, via, zona, lote, restrição) é mantida pela aplicação por importação; a feição não existe sem a camada (teste de independência: dependente, criada e excluída junto com a versão) e vira RLR. DER=10; RLR=2 (camada versionada, feição). Fronteira: guarda as camadas locais importadas (PostGIS); a zona, a classe viária e o endereçamento consultados no servidor de mapas da SEDUR ficam no AIE GeoServer, mantido fora.</t>
  </si>
  <si>
    <t xml:space="preserve">AIE - GeoServer SEDUR (zonas, lotes, vias)</t>
  </si>
  <si>
    <t xml:space="preserve">Prova: AppServiceProvider (SpatialRepository e clientes WFS sem binding de indisponibilidade), classes app/Services/Geo/GeoServerWfsZonaClient.php, GeoServerClassificacaoViariaClient.php, GeoServerEnderecamentoClient.php, SemapLoteClient.php; testes tests/Feature/Geo/GeoServerClassificacaoViariaClientTest.php, GeoServerEnderecamentoClientTest.php, SemapLoteClientTest.php (HTTP simulado só na suíte). Justificativa CPM: dado mantido pela SEDUR/SEMAP, apenas lido pela aplicação (WFS). DER=13; RLR=3 (zona por camada WFS, classificação viária do logradouro, endereçamento e lote). Fronteira: o servidor de mapas é o dono da zona oficial, da classe viária e do lote; a aplicação mantém só o catálogo de quais camadas consultar e a cópia local das camadas importadas (ALI Camadas geográficas e Catálogo de camadas GeoServer).</t>
  </si>
  <si>
    <t xml:space="preserve">AIE - Geocodificação de endereço</t>
  </si>
  <si>
    <t xml:space="preserve">Prova: AppServiceProvider bind Geocoder -&gt; NominatimGeocoder (OpenStreetMap, URL configurável em integrations.geocoding.base_url); testes tests/Feature/Geo/GeocodeEndpointTest.php (HTTP simulado só na suíte). Justificativa CPM: base de endereços mantida por terceiro, só lida. DER=7; RLR=1 (resultado de geocodificação). Fronteira: o serviço público de geocodificação não é da SEDUR; a aplicação não guarda o resultado.</t>
  </si>
  <si>
    <t xml:space="preserve">Território - consultar camadas carregadas</t>
  </si>
  <si>
    <t xml:space="preserve">Prova: rota gestao.territorio.index (GET gestao/territorio), TerritoryController@index, tela gestao/territorio/index.tsx, permissão consultar-territorio; teste tests/Feature/Geo/TerritoryPageTest.php::test_analista_carrega_a_pagina_com_camadas_e_limiar. Processo elementar independente: o analista abre a consulta territorial e vê quais camadas oficiais estão vigentes e com quantas feições. Sem cálculo nem atualização: CE. DER=7; AR=2.</t>
  </si>
  <si>
    <t xml:space="preserve">Território - localizar endereço no mapa</t>
  </si>
  <si>
    <t xml:space="preserve">Prova: rota gestao.territorio.geocodificar (POST), GeocodeController (invocável), tela gestao/territorio/index.tsx (botão Localizar), permissão consultar-territorio, throttle geocoding; testes tests/Feature/Geo/GeocodeEndpointTest.php::test_analista_no_guard_gestao_geocodifica_com_sucesso_e_e_auditado, test_endereco_fora_de_salvador_e_recusado, test_toggle_desligado_bloqueia_sem_request. Processo elementar independente: o usuário aciona Localizar e recebe o ponto, com derivação (normalização e verificação de que o ponto está em Salvador). Mesma lógica da consulta pública por endereço não é repetida aqui: aquela é outra função (consulta de viabilidade). DER=6; AR=2.</t>
  </si>
  <si>
    <t xml:space="preserve">Território - identificar bairro, via, zona, lote e restrições do ponto</t>
  </si>
  <si>
    <t xml:space="preserve">Prova: rota gestao.territorio.identificar (POST), TerritoryController@identify, TerritoryService::identify, tela gestao/territorio/index.tsx (bloco Identificação, disparado ao mover o marcador), permissão consultar-territorio; teste tests/Feature/Geo/TerritoryPageTest.php::test_identificar_retorna_o_resultado_territorial_e_e_auditado e test_identificar_valida_as_coordenadas. Processo elementar independente: o usuário pede a identificação do ponto e recebe a derivação cruzando camadas locais e GeoServer (SE). DER=12; AR=3. A identificação feita dentro do protocolo ou da consulta pública é parte daquelas funções.</t>
  </si>
  <si>
    <t xml:space="preserve">Território - validar localização do imóvel pelo polígono</t>
  </si>
  <si>
    <t xml:space="preserve">Prova: rota gestao.territorio.validar-localizacao (POST), TerritoryController@validateLocation, LocationValidationService, tela gestao/territorio/index.tsx (botão Validar localização), permissão consultar-territorio; teste tests/Feature/Geo/TerritoryPageTest.php::test_validar_localizacao_comunica_lote_indisponivel_e_audita e test_validar_localizacao_exige_poligono_geojson (PostGIS: PostgisLocationValidationTest). Processo elementar independente: cálculo de sobreposição polígono x lote com limiar parametrizado (SE). DER=6; AR=2. Para demonstrar: depende da camada Lote vigente no PostGIS.</t>
  </si>
  <si>
    <t xml:space="preserve">Camadas geográficas e catálogo do GeoServer</t>
  </si>
  <si>
    <t xml:space="preserve">Dados - Catálogo de camadas GeoServer</t>
  </si>
  <si>
    <t xml:space="preserve">Prova: model GeoServerLayer (tabela geoserver_layers), tela gestao/territorio/geoserver.tsx; teste tests/Feature/Geo/GeoServerLayerCrudTest.php. Justificativa CPM: cadastro mantido pela aplicação, dado de código com CRUD. DER=5; RLR=1. Regra de negócio: a camada ativa entra na consulta da zona e na identificação da maior porção (GeoServerWfsZonaClient e GeoServerZonaMaiorPorcaoResolver leem GeoServerLayer::ativos()); desativar tira a camada do enquadramento sem deploy. Fronteira: guarda só QUAIS camadas consultar; o conteúdo da camada (zona, lote) é do AIE GeoServer SEDUR.</t>
  </si>
  <si>
    <t xml:space="preserve">Camadas do GeoServer - consultar catálogo</t>
  </si>
  <si>
    <t xml:space="preserve">Prova: rota gestao.territorio.geoserver.index, GeoServerLayerController@index, tela gestao/territorio/geoserver.tsx, permissão manter-territorio; teste tests/Feature/Geo/GeoServerLayerCrudTest.php::test_lista_exige_permissao. DER=6; AR=1.</t>
  </si>
  <si>
    <t xml:space="preserve">Camadas do GeoServer - incluir camada</t>
  </si>
  <si>
    <t xml:space="preserve">Prova: rota gestao.territorio.geoserver.store, GeoServerLayerController@store, StoreGeoServerLayerRequest, tela gestao/territorio/geoserver.tsx; teste GeoServerLayerCrudTest::test_cria_camada e test_workspace_e_type_name_duplicados_sao_rejeitados. DER=6; AR=1.</t>
  </si>
  <si>
    <t xml:space="preserve">Camadas do GeoServer - alterar camada</t>
  </si>
  <si>
    <t xml:space="preserve">Prova: rota gestao.territorio.geoserver.update, GeoServerLayerController@update, UpdateGeoServerLayerRequest, tela gestao/territorio/geoserver.tsx; teste GeoServerLayerCrudTest::test_workspace_e_type_name_sao_imutaveis_na_edicao. DER=5; AR=1. Não existe rota de excluir camada.</t>
  </si>
  <si>
    <t xml:space="preserve">Camadas do GeoServer - ativar ou desativar camada</t>
  </si>
  <si>
    <t xml:space="preserve">Prova: rota gestao.territorio.geoserver.ativacao.update, GeoServerLayerController@toggleActivation, tela gestao/territorio/geoserver.tsx; teste GeoServerLayerCrudTest::test_toggle_desativa_sem_excluir_e_audita. Alterar situação (inativar e reativar) é uma função. DER=3; AR=1.</t>
  </si>
  <si>
    <t xml:space="preserve">Camadas geográficas - consultar versões por tipo</t>
  </si>
  <si>
    <t xml:space="preserve">Prova: rota gestao.territorio.camadas.index, GeoLayerController@index, tela gestao/territorio/camadas.tsx, permissão manter-territorio; teste tests/Feature/Geo/GeoLayerManagementTest.php::test_index_agrupa_por_tipo_com_vigente_e_historico. DER=10; AR=1.</t>
  </si>
  <si>
    <t xml:space="preserve">Camadas geográficas - importar camada em GeoJSON</t>
  </si>
  <si>
    <t xml:space="preserve">Prova: rota gestao.territorio.camadas.store, GeoLayerController@store, ImportGeoLayerRequest, GeoJsonLayerImporter, tela gestao/territorio/camadas.tsx, permissão manter-territorio; testes tests/Feature/Geo/GeoLayerManagementPostgisTest.php::test_upload_importa_nova_versao_vigente_com_auditoria e GeoLayerManagementTest::test_guarda_de_driver_recusa_importacao_fora_do_postgis. Para demonstrar: banco PostGIS (em outro driver a tela informa que a importação não está disponível). A nova versão passa a vigente e fecha a anterior na mesma operação. Comando geo:importar equivalente não é contado (carga). DER=7; AR=1.</t>
  </si>
  <si>
    <t xml:space="preserve">Motor LOUOS - quadros, versões e rascunhos</t>
  </si>
  <si>
    <t xml:space="preserve">Dados - Versões de regras</t>
  </si>
  <si>
    <t xml:space="preserve">Prova: model RuleVersion (migration create_rule_versions), telas gestao/louos/index.tsx (histórico), gestao/louos/aba-territoriais.tsx e gestao/escritorio-virtual/anexos.tsx; testes tests/Feature/Louos/LouosDraftEndpointsTest.php::test_consultar_louos_lista_historico_de_versoes. Justificativa CPM: cabeçalho de versão compartilhado por Quadros, Regras territoriais, Planilha de tratamento, Anexos A/B e Classificação de risco; existe e é publicado, ativado e substituído por si (ciclo de vida próprio). DER=11; RLR=1. Fronteira: guarda versão, vigência e autoria; o conteúdo de cada domínio fica no ALI do próprio domínio.</t>
  </si>
  <si>
    <t xml:space="preserve">Dados - Quadros da LOUOS (versão vigente e rascunho)</t>
  </si>
  <si>
    <t xml:space="preserve">Prova: models LouosQuadro10Permissao e LouosQuadro11CondicaoVia (tabelas louos_quadro10_permissoes e louos_quadro11_condicoes_via; louos_quadro7_faixas foi apagada pela migration drop_louos_quadro7_faixas_table e não conta); telas gestao/louos/aba-quadros.tsx e rascunho.tsx; testes tests/Feature/Louos/LouosDraftEndpointsTest.php e LouosQuadrosSchemaTest.php. Justificativa CPM: as linhas de permissão por zona e de condição por via não têm significado fora do quadro/versão (RLR). A mesma tabela guarda a versão vigente e o rascunho (muda a versão ligada). DER=10; RLR=2 (permissão do Quadro 10, condição do Quadro 11A). Fronteira: o texto legal dos quadros é carga oficial; a SEDUR altera pela tela.</t>
  </si>
  <si>
    <t xml:space="preserve">Quadro 10 - consultar permissões vigentes e histórico de versões</t>
  </si>
  <si>
    <t xml:space="preserve">Prova: rota gestao.louos.index (GET gestao/louos?aba=quadros&amp;quadro=quadro10), LouosController@index, tela gestao/louos/aba-quadros.tsx, permissão consultar-louos ou consultar-cnaes; testes tests/Feature/Louos/LouosConsultaTest.php::test_analista_consulta_quadros_vigentes e LouosUiTest::test_pagina_de_quadros_renderiza_componente_e_props. Premissa declarada: o seletor de Quadro é um conjunto de cartões-aba com colunas e busca próprias (Quadro 10 por zona x Quadro 11A por classe de via); conta uma consulta por quadro. DER=14; AR=2.</t>
  </si>
  <si>
    <t xml:space="preserve">Quadro 11A - consultar condições vigentes por classe de via e histórico de versões</t>
  </si>
  <si>
    <t xml:space="preserve">Prova: rota gestao.louos.index (GET gestao/louos?aba=quadros&amp;quadro=quadro11a), LouosController@index, tela gestao/louos/aba-quadros.tsx com quadro-columns.tsx; teste LouosDraftEndpointsTest::test_consulta_nao_lista_mais_quadro11 e LouosConsultaTest::test_analista_consulta_quadros_vigentes. Mesma premissa do Quadro 10 (colunas próprias). DER=12; AR=2.</t>
  </si>
  <si>
    <t xml:space="preserve">Versões de regras - reativar versão anterior</t>
  </si>
  <si>
    <t xml:space="preserve">Prova: rotas gestao.louos.versoes.ativar (LouosController@activate, aba-quadros.tsx) e gestao.louos.territoriais.ativar (TerritorialRuleController@activate, aba-territoriais.tsx), ambas com RuleVersionService::activate, permissão manter-louos; teste tests/Feature/Louos/LouosDraftEndpointsTest.php::test_ativar_versao_substituida_torna_vigente (Quadros). Mesma lógica em duas telas conta uma vez. A rota das regras territoriais não tem teste dedicado: ver pendências. DER=4; AR=1.</t>
  </si>
  <si>
    <t xml:space="preserve">Rascunho de quadro - abrir ou retomar rascunho</t>
  </si>
  <si>
    <t xml:space="preserve">Prova: rota gestao.louos.rascunho.abrir (POST gestao/louos/rascunho), LouosDraftController@open, OpenLouosDraftRequest, LouosDraftService::abrirOuRetomar (copia a vigente), tela gestao/louos/rascunho.tsx, permissão manter-louos; teste tests/Feature/Louos/LouosDraftEndpointsTest.php::test_manter_louos_abre_rascunho_e_ve_pagina. DER=4; AR=2.</t>
  </si>
  <si>
    <t xml:space="preserve">Rascunho de quadro - consultar rascunho e diferenças para a vigente</t>
  </si>
  <si>
    <t xml:space="preserve">Prova: rota gestao.louos.rascunho.show (GET), LouosDraftController@show, LouosDraftService::diff, tela gestao/louos/rascunho.tsx, permissão manter-louos; teste LouosDraftEndpointsTest::test_manter_louos_abre_rascunho_e_ve_pagina e LouosDraftServiceTest. Premissa: uma consulta para os dois quadros (mesma tela e mesmo serviço; colunas variam por quadro, DER é a união). DER=16; AR=2.</t>
  </si>
  <si>
    <t xml:space="preserve">Rascunho de quadro - incluir linha</t>
  </si>
  <si>
    <t xml:space="preserve">Prova: rota gestao.louos.rascunho.linhas.store, LouosDraftController@storeLinha, StoreLouosLinhaRequest, tela gestao/louos/rascunho.tsx; teste LouosDraftEndpointsTest::test_store_update_destroy_linha_via_http. Premissa: uma função para os dois quadros (mesma rota e validador, campos por quadro; DER é a união). DER=11; AR=1.</t>
  </si>
  <si>
    <t xml:space="preserve">Rascunho de quadro - alterar linha</t>
  </si>
  <si>
    <t xml:space="preserve">Prova: rota gestao.louos.rascunho.linhas.update, LouosDraftController@updateLinha, tela gestao/louos/rascunho.tsx; teste LouosDraftEndpointsTest::test_store_update_destroy_linha_via_http. Mesma premissa de união dos quadros. DER=12; AR=1.</t>
  </si>
  <si>
    <t xml:space="preserve">Rascunho de quadro - excluir linha</t>
  </si>
  <si>
    <t xml:space="preserve">Prova: rota gestao.louos.rascunho.linhas.destroy, LouosDraftController@destroyLinha, tela gestao/louos/rascunho.tsx; teste LouosDraftEndpointsTest::test_store_update_destroy_linha_via_http. DER=3; AR=1.</t>
  </si>
  <si>
    <t xml:space="preserve">Rascunho de quadro - importar linhas de arquivo CSV</t>
  </si>
  <si>
    <t xml:space="preserve">Prova: rota gestao.louos.rascunho.importar, LouosDraftController@importar, ImportLouosCsvRequest, LouosDraftService::importarCsv, tela gestao/louos/rascunho.tsx; teste LouosDraftEndpointsTest::test_importar_csv_retorna_relatorio_em_flash. DER=6; AR=1.</t>
  </si>
  <si>
    <t xml:space="preserve">Rascunho de quadro - publicar rascunho por quatro olhos</t>
  </si>
  <si>
    <t xml:space="preserve">Prova: rota gestao.louos.rascunho.publicar, LouosDraftController@publish e (mesma lógica, outra tela) gestao.louos.sandbox.publicar de LouosSandboxController@publish, LouosDraftService::publicar, telas gestao/louos/rascunho.tsx e sandbox.tsx, permissão manter-louos; testes LouosDraftEndpointsTest::test_publicar_com_mesmo_autor_retorna_erro, LouosDraftZonaValidationTest, ViaCrudTest::test_publicar_quadro11a_com_via_fora_do_cadastro_e_rejeitado, LouosSandboxTest::test_publicar_exige_quatro_olhos. A publicação valida zonas e classes de via contra os cadastros ativos e fecha a vigente. Mesma função alcançável por duas telas conta uma vez. DER=7; AR=4.</t>
  </si>
  <si>
    <t xml:space="preserve">Rascunho de quadro - descartar rascunho</t>
  </si>
  <si>
    <t xml:space="preserve">Prova: rota gestao.louos.rascunho.descartar (DELETE gestao/louos/rascunho), LouosDraftController@discard, tela gestao/louos/rascunho.tsx; teste LouosDraftServiceTest (descartar) e LouosDraftEndpointsTest. DER=3; AR=2.</t>
  </si>
  <si>
    <t xml:space="preserve">Rascunho de quadro - simular impacto antes de publicar</t>
  </si>
  <si>
    <t xml:space="preserve">Prova: rota gestao.louos.sandbox.simular (POST gestao/louos/simulacao), LouosSandboxController@simulate, SimulateLouosRequest, LouosSandboxSimulationService, tela gestao/louos/sandbox.tsx, permissão manter-louos; testes tests/Feature/Louos/LouosSandboxTest.php::test_gestor_simula_pela_rota_sem_publicar, test_simulacao_reexecuta_o_motor_e_conta_divergencias, test_simulacao_nao_dispara_efeito_colateral. Processo elementar independente: reexecuta o motor sobre cenários e devolve relatório derivado, sem gravar (SE). A listagem dos rascunhos disponíveis na abertura da tela é apoio do formulário e não conta. DER=13; AR=3.</t>
  </si>
  <si>
    <t xml:space="preserve">Zonas urbanísticas e classes de via da LOUOS</t>
  </si>
  <si>
    <t xml:space="preserve">Dados - Zonas urbanísticas</t>
  </si>
  <si>
    <t xml:space="preserve">Prova: model Zona (migration create_zonas_table), tela gestao/louos/zonas.tsx; teste tests/Feature/Louos/ZonaCrudTest.php. Justificativa CPM: cadastro com CRUD próprio mantido pela aplicação. DER=4; RLR=1. Regra de negócio: a publicação do Quadro 10 recusa zona fora do cadastro ou inativa (LouosDraftService::publicar valida contra Zona ativa); sem este cadastro um erro de digitação viraria 'não encontrado' silencioso. Fronteira: zona local de referência da LOUOS; o polígono oficial da zona no mapa vem do AIE GeoServer SEDUR.</t>
  </si>
  <si>
    <t xml:space="preserve">Zonas urbanísticas - consultar zonas</t>
  </si>
  <si>
    <t xml:space="preserve">Prova: rota gestao.louos.zonas.index, ZonaController@index, tela gestao/louos/zonas.tsx, permissão manter-louos; teste ZonaCrudTest::test_lista_exige_permissao. DER=4; AR=1.</t>
  </si>
  <si>
    <t xml:space="preserve">Zonas urbanísticas - incluir zona</t>
  </si>
  <si>
    <t xml:space="preserve">Prova: rota gestao.louos.zonas.store, ZonaController@store, StoreZonaRequest, tela gestao/louos/zonas.tsx; testes ZonaCrudTest::test_cria_zona e test_codigo_duplicado_e_rejeitado. DER=5; AR=1.</t>
  </si>
  <si>
    <t xml:space="preserve">Zonas urbanísticas - alterar zona</t>
  </si>
  <si>
    <t xml:space="preserve">Prova: rota gestao.louos.zonas.update, ZonaController@update, UpdateZonaRequest, tela gestao/louos/zonas.tsx; testes ZonaCrudTest::test_codigo_e_imutavel_na_edicao e test_edicao_sem_o_campo_situacao_nao_reativa_a_zona. DER=5; AR=1. Não existe rota de excluir zona.</t>
  </si>
  <si>
    <t xml:space="preserve">Zonas urbanísticas - ativar ou desativar zona</t>
  </si>
  <si>
    <t xml:space="preserve">Prova: rota gestao.louos.zonas.ativacao.update, ZonaController@toggleActivation, tela gestao/louos/zonas.tsx; teste ZonaCrudTest::test_toggle_desativa_sem_excluir_e_audita. DER=3; AR=1.</t>
  </si>
  <si>
    <t xml:space="preserve">Dados - Classes de via</t>
  </si>
  <si>
    <t xml:space="preserve">Prova: model Via (migration create_vias_table), tela gestao/louos/vias.tsx; teste tests/Feature/Louos/ViaCrudTest.php. Justificativa CPM: cadastro com CRUD próprio. DER=3; RLR=1. Regra de negócio: a publicação do Quadro 11A recusa classe de via fora do cadastro ou inativa (LouosDraftService::publicar valida contra Via ativa; teste ViaCrudTest::test_publicar_quadro11a_com_via_fora_do_cadastro_e_rejeitado). Fronteira: classes de via da LOUOS (Quadro 11A); a classe de cada logradouro vem do AIE GeoServer SEDUR.</t>
  </si>
  <si>
    <t xml:space="preserve">Classes de via - consultar classes</t>
  </si>
  <si>
    <t xml:space="preserve">Prova: rota gestao.louos.vias.index, ViaController@index, tela gestao/louos/vias.tsx, permissão manter-louos; teste ViaCrudTest::test_lista_exige_permissao. DER=3; AR=1.</t>
  </si>
  <si>
    <t xml:space="preserve">Classes de via - incluir classe</t>
  </si>
  <si>
    <t xml:space="preserve">Prova: rota gestao.louos.vias.store, ViaController@store, StoreViaRequest, tela gestao/louos/vias.tsx; testes ViaCrudTest::test_cria_via e test_codigo_duplicado_e_rejeitado. DER=4; AR=1.</t>
  </si>
  <si>
    <t xml:space="preserve">Classes de via - alterar classe</t>
  </si>
  <si>
    <t xml:space="preserve">Prova: rota gestao.louos.vias.update, ViaController@update, UpdateViaRequest, tela gestao/louos/vias.tsx; testes ViaCrudTest::test_codigo_e_imutavel_na_edicao e test_edicao_sem_o_campo_situacao_nao_reativa_a_via. DER=4; AR=1. Não existe rota de excluir.</t>
  </si>
  <si>
    <t xml:space="preserve">Classes de via - ativar ou desativar classe</t>
  </si>
  <si>
    <t xml:space="preserve">Prova: rota gestao.louos.vias.ativacao.update, ViaController@toggleActivation, tela gestao/louos/vias.tsx; teste ViaCrudTest::test_toggle_desativa_sem_excluir_e_audita. DER=3; AR=1.</t>
  </si>
  <si>
    <t xml:space="preserve">Regras territoriais (RT-01 a RT-05)</t>
  </si>
  <si>
    <t xml:space="preserve">Dados - Regras territoriais</t>
  </si>
  <si>
    <t xml:space="preserve">Prova: models TerritorialRule, TerritorialRuleCnae e TerritorialRuleAddress (migrations create_territorial_rules), tela gestao/louos/aba-territoriais.tsx; testes tests/Feature/Louos/TerritorialRuleCrudTest.php e TerritorialRuleSchemaTest.php. Justificativa CPM: o CNAE e o endereço da regra só existem com a regra (editados no mesmo formulário, sem tela própria) e viram RLR. DER=18; RLR=3 (regra territorial, CNAE da regra, endereço da regra). Fronteira: regras vindas por decisão da SEDUR (zona/logradouro/CNAE que forçam análise ou impedem); a versão ligada fica no ALI Versões de regras.</t>
  </si>
  <si>
    <t xml:space="preserve">Regras territoriais - consultar regras e versões</t>
  </si>
  <si>
    <t xml:space="preserve">Prova: rota gestao.louos.index (GET gestao/louos?aba=territoriais), LouosController@index/dadosTerritoriais, tela gestao/louos/aba-territoriais.tsx, permissão consultar-louos; testes TerritorialRuleCrudTest::test_aba_territoriais_lista_as_regras_da_versao_vigente e test_aba_territoriais_exige_consultar_louos. Aba com dados próprios (RT) é função distinta das abas Quadros e Enquadramento. AR=3.</t>
  </si>
  <si>
    <t xml:space="preserve">Regras territoriais - alterar regra no rascunho</t>
  </si>
  <si>
    <t xml:space="preserve">Prova: rota gestao.louos.territoriais.rascunho, TerritorialRuleController@storeDraft, TerritorialRuleEditRequest, TerritorialRuleDraftService::aplicarAlteracao (só edita regra existente; lança DomainException se o código não existe), tela aba-territoriais.tsx; testes TerritorialRuleCrudTest::test_edicao_grava_no_rascunho_sem_tocar_a_vigente e test_validacao_rejeita_cnae_fora_do_formato. Não existe rota de incluir nem de excluir regra. DER=17; AR=3.</t>
  </si>
  <si>
    <t xml:space="preserve">Regras territoriais - publicar versão por quatro olhos</t>
  </si>
  <si>
    <t xml:space="preserve">Prova: rota gestao.louos.territoriais.publicar, TerritorialRuleController@publish, RuleVersionService::publish, aba-territoriais.tsx; testes TerritorialRuleCrudTest::test_autor_nao_publica_o_proprio_rascunho e test_outro_mantenedor_publica_e_a_vigente_anterior_fecha. DER=4; AR=2.</t>
  </si>
  <si>
    <t xml:space="preserve">Regras territoriais - descartar rascunho</t>
  </si>
  <si>
    <t xml:space="preserve">Prova: rota gestao.louos.territoriais.descartar, TerritorialRuleController@destroyDraft, aba-territoriais.tsx; teste TerritorialRuleCrudTest::test_descartar_rascunho_preserva_a_vigente. DER=2; AR=2.</t>
  </si>
  <si>
    <t xml:space="preserve">Enquadramento de tratamento (planilha SEDUR)</t>
  </si>
  <si>
    <t xml:space="preserve">Dados - Enquadramento de tratamento (planilha de tratamento)</t>
  </si>
  <si>
    <t xml:space="preserve">Prova: models TratamentoEnquadramento, TratamentoPergunta, TratamentoRegra, TratamentoRegraRamo, TratamentoCondicionante, TratamentoCnluItem, TratamentoNota, TratamentoPendencia e TratamentoCnaeBinding (migrations create_treatment_tables, create_treatment_regra_ramos_table e add_tratamento_planilha_import_columns); tela gestao/louos/aba-enquadramento.tsx; testes tests/Feature/Tratamento/PlanilhaTratamentoImportTest.php e TratamentoRegrasUiTest.php. Justificativa CPM (teste de independência): os nove grupos são gravados juntos pela importação da planilha, ligados à mesma versão, sem tela própria de manutenção e sem existência fora da versão; são subgrupos (RLR) de um único arquivo lógico. DER=45; RLR=9 (enquadramento por CNAE, pergunta, regra, ramo, condicionante, item CNLU, nota, pendência, vínculo CNAE). Fronteira: a planilha de tratamento é carga oficial da SEDUR; a aplicação importa e publica.</t>
  </si>
  <si>
    <t xml:space="preserve">Enquadramento de tratamento - consultar planilha vigente</t>
  </si>
  <si>
    <t xml:space="preserve">Prova: rota gestao.louos.index (GET gestao/louos?aba=enquadramento; a rota antiga gestao/regras-tratamento só redireciona e não conta), LouosController@dadosEnquadramento, tela gestao/louos/aba-enquadramento.tsx, permissão consultar-cnaes; testes tests/Feature/Tratamento/TratamentoRegrasUiTest.php::test_aba_enquadramento_mostra_planilha_vigente e test_aba_enquadramento_sem_versao_nao_inventa_planilha. As seções (perguntas, regras, ramos, condicionantes, CNLU, notas) são cartões empilhados da mesma tela, não abas: uma consulta. AR=2.</t>
  </si>
  <si>
    <t xml:space="preserve">Enquadramento de tratamento - importar planilha em rascunho</t>
  </si>
  <si>
    <t xml:space="preserve">Prova: rota gestao.louos.enquadramento.importar, TratamentoPlanilhaController@importar, ImportarPlanilhaTratamentoRequest, PlanilhaTratamentoImporter, tela aba-enquadramento.tsx, permissão manter-louos; teste tests/Feature/Tratamento/PlanilhaTratamentoImportTest.php::test_importa_a_planilha_como_rascunho_e_recusa_o_mesmo_arquivo. DER=6; AR=2.</t>
  </si>
  <si>
    <t xml:space="preserve">Enquadramento de tratamento - publicar versão da planilha</t>
  </si>
  <si>
    <t xml:space="preserve">Prova: rota gestao.louos.enquadramento.publicar, TratamentoPlanilhaController@publicar (RuleVersionService::publish com fourEyes=false: o mesmo usuário pode publicar), tela aba-enquadramento.tsx; teste PlanilhaTratamentoImportTest::test_o_mesmo_usuario_publica_o_rascunho. DER=3; AR=2.</t>
  </si>
  <si>
    <t xml:space="preserve">Escritório virtual - anexos A/B do Decreto 35.062/2021</t>
  </si>
  <si>
    <t xml:space="preserve">Dados - Anexos do escritório virtual (listas A/B)</t>
  </si>
  <si>
    <t xml:space="preserve">Prova: model VirtualOfficeActivityCnae (migration create_virtual_office_activity_cnaes), tela gestao/escritorio-virtual/anexos.tsx; teste tests/Feature/EscritorioVirtual/EscritorioVirtualAnexosTest.php. DER=4; RLR=1 (CNAE do anexo). Regra de negócio: SedeAtividadesResolver (CNAE permitido no Anexo A) e AbrigadoResolver decidem se a atividade pode ser sede ou abrigada em escritório virtual; a lista vigente muda só na publicação. Fronteira: listas do decreto mantidas pela SEDUR; a versão fica no ALI Versões de regras.</t>
  </si>
  <si>
    <t xml:space="preserve">Anexos do escritório virtual - consultar versões e diferenças</t>
  </si>
  <si>
    <t xml:space="preserve">Prova: rota gestao.escritorio-virtual.anexos.index, EscritorioVirtualAnexosController@index, tela gestao/escritorio-virtual/anexos.tsx, permissão manter-cnaes; teste EscritorioVirtualAnexosTest::test_preview_mostra_diff_entre_rascunho_e_vigente e test_acesso_exige_permissao_manter_cnaes. DER=20; AR=2.</t>
  </si>
  <si>
    <t xml:space="preserve">Anexos do escritório virtual - importar listas em rascunho</t>
  </si>
  <si>
    <t xml:space="preserve">Prova: rota gestao.escritorio-virtual.anexos.store, EscritorioVirtualAnexosController@store, PublicarAnexosEscritorioVirtualRequest, EscritorioVirtualAnexosService::importarParaRascunho, tela anexos.tsx; testes EscritorioVirtualAnexosTest::test_upload_cria_rascunho_sem_tocar_a_vigente e test_csv_com_cabecalho_invalido_retorna_erro_amigavel_sem_path. DER=7; AR=2.</t>
  </si>
  <si>
    <t xml:space="preserve">Anexos do escritório virtual - publicar versão por quatro olhos</t>
  </si>
  <si>
    <t xml:space="preserve">Prova: rota gestao.escritorio-virtual.anexos.publicar, EscritorioVirtualAnexosController@publicar, EscritorioVirtualAnexosService::publicar, tela anexos.tsx; testes EscritorioVirtualAnexosTest::test_publicacao_exige_quatro_olhos e test_publicar_versao_sem_rascunho_retorna_flash_error. DER=4; AR=2.</t>
  </si>
  <si>
    <t xml:space="preserve">Classificação de risco por CNAE</t>
  </si>
  <si>
    <t xml:space="preserve">Dados - Classificação de risco</t>
  </si>
  <si>
    <t xml:space="preserve">Prova: models RiskClassification, SanitaryRiskClassification e RiskCondicionante (migrations create_risk_classifications, create_risk_sanitary_classifications, create_risk_condicionantes); mantidos pela ficha única do CNAE (CnaeController@store/update, tela gestao/cnaes/editar.tsx; funções do Domínio B) e carregados por RiscoMunicipalImportService/RiscoSanitarioImportService (comandos manuais de carga, não contados); testes tests/Feature/Risco/RiscoClassificationServiceTest.php, RiscoGoldenCaseTest.php e tests/Feature/Cnae/CnaeCrudTest.php. Justificativa CPM: risco municipal, risco sanitário e pergunta condicionante são três grupos de um mesmo arquivo lógico (todos chaveados pelo CNAE e pela versão, editados juntos na ficha do CNAE); RLR=3. DER=15. Fronteira: o Domínio C é dono do arquivo; as funções de consultar, incluir, alterar e excluir a ficha pertencem ao Domínio B e devem citar este ALI em `arquivos`. Nenhuma função do Domínio C grava nele.</t>
  </si>
  <si>
    <t xml:space="preserve">Consulta pública de viabilidade</t>
  </si>
  <si>
    <t xml:space="preserve">Dados - Consultas de viabilidade</t>
  </si>
  <si>
    <t xml:space="preserve">Prova: model ViabilityQuery (migration create_viability_queries), gravado em Portal/ConsultaViabilidadeController::registrarHistorico (somente usuário autenticado), lido em Portal/HistoricoConsultaController; testes tests/Feature/Viabilidade/HistoricoConsultaTest.php::test_consulta_autenticada_grava_snapshot_no_historico e test_consulta_anonima_nao_grava_historico_mas_e_auditada. Justificativa CPM: instantâneo imutável de cada consulta do cidadão logado. DER=11; RLR=1. A gravação é efeito da consulta (não é função separada).</t>
  </si>
  <si>
    <t xml:space="preserve">AIE - Cadastro imobiliário SEDUR (inscrição)</t>
  </si>
  <si>
    <t xml:space="preserve">Prova: AppServiceProvider bind PropertyRegistryLookup -&gt; SedurSefazPropertyRegistryLookup (HTTP real, parametrizado em config-inscricao-imobiliaria; interruptor cadastro_imobiliario; UnavailablePropertyRegistryLookup existe mas NÃO é o binding ativo); testes tests/Feature/Geo/LocalizacaoPelaInscricaoTest.php (HTTP simulado só na suíte). Para demonstrar: ligar o interruptor cadastro_imobiliario e configurar URL e credencial do cadastro. Justificativa CPM: cadastro de IPTU mantido pela SEFAZ/SEDUR, só lido. DER=26; RLR=1 (imóvel do cadastro). Fronteira: dono é o cadastro municipal; o Domínio E também o cita (consulta de inscrição na contingência).</t>
  </si>
  <si>
    <t xml:space="preserve">Consulta de viabilidade - consultar por endereço</t>
  </si>
  <si>
    <t xml:space="preserve">Prova: rota portal.viabilidade.endereco (POST portal/viabilidade/endereco, pública, throttle consulta-viabilidade), ConsultaViabilidadeController@endereco, ConsultaViabilidadeService::consultarPorEndereco, tela portal/viabilidade/consulta.tsx; testes tests/Feature/Viabilidade/ConsultaViabilidadePublicaTest.php::test_consulta_por_endereco_anonima_retorna_resultado_e_e_auditada, test_endereco_fora_de_salvador_nao_consulta_nem_grava_historico, test_endereco_nao_localizado_retorna_mensagem_honesta. Processo elementar independente: o cidadão informa endereço e CNAE e recebe o veredito derivado do motor LOUOS e da classificação de risco (SE). Mesma lógica para gestão e portal conta uma vez (não há rota equivalente na gestão). AR=11.</t>
  </si>
  <si>
    <t xml:space="preserve">Consulta de viabilidade - consultar por CNAE</t>
  </si>
  <si>
    <t xml:space="preserve">Prova: rota portal.viabilidade.cnae (POST portal/viabilidade/cnae, pública), ConsultaViabilidadeController@cnae, ConsultaViabilidadeService::consultarPorCnae, tela portal/viabilidade/consulta.tsx; testes ConsultaViabilidadePublicaTest::test_consulta_por_cnae_devolve_as_perguntas_da_planilha e test_consulta_por_cnae_anonima_roda_risco_e_quadro7. Processo elementar independente: sem local, devolve enquadramento e risco orientativos do CNAE; entrada e FTR distintos da consulta por endereço. AR=6.</t>
  </si>
  <si>
    <t xml:space="preserve">Consulta de viabilidade - consultar por inscrição imobiliária</t>
  </si>
  <si>
    <t xml:space="preserve">Prova: rota portal.viabilidade.inscricao (POST portal/viabilidade/inscricao, pública), ConsultaViabilidadeController@inscricao, ConsultaViabilidadeService::consultarPorInscricao, LocalizacaoInscricaoService, tela portal/viabilidade/consulta.tsx; testes ConsultaViabilidadePublicaTest::test_consulta_por_inscricao_degrada_com_aviso_e_nunca_inventa_ponto e test_inscricao_invalida_e_rejeitada_sem_executar. Processo elementar independente: localiza o lote pelo cadastro e deriva o veredito; sem coordenada, degrada com aviso. AR=11.</t>
  </si>
  <si>
    <t xml:space="preserve">Consulta de viabilidade - consultar histórico das minhas consultas</t>
  </si>
  <si>
    <t xml:space="preserve">Prova: rota portal.viabilidade.historico (GET portal/viabilidade/historico, auth:web), Portal/HistoricoConsultaController, tela portal/viabilidade/historico.tsx (lista e modal Ver resultado); testes tests/Feature/Viabilidade/HistoricoConsultaTest.php::test_historico_lista_so_as_consultas_do_dono e HistoricoConsultaPaginaTest::test_pagina_do_historico_renderiza_consultas_do_dono. Escopo do dono (forUser). DER=22; AR=1.</t>
  </si>
  <si>
    <t xml:space="preserve">Declarações de serviço (renovação)</t>
  </si>
  <si>
    <t xml:space="preserve">Dados - Declarações de serviço</t>
  </si>
  <si>
    <t xml:space="preserve">Prova: models ServiceDeclaration e ServiceDeclarationAcceptance (migrations create_service_declarations_table e create_service_declaration_acceptances_table); aceite gravado em app/Services/Renovacao/RenovacaoProtocoloService::protocolar, texto lido em Portal/RenovacaoController (tela portal/renovacao/wizard.tsx); testes tests/Feature/Renovacao/ServiceDeclarationTest.php e RenovacaoProtocoloServiceTest.php. Justificativa CPM: o aceite não existe sem a declaração e é gravado pelo protocolo da renovação (RLR). DER=9; RLR=2 (declaração, aceite). Os textos chegam por seeder (ServiceDeclarationSeeder) e não têm tela de manutenção: o arquivo só é mantido pela gravação do aceite na renovação (Domínio D), que deve citá-lo em `arquivos`. Fronteira: declarações legais do serviço; sem consulta própria.</t>
  </si>
  <si>
    <t xml:space="preserve">Simulação REGIN de protocolos (homologação do motor)</t>
  </si>
  <si>
    <t xml:space="preserve">Dados - Execuções da simulação REGIN</t>
  </si>
  <si>
    <t xml:space="preserve">Prova: model ReginSimulacaoExecucao (migrations create_regin_simulacao_execucoes_table e add_viability_request_id_...), tela gestao/risco/simulacao-regin.tsx; teste tests/Feature/Risco/ReginProtocoloSimulacaoTest.php. DER=5; RLR=1. Regra de negócio: guarda o resultado de cada protocolo simulado para a SEDUR comparar o veredito do motor com o esperado e refazer sem duplicar o processo (ReginProtocoloSimulacaoService::simular substitui a execução do mesmo código). Gate de homologação: ferramenta de validação do motor com catálogo fixo de protocolos SEDUR; cria processo real marcado como simulação (aviso permanente em tela). Contada porque funciona de ponta a ponta e é usada por analistas/gestores; ver pendências.</t>
  </si>
  <si>
    <t xml:space="preserve">Simulação REGIN - consultar protocolos do catálogo e execuções</t>
  </si>
  <si>
    <t xml:space="preserve">Prova: rota gestao.risco.simulacao-regin (GET), ReginProtocoloSimulacaoController@index, ReginProtocoloSimulacaoService::listar/execucoes/ultima, tela gestao/risco/simulacao-regin.tsx, permissão consultar-cnaes; teste ReginProtocoloSimulacaoTest::test_tela_lista_protocolos_e_simula_o_43747 e test_resultado_persiste_e_reaparece_depois_do_get. O catálogo de protocolos é arquivo fixo do código (não conta como arquivo lógico). DER=20; AR=1.</t>
  </si>
  <si>
    <t xml:space="preserve">Simulação REGIN - simular protocolo no motor</t>
  </si>
  <si>
    <t xml:space="preserve">Prova: rota gestao.risco.simulacao-regin.simular (POST), ReginProtocoloSimulacaoController@simulate, SimularProtocoloReginRequest, ReginProtocoloSimulacaoService::simular (roda o motor real de risco, cria e protocola o processo e decide pelo fluxo expresso), permissão consultar-cnaes; testes ReginProtocoloSimulacaoTest::test_simulacao_baixo_cria_processo_expresso_com_tvl, test_simulacao_alto_encaminha_para_analise_sem_tvl, test_ressimular_nao_duplica_o_processo, test_33072_sem_resposta_da_planilha_nao_roda_e_pede_o_que_falta. Intenção primária: manter dados (execução e processo reais). A integração REGIN em si continua indisponível; só os dados de entrada são simulados e a tela declara isso. DER=15; AR=5 (inclui a solicitação e a empresa criadas e a classificação de risco lida).</t>
  </si>
  <si>
    <t xml:space="preserve">Simulação REGIN - apagar resultado da simulação</t>
  </si>
  <si>
    <t xml:space="preserve">Prova: rota gestao.risco.simulacao-regin.apagar (DELETE), ReginProtocoloSimulacaoController@destroy, ReginProtocoloSimulacaoService::apagar (remove a execução e o processo criado); teste ReginProtocoloSimulacaoTest::test_apagar_remove_o_resultado_para_refazer e test_apagar_remove_o_processo_criado_pela_simulacao. DER=2; AR=2.</t>
  </si>
  <si>
    <t xml:space="preserve">Portal - Empresas do cidadão</t>
  </si>
  <si>
    <t xml:space="preserve">Dados - Empresas</t>
  </si>
  <si>
    <t xml:space="preserve">Prova: model app/Models/Company.php, CompanyUser.php, tabelas companies, company_user e company_cnae; telas portal/empresas/{index,cadastrar,detalhe}.tsx; testes tests/Feature/Companies/CompanyRegistrationTest.php::test_cadastro_cria_empresa_e_vinculo_responsavel_ativo e CompanyFoundationTest.php::test_vinculo_e_cnaes_relacionam. Justificativa CPM: grupo lógico reconhecido pelo usuário (empresa do cidadão), mantido por incluir, alterar, encerrar vínculo e vincular CNAEs. RLR=3: Empresa, Vínculo do usuário com a empresa (papel e datas próprios, encerrado sem exclusão física) e CNAE da empresa (indicador de principal). O vínculo e o CNAE são criados e encerrados pelos processos da empresa e não têm manutenção independente de ciclo de vida, por isso são subgrupos e não ALI. DER=26 (19 da empresa, 5 do vínculo, 2 do CNAE da empresa). Fronteira: o catálogo de CNAEs é Dados - CNAEs (domínio B); aqui só o vínculo empresa-CNAE. A carga REDESIM (comando ImportRedesimCommand/ImportRedesimJob, sem tela nem rota) grava no mesmo arquivo e não é contada como função.</t>
  </si>
  <si>
    <t xml:space="preserve">AIE - Consulta de CNPJ</t>
  </si>
  <si>
    <t xml:space="preserve">Prova: binding real em app/Providers/AppServiceProvider.php (CnpjLookup::class -&gt; SedurCnpjLookup::class), cliente app/Services/Sedur/SedurContatoClient.php (ws-contato da SEDUR, rota pessoajuridica/cnpj); testes tests/Feature/Companies/CnpjLookupTest.php::test_consulta_com_sucesso_retorna_dados_para_o_formulario e tests/Feature/Renovacao/RenovacaoConsultaCnpjTest.php::test_consulta_cnpj_devolve_cadastro_da_sedur_e_a_viabilidade_local. Justificativa CPM: dado cadastral da pessoa jurídica mantido pela SEDUR, só consultado pelo sistema. Não é Receita Federal nem BrasilAPI: BrasilApiCnpjLookup existe no código mas NÃO está ligada no binding. RLR=1; DER=5 (apenas o que a SEDUR devolve; CNAE, porte e natureza jurídica não vêm). Fronteira: a mesma base ws-contato também atende consulta de CPF no atendimento (domínio C); aqui só a consulta de CNPJ usada no cadastro de empresa e na renovação. Interruptor features.cnpj_lookup: para demonstrar, ligar o interruptor e configurar integrations.sedur_contato.base_url.</t>
  </si>
  <si>
    <t xml:space="preserve">Empresas - consultar dados cadastrais por CNPJ</t>
  </si>
  <si>
    <t xml:space="preserve">Prova: rota portal.empresas.consultar-cnpj (POST, throttle cnpj-lookup), CnpjLookupController, LookupCnpjRequest, botão Buscar CNPJ em portal/empresas/cadastrar.tsx; permissão: usuário autenticado do portal; teste tests/Feature/Companies/CnpjLookupTest.php::test_consulta_com_sucesso_retorna_dados_para_o_formulario (e ::test_cnpj_inexistente_responde_404_com_mensagem). Processo elementar independente: o usuário aciona explicitamente a busca e recebe resposta funcional completa (dados da empresa ou aviso de CNPJ não encontrado/serviço indisponível), com saída auditada; não grava o arquivo da empresa. Consulta simples, sem derivação além de reorganizar o retorno. TD=8; AR=1 (AIE - Consulta de CNPJ). Para demonstrar: features.cnpj_lookup ligado.</t>
  </si>
  <si>
    <t xml:space="preserve">Empresas - consultar empresas do cidadão</t>
  </si>
  <si>
    <t xml:space="preserve">Prova: rota portal.empresas.index (GET), CompanyController::index, portal/empresas/index.tsx; só empresas com vínculo do usuário efetivo (ou do representado); testes tests/Feature/Companies/MyCompaniesTest.php::test_lista_somente_empresas_do_usuario e ::test_item_traz_cnae_principal_e_situacao_do_vinculo. Lista paginada e ordenada (paginação e ordenação não contadas). TD=12; AR=1 (Dados - Empresas; vínculo e CNAE são RLR do mesmo arquivo).</t>
  </si>
  <si>
    <t xml:space="preserve">Empresas - incluir empresa</t>
  </si>
  <si>
    <t xml:space="preserve">Prova: rotas portal.empresas.create (GET) e portal.empresas.store (POST), CompanyController::store, StoreCompanyRequest (CNPJ válido, inclusive alfanumérico, e único), portal/empresas/cadastrar.tsx; teste tests/Feature/Companies/CompanyRegistrationTest.php::test_cadastro_cria_empresa_e_vinculo_responsavel_ativo (também ::test_cnpj_duplicado_e_bloqueado_com_mensagem_clara). Cria a empresa e o vínculo de responsável ativo na mesma transação, em nome do usuário efetivo; a tela de cadastro (create) é o formulário do mesmo processo. TD=18; AR=1 (Dados - Empresas, com o vínculo como RLR).</t>
  </si>
  <si>
    <t xml:space="preserve">Empresas - consultar detalhe da empresa</t>
  </si>
  <si>
    <t xml:space="preserve">Prova: rota portal.empresas.show (GET), CompanyController::show, policy view (vínculo ativo ou encerrado), portal/empresas/detalhe.tsx; teste tests/Feature/Companies/CompanyUpdateTest.php::test_vinculado_ativo_ve_o_detalhe (::test_nao_vinculado_nao_ve_detalhe_e_evento_e_auditado). Tela única sem abas: dados cadastrais, CNAEs e vínculos aparecem juntos. TD=30; AR=2 (Dados - Empresas; Dados - Usuário para o nome do vínculo).</t>
  </si>
  <si>
    <t xml:space="preserve">Empresas - alterar dados da empresa</t>
  </si>
  <si>
    <t xml:space="preserve">Prova: rota portal.empresas.update (PUT), CompanyController::update, UpdateCompanyRequest (CNPJ imutável, não validado), policy update (vínculo ativo), formulário do detalhe; teste tests/Feature/Companies/CompanyUpdateTest.php::test_vinculado_ativo_atualiza_dados_complementares (::test_cnpj_e_imutavel). TD=17; AR=1 (Dados - Empresas).</t>
  </si>
  <si>
    <t xml:space="preserve">Empresas - encerrar vínculo com a empresa</t>
  </si>
  <si>
    <t xml:space="preserve">Prova: rota portal.empresas.vinculo.destroy (DELETE), CompanyLinkController::destroy, EndCompanyLinkRequest (barra o último responsável ativo), policy endLink; teste tests/Feature/Companies/EndCompanyLinkTest.php::test_usuario_encerra_o_proprio_vinculo_com_motivo (::test_ultimo_responsavel_ativo_e_bloqueado). Não há exclusão física: o vínculo recebe data e motivo de encerramento. Não existe ação de excluir empresa, então nenhuma função de excluir é contada. TD=5; AR=1 (Dados - Empresas).</t>
  </si>
  <si>
    <t xml:space="preserve">Empresas - definir CNAE principal</t>
  </si>
  <si>
    <t xml:space="preserve">Prova: rota portal.empresas.cnae-principal (PUT), CompanyCnaeController::updatePrimary, CompanyCnaeService::setPrimary (transação e auditoria antes/depois), UpdatePrimaryCnaeRequest (CNAE ativo), policy manageCnaes; teste tests/Feature/Companies/PrimaryCnaeTest.php::test_endpoint_define_principal (::test_troca_de_principal_demove_o_antigo). A busca de CNAE do seletor (portal.cnaes.search) é apoio de picker e não é contada. TD=5; AR=2 (Dados - Empresas; Dados - CNAEs para validar CNAE ativo).</t>
  </si>
  <si>
    <t xml:space="preserve">Empresas - alterar CNAEs secundários</t>
  </si>
  <si>
    <t xml:space="preserve">Prova: rota portal.empresas.cnaes-secundarios (PUT), CompanyCnaeController::updateSecondaries, CompanyCnaeService::syncSecondaries, UpdateSecondaryCnaesRequest (ativos, sem duplicados, sem repetir o principal), policy manageCnaes; teste tests/Feature/Companies/SecondaryCnaesTest.php::test_endpoint_sincroniza_secundarios (::test_secundario_igual_ao_principal_e_rejeitado). Substitui o conjunto exato de secundários (incluir e excluir secundários em um só processo, sem ações separadas). TD=5; AR=2 (Dados - Empresas; Dados - CNAEs).</t>
  </si>
  <si>
    <t xml:space="preserve">Portal - Painel do cidadão</t>
  </si>
  <si>
    <t xml:space="preserve">Painel do cidadão - consultar painel</t>
  </si>
  <si>
    <t xml:space="preserve">Prova: rota portal.dashboard (GET), DashboardController, PainelCidadaoService::build, portal/dashboard.tsx; testes tests/Feature/Portal/PainelCidadaoTest.php::test_painel_exibe_indicadores_reais e ::test_painel_atencao_traz_pendencias_abertas_e_rascunhos_do_efetivo (::test_painel_em_representacao_mostra_do_representado_sem_vazar). Justificativa CPM: saída com derivação (totais por situação agregados) combinada com listas de ação necessária (pendências abertas e rascunhos) e solicitações recentes; o escopo é do usuário efetivo (representado quando em nome de). TD=12; AR=3 (Dados - Solicitações de viabilidade; Dados - Pendências da análise; Dados - Empresas para razão social e CNPJ).</t>
  </si>
  <si>
    <t xml:space="preserve">Portal - Renovação de viabilidade provisória</t>
  </si>
  <si>
    <t xml:space="preserve">Renovação - consultar viabilidades renováveis</t>
  </si>
  <si>
    <t xml:space="preserve">Prova: rota portal.renovacao.index (GET), RenovacaoController::index, RenovacaoElegibilidadeService::avaliar, portal/renovacao/index.tsx; teste tests/Feature/Renovacao/RenovacaoPortalTest.php::test_lista_so_os_tvls_das_empresas_do_cidadao (e RenovacaoElegibilidadeTest.php). Justificativa CPM: SE porque cada linha traz o resultado derivado da regra de elegibilidade (definitiva não renova, renovada há menos de N meses, processo de renovação em aberto; intervalo em Dados - Parâmetros do sistema, chave renovacao.intervalo_meses). TVL de origem SIGS não entra. TD=7; AR=3 (Dados - Solicitações de viabilidade; Dados - Decisões de viabilidade; Dados - Empresas).</t>
  </si>
  <si>
    <t xml:space="preserve">Renovação - consultar CNPJ e viabilidades renováveis</t>
  </si>
  <si>
    <t xml:space="preserve">Prova: rota portal.renovacao.consultar-cnpj (POST), RenovacaoController::consultarCnpj; teste tests/Feature/Renovacao/RenovacaoConsultaCnpjTest.php::test_consulta_cnpj_devolve_cadastro_da_sedur_e_a_viabilidade_local. Processo elementar independente: lógica e dados distintos da consulta de empresas (devolve, além do cadastro da SEDUR, as viabilidades locais do CNPJ com o resultado da elegibilidade) e usa a mesma consulta cadastral, por isso a mesma AIE. TD=10; AR=4 (AIE - Consulta de CNPJ; Dados - Empresas; Dados - Solicitações de viabilidade; Dados - Decisões de viabilidade).</t>
  </si>
  <si>
    <t xml:space="preserve">Renovação - consultar viabilidade a renovar</t>
  </si>
  <si>
    <t xml:space="preserve">Prova: rota portal.renovacao.show (GET), RenovacaoController::show, portal/renovacao/wizard.tsx; teste tests/Feature/Renovacao/RenovacaoPortalTest.php::test_wizard_de_tvl_elegivel_traz_declaracoes (::test_wizard_de_tvl_inelegivel_volta_com_motivo, ::test_cidadao_nao_renova_tvl_de_outra_empresa). Tela única do passo de renovação: endereço e atividades vêm da origem e não são editáveis. TD=12; AR=4 (Dados - Solicitações de viabilidade; Dados - Decisões de viabilidade; Dados - Declarações de serviço; Dados - Empresas).</t>
  </si>
  <si>
    <t xml:space="preserve">Renovação - protocolar renovação</t>
  </si>
  <si>
    <t xml:space="preserve">Prova: rota portal.renovacao.store (POST), RenovacaoController::store, ProtocolarRenovacaoRequest, RenovacaoProtocoloService::protocolar (copia endereço e atividades da origem, grava aceite das declarações, gera número, transiciona para protocolada e em análise semi-expressa); testes tests/Feature/Renovacao/RenovacaoPortalTest.php::test_protocolar_renovacao_pelo_portal e RenovacaoProtocoloServiceTest.php::test_protocolar_cria_renovacao_semi_expressa_sem_alterar_endereco. O contato informado atualiza e-mail e telefone da empresa. TD=8; AR=4 (Dados - Solicitações de viabilidade; Dados - Empresas; Dados - Declarações de serviço; Dados - Decisões de viabilidade).</t>
  </si>
  <si>
    <t xml:space="preserve">Portal - Solicitações de viabilidade</t>
  </si>
  <si>
    <t xml:space="preserve">Dados - Solicitações de viabilidade</t>
  </si>
  <si>
    <t xml:space="preserve">Prova: model app/Models/ViabilityRequest.php, ViabilityRequestDocument.php, ViabilityRequestTransition.php, ViabilityRequestEtapa.php, tabelas viability_requests (e migrations de colunas posteriores), viability_request_documents, viability_request_transitions, viability_request_etapas e viability_request_cnaes; telas portal/solicitacoes/*.tsx; testes tests/Feature/Solicitacao/SolicitacaoSchemaTest.php e CriarSolicitacaoTest.php::test_cidadao_cria_rascunho. Justificativa CPM: grupo lógico central do licenciamento, mantido pelo portal (rascunho, imóvel, atividades, documentos, simulação, protocolo, cancelamento) e pela retaguarda (análise, atribuição, decisão sobre o mesmo registro). RLR=5: Solicitação; Documento anexado; Transição de situação (timeline gravada pela máquina de estados); Etapa do processamento (resultado das etapas do motor que dependem de terceiros, sem tela de manutenção); CNAE da solicitação (principal, complementar e intenção). Nenhum dos subgrupos tem manutenção própria independente do pai: documentos são anexados e removidos dentro da solicitação, transições e etapas são gravadas pelos processos e CNAEs são definidos no passo de atividades. DER=86. Fronteira: decisão, ficha de análise, pendência, vistoria e malha fina são arquivos próprios do domínio E e não entram aqui; as colunas de análise (setor, analista, prazo, etapa) vivem no próprio registro da solicitação e são lidas pelo portal e gravadas pela retaguarda. TVL e decisão: Dados - Decisões de viabilidade.</t>
  </si>
  <si>
    <t xml:space="preserve">Solicitações - iniciar rascunho de solicitação</t>
  </si>
  <si>
    <t xml:space="preserve">Prova: rotas portal.solicitacoes.create (GET, primeiro passo do wizard) e portal.solicitacoes.store (POST), SolicitacaoController::create/store, StoreSolicitacaoRequest (tipo de serviço ativo), DuplicateRequestDetector (alerta RN-007 que não bloqueia), portal/solicitacoes/wizard.tsx; testes tests/Feature/Solicitacao/CriarSolicitacaoTest.php::test_cidadao_cria_rascunho e ::test_alerta_de_duplicidade_nao_bloqueia (::test_em_nome_de_cria_para_o_representado). Cria o rascunho em nome do usuário efetivo, com o ator real em criado por. A tela de abertura do wizard (create) só oferece tipos ativos e empresas do dono e é o formulário deste processo, sem função separada. Para demonstrar: features.solicitacao_viabilidade ligado. TD=6; AR=3 (Dados - Solicitações de viabilidade; Dados - Tipos de serviço da solicitação; Dados - Empresas).</t>
  </si>
  <si>
    <t xml:space="preserve">Solicitações - consultar minhas solicitações</t>
  </si>
  <si>
    <t xml:space="preserve">Prova: rota portal.solicitacoes.index (GET), SolicitacaoController::index, SolicitacaoResumoResource, portal/solicitacoes/index.tsx; testes tests/Feature/Solicitacao/CriarSolicitacaoTest.php::test_minhas_solicitacoes_lista_somente_do_dono e SolicitacaoWizardPaginaTest.php::test_index_renderiza_minhas_solicitacoes (::test_index_marca_rascunho_como_cancelavel). O indicador de cancelamento lê o parâmetro solicitacao.cancelamento.estados_cancelaveis. TD=11; AR=4 (Dados - Solicitações de viabilidade; Dados - Empresas; Dados - Tipos de serviço da solicitação; Dados - Parâmetros do sistema).</t>
  </si>
  <si>
    <t xml:space="preserve">Solicitações - consultar rascunho para continuar o preenchimento</t>
  </si>
  <si>
    <t xml:space="preserve">Prova: rota portal.solicitacoes.edit (GET), SolicitacaoController::edit/wizardDraftPayload, policy update (dono em rascunho), portal/solicitacoes/wizard.tsx; testes tests/Feature/Solicitacao/SolicitacaoWizardPaginaTest.php::test_editar_renderiza_o_wizard_do_rascunho_do_dono (::test_editar_bloqueia_terceiro, ::test_editar_bloqueia_quando_protocolada). Reidrata todos os passos do wizard (imóvel, atividades, documentos, simulação, revisão) com o que foi gravado. Os passos gravam por processos próprios (contados abaixo); a leitura do conjunto é uma consulta. O resumo sugerido pela IA é leitura do ledger de sugestões; sua geração pertence ao domínio F. TD=35; AR=6 (Dados - Solicitações de viabilidade; Dados - Requisitos documentais; Dados - CNAEs; Dados - Empresas; Dados - Tipos de serviço da solicitação; Dados - Parâmetros do sistema).</t>
  </si>
  <si>
    <t xml:space="preserve">Solicitações - informar imóvel e área</t>
  </si>
  <si>
    <t xml:space="preserve">Prova: rota portal.solicitacoes.imovel (PUT), SolicitacaoImovelController::update, UpdateSolicitacaoImovelRequest, TerritoryService::identify, PropertyGeometryWriter, TerritorioProcessoService::materializar; testes tests/Feature/Solicitacao/InformarImovelTest.php::test_dono_informa_imovel e ::test_area_divergente_alerta_sem_bloquear (::test_mudanca_de_imovel_zera_simulacao). Passo do wizard com campos e regra próprios (polígono, território, alerta de área contra a tolerância solicitacao.area_poligono.tolerancia_percentual): processo distinto dos demais passos. Invalida a simulação anterior. TD=21; AR=4 (Dados - Solicitações de viabilidade; Dados - Camadas geográficas; Dados - Parâmetros do sistema; AIE - GeoServer SEDUR (zonas, lotes, vias) para a zona quando a camada local está bloqueada).</t>
  </si>
  <si>
    <t xml:space="preserve">Solicitações - informar atividades</t>
  </si>
  <si>
    <t xml:space="preserve">Prova: rota portal.solicitacoes.atividades (PUT), SolicitacaoAtividadeController::update, UpdateSolicitacaoAtividadesRequest (CNAE ativo, sem duplicados, limite solicitacao.cnaes_complementares.max), policy update; testes tests/Feature/Solicitacao/InformarAtividadesTest.php::test_define_principal_e_complementares e ::test_respeita_limite_parametrizavel (::test_mudanca_zera_simulacao). Passo do wizard com campos próprios: grava o conjunto exato de CNAEs com a intenção por atividade (só na alteração de atividade) e invalida a simulação. TD=7; AR=3 (Dados - Solicitações de viabilidade; Dados - CNAEs; Dados - Parâmetros do sistema).</t>
  </si>
  <si>
    <t xml:space="preserve">Solicitações - anexar documento</t>
  </si>
  <si>
    <t xml:space="preserve">Prova: rota portal.solicitacoes.documentos.store (POST), SolicitacaoDocumentoController::store, StoreSolicitacaoDocumentoRequest (tipos e tamanho máximo solicitacao.anexos.max_mb), disco parametrizado storage.documentos.disk (nunca público); testes tests/Feature/Solicitacao/AnexarDocumentoTest.php::test_anexa_documento (::test_rejeita_mime_nao_permitido, ::test_substituir_e_remover_antes_do_protocolo). A substituição do anexo do mesmo requisito é parte do mesmo processo (remove o anterior e grava o novo). TD=9; AR=3 (Dados - Solicitações de viabilidade, subgrupo Documento anexado; Dados - Requisitos documentais; Dados - Parâmetros do sistema).</t>
  </si>
  <si>
    <t xml:space="preserve">Solicitações - baixar documento anexado</t>
  </si>
  <si>
    <t xml:space="preserve">Prova: rota portal.solicitacoes.documentos.download (GET), SolicitacaoDocumentoController::download (streaming autenticado, anti-IDOR, auditado); teste tests/Feature/Solicitacao/AnexarDocumentoTest.php::test_download_so_autenticado_e_dono. Processo elementar independente: o usuário aciona o download como objetivo próprio e recebe o arquivo gravado. TD=4; AR=1 (Dados - Solicitações de viabilidade, subgrupo Documento anexado).</t>
  </si>
  <si>
    <t xml:space="preserve">Solicitações - excluir documento anexado</t>
  </si>
  <si>
    <t xml:space="preserve">Prova: rota portal.solicitacoes.documentos.destroy (DELETE), SolicitacaoDocumentoController::destroy (só dono, só rascunho, remove o arquivo do disco e o registro); teste tests/Feature/Solicitacao/AnexarDocumentoTest.php::test_substituir_e_remover_antes_do_protocolo. TD=6; AR=1 (Dados - Solicitações de viabilidade, subgrupo Documento anexado).</t>
  </si>
  <si>
    <t xml:space="preserve">Solicitações - simular viabilidade antes de protocolar</t>
  </si>
  <si>
    <t xml:space="preserve">Prova: rota portal.solicitacoes.simular (POST), SolicitacaoSimulacaoController::store, SimulacaoSolicitacaoService::simulate, SolicitacaoViabilityResolver (usa o motor real da LOUOS); testes tests/Feature/Solicitacao/SimulacaoSolicitacaoTest.php::test_simula_por_cnae_propagando_veredito e ::test_persiste_snapshot_e_simulated_at (::test_simulacao_nao_bloqueia_o_fluxo). Justificativa CPM: SE porque executa o motor de regras por CNAE, deriva a tendência e o resultado consolidado e apresenta ao usuário; grava o snapshot na solicitação como efeito secundário. Resultado orientativo, não bloqueia o protocolo. Para demonstrar: features.simulacao_solicitacao ligado. TD=7; AR=7 (Dados - Solicitações de viabilidade; Dados - CNAEs; Dados - Zonas urbanísticas; Dados - Quadros da LOUOS; Dados - Regras territoriais; Dados - Enquadramento de tratamento; Dados - Classificação de risco).</t>
  </si>
  <si>
    <t xml:space="preserve">Solicitações - protocolar solicitação</t>
  </si>
  <si>
    <t xml:space="preserve">Prova: rota portal.solicitacoes.protocolar (POST), ProtocoloController::store, ProtocolarSolicitacaoService::protocol (número único com trava, transição rascunho para protocolada com timeline, completa o território pela inscrição e geometria do lote), policy protocol; testes tests/Feature/Solicitacao/ProtocolarSolicitacaoTest.php::test_protocola_gera_numero_unico, ::test_bloqueia_sem_documento_obrigatorio e ::test_bloqueia_sem_dados_minimos. A validação dos documentos obrigatórios e dos dados mínimos é parte deste processo (não é função separada). O território e as etapas do motor gravam em subgrupos da solicitação. TD=8; AR=4 (Dados - Solicitações de viabilidade; Dados - Requisitos documentais; AIE - Cadastro imobiliário SEDUR (inscrição); AIE - GeoServer SEDUR (zonas, lotes, vias)).</t>
  </si>
  <si>
    <t xml:space="preserve">Solicitações - cancelar solicitação</t>
  </si>
  <si>
    <t xml:space="preserve">Prova: rota portal.solicitacoes.cancelar (DELETE), CancelamentoSolicitacaoController::destroy, CancelarSolicitacaoService::cancel, CancelarSolicitacaoRequest, policy cancel, estados canceláveis em solicitacao.cancelamento.estados_cancelaveis; testes tests/Feature/Solicitacao/CancelarSolicitacaoTest.php::test_cancela_rascunho e ::test_bloqueia_fora_dos_estados_cancelaveis. TD=6; AR=2 (Dados - Solicitações de viabilidade; Dados - Parâmetros do sistema).</t>
  </si>
  <si>
    <t xml:space="preserve">Solicitações - acompanhar protocolo</t>
  </si>
  <si>
    <t xml:space="preserve">Prova: rota portal.solicitacoes.show (GET), ConsultaProtocoloController::show, TimelineSolicitacao::build, ParecerDecisao, URL temporária assinada, ExplicacaoCidadaoService (prop adiada), portal/solicitacoes/protocolo.tsx; testes tests/Feature/Solicitacao/ConsultarProtocoloTest.php::test_dono_consulta_protocolo, ::test_timeline_reflete_as_transicoes_reais_em_linguagem_simples e ::test_prazo_estimado_parametrizado_com_ressalva. Justificativa CPM: SE porque deriva o prazo estimado (parâmetro solicitacao.prazo_estimado_dias, com ressalva), as pendências a partir da situação e gera o link público assinado com validade parametrizável. Tela única, sem abas. A consulta é auditada. A geração da explicação pela IA pertence ao domínio F; aqui só a leitura exibida. TD=26; AR=5 (Dados - Solicitações de viabilidade, com transições e CNAEs; Dados - Empresas; Dados - Decisões de viabilidade; Dados - Parâmetros do sistema; Dados - Sugestões de IA). Ajuste de consolidação: Arquivo "Dados - Sugestões de IA" retirado do AR: IA bloqueada (retirado). Campo de explicação por IA retirado do DER (IA bloqueada). Recontado: TD=25; AR=4.</t>
  </si>
  <si>
    <t xml:space="preserve">Solicitações - emitir comprovante de protocolo</t>
  </si>
  <si>
    <t xml:space="preserve">Prova: rota portal.solicitacoes.comprovante (GET), ComprovanteProtocoloController::show, ComprovanteProtocoloService::generate (PDF com código de verificação HMAC, só solicitação protocolada, emissão auditada); testes tests/Feature/Solicitacao/ComprovanteProtocoloTest.php::test_dono_baixa_comprovante_pdf_da_solicitacao_protocolada e ::test_codigo_de_verificacao_e_deterministico_e_vinculado_ao_protocolo. Processo elementar independente: o usuário aciona a emissão como objetivo próprio e recebe documento formal com dado derivado (código de verificação), nada é armazenado. TD=14; AR=2 (Dados - Solicitações de viabilidade; Dados - Empresas).</t>
  </si>
  <si>
    <t xml:space="preserve">Solicitações - acompanhar protocolo por link público</t>
  </si>
  <si>
    <t xml:space="preserve">Prova: rota portal.protocolo.publico (GET, middleware signed e throttle consulta-protocolo, sem login), ConsultaProtocoloPublicaController::show, portal/solicitacoes/protocolo-publico.tsx; testes tests/Feature/Solicitacao/ConsultarProtocoloPublicoTest.php::test_link_assinado_abre_sem_login, ::test_nao_expoe_dados_sensiveis e ::test_link_invalido_ou_expirado_bloqueia. Visão distinta da consulta autenticada (público, sem empresa, CNPJ, endereço, anexos ou motivos, LGPD), com DER e finalidade próprios. Acesso auditado sem usuário e com IP. TD=8; AR=2 (Dados - Solicitações de viabilidade; Dados - Parâmetros do sistema para o prazo estimado).</t>
  </si>
  <si>
    <t xml:space="preserve">Portal - Pendências e comunicações do processo</t>
  </si>
  <si>
    <t xml:space="preserve">Pendências - consultar pendências abertas da solicitação</t>
  </si>
  <si>
    <t xml:space="preserve">Prova: rota portal.solicitacoes.pendencias (GET), PendenciaRespostaController::show, policy view (dono ou representado, 403 auditado para terceiro), portal/solicitacoes/pendencias.tsx; testes tests/Feature/Analise/PendenciaRespostaPortalTest.php::test_show_lista_a_pendencia_aberta e ::test_terceiro_nao_ve_a_pagina_de_pendencias. TD=6; AR=2 (Dados - Solicitações de viabilidade; Dados - Pendências da análise).</t>
  </si>
  <si>
    <t xml:space="preserve">Pendências - responder pendência</t>
  </si>
  <si>
    <t xml:space="preserve">Prova: rota portal.solicitacoes.pendencias.responder (POST), PendenciaRespostaController::responder, ResponderPendenciaRequest, PendenciaService::responder (reabre a análise de em pendência para em análise e audita; anti-IDOR entre pendência e solicitação); testes tests/Feature/Analise/PendenciaRespostaPortalTest.php::test_dono_responde_e_reabre_a_analise (::test_pendencia_ja_respondida_vira_aviso, ::test_resposta_e_obrigatoria). TD=7; AR=2 (Dados - Pendências da análise; Dados - Solicitações de viabilidade).</t>
  </si>
  <si>
    <t xml:space="preserve">Comunicações do processo - consultar histórico de comunicações</t>
  </si>
  <si>
    <t xml:space="preserve">Prova: rotas portal.solicitacoes.comunicacoes (GET, portal) e gestão do mesmo histórico, ComunicacaoHistoricoController::portal e ::gestao (um único renderizador), CommunicationResource, portal/solicitacoes/comunicacoes.tsx e gestao/processos/comunicacoes.tsx; testes tests/Feature/Comunicacao/ComunicacaoHistoricoTest.php::test_portal_dono_lista_historico_e_audita e ::test_error_message_visivel_na_gestao_e_oculto_no_portal_lgpd. Mesma função em portal e gestão: contada uma vez aqui (o portal omite o diagnóstico interno por LGPD, a gestão o exibe). O domínio E não deve contar de novo. Lê todos os canais (e-mail, notificação in-app, WhatsApp) pelo mesmo registro. Consulta auditada. TD=12; AR=2 (Dados - Comunicações do processo; Dados - Solicitações de viabilidade).</t>
  </si>
  <si>
    <t xml:space="preserve">Contingência - registro de solicitação pelo operador</t>
  </si>
  <si>
    <t xml:space="preserve">Contingência - registrar solicitação em contingência</t>
  </si>
  <si>
    <t xml:space="preserve">Prova: rotas gestao.contingencia.create/store (permissão registrar-contingencia), ContingenciaController::store, RegistrarContingenciaRequest, tela resources/js/pages/gestao/contingencia/create.tsx; serviços ProtocolarSolicitacaoService, FluxoExpressoService, DuplicateRequestDetector; teste tests/Feature/Solicitacao/ContingenciaTest.php::test_registra_em_contingencia_segue_fluxo_padrao (também ::test_vinculo_externo_nao_duplica, ::test_mesmo_motor_bloqueio_documental_se_aplica). Processo elementar independente: o operador registra, protocola pelo mesmo motor do canal normal e recebe o número do protocolo; a abertura da tela (create) não conta. A decisão do fluxo expresso disparada ao final é consequência do protocolo (lê/grava Decisões de viabilidade). DER=24 (entradas validadas + protocolo + alerta + mensagem); AR=8 (Solicitações grava; Empresas, Usuário, Tipos de serviço, CNAEs, Requisitos documentais e Tipos de imóvel lidos; Decisões gravada pelo motor) =&gt; EE complexidade Alta.</t>
  </si>
  <si>
    <t xml:space="preserve">Resultados do fluxo expresso - decisões e quedas</t>
  </si>
  <si>
    <t xml:space="preserve">Dados - Decisões de viabilidade</t>
  </si>
  <si>
    <t xml:space="preserve">Prova: model app/Models/ViabilityDecision.php, migration 2026_06_14_163233_create_viability_decisions_table.php; gravada por FluxoExpressoService, AnaliseTecnicaDecisionService e ConclusaoAnaliseService; lida pelas telas gestao/resultados-expresso e gestao/processos/show; teste tests/Feature/Expresso/ViabilityDecisionTest.php. Justificativa CPM: decisão imutável (append-only) com ciclo de vida próprio, mantida pela aplicação dentro da fronteira; a decisão por CNAE é grupo repetitivo gravado no mesmo registro (RLR). Fronteira: o que a solicitação guarda em Solicitações de viabilidade (status, dados do imóvel) é outro ALI; aqui só o veredito. DER=17; RLR=2 =&gt; Baixa.</t>
  </si>
  <si>
    <t xml:space="preserve">Dados - Quedas do fluxo expresso</t>
  </si>
  <si>
    <t xml:space="preserve">Prova: model app/Models/ExpressoQueda.php, migration 2026_06_15_000004_create_expresso_quedas_table.php; gravada por FluxoExpressoService (linhas ~599 e ~614) quando o processo cai do expresso para a análise; lida por ExpressoQuedaService (relatório de quedas, domínio F) e pela ficha de análise (AnalysisRecordController::show carrega expressoQuedas); testes tests/Feature/Relatorios/ExpressoQuedaCapturaTest.php e ExpressoQuedaServiceTest.php. Justificativa CPM: registro mantido pela aplicação, independente da solicitação (várias quedas por processo). DER=6; RLR=1 =&gt; Baixa.</t>
  </si>
  <si>
    <t xml:space="preserve">Resultados do fluxo expresso - consultar resultados do fluxo expresso</t>
  </si>
  <si>
    <t xml:space="preserve">Prova: rota gestao.resultados-expresso.index (permissão consultar-solicitacoes), ResultadoExpressoController::index, tela gestao/resultados-expresso/index.tsx; teste tests/Feature/Expresso/ResultadoExpressoConsoleTest.php::test_com_permissao_lista_apenas_decididas e ::test_filtro_por_resultado_funciona. Consulta com recuperação de dados sem cálculo relevante. DER=12 (4 filtros + 8 colunas); AR=3.</t>
  </si>
  <si>
    <t xml:space="preserve">Resultados do fluxo expresso - consultar detalhe do resultado</t>
  </si>
  <si>
    <t xml:space="preserve">Prova: rota gestao.resultados-expresso.show, ResultadoExpressoController::show, ViabilityDecisionResource, tela gestao/resultados-expresso/show.tsx; teste tests/Feature/Expresso/ResultadoExpressoConsoleTest.php::test_show_de_deferida_retorna_detalhe_com_tvl e ::test_show_exibe_transmissao_regin_sefaz_como_pendente_da_auditoria. A situação da transmissão é lida da trilha de integrações (Trilha de auditoria). A tela mostra também o canal SEFAZ (sempre 'pendente - canal bloqueado'): não entra no DER por ser integração bloqueada. A explicação passo a passo embutida na tela é a mesma função 'Processos - consultar explicação da decisão' (contada uma vez, no grupo de Processos). DER=20; AR=4.</t>
  </si>
  <si>
    <t xml:space="preserve">Processos - consulta, acompanhamento e envio à análise</t>
  </si>
  <si>
    <t xml:space="preserve">Dados - Comunicações do processo</t>
  </si>
  <si>
    <t xml:space="preserve">Prova: model app/Models/Communication.php, migration 2026_06_15_035133_create_communications_table.php; gravada por NotificationDispatcher (app/Services/Comunicacao) a cada notificação do processo; lida por ComunicacaoHistoricoController (gestão e portal) e relatório de falhas; teste tests/Feature/Comunicacao/CommunicationModelTest.php e ComunicacaoHistoricoTest.php. Justificativa CPM: razão de livro de comunicações com ciclo de vida próprio (fila, envio, falha), mantido pela aplicação. A tabela notifications do framework NÃO entra aqui (é o ALI de Notificações in-app do domínio A). DER=12; RLR=1 =&gt; Baixa.</t>
  </si>
  <si>
    <t xml:space="preserve">Processos - consultar processos</t>
  </si>
  <si>
    <t xml:space="preserve">Prova: rota gestao.processos.index (permissão consultar-solicitacoes), ProcessoController::index + ProcessoQueryService, tela gestao/processos/index.tsx; testes tests/Feature/Analise/ProcessoConsultaTest.php::test_com_permissao_lista_processos_e_renderiza_a_pagina, ::test_filtra_por_status, ::test_filtra_por_cnpj_da_empresa. O botão 'Exportar CSV' (parâmetro formato) é a mesma consulta no mesmo conjunto filtrado e não é contado à parte (ver pendências). O botão 'encaminhar à malha fina' da tela é a função 'Malha fina - encaminhar processos à malha fina'. DER=26 (20 filtros + 5 colunas + total por situação); AR=5.</t>
  </si>
  <si>
    <t xml:space="preserve">Processos - consultar caixa de entrada do analista</t>
  </si>
  <si>
    <t xml:space="preserve">Prova: rota gestao.processos.fila, ProcessoController::fila, tela gestao/processos/fila.tsx; teste tests/Feature/Analise/ProcessoFilaTest.php::test_fila_meus_lista_apenas_do_analista_ordenada_por_prazo, ::test_cada_item_traz_o_semaforo_on_the_fly e ::test_gestor_ve_visao_agregada_do_setor. A consulta calcula o semáforo de SLA na hora; mantida como CE por ser exibição de dados já derivados sem gravação. DER=22; AR=4.</t>
  </si>
  <si>
    <t xml:space="preserve">Processos - consultar detalhe do processo</t>
  </si>
  <si>
    <t xml:space="preserve">Prova: rota gestao.processos.show, ProcessoController::show + ProcessoResource, tela gestao/processos/show.tsx (aba Informações); teste tests/Feature/Analise/ProcessoConsultaTest.php::test_show_detalha_o_processo e tests/Feature/Analise/ProcessoUiSmokeTest.php::test_detalhe_renderiza_o_componente_com_identificadores_timeline_e_geometria. A tela tem 3 abas com dados próprios (Informações, Tramitação, Explicabilidade), contadas como três consultas, pela regra de detalhe com abas. DER=31; AR=6.</t>
  </si>
  <si>
    <t xml:space="preserve">Processos - consultar tramitação do processo</t>
  </si>
  <si>
    <t xml:space="preserve">Prova: mesma rota gestao.processos.show, aba Tramitação de gestao/processos/show.tsx (props timeline lidas das transições da solicitação, subgrupo de Solicitações); teste tests/Feature/Analise/ProcessoUiSmokeTest.php::test_detalhe_renderiza_o_componente_com_identificadores_timeline_e_geometria. Aba com conjunto de dados próprio (histórico) =&gt; função distinta da aba Informações. DER=6; AR=2.</t>
  </si>
  <si>
    <t xml:space="preserve">Processos - consultar explicação da decisão</t>
  </si>
  <si>
    <t xml:space="preserve">Prova: aba Explicabilidade de gestao/processos/show.tsx (prop explicacao de DecisionExplanationService, projeção do rastro gravado) e a mesma informação embutida em gestao/resultados-expresso/show.tsx (mesma função contada uma vez); teste tests/Feature/Auditoria/DecisionExplanationTest.php::test_show_processo_envia_prop_explicacao_quando_ha_decisao e ::test_show_resultado_expresso_envia_prop_explicacao_projetada. Só existe com decisão. DER=15; AR=2.</t>
  </si>
  <si>
    <t xml:space="preserve">Processos - enviar processo para análise</t>
  </si>
  <si>
    <t xml:space="preserve">Prova: rotas gestao.processos.enviar-para-analise.index/enviar (permissão enviar-tvl-analise), EnviarParaAnaliseController::enviar, EnviarParaAnaliseService, tela gestao/processos/enviar-para-analise.tsx; teste tests/Feature/Processo/EnviarParaAnaliseTest.php::test_encontrado_em_status_arbitrario_entra_em_analise_com_auditoria e ::test_ja_em_analise_avisa_e_nao_duplica_tramitacao. Processo elementar independente: o gestor aciona o envio manual e o processo entra na fila da distribuição (altera situação, etapa e prazo). O passo 'pesquisar' (pré-visualização antes de confirmar) é pré-validação e foi retirado (ver itens_retirados). DER=6; AR=1.</t>
  </si>
  <si>
    <t xml:space="preserve">Processos - alterar situação da análise</t>
  </si>
  <si>
    <t xml:space="preserve">Prova: rota gestao.processos.status-analise (permissão analisar-processos), ProcessoController::atualizarStatusAnalise + AnalysisStatusStateMachine, tela gestao/processos/show.tsx (dropdown de próximas situações); teste tests/Feature/Analise/AnalysisStatusEndpointTest.php::test_analista_seta_transicao_valida e ::test_encaminhar_exige_setor_e_usuario_do_setor. A situação é também mostrada na ficha; mesma função uma vez. DER=7; AR=3.</t>
  </si>
  <si>
    <t xml:space="preserve">Processos - reprocessar etapas do motor</t>
  </si>
  <si>
    <t xml:space="preserve">Prova: rota gestao.processos.reprocessar (permissão reprocessar-processos), ReprocessarProcessoController::store, ReprocessarEtapasService, botão em resources/js/components/analise/etapas-motor.tsx (ficha de análise); teste tests/Feature/Motor/ReprocessarProcessoEndpointTest.php::test_analista_reprocessa_o_processo_e_ve_a_mensagem. Processo elementar independente: o analista aciona explicitamente e o motor refaz as etapas que falharam por serviço de terceiro e reavalia o veredito. DER=5; AR=4.</t>
  </si>
  <si>
    <t xml:space="preserve">Caixa do setor e distribuição de processos</t>
  </si>
  <si>
    <t xml:space="preserve">Caixa do setor - consultar caixa do setor</t>
  </si>
  <si>
    <t xml:space="preserve">Prova: rota gestao.caixa-setor.index (permissão analisar-processos|distribuir-processos), CaixaSetorController::index, tela gestao/caixa-setor/index.tsx; teste tests/Feature/Analise/CaixaSetorTest.php::test_index_lista_ordenada_por_prazo e ::test_visao_distribuidos_lista_atribuidos_com_flag_de_redistribuicao. As duas visões usam as mesmas colunas e mudam só o filtro: uma função. DER=20; AR=4.</t>
  </si>
  <si>
    <t xml:space="preserve">Caixa do setor - assumir processo</t>
  </si>
  <si>
    <t xml:space="preserve">Prova: rota gestao.caixa-setor.assumir (permissão analisar-processos), CaixaSetorController::assumir + DistribuicaoService::assumir, botão em gestao/caixa-setor/index.tsx; teste tests/Feature/Analise/CaixaSetorTest.php::test_analista_assume_processo_da_sua_caixa. DER=4; AR=2.</t>
  </si>
  <si>
    <t xml:space="preserve">Caixa do setor - consultar central de distribuição</t>
  </si>
  <si>
    <t xml:space="preserve">Prova: rota gestao.caixa-setor.central (permissão distribuir-processos), CaixaSetorController::central, tela gestao/caixa-setor/central.tsx; teste tests/Feature/Analise/CaixaSetorTest.php::test_central_lista_processos_selecionados_e_carga_dos_analistas e ::test_central_expoe_historico_de_distribuicoes. O histórico é lido da trilha de auditoria. DER=13; AR=3.</t>
  </si>
  <si>
    <t xml:space="preserve">Caixa do setor - sugerir distribuição inteligente</t>
  </si>
  <si>
    <t xml:space="preserve">Prova: rota gestao.caixa-setor.distribuicao-inteligente, CaixaSetorController::distribuicaoInteligente + DistribuicaoInteligenteService, tela gestao/caixa-setor/distribuicao-inteligente.tsx; teste tests/Feature/Analise/DistribuicaoInteligenteTest.php::test_sugere_para_quem_tem_menos_carga_em_vez_de_dividir_igual e ::test_pagina_mostra_a_proposta_sem_tramitar. Saída com cálculo (carga e critério), não grava a distribuição (apenas propõe). DER=9; AR=2.</t>
  </si>
  <si>
    <t xml:space="preserve">Caixa do setor - distribuir processos a um analista</t>
  </si>
  <si>
    <t xml:space="preserve">Prova: rota gestao.caixa-setor.distribuir (permissão distribuir-processos), CaixaSetorController::distribuir + DistribuicaoService, tela gestao/caixa-setor/central.tsx e modal de index.tsx; teste tests/Feature/Analise/CaixaSetorTest.php::test_apoio_distribui_processo_a_um_analista_do_setor e ::test_distribuir_coloca_o_processo_na_caixa_de_entrada_do_analista. DER=5; AR=2.</t>
  </si>
  <si>
    <t xml:space="preserve">Caixa do setor - distribuir processos em lote a vários analistas</t>
  </si>
  <si>
    <t xml:space="preserve">Prova: rota gestao.caixa-setor.distribuir-lote, CaixaSetorController::distribuirLote (transação atômica), telas central.tsx e distribuicao-inteligente.tsx; teste tests/Feature/Analise/CaixaSetorTest.php::test_gestor_distribui_em_lote e ::test_distribuir_lote_e_atomico_quando_um_grupo_falha; tests/Feature/Analise/DistribuicaoInteligenteTest.php::test_confirmacao_inteligente_audita_a_proposta_e_tramita. Entrada com vários analistas e a proposta inteligente auditada: DER e lógica distintos de distribuir a um analista. DER=6; AR=2.</t>
  </si>
  <si>
    <t xml:space="preserve">Caixa do setor - redistribuir processo a outro analista</t>
  </si>
  <si>
    <t xml:space="preserve">Prova: rota gestao.caixa-setor.redistribuir (permissão distribuir-processos), CaixaSetorController::redistribuir + DistribuicaoService::redistribuir, modal de gestao/caixa-setor/index.tsx; teste tests/Feature/Analise/CaixaSetorTest.php::test_apoio_redistribui_processo_para_outra_analista_do_setor. DER=4; AR=2.</t>
  </si>
  <si>
    <t xml:space="preserve">Ficha de análise técnica, pendências e decisão</t>
  </si>
  <si>
    <t xml:space="preserve">Dados - Fichas de análise técnica</t>
  </si>
  <si>
    <t xml:space="preserve">Prova: models AnalysisRecord, AnalysisDivergence, AnalysisStatusTransition; migrations 2026_06_14_215043_create_analysis_records_table.php, 2026_06_14_215044_create_analysis_divergences_table.php, 2026_07_14_100100_create_analysis_status_transitions_table.php; mantidas por AnalysisRecordService e AnalysisStatusStateMachine; testes tests/Feature/Analise/AnalysisRecordAutosaveTest.php, AnalysisRecordFinalizeTest.php, AnalysisStatusTransitionTest.php. Justificativa CPM: a revisão da ficha tem ciclo próprio (várias por processo, imutável ao finalizar); a divergência (gerada na finalização) e a transição de situação da análise são subgrupos dependentes sem manutenção própria (RLR). Fronteira: o eixo operacional gravado na solicitação (analysis_status atual) pertence a Solicitações de viabilidade; aqui o histórico e o conteúdo técnico. DER=28; RLR=3 =&gt; Média.</t>
  </si>
  <si>
    <t xml:space="preserve">Dados - Pendências da análise</t>
  </si>
  <si>
    <t xml:space="preserve">Prova: model app/Models/AnalysisPendency.php, migration 2026_06_14_215045_create_analysis_pendencies_table.php; mantida por PendenciaService, ExpirarPendenciasCommand e a resposta do portal (PendenciaRespostaController); testes tests/Feature/Analise/PendenciaServiceTest.php e PendenciaCancelarTest.php. Justificativa CPM: exigência com ciclo de vida próprio (abre, responde, cancela, expira), mais de uma por processo. DER=10; RLR=1 =&gt; Baixa.</t>
  </si>
  <si>
    <t xml:space="preserve">Dados - Travas de inscrição do escritório virtual</t>
  </si>
  <si>
    <t xml:space="preserve">Prova: model app/Models/VirtualOfficeInscriptionLock.php, migration 2026_07_16_100100_create_virtual_office_inscription_locks.php; criada por AnaliseTecnicaDecisionService (deferimento da sede de escritório virtual), consultada por FluxoExpressoService e AbrigadoResolver, exibida na ficha (AnalysisRecordController::escritorioVirtual) e no relatório sede x abrigados; testes tests/Feature/EscritorioVirtual/InscriptionLockTest.php e RecusaAbrigoEmInscricaoTravadaTest.php. Regra de negócio: a trava impede que outra sede ou um abrigado use a mesma inscrição enquanto a sede estiver ativa (RN-EV; aplicada em FluxoExpressoService e AbrigadoResolver). A liberação manual (desvincular) não tem tela e foi retirada. DER=5; RLR=1 =&gt; Baixa.</t>
  </si>
  <si>
    <t xml:space="preserve">Fichas de análise - consultar ficha de análise do processo</t>
  </si>
  <si>
    <t xml:space="preserve">Prova: rota gestao.processos.ficha.show (permissão analisar-processos), AnalysisRecordController::show, AnalysisRecordResource, tela gestao/ficha-analise/show.tsx; testes tests/Feature/Analise/AnalysisRecordAutosaveTest.php::test_show_abre_a_revisao_atual_com_textos_padrao_ativos, tests/Feature/Analise/FichaUiSmokeTest.php::test_ficha_renderiza_componente_inertia_com_as_props_essenciais e ::test_ficha_resolve_o_valor_tll_do_exercicio_corrente, tests/Feature/Analise/CadastroImobiliarioFichaServiceTest.php. A consulta ao cadastro imobiliário na ficha usa o binding real SedurSefazPropertyRegistryLookup (consulta ao cadastro, não à SEFAZ DAM/TLL). Tela única, sem abas: uma consulta. DER=48; AR=12.</t>
  </si>
  <si>
    <t xml:space="preserve">Fichas de análise - alterar ficha de análise</t>
  </si>
  <si>
    <t xml:space="preserve">Prova: rota gestao.processos.ficha.autosave (PATCH, permissão analisar-processos), AnalysisRecordController::autosave, AnalysisRecordRequest, autosave de gestao/ficha-analise/show.tsx; teste tests/Feature/Analise/AnalysisRecordAutosaveTest.php::test_autosave_atualiza_status_escolhido_e_parecer_no_rascunho e ::test_autosave_em_revisao_finalizada_e_recusado_com_422. O salvamento automático é a gravação da própria ficha (função de alterar), contada uma vez. DER=13; AR=1.</t>
  </si>
  <si>
    <t xml:space="preserve">Fichas de análise - criar nova revisão da ficha</t>
  </si>
  <si>
    <t xml:space="preserve">Prova: rota gestao.processos.ficha.nova-revisao, AnalysisRecordController::novaRevisao + AnalysisRecordService, botão em gestao/ficha-analise/show.tsx; teste tests/Feature/Analise/AnalysisRecordFinalizeTest.php::test_nova_revisao_cria_revision_2_rascunho_copiando_a_finalizada. DER=6; AR=1.</t>
  </si>
  <si>
    <t xml:space="preserve">Fichas de análise - comparar revisões da ficha</t>
  </si>
  <si>
    <t xml:space="preserve">Prova: rota gestao.processos.ficha.diff, AnalysisRecordController::diff + AnalysisRecordDiff, painel de comparação em gestao/ficha-analise/show.tsx; teste tests/Feature/Analise/AnalysisRecordRevisionDiffTest.php::test_endpoint_diff_serve_o_painel_gated_e_auditado. DER=5; AR=1.</t>
  </si>
  <si>
    <t xml:space="preserve">Fichas de análise - consultar precedentes do imóvel e da atividade</t>
  </si>
  <si>
    <t xml:space="preserve">Prova: rota gestao.processos.precedentes, PrecedenteController::show + PrecedentService (consulta SQL espacial própria, sem CPF), painel em gestao/ficha-analise/show.tsx; teste tests/Feature/Analise/PrecedenteEndpointTest.php::test_precedentes_retorna_imovel_sem_cpf_e_cnae_zona_auditado. Este é o painel de precedentes SQL da análise (HU-142), não a busca vetorial de IA do domínio F. DER=12; AR=3.</t>
  </si>
  <si>
    <t xml:space="preserve">Decisão - decidir processo (deferir ou indeferir)</t>
  </si>
  <si>
    <t xml:space="preserve">Prova: rotas gestao.processos.decidir (ProcessoDecisaoController) e gestao.processos.ficha.concluir-processo (AnalysisRecordController::concluirProcesso), ambas chamam AnaliseTecnicaDecisionService::decide; telas gestao/ficha-analise/show.tsx (botões 'Concluir processo' e 'Decidir'); testes tests/Feature/Analise/ProcessoDecisaoEndpointTest.php::test_concluir_processo_a_partir_do_rascunho_defere_e_encerra e ::test_decide_indefere_quando_a_ficha_tem_cnae_indeferida; tests/Feature/Analise/AnaliseTecnicaDecisionTest.php. Mesma lógica e mesmos arquivos nas duas rotas (a segunda só finaliza a ficha antes): contada uma vez. Grava a decisão, gera o número do TVL, transiciona o processo e cria a trava do escritório virtual. A rota ficha/finalizar não tem tela e foi retirada. DER=9; AR=4.</t>
  </si>
  <si>
    <t xml:space="preserve">Decisão - concluir análise do processo</t>
  </si>
  <si>
    <t xml:space="preserve">Prova: rota gestao.processos.conclusao-analise, ConclusaoAnaliseController + ConclusaoAnaliseService, componente conclusao-analise-form usado em gestao/ficha-analise/show.tsx, gestao/processos/show.tsx e gestao/malha-fina/index.tsx; teste tests/Feature/Analise/ConclusaoAnaliseTest.php::test_cassado_revogado_e_desativado_encerram_sem_tvl e ::test_processo_deferido_pode_ser_cassado_revogado_ou_desativado. Processo elementar independente: encerra o processo com os resultados de encerramento (inclusive de processo já deferido), lógica distinta da decisão por ficha. DER=5; AR=4.</t>
  </si>
  <si>
    <t xml:space="preserve">Pendências - abrir convite de pendência ao requerente</t>
  </si>
  <si>
    <t xml:space="preserve">Prova: rota gestao.processos.pendencias.store (permissão analisar-processos), ProcessoPendenciaController::store + PendenciaService::abrir, formulário em gestao/ficha-analise/show.tsx; teste tests/Feature/Analise/ProcessoPendenciaEndpointTest.php::test_abre_pendencia_em_processo_em_analise. DER=5; AR=2.</t>
  </si>
  <si>
    <t xml:space="preserve">Pendências - cancelar convite de pendência</t>
  </si>
  <si>
    <t xml:space="preserve">Prova: rota gestao.processos.cancelar-convite, ProcessoPendenciaController::cancelar + PendenciaService::cancelar, tela gestao/ficha-analise/show.tsx; teste tests/Feature/Analise/CancelarConviteEndpointTest.php::test_analista_cancela_convite_com_parecer. DER=5; AR=2.</t>
  </si>
  <si>
    <t xml:space="preserve">Malha fina</t>
  </si>
  <si>
    <t xml:space="preserve">Dados - Encaminhamentos à malha fina</t>
  </si>
  <si>
    <t xml:space="preserve">Prova: model app/Models/FineMeshReferral.php, migration 2026_06_14_215046_create_fine_mesh_referrals_table.php; mantido por MalhaFinaService e MalhaFinaController; testes tests/Feature/Analise/MalhaFinaServiceTest.php e MalhaFinaResolucaoTest.php. Justificativa CPM: o encaminhamento tem ciclo próprio (abre e resolve), pode repetir no mesmo processo e é ortogonal ao status. DER=7; RLR=1 =&gt; Baixa.</t>
  </si>
  <si>
    <t xml:space="preserve">Malha fina - consultar caixa de malha fina</t>
  </si>
  <si>
    <t xml:space="preserve">Prova: rota gestao.malha-fina.index (permissão analisar-malha-fina), MalhaFinaCaixaController, tela gestao/malha-fina/index.tsx; teste tests/Feature/Analise/MalhaFinaCaixaTest.php::test_caixa_lista_apenas_processos_em_malha_fina e ::test_aba_concluidas_lista_quem_saiu_da_malha_fina. As abas Em malha fina e Concluídas usam as mesmas colunas (linha() única) e mudam só o filtro: uma função. DER=33; AR=4.</t>
  </si>
  <si>
    <t xml:space="preserve">Malha fina - encaminhar processos à malha fina</t>
  </si>
  <si>
    <t xml:space="preserve">Prova: rota gestao.processos.malha-fina.store (permissão encaminhar-malha-fina), MalhaFinaController::store + MalhaFinaService::encaminharLote, ações em gestao/processos/index.tsx e gestao/ficha-analise/show.tsx; teste tests/Feature/Analise/MalhaFinaEndpointTest.php::test_encaminha_single_em_analise e ::test_encaminha_em_lote_incluindo_processo_deferido. Single e lote usam a mesma rota e lógica (single é lote de um): uma função. DER=5; AR=3.</t>
  </si>
  <si>
    <t xml:space="preserve">Malha fina - concluir análise da malha fina</t>
  </si>
  <si>
    <t xml:space="preserve">Prova: rota gestao.malha-fina.concluir (permissão analisar-malha-fina), MalhaFinaController::concluir + ConclusaoAnaliseService + MalhaFinaService::resolverAbertos, modal de gestao/malha-fina/index.tsx; teste tests/Feature/Analise/MalhaFinaConcluirTest.php::test_conclui_a_malha_fina_com_observacao_opcional. Baixa os encaminhamentos e conclui a análise numa operação, com FTR diferente da conclusão avulsa (inclui Encaminhamentos). DER=5; AR=4.</t>
  </si>
  <si>
    <t xml:space="preserve">Vistorias e fichas de vistoria</t>
  </si>
  <si>
    <t xml:space="preserve">Dados - Fichas de vistoria</t>
  </si>
  <si>
    <t xml:space="preserve">Prova: models Inspection, InspectionAttachment, InspectionReferral; migrations 2026_09_22_133337_create_inspections_table.php, 2026_09_22_133443_create_inspection_attachments_table.php, 2026_09_22_160000_create_inspection_referrals_table.php; mantidos por InspectionService e EncaminharVistoriaService; testes tests/Feature/Vistoria/InspectionFlowTest.php e VistoriaEncaminhamentoTest.php. Justificativa CPM: a ficha tem ciclo próprio (abre, rascunho, conclui, imutável); o anexo (adiciona e remove só pela ficha) e o encaminhamento (gravado no ato de encaminhar) são subgrupos dependentes sem manutenção independente (RLR). DER=78; RLR=3 =&gt; Alta.</t>
  </si>
  <si>
    <t xml:space="preserve">Vistorias - consultar vistorias</t>
  </si>
  <si>
    <t xml:space="preserve">Prova: rota gestao.vistorias.index (permissão preencher-ficha-vistoria), VistoriaConsultaController, tela gestao/vistorias/index.tsx; teste tests/Feature/Vistoria/VistoriaConsultaTest.php::test_consulta_renderiza_universo_kpis_e_situacao e ::test_consulta_filtra_por_aba. As abas são só filtro sobre as mesmas colunas: uma função. DER=18; AR=3.</t>
  </si>
  <si>
    <t xml:space="preserve">Vistorias - encaminhar processo à vistoria</t>
  </si>
  <si>
    <t xml:space="preserve">Prova: rota gestao.processos.vistoria.encaminhar (permissão analisar-processos), InspectionController::encaminhar + EncaminharVistoriaService, ação em gestao/ficha-analise/show.tsx; teste tests/Feature/Vistoria/VistoriaEncaminhamentoTest.php::test_encaminhar_faz_o_handoff_para_a_caixa_do_setor_de_vistoria. DER=7; AR=3.</t>
  </si>
  <si>
    <t xml:space="preserve">Fichas de vistoria - abrir ficha de vistoria</t>
  </si>
  <si>
    <t xml:space="preserve">Prova: rota gestao.processos.vistoria.show (permissão preencher-ficha-vistoria), InspectionController::show + InspectionService::abrirOuRetomar, tela gestao/vistoria/show.tsx; teste tests/Feature/Vistoria/InspectionFlowTest.php::test_abrir_ficha_cria_registro_com_identificacao_e_snapshot_da_localizacao e ::test_reabrir_ficha_nao_duplica_registro. Cria a ficha com identificação automática e retrato da localização (grava). DER=12; AR=2.</t>
  </si>
  <si>
    <t xml:space="preserve">Fichas de vistoria - consultar ficha de vistoria</t>
  </si>
  <si>
    <t xml:space="preserve">Prova: rota gestao.processos.vistoria.visualizar (permissão analisar-processos), InspectionController::visualizar, mesma tela gestao/vistoria/show.tsx em modo somente leitura (link na ficha de análise); teste tests/Feature/Vistoria/VisualizarFichaVistoriaTest.php::test_com_ficha_exibe_somente_leitura_sem_alterar_a_autoria e ::test_sem_ficha_informa_ausencia_e_nao_cria_registro. Não abre nem cria ficha (diferente de abrir). DER=76; AR=3.</t>
  </si>
  <si>
    <t xml:space="preserve">Fichas de vistoria - salvar rascunho da ficha de vistoria</t>
  </si>
  <si>
    <t xml:space="preserve">Prova: rota gestao.processos.vistoria.update (PATCH), InspectionController::update + InspectionUpdateRequest, formulário em gestao/vistoria/show.tsx; teste tests/Feature/Vistoria/InspectionFlowTest.php::test_salvar_rascunho_persiste_campos_das_secoes e ::test_ficha_concluida_e_imutavel. DER=53 (campos editáveis do formulário, do ponto de referência ao contato, sem o polígono, + mensagem); AR=1.</t>
  </si>
  <si>
    <t xml:space="preserve">Fichas de vistoria - concluir ficha de vistoria</t>
  </si>
  <si>
    <t xml:space="preserve">Prova: rota gestao.processos.vistoria.concluir, InspectionController::concluir + InspectionConcludeRequest, gestao/vistoria/show.tsx; teste tests/Feature/Vistoria/InspectionFlowTest.php::test_concluir_com_parecer_finaliza_a_ficha e tests/Feature/Vistoria/InspectionAccessTest.php::test_concluir_ficha_em_processo_em_vistoria_transiciona_para_vistoriado. DER=6; AR=2.</t>
  </si>
  <si>
    <t xml:space="preserve">Fichas de vistoria - validar polígono do imóvel</t>
  </si>
  <si>
    <t xml:space="preserve">Prova: rota gestao.processos.vistoria.poligono, InspectionController::validarPoligono + InspectionPolygonRequest, mapa de gestao/vistoria/show.tsx; teste tests/Feature/Vistoria/InspectionFlowTest.php::test_validar_poligono_persiste_novo_desenho_com_area_e_data e ::test_poligono_invalido_e_recusado. Processo elementar independente: o vistoriador redesenha e valida o polígono, com cálculo de área e persistência imediata, separado do rascunho. DER=4; AR=1.</t>
  </si>
  <si>
    <t xml:space="preserve">Fichas de vistoria - anexar arquivo à ficha de vistoria</t>
  </si>
  <si>
    <t xml:space="preserve">Prova: rota gestao.processos.vistoria.anexos.store, InspectionController::storeAnexo + InspectionAttachmentRequest, gestao/vistoria/show.tsx; teste tests/Feature/Vistoria/InspectionFlowTest.php::test_upload_de_anexo_persiste_arquivo_e_metadados. DER=6; AR=1.</t>
  </si>
  <si>
    <t xml:space="preserve">Fichas de vistoria - remover anexo da ficha de vistoria</t>
  </si>
  <si>
    <t xml:space="preserve">Prova: rota gestao.processos.vistoria.anexos.destroy (DELETE), InspectionController::destroyAnexo, gestao/vistoria/show.tsx; teste tests/Feature/Vistoria/InspectionFlowTest.php::test_remover_anexo_exclui_arquivo_e_registro. DER=3; AR=1.</t>
  </si>
  <si>
    <t xml:space="preserve">Fichas de vistoria - baixar anexo da ficha de vistoria</t>
  </si>
  <si>
    <t xml:space="preserve">Prova: rota gestao.processos.vistoria.anexos.download (permissão analisar-processos|preencher-ficha-vistoria), InspectionController::downloadAnexo (streaming autenticado, auditado); teste tests/Feature/Vistoria/VisualizarFichaVistoriaTest.php::test_analista_baixa_anexo_sem_permissao_de_preencher. Premissa declarada: o analista baixa o anexo da vistoria como objetivo próprio (recuperação do arquivo guardado, sem processamento); o vistoriador usa o mesmo download. DER=4; AR=1.</t>
  </si>
  <si>
    <t xml:space="preserve">Documento de viabilidade locacional (TVL)</t>
  </si>
  <si>
    <t xml:space="preserve">Dados - Documentos TVL</t>
  </si>
  <si>
    <t xml:space="preserve">Prova: model app/Models/TvlDocument.php, migration 2026_06_14_215048_create_tvl_documents_table.php; gravado por TvlPdfService::generate; lido na verificação pública por código (VerificacaoDocumentoService, domínio D/A) e no download assinado; testes tests/Feature/Analise/TvlPdfServiceTest.php e TvlDocumentEndpointTest.php. Justificativa CPM: registro do documento emitido com código de verificação próprio e arquivo, mantido pela aplicação. DER=5; RLR=1 =&gt; Baixa.</t>
  </si>
  <si>
    <t xml:space="preserve">Documentos TVL - emitir viabilidade locacional em PDF</t>
  </si>
  <si>
    <t xml:space="preserve">Prova: rotas gestao.processos.tvl.store (permissão emitir-tvl) e gestao.processos.tvl.download (URL assinada temporária), TvlDocumentController + TvlPdfService (DomPDF), botão 'Abrir PDF' em resources/js/components/analise/baixar-tvl.tsx (usado em gestao/processos/show e resultados-expresso/show) e em gestao/ficha-analise/show.tsx; teste tests/Feature/Analise/TvlDocumentEndpointTest.php::test_emite_tvl_de_decisao_deferida e ::test_download_com_url_assinada_valida_faz_streaming. Processo elementar independente: o analista emite o PDF oficial, com saída derivada de várias fontes, grava o registro do documento e abre o arquivo; o download é a entrega do mesmo processo (não conta à parte). DER=19; AR=6.</t>
  </si>
  <si>
    <t xml:space="preserve">Atendimento presencial assistido</t>
  </si>
  <si>
    <t xml:space="preserve">Dados - Atendimentos assistidos</t>
  </si>
  <si>
    <t xml:space="preserve">Prova: model app/Models/AssistedAttendance.php, migration 2026_06_14_132807_create_assisted_attendances_table.php; mantido por AssistedAttendanceController; lido pelo middleware ResolveAssistedAttendance e pelo relatório de contingência/balcão; teste tests/Feature/Solicitacao/AtendimentoPresencialTest.php. Justificativa CPM: o vínculo atendente-cidadão tem ciclo próprio (abre, expira, encerra). DER=5; RLR=1 =&gt; Baixa.</t>
  </si>
  <si>
    <t xml:space="preserve">Atendimento presencial - consultar atendimento em andamento</t>
  </si>
  <si>
    <t xml:space="preserve">Prova: rota gestao.atendimento.index (permissão atendimento-presencial), AssistedAttendanceController::index, tela gestao/atendimento/index.tsx; teste tests/Feature/Solicitacao/AtendimentoPresencialTest.php::test_pagina_do_atendimento_renderiza. DER=6; AR=4.</t>
  </si>
  <si>
    <t xml:space="preserve">Atendimento presencial - abrir atendimento</t>
  </si>
  <si>
    <t xml:space="preserve">Prova: rota gestao.atendimento.store, AssistedAttendanceController::store, gestao/atendimento/index.tsx; teste tests/Feature/Solicitacao/AtendimentoPresencialTest.php::test_inicia_atendimento_informando_cpf e ::test_cpf_sem_conta_de_cidadao_bloqueia_sem_criar. Lê o parâmetro de expiração do atendimento. A pré-consulta de CPF na SEDUR (consultar-cpf) é apoio ao formulário e foi retirada. DER=6; AR=3.</t>
  </si>
  <si>
    <t xml:space="preserve">Atendimento presencial - encerrar atendimento</t>
  </si>
  <si>
    <t xml:space="preserve">Prova: rota gestao.atendimento.destroy (DELETE), AssistedAttendanceController::destroy; teste tests/Feature/Solicitacao/AtendimentoPresencialTest.php::test_encerra_atendimento. DER=3; AR=1.</t>
  </si>
  <si>
    <t xml:space="preserve">Atendimento presencial - abrir solicitação em nome do cidadão</t>
  </si>
  <si>
    <t xml:space="preserve">Prova: rota gestao.atendimento.solicitacoes.store, AssistedAttendanceController::storeSolicitacao, gestao/atendimento/index.tsx; teste tests/Feature/Solicitacao/AtendimentoPresencialTest.php::test_acao_em_nome_do_cidadao_registra_os_dois_cpfs e ::test_origem_balcao_para_relatorios. Cria o rascunho da solicitação com requerente e atendente gravados. DER=6; AR=4.</t>
  </si>
  <si>
    <t xml:space="preserve">Integração REGIN - recebimento de processos da Junta Comercial</t>
  </si>
  <si>
    <t xml:space="preserve">Dados - Recebimentos REGIN</t>
  </si>
  <si>
    <t xml:space="preserve">Prova: model app/Models/ReginRecebimento.php, migration 2026_09_16_160000_create_regin_recebimentos_table.php; gravado por ReginRecebeService; lido por ProtocolarRecebimentoReginJob / ReginProcessoProtocolador; teste tests/Feature/Regin/ReginRecebeEndpointTest.php::test_post_persiste_e_devolve_3 e ::test_post_duplicado_devolve_5_sem_criar_segunda_linha. Justificativa CPM: o envelope recebido e arbitrado por protocolo único é arquivo próprio, mantido pela aplicação. DER=11; RLR=1 =&gt; Baixa.</t>
  </si>
  <si>
    <t xml:space="preserve">REGIN - receber processo da Junta Comercial</t>
  </si>
  <si>
    <t xml:space="preserve">Prova: rotas públicas regin.recebe.store (POST /api_integracao/recebe, middleware LogInboundIntegration e throttle regin-recebe), ReginRecebeController::store, ReginRecebeService, ProtocolarRecebimentoReginJob, ReginProcessoProtocolador; testes tests/Feature/Regin/ReginRecebeEndpointTest.php::test_post_persiste_e_devolve_3, ::test_post_duplicado_devolve_5_sem_criar_segunda_linha, ::test_protocolacao_roda_fora_da_transacao_do_envelope e tests/Feature/Regin/RecebimentoProcessoTest.php, ReginProcessoProtocoladorTest.php. Processo elementar independente: a JUCEB chama a URL municipal; o recebimento persiste o envelope, devolve o código do guia (3 recebido, 5 duplicado, 0 inválido) e abre o processo (empresa, solicitação, CNAEs, protocolo e decisão do motor) de verdade, sem adaptador falso. Não há interruptor que o desligue: responde sempre. Sem evidência de chamada real da JUCEB registrada no repositório (ver pendências). DER=40; AR=8.</t>
  </si>
  <si>
    <t xml:space="preserve">Rotinas agendadas da operação</t>
  </si>
  <si>
    <t xml:space="preserve">Expresso - reavaliar solicitações protocoladas sem decisão (rotina)</t>
  </si>
  <si>
    <t xml:space="preserve">Prova: comando expresso:reavaliar agendado a cada 10 minutos em routes/console.php (withoutOverlapping/onOneServer), ExpressoReavaliarCommand + DecidirFluxoExpressoJob; teste tests/Feature/Expresso/ExpressoReavaliarCommandTest.php::test_reenfileira_apenas_orfas_protocoladas_sem_decisao. Rotina autônoma de segurança que redespacha a decisão de processos que ficaram sem veredito. O agendamento em si não tem teste. DER=5; AR=4.</t>
  </si>
  <si>
    <t xml:space="preserve">Notificações - alertar vencimentos de prazo (rotina)</t>
  </si>
  <si>
    <t xml:space="preserve">Prova: comando notificacoes:alertar-vencimentos agendado às 07:00 (routes/console.php), AlertarVencimentosCommand + NotificationDispatcher; testes tests/Feature/Comunicacao/AlertarVencimentosCommandTest.php::test_processo_em_analise_vencendo_na_antecedencia_alerta_o_analista, ::test_pendencia_aberta_vencendo_alerta_o_requerente e ::test_rodar_duas_vezes_nao_duplica_communications. Idempotente pelo ledger de comunicações. Saída funcional autônoma: alerta o analista e o requerente. DER=8; AR=5.</t>
  </si>
  <si>
    <t xml:space="preserve">Notificações - escalonar processos por SLA (rotina)</t>
  </si>
  <si>
    <t xml:space="preserve">Prova: comando notificacoes:escalonar-sla agendado de hora em hora (routes/console.php), EscalonarSlaCommand + AnalysisSlaService; testes tests/Feature/Comunicacao/EscalonarSlaCommandTest.php::test_amarelo_alerta_o_analista_responsavel e ::test_vencido_escala_aos_gestores. Idempotente. DER=6; AR=4.</t>
  </si>
  <si>
    <t xml:space="preserve">Pendências - expirar convites vencidos e indeferir o processo (rotina)</t>
  </si>
  <si>
    <t xml:space="preserve">Prova: comando pendencias:expirar agendado às 06:00 (routes/console.php), ExpirarPendenciasCommand + IndeferirPorPrazoConviteService; teste tests/Feature/Comunicacao/ExpirarPendenciasCommandTest.php::test_convite_vencido_vira_expirado_indefere_o_processo_notifica_o_analista_e_audita. Expira a pendência, indefere o processo por prazo e notifica. DER=8; AR=5.</t>
  </si>
  <si>
    <t xml:space="preserve">Sala de controle e painel da operação</t>
  </si>
  <si>
    <t xml:space="preserve">Sala de controle - consultar desempenho da viabilidade</t>
  </si>
  <si>
    <t xml:space="preserve">Prova: rota gestao.sala-de-controle (GET /gestao/sala-de-controle, routes/gestao.php), SalaDeControleController, SalaDeControleService, tela resources/js/pages/gestao/sala-de-controle.tsx, permissão consultar-relatorios. Teste: tests/Feature/Relatorios/SalaDeControleTelaTest.php::test_entrega_os_cinco_blocos_num_unico_carregamento (e test_sem_benchmark_a_tela_informa_o_motivo_e_mantem_o_resto). SE: saída com derivação (percentis, taxa de automação, gargalos por etapa, distância para a referência federal), nenhuma manutenção de ALI. Precedência da fronteira: os blocos são partes da mesma tela e do mesmo recorte de período, logo um único processo elementar. A consulta é auditada (log relatorios) e o 403 é auditado no ponto único. Para demonstrar: ter decisões no período e competência de benchmark importada; sem benchmark o bloco 'distância' mostra o motivo. DER=21; AR=3 (Solicitações de viabilidade, Decisões de viabilidade, Métricas de benchmark REDESIM).</t>
  </si>
  <si>
    <t xml:space="preserve">Painel da operação - consultar indicadores do dia a dia</t>
  </si>
  <si>
    <t xml:space="preserve">Prova: rota gestao.dashboard (GET /gestao, DashboardController), PainelOperacaoService, tela resources/js/pages/gestao/dashboard.tsx; exige consultar-relatorios (sem ela o usuário é redirecionado à fila ou à caixa do setor, sem painel). Teste: tests/Feature/Relatorios/DashboardKpisTest.php::bloco_relatorios_traz_kpis_reais_do_ep15_sem_delta_inventado, acoes_e_aging_contam_estoque_real; tests/Feature/Dashboard/GestaoDashboardKpisTest.php. SE: painel com agregações, variação e projeção. A janela (?janela=) é filtro de entrada. O botão Exportar indicadores reaproveita a exportação de indicadores (não conta à parte). Parâmetros lidos: relatorios.dashboard.janela_dias, analise.sla.analise_dias, meta expressa. Setor/analista só para carga. DER=29; AR=8 (Solicitações de viabilidade, Decisões de viabilidade, Pendências da análise, Comunicações do processo, Quedas do fluxo expresso, Setores, Usuário, Parâmetros do sistema).</t>
  </si>
  <si>
    <t xml:space="preserve">Indicadores e painéis gerenciais</t>
  </si>
  <si>
    <t xml:space="preserve">Indicadores - consultar indicadores de viabilidade</t>
  </si>
  <si>
    <t xml:space="preserve">Prova: rota gestao.relatorios.indicadores, RelatorioController::indicadores, IndicadoresViabilidadeService, tela gestao/relatorios/indicadores.tsx, permissão consultar-relatorios. Testes: tests/Feature/Relatorios/RelatorioControllerTest.php::test_indicadores_renderiza_inertia_com_props_reais_auditado; IndicadoresViabilidadeServiceTest.php. SE: séries por período, taxas de deferimento/indeferimento e distribuição por risco derivadas. Volume por período, zona, CNAE, risco e taxas ficam na mesma tela e no mesmo filtro: um processo elementar (na contagem antiga eram 6 SE). A consulta é auditada (log relatorios) e o 403 é auditado no ponto único. A exportação deste relatório é a lista de solicitações do recorte, contada em 'Solicitações - exportar lista do recorte'. DER=20; AR=4 (Solicitações de viabilidade, Decisões de viabilidade, Classificação de risco, Versões de regras).</t>
  </si>
  <si>
    <t xml:space="preserve">Indicadores - consultar tempo de análise e emissão</t>
  </si>
  <si>
    <t xml:space="preserve">Prova: rota gestao.relatorios.tempo, RelatorioController::tempo, TempoAnaliseService, TempoViabilidadeService, GargalosService, tela gestao/relatorios/tempo.tsx, permissão consultar-relatorios. Testes: RelatorioControllerTest.php::test_tempo_renderiza_inertia_com_props_reais; TempoViabilidadeTelaTest.php::test_entrega_percentis_e_gargalos_para_o_gestor; TempoAnaliseServiceTest.php. SE: tempos em horas/dias úteis (desconta fim de semana e feriados), percentis e participação por etapa. A tela também mostra o atalho para o relatório de sedes de escritório virtual (função própria, abaixo). A consulta é auditada (log relatorios) e o 403 é auditado no ponto único. A exportação deste relatório é o detalhamento por processo (função própria 'Tempo por etapa - exportar detalhamento por processo'). DER=20; AR=3 (Solicitações de viabilidade, Decisões de viabilidade, Feriados).</t>
  </si>
  <si>
    <t xml:space="preserve">Indicadores - consultar produtividade por analista</t>
  </si>
  <si>
    <t xml:space="preserve">Prova: rota gestao.relatorios.produtividade, RelatorioController::produtividade, ProdutividadeAnalistaService, tela gestao/relatorios/produtividade.tsx, permissão consultar-relatorios; o nome do analista só sai com a permissão relatorios.produtividade.nominal (sem ela: anônimo e restrito ao próprio usuário). Testes: RelatorioControllerTest.php::test_produtividade_nominal_para_quem_tem_a_permissao_inclui_nome e test_produtividade_sem_nominal_anonimiza_e_escopa_ao_proprio; ProdutividadeAnalistaServiceTest.php. SE: contagens agrupadas por analista. A consulta é auditada (log relatorios) e o 403 é auditado no ponto único. A exportação CSV/XLSX/PDF desta tela (?formato=) reapresenta o mesmo conjunto de linhas da tela, só muda o formato: faz parte desta função e não é contada à parte (mesmos DER, mesmos FTR, mesma lógica). DER=10; AR=3 (Decisões de viabilidade, Solicitações de viabilidade, Usuário).</t>
  </si>
  <si>
    <t xml:space="preserve">Indicadores - consultar quedas do fluxo expresso</t>
  </si>
  <si>
    <t xml:space="preserve">Prova: rota gestao.relatorios.quedas, RelatorioController::quedas, ExpressoQuedaService, tela gestao/relatorios/quedas.tsx, permissão consultar-relatorios. Testes: RelatorioControllerTest.php::test_quedas_renderiza_inertia_com_props_reais; ExpressoQuedaServiceTest.php::taxa_resposta_expressa_e_a_razao_real_respondidas_sobre_elegiveis e ranking_motivos_agrupa_por_tipo_gatilho_e_rotula_null_como_nao_classificado. SE: taxa, série temporal e ranking derivados. A consulta é auditada (log relatorios) e o 403 é auditado no ponto único. O drill-down para os processos reaproveita a lista de processos (domínio E). A exportação das quedas é função própria (linhas de queda, dado diferente da tela). DER=10; AR=3 (Quedas do fluxo expresso, Decisões de viabilidade, Solicitações de viabilidade).</t>
  </si>
  <si>
    <t xml:space="preserve">Indicadores - consultar tempo de emissão da viabilidade locacional</t>
  </si>
  <si>
    <t xml:space="preserve">Prova: rota gestao.relatorios.tempo-emissao-tvl, RelatorioController::tempoEmissaoTvl, RelatorioTempoEmissaoTvlService, tela gestao/relatorios/tempo-emissao-tvl.tsx, permissão consultar-relatorios. Testes: tests/Feature/Relatorios/TempoEmissaoTvlTest.php::test_endpoint_renderiza_inertia_com_linhas_e_servicos, test_periodo_e_deferido_traz_linhas_com_tvl_emitido_no_recorte. SE: duração em minutos úteis derivada (emissão menos abertura). As colunas de DAM (número, emissão, pagamento, valor) aparecem sempre vazias porque o dado não é modelado (test_exportacao_nao_expoe_colunas_dam_nao_modeladas) e por isso NÃO entram no DER; o modo 'revisão' devolve vazio (test_modo_revisao_nunca_simula_dados). A consulta é auditada (log relatorios) e o 403 é auditado no ponto único. A exportação CSV/XLSX/PDF desta tela (?formato=) reapresenta o mesmo conjunto de linhas da tela, só muda o formato: faz parte desta função e não é contada à parte (mesmos DER, mesmos FTR, mesma lógica). DER=14; AR=4 (Solicitações de viabilidade, Decisões de viabilidade, Tipos de serviço da solicitação, Feriados).</t>
  </si>
  <si>
    <t xml:space="preserve">Indicadores - consultar SLA e vencimentos da análise</t>
  </si>
  <si>
    <t xml:space="preserve">Prova: rota gestao.relatorios.sla, RelatorioController::slaVencimentos, SlaVencimentosService, tela gestao/relatorios/sla.tsx, permissão consultar-relatorios. Testes: tests/Feature/Relatorios/SlaVencimentosTest.php::test_endpoint_renderiza_inertia_com_resumo_e_linhas_auditado, test_endpoint_entrega_aging_etapa_e_cumprimento_com_periodo_default, test_exporta_csv_pelo_contrato_unico. SE: resumo, aging, cumprimento e semáforo derivados do prazo materializado. A consulta é auditada (log relatorios) e o 403 é auditado no ponto único. A exportação CSV/XLSX/PDF desta tela (?formato=) reapresenta o mesmo conjunto de linhas da tela, só muda o formato: faz parte desta função e não é contada à parte (mesmos DER, mesmos FTR, mesma lógica). DER=19; AR=4 (Solicitações de viabilidade, Decisões de viabilidade, Setores, Usuário).</t>
  </si>
  <si>
    <t xml:space="preserve">Indicadores - consultar benchmark nacional de viabilidade</t>
  </si>
  <si>
    <t xml:space="preserve">Prova: rota gestao.relatorios.benchmark (BenchmarkController, invokable), BenchmarkRankingService, tela gestao/relatorios/benchmark.tsx, permissão consultar-relatorios. Testes: tests/Feature/Benchmark/BenchmarkTelaTest.php::test_entrega_posicao_ranking_de_capitais_e_serie, test_sem_competencia_completa_informa_a_lacuna, test_exige_permissao_de_relatorios; BenchmarkRankingServiceTest.php. SE: ranking e posição calculados sobre as métricas importadas; sem competência com as 27 UFs a tela informa a lacuna e não estima valor. Auditada (consulta-benchmark). Só lê o ALI de métricas (subgrupos município, atividade e importação). DER=16; AR=1 (Métricas de benchmark REDESIM).</t>
  </si>
  <si>
    <t xml:space="preserve">Indicadores - consultar painel geoeconômico por bairro</t>
  </si>
  <si>
    <t xml:space="preserve">Prova: rota gestao.relatorios.geo-bairro, RelatorioController::geoBairro, GeoBairroIndicadorService, tela gestao/relatorios/geo-bairro.tsx, permissão consultar-relatorios. Testes: tests/Feature/Relatorios/GeoBairroControllerTest.php::test_geo_bairro_renderiza_inertia_com_agregacao_real_auditada; GeoBairroIndicadorServiceTest.php; GeoZonaIndicadorTest.php. SE: agregação por bairro e por zona com taxa derivada. A consulta é auditada (log relatorios) e o 403 é auditado no ponto único. A exportação é a lista de solicitações do recorte (função própria). DER=19; AR=2 (Solicitações de viabilidade, Decisões de viabilidade).</t>
  </si>
  <si>
    <t xml:space="preserve">Indicadores - consultar saturação locacional</t>
  </si>
  <si>
    <t xml:space="preserve">Prova: rota gestao.relatorios.saturacao, RelatorioController::saturacao, SaturacaoService, tela gestao/relatorios/saturacao.tsx, permissão consultar-relatorios. Testes: tests/Feature/Relatorios/SaturacaoControllerTest.php::test_saturacao_renderiza_inertia_com_agregacao_real_auditada; SaturacaoServiceTest.php. SE: percentual e situação derivados de deferidos × capacidade parametrizada (relatorios.saturacao.capacidades, alerta_percentual e bloqueio_percentual no catálogo de Parâmetros). A consulta é auditada (log relatorios) e o 403 é auditado no ponto único. A exportação é a lista de solicitações do recorte (função própria). DER=17; AR=3 (Solicitações de viabilidade, Decisões de viabilidade, Parâmetros do sistema).</t>
  </si>
  <si>
    <t xml:space="preserve">Relatórios operacionais e prestação de contas</t>
  </si>
  <si>
    <t xml:space="preserve">Relatórios - consultar sedes e abrigados de escritório virtual</t>
  </si>
  <si>
    <t xml:space="preserve">Prova: rota gestao.relatorios.escritorio-virtual, RelatorioController::escritorioVirtual, RelatorioSedeEscritorioVirtualService, tela gestao/relatorios/escritorio-virtual.tsx, permissão consultar-relatorios. Testes: tests/Feature/EscritorioVirtual/RelatorioSedeEndpointTest.php::test_lista_inertia_com_sede_e_abrigados_mapeados_por_linha. CE: lista paginada recuperada por inscrição travada sem derivação além do rótulo sede/abrigado. A consulta é auditada (log relatorios) e o 403 é auditado no ponto único. A exportação CSV/XLSX/PDF desta tela (?formato=) reapresenta o mesmo conjunto de linhas da tela, só muda o formato: faz parte desta função e não é contada à parte (mesmos DER, mesmos FTR, mesma lógica). DER=11; AR=4 (Solicitações de viabilidade, Decisões de viabilidade, Travas de inscrição do escritório virtual, Empresas).</t>
  </si>
  <si>
    <t xml:space="preserve">Relatórios - consultar pendências e exigências</t>
  </si>
  <si>
    <t xml:space="preserve">Prova: rota gestao.relatorios.pendencias, RelatorioController::pendencias, PendenciasRelatorioService, tela gestao/relatorios/pendencias.tsx, permissão consultar-relatorios. Testes: tests/Feature/Relatorios/PendenciasRelatorioTest.php::test_endpoint_renderiza_inertia_com_resumo_e_linhas_auditado, test_resumo_agrega_abertas_vencidas_respondidas_e_expiradas, test_exporta_csv_pelo_contrato_unico. SE: totais e tempo médio de resposta derivados. A consulta é auditada (log relatorios) e o 403 é auditado no ponto único. A exportação CSV/XLSX/PDF desta tela (?formato=) reapresenta o mesmo conjunto de linhas da tela, só muda o formato: faz parte desta função e não é contada à parte (mesmos DER, mesmos FTR, mesma lógica). DER=17; AR=3 (Pendências da análise, Solicitações de viabilidade, Usuário).</t>
  </si>
  <si>
    <t xml:space="preserve">Relatórios - consultar atendimento em contingência</t>
  </si>
  <si>
    <t xml:space="preserve">Prova: rota gestao.relatorios.contingencia, RelatorioController::contingencia, ContingenciaRelatorioService, tela gestao/relatorios/contingencia.tsx, permissão consultar-relatorios. Testes: tests/Feature/Relatorios/ContingenciaRelatorioTest.php::test_endpoint_renderiza_inertia_com_resumo_e_linhas_auditado, test_resumo_agrega_volume_participacao_e_motivos, test_exporta_csv_pelo_contrato_unico. SE: participação percentual e ranking de motivos derivados. A consulta é auditada (log relatorios) e o 403 é auditado no ponto único. A exportação CSV/XLSX/PDF desta tela (?formato=) reapresenta o mesmo conjunto de linhas da tela, só muda o formato: faz parte desta função e não é contada à parte (mesmos DER, mesmos FTR, mesma lógica). DER=12; AR=2 (Solicitações de viabilidade, Usuário).</t>
  </si>
  <si>
    <t xml:space="preserve">Relatórios - consultar falhas de comunicação</t>
  </si>
  <si>
    <t xml:space="preserve">Prova: rota gestao.relatorios.comunicacoes-falhas, RelatorioController::comunicacoesFalhas, ComunicacoesFalhaService, tela gestao/relatorios/comunicacoes-falhas.tsx, permissão consultar-relatorios. Testes: tests/Feature/Relatorios/ComunicacoesFalhaTest.php::test_endpoint_renderiza_inertia_com_resumo_e_linhas_auditado, test_linha_projeta_sem_expor_destinatario, test_exporta_csv_pelo_contrato_unico. SE: totais por canal derivados; o destinatário não é exposto (LGPD). A consulta é auditada (log relatorios) e o 403 é auditado no ponto único. A exportação CSV/XLSX/PDF desta tela (?formato=) reapresenta o mesmo conjunto de linhas da tela, só muda o formato: faz parte desta função e não é contada à parte (mesmos DER, mesmos FTR, mesma lógica). DER=15; AR=2 (Comunicações do processo, Solicitações de viabilidade).</t>
  </si>
  <si>
    <t xml:space="preserve">Relatórios - consultar trilha de auditoria por processo</t>
  </si>
  <si>
    <t xml:space="preserve">Prova: rota gestao.relatorios.trilha, RelatorioController::trilha, TrilhaProcessoService, tela gestao/relatorios/trilha.tsx, permissão consultar-relatorios. Testes: tests/Feature/Relatorios/TrilhaProcessoTest.php::test_trilha_consolida_transicoes_e_auditoria_ordenadas_por_data, test_endpoint_renderiza_inertia_com_a_trilha_auditado, test_protocolo_inexistente_retorna_null. CE: recuperação por protocolo, consolidando transições (subgrupo da solicitação), registro de auditoria e decisão, sem cálculo. É distinta da consulta geral da trilha de auditoria (domínio A, outro recorte e outra tela). Protocolo inexistente mostra o estado 'não encontrado'. DER=9; AR=4 (Solicitações de viabilidade, Trilha de auditoria, Decisões de viabilidade, Usuário).</t>
  </si>
  <si>
    <t xml:space="preserve">Relatórios - imprimir trilha de auditoria do processo em PDF</t>
  </si>
  <si>
    <t xml:space="preserve">Prova: rota gestao.relatorios.trilha.imprimir (GET /gestao/relatorios/trilha/imprimir?protocolo=), RelatorioController::trilhaImprimir, view documentos.trilha-processo, botão 'Imprimir PDF' da tela de trilha. Teste: TrilhaProcessoTest.php::test_impressao_pdf_da_trilha_e_real_e_auditada e test_impressao_de_protocolo_inexistente_e_404. Processo elementar independente: o usuário aciona explicitamente a impressão como objetivo próprio (documento de prestação de contas) e recebe um PDF completo, com identificação do emissor e da data de emissão, dados que a consulta em tela não traz. SE pela saída em arquivo com dados derivados (quantidade de eventos, emissor). Impressão auditada. DER=12; AR=4 (Solicitações de viabilidade, Trilha de auditoria, Decisões de viabilidade, Usuário).</t>
  </si>
  <si>
    <t xml:space="preserve">Exportação de relatórios</t>
  </si>
  <si>
    <t xml:space="preserve">Solicitações - exportar lista de solicitações do recorte</t>
  </si>
  <si>
    <t xml:space="preserve">Prova: ?formato= nas rotas gestao.relatorios.indicadores, geo-bairro e saturacao (uma só função: mesmas colunas e mesma fonte SolicitacoesReportSource), RelatorioController::exportar, comando de evidência relatorios:exportar (não conta), ExportMenu nas telas. Testes: tests/Feature/Relatorios/RelatorioControllerTest.php::test_indicadores_exporta_csv_pelo_contrato_unico_e_audita; GeoBairroControllerTest.php::test_geo_bairro_exporta_csv_pelo_contrato_unico; SaturacaoControllerTest.php::test_saturacao_exporta_csv_pelo_contrato_unico; ReportExporterTest.php::exportacao_pdf_e_um_pdf_real_com_total_de_registros; SolicitacoesReportSourceTest.php; XlsxExporterTest.php; GerarExportacaoJobTest.php::handle_grava_o_arquivo_filtrado_cria_exportfile_e_notifica; ExportacaoDownloadTest.php::test_download_com_assinatura_valida_faz_streaming_do_disco_nao_publico. Processo elementar independente: as telas de indicadores, painel por bairro e saturação exibem agregados; o arquivo traz a lista linha a linha das solicitações (conjunto de dados diferente), com saída completa pedida pelo usuário. Contada uma vez, pois as três rotas compartilham a mesma origem, colunas e lógica. Contém dado pessoal (CNPJ/empresa) e é auditada. Contrato único de exportação (ReportExporter): CSV, XLSX ou PDF pelo mesmo processo; abaixo do limiar de linhas responde na hora e acima dele gera o arquivo em segundo plano e avisa o usuário por notificação in-app com link assinado temporário de download (ExportacaoController::download, rota gestao.relatorios.exportacoes.download). Decisão CPM: a exportação é contada à parte somente quando o conjunto exportado difere do que a tela do relatório exibe (outro conjunto de DER); nos demais relatórios o arquivo repete as linhas da tela e é parte do relatório. Formato (CSV/XLSX/PDF), envio síncrono/assíncrono e o download assinado são apenas formas de entrega da mesma saída, sem DER nem FTR novos: não geram função própria. O arquivo gravado temporariamente (ExportFile) é artefato com retenção e não é ALI. DER=18; AR=4 (Solicitações de viabilidade, Decisões de viabilidade, Empresas, Usuário).</t>
  </si>
  <si>
    <t xml:space="preserve">Indicadores - exportar detalhamento do tempo por processo</t>
  </si>
  <si>
    <t xml:space="preserve">Prova: ?formato= em gestao.relatorios.tempo (TempoAnaliseReportSource). Testes: RelatorioControllerTest.php::test_tempo_exporta_detalhamento_por_padrao, test_tempo_ignora_parametro_relatorio_legado_e_exporta_tempo; TempoAnaliseReportSourceTest.php::tempo_source_traz_so_o_periodo_e_detalha_minutos_uteis_por_etapa. Processo elementar independente: a tela mostra a média por etapa; o arquivo traz o tempo de cada processo por etapa (minutos úteis derivados), um conjunto de dados que a tela não exibe. Contrato único de exportação (ReportExporter): CSV, XLSX ou PDF pelo mesmo processo; abaixo do limiar de linhas responde na hora e acima dele gera o arquivo em segundo plano e avisa o usuário por notificação in-app com link assinado temporário de download (ExportacaoController::download, rota gestao.relatorios.exportacoes.download). Decisão CPM: a exportação é contada à parte somente quando o conjunto exportado difere do que a tela do relatório exibe (outro conjunto de DER); nos demais relatórios o arquivo repete as linhas da tela e é parte do relatório. Formato (CSV/XLSX/PDF), envio síncrono/assíncrono e o download assinado são apenas formas de entrega da mesma saída, sem DER nem FTR novos: não geram função própria. O arquivo gravado temporariamente (ExportFile) é artefato com retenção e não é ALI. DER=11; AR=3 (Solicitações de viabilidade, Decisões de viabilidade, Feriados).</t>
  </si>
  <si>
    <t xml:space="preserve">Indicadores - exportar lista de quedas do fluxo expresso</t>
  </si>
  <si>
    <t xml:space="preserve">Prova: ?formato= em gestao.relatorios.quedas (ExpressoQuedaReportSource). Testes: ExpressoQuedaServiceTest.php::report_source_exporta_as_quedas_filtradas_com_colunas_corretas; ReportExporterTest.php. Processo elementar independente: a tela mostra taxa, série e ranking de motivos; o arquivo traz uma linha por queda (protocolo, CNAE, gatilho, dimensão, motivo, data), dados que a tela não exibe. Contrato único de exportação (ReportExporter): CSV, XLSX ou PDF pelo mesmo processo; abaixo do limiar de linhas responde na hora e acima dele gera o arquivo em segundo plano e avisa o usuário por notificação in-app com link assinado temporário de download (ExportacaoController::download, rota gestao.relatorios.exportacoes.download). Decisão CPM: a exportação é contada à parte somente quando o conjunto exportado difere do que a tela do relatório exibe (outro conjunto de DER); nos demais relatórios o arquivo repete as linhas da tela e é parte do relatório. Formato (CSV/XLSX/PDF), envio síncrono/assíncrono e o download assinado são apenas formas de entrega da mesma saída, sem DER nem FTR novos: não geram função própria. O arquivo gravado temporariamente (ExportFile) é artefato com retenção e não é ALI. DER=9; AR=2 (Quedas do fluxo expresso, Solicitações de viabilidade).</t>
  </si>
  <si>
    <t xml:space="preserve">Relatórios - exportar lista de sedes de escritório virtual</t>
  </si>
  <si>
    <t xml:space="preserve">Prova: ?formato=...&amp;recorte=sedes em gestao.relatorios.escritorio-virtual (EscritorioVirtualReportSource), acionado também pelo ExportMenu 'Exportar sedes de escritório virtual' da tela de tempo. Testes: tests/Feature/EscritorioVirtual/RelatorioSedeEndpointTest.php::test_exporta_lista_de_sedes_pelo_recorte_sedes; TempoAnaliseReportSourceTest.php::escritorio_virtual_source_traz_so_is_virtual_office. Processo elementar independente: a lista plana de sedes por período (empresa, CNPJ, bairro, resultado) tem DER diferentes do relatório sede × abrigados (que a tela mostra com tipo, TVL, razão social e inscrição). Contrato único de exportação (ReportExporter): CSV, XLSX ou PDF pelo mesmo processo; abaixo do limiar de linhas responde na hora e acima dele gera o arquivo em segundo plano e avisa o usuário por notificação in-app com link assinado temporário de download (ExportacaoController::download, rota gestao.relatorios.exportacoes.download). Decisão CPM: a exportação é contada à parte somente quando o conjunto exportado difere do que a tela do relatório exibe (outro conjunto de DER); nos demais relatórios o arquivo repete as linhas da tela e é parte do relatório. Formato (CSV/XLSX/PDF), envio síncrono/assíncrono e o download assinado são apenas formas de entrega da mesma saída, sem DER nem FTR novos: não geram função própria. O arquivo gravado temporariamente (ExportFile) é artefato com retenção e não é ALI. DER=10; AR=3 (Solicitações de viabilidade, Decisões de viabilidade, Empresas).</t>
  </si>
  <si>
    <t xml:space="preserve">Benchmark nacional (REDESIM)</t>
  </si>
  <si>
    <t xml:space="preserve">Dados - Métricas de benchmark REDESIM</t>
  </si>
  <si>
    <t xml:space="preserve">Prova: models BenchmarkMunicipalityMetric, BenchmarkActivityMetric e BenchmarkIngestion, migrations 2026_10_03_2008xx/2009xx/2010xx (create_benchmark_*), mantidos por BenchmarkIngestionService. Teste: tests/Feature/Benchmark/BenchmarkIngestionServiceTest.php, BenchmarkSchemaTest.php. Justificativa CPM: grupos lógicos mantidos pela aplicação (rotina mensal grava e reatualiza por UF/competência), reconhecidos pelo gestor na tela de benchmark. Os três subgrupos (município, atividade, importação) não têm tela nem criação independentes: são RLR de um único ALI. Lidos pela tela de benchmark, pela sala de controle e pelo cálculo de distância. DER=21; RLR=3.</t>
  </si>
  <si>
    <t xml:space="preserve">AIE - REDESIM (benchmark)</t>
  </si>
  <si>
    <t xml:space="preserve">Prova: RedesimClient (HTTP GET ao serviço público de estatísticas da REDESIM, arquivo XLSX por UF), RedesimSolicitacaoParser. Teste: tests/Feature/Benchmark/RedesimClientTest.php, RedesimSolicitacaoParserTest.php. Não há adaptador falso nem 'Unavailable': a chamada é real, controlada pelo interruptor features.benchmark_redesim (padrão ligado) e pelos parâmetros integrations.redesim_estatistica.*. Para demonstrar: ligar o interruptor e ter acesso à API. Fronteira: os microdados são mantidos pela REDESIM (fora da fronteira); o sistema guarda só as métricas agregadas (ALI Métricas de benchmark). DER=6; RLR=1.</t>
  </si>
  <si>
    <t xml:space="preserve">Benchmark - importar mensalmente microdados da REDESIM</t>
  </si>
  <si>
    <t xml:space="preserve">Prova: comando benchmark:importar-redesim (ImportarBenchmarkRedesim), agendado em routes/console.php (monthlyOn(10, '03:00'), withoutOverlapping, onOneServer); as opções --uf/--ano/--mes/--desde/--forcar são só de operação. Testes: tests/Feature/Benchmark/ImportarBenchmarkRedesimCommandTest.php::test_importa_uma_uf_e_competencia, test_pula_competencia_ja_importada_com_sucesso, test_competencia_que_falha_devolve_codigo_de_erro; BenchmarkIngestionServiceTest.php. Rotina agendada reconhecida pelo negócio (alimenta o benchmark), contada como SE autônoma conforme a especificação da recontagem; competência já importada é pulada, UF com falha vira lacuna visível na tela. Auditada. DER=12; AR=2 (REDESIM (benchmark), Métricas de benchmark REDESIM).</t>
  </si>
  <si>
    <t xml:space="preserve">Sumário da Contagem</t>
  </si>
  <si>
    <t xml:space="preserve">Tipo de Função</t>
  </si>
  <si>
    <t xml:space="preserve">Complexidade Funcional</t>
  </si>
  <si>
    <t xml:space="preserve">Total por Complexidade</t>
  </si>
  <si>
    <t xml:space="preserve">% </t>
  </si>
  <si>
    <t xml:space="preserve">Baixa</t>
  </si>
  <si>
    <t xml:space="preserve">x 3</t>
  </si>
  <si>
    <t xml:space="preserve">Média</t>
  </si>
  <si>
    <t xml:space="preserve">x 4</t>
  </si>
  <si>
    <t xml:space="preserve">Alta</t>
  </si>
  <si>
    <t xml:space="preserve">x 6</t>
  </si>
  <si>
    <t xml:space="preserve">Total</t>
  </si>
  <si>
    <t xml:space="preserve">x 5</t>
  </si>
  <si>
    <t xml:space="preserve">x 7</t>
  </si>
  <si>
    <t xml:space="preserve">x 10</t>
  </si>
  <si>
    <t xml:space="preserve">x 15</t>
  </si>
  <si>
    <t xml:space="preserve">Total PF não ajustados (contagem detalhada)</t>
  </si>
  <si>
    <t xml:space="preserve">Total PF não ajustados (contagem estimativa)</t>
  </si>
  <si>
    <t xml:space="preserve">Total PF não ajustados (contagem indicativa)</t>
  </si>
  <si>
    <t xml:space="preserve">Total de PF Local</t>
  </si>
  <si>
    <t xml:space="preserve">NÃO AJS</t>
  </si>
  <si>
    <t xml:space="preserve">DFL</t>
  </si>
  <si>
    <t xml:space="preserve">LOCAL</t>
  </si>
  <si>
    <t xml:space="preserve">INCLUSÃO (ADD)</t>
  </si>
  <si>
    <t xml:space="preserve">ALTERAÇÃO (CHG)</t>
  </si>
  <si>
    <t xml:space="preserve">TOTAL</t>
  </si>
  <si>
    <t xml:space="preserve">EXCLUSÃO (DEL)</t>
  </si>
  <si>
    <t xml:space="preserve">CONSULTA</t>
  </si>
</sst>
</file>

<file path=xl/styles.xml><?xml version="1.0" encoding="utf-8"?>
<styleSheet xmlns="http://schemas.openxmlformats.org/spreadsheetml/2006/main">
  <numFmts count="10">
    <numFmt numFmtId="164" formatCode="General"/>
    <numFmt numFmtId="165" formatCode="0.00"/>
    <numFmt numFmtId="166" formatCode="_(&quot;R$&quot;* #,##0.00_);_(&quot;R$&quot;* \(#,##0.00\);_(&quot;R$&quot;* \-??_);_(@_)"/>
    <numFmt numFmtId="167" formatCode="_(* #,##0.00_);_(* \(#,##0.00\);_(* \-??_);_(@_)"/>
    <numFmt numFmtId="168" formatCode="d\.m"/>
    <numFmt numFmtId="169" formatCode="dd/mm/yy"/>
    <numFmt numFmtId="170" formatCode="#,##0.00"/>
    <numFmt numFmtId="171" formatCode="0.0%"/>
    <numFmt numFmtId="172" formatCode="0.00%"/>
    <numFmt numFmtId="173" formatCode="0%"/>
  </numFmts>
  <fonts count="20">
    <font>
      <sz val="10"/>
      <color rgb="FF000000"/>
      <name val="Calibri"/>
      <family val="0"/>
      <charset val="1"/>
    </font>
    <font>
      <sz val="10"/>
      <name val="Arial"/>
      <family val="0"/>
    </font>
    <font>
      <sz val="10"/>
      <name val="Arial"/>
      <family val="0"/>
    </font>
    <font>
      <sz val="10"/>
      <name val="Arial"/>
      <family val="0"/>
    </font>
    <font>
      <sz val="10"/>
      <color theme="1"/>
      <name val="Libre Franklin"/>
      <family val="0"/>
      <charset val="1"/>
    </font>
    <font>
      <sz val="6"/>
      <color theme="1"/>
      <name val="Libre Franklin"/>
      <family val="0"/>
      <charset val="1"/>
    </font>
    <font>
      <b val="true"/>
      <sz val="10"/>
      <color theme="1"/>
      <name val="Libre Franklin"/>
      <family val="0"/>
      <charset val="1"/>
    </font>
    <font>
      <sz val="9"/>
      <color rgb="FF0000FF"/>
      <name val="Libre Franklin"/>
      <family val="0"/>
      <charset val="1"/>
    </font>
    <font>
      <sz val="9"/>
      <color theme="1"/>
      <name val="Libre Franklin"/>
      <family val="0"/>
      <charset val="1"/>
    </font>
    <font>
      <b val="true"/>
      <sz val="9"/>
      <color rgb="FF0000FF"/>
      <name val="Libre Franklin"/>
      <family val="0"/>
      <charset val="1"/>
    </font>
    <font>
      <b val="true"/>
      <sz val="9"/>
      <color theme="1"/>
      <name val="Libre Franklin"/>
      <family val="0"/>
      <charset val="1"/>
    </font>
    <font>
      <sz val="10"/>
      <color rgb="FF0000FF"/>
      <name val="Libre Franklin"/>
      <family val="0"/>
      <charset val="1"/>
    </font>
    <font>
      <b val="true"/>
      <sz val="12"/>
      <color theme="1"/>
      <name val="Libre Franklin"/>
      <family val="0"/>
      <charset val="1"/>
    </font>
    <font>
      <sz val="10"/>
      <name val="Arial"/>
      <family val="2"/>
    </font>
    <font>
      <sz val="8"/>
      <color theme="1"/>
      <name val="Libre Franklin"/>
      <family val="0"/>
      <charset val="1"/>
    </font>
    <font>
      <sz val="8"/>
      <color rgb="FFFFFFFF"/>
      <name val="Libre Franklin"/>
      <family val="0"/>
      <charset val="1"/>
    </font>
    <font>
      <sz val="10"/>
      <color rgb="FF000000"/>
      <name val="Verdana"/>
      <family val="0"/>
      <charset val="1"/>
    </font>
    <font>
      <sz val="10"/>
      <color theme="1"/>
      <name val="Calibri"/>
      <family val="0"/>
      <charset val="1"/>
    </font>
    <font>
      <sz val="8"/>
      <color rgb="FF008000"/>
      <name val="Libre Franklin"/>
      <family val="0"/>
      <charset val="1"/>
    </font>
    <font>
      <sz val="9"/>
      <color rgb="FFFFFFFF"/>
      <name val="Libre Franklin"/>
      <family val="0"/>
      <charset val="1"/>
    </font>
  </fonts>
  <fills count="12">
    <fill>
      <patternFill patternType="none"/>
    </fill>
    <fill>
      <patternFill patternType="gray125"/>
    </fill>
    <fill>
      <patternFill patternType="solid">
        <fgColor rgb="FFC0C0C0"/>
        <bgColor rgb="FFBFBFBF"/>
      </patternFill>
    </fill>
    <fill>
      <patternFill patternType="solid">
        <fgColor rgb="FFBFBFBF"/>
        <bgColor rgb="FFC0C0C0"/>
      </patternFill>
    </fill>
    <fill>
      <patternFill patternType="solid">
        <fgColor rgb="FF808080"/>
        <bgColor rgb="FF969696"/>
      </patternFill>
    </fill>
    <fill>
      <patternFill patternType="solid">
        <fgColor rgb="FFCCFFFF"/>
        <bgColor rgb="FFCCFFFF"/>
      </patternFill>
    </fill>
    <fill>
      <patternFill patternType="solid">
        <fgColor rgb="FFFFFF00"/>
        <bgColor rgb="FFFFFF00"/>
      </patternFill>
    </fill>
    <fill>
      <patternFill patternType="solid">
        <fgColor rgb="FF99CCFF"/>
        <bgColor rgb="FFC0C0C0"/>
      </patternFill>
    </fill>
    <fill>
      <patternFill patternType="solid">
        <fgColor rgb="FFCC99FF"/>
        <bgColor rgb="FF9999FF"/>
      </patternFill>
    </fill>
    <fill>
      <patternFill patternType="solid">
        <fgColor rgb="FFFFFF99"/>
        <bgColor rgb="FFFFFFCC"/>
      </patternFill>
    </fill>
    <fill>
      <patternFill patternType="solid">
        <fgColor rgb="FF00FFFF"/>
        <bgColor rgb="FF00FFFF"/>
      </patternFill>
    </fill>
    <fill>
      <patternFill patternType="solid">
        <fgColor rgb="FF993366"/>
        <bgColor rgb="FF993366"/>
      </patternFill>
    </fill>
  </fills>
  <borders count="14">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right/>
      <top style="thin"/>
      <bottom/>
      <diagonal/>
    </border>
    <border diagonalUp="false" diagonalDown="false">
      <left/>
      <right style="thin"/>
      <top/>
      <bottom/>
      <diagonal/>
    </border>
    <border diagonalUp="false" diagonalDown="false">
      <left/>
      <right style="thin"/>
      <top/>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6" fontId="8" fillId="2" borderId="1" xfId="0" applyFont="true" applyBorder="true" applyAlignment="true" applyProtection="false">
      <alignment horizontal="right" vertical="bottom" textRotation="0" wrapText="false" indent="0" shrinkToFit="false"/>
      <protection locked="true" hidden="false"/>
    </xf>
    <xf numFmtId="167" fontId="8" fillId="2" borderId="1"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8" fontId="8" fillId="0" borderId="4" xfId="0" applyFont="true" applyBorder="true" applyAlignment="false" applyProtection="false">
      <alignment horizontal="general" vertical="bottom" textRotation="0" wrapText="false" indent="0" shrinkToFit="false"/>
      <protection locked="true" hidden="false"/>
    </xf>
    <xf numFmtId="164" fontId="8" fillId="0" borderId="5"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9" fontId="8"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center" vertical="center" textRotation="90" wrapText="true" indent="0" shrinkToFit="false"/>
      <protection locked="true" hidden="false"/>
    </xf>
    <xf numFmtId="164" fontId="7" fillId="0" borderId="5"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center" vertical="center" textRotation="90" wrapText="tru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6" fillId="0" borderId="6"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8"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true" indent="0" shrinkToFit="false"/>
      <protection locked="true" hidden="false"/>
    </xf>
    <xf numFmtId="164" fontId="14" fillId="2" borderId="1" xfId="0" applyFont="true" applyBorder="true" applyAlignment="true" applyProtection="false">
      <alignment horizontal="center" vertical="bottom" textRotation="0" wrapText="true" indent="0" shrinkToFit="false"/>
      <protection locked="true" hidden="false"/>
    </xf>
    <xf numFmtId="164" fontId="14" fillId="2" borderId="1" xfId="0" applyFont="true" applyBorder="true" applyAlignment="true" applyProtection="false">
      <alignment horizontal="center" vertical="bottom" textRotation="0" wrapText="false" indent="0" shrinkToFit="false"/>
      <protection locked="true" hidden="false"/>
    </xf>
    <xf numFmtId="170" fontId="14" fillId="2"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general" vertical="center" textRotation="0" wrapText="false" indent="0" shrinkToFit="false"/>
      <protection locked="true" hidden="false"/>
    </xf>
    <xf numFmtId="164" fontId="18" fillId="5" borderId="1" xfId="0" applyFont="true" applyBorder="true" applyAlignment="true" applyProtection="false">
      <alignment horizontal="center" vertical="bottom" textRotation="0" wrapText="false" indent="0" shrinkToFit="false"/>
      <protection locked="true" hidden="false"/>
    </xf>
    <xf numFmtId="164" fontId="8" fillId="2" borderId="2" xfId="0" applyFont="true" applyBorder="true" applyAlignment="true" applyProtection="false">
      <alignment horizontal="left" vertical="center" textRotation="0" wrapText="false" indent="0" shrinkToFit="false"/>
      <protection locked="true" hidden="false"/>
    </xf>
    <xf numFmtId="164" fontId="8" fillId="2" borderId="7" xfId="0" applyFont="true" applyBorder="true" applyAlignment="true" applyProtection="false">
      <alignment horizontal="left" vertical="center" textRotation="0" wrapText="false" indent="0" shrinkToFit="false"/>
      <protection locked="true" hidden="false"/>
    </xf>
    <xf numFmtId="164" fontId="8" fillId="2" borderId="4" xfId="0" applyFont="true" applyBorder="true" applyAlignment="true" applyProtection="false">
      <alignment horizontal="left" vertical="center" textRotation="0" wrapText="false" indent="0" shrinkToFit="false"/>
      <protection locked="true" hidden="false"/>
    </xf>
    <xf numFmtId="168" fontId="8" fillId="2" borderId="7" xfId="0" applyFont="true" applyBorder="true" applyAlignment="true" applyProtection="false">
      <alignment horizontal="left" vertical="center"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8" fillId="2" borderId="8" xfId="0" applyFont="true" applyBorder="true" applyAlignment="true" applyProtection="false">
      <alignment horizontal="left" vertical="center" textRotation="0" wrapText="false" indent="0" shrinkToFit="false"/>
      <protection locked="true" hidden="false"/>
    </xf>
    <xf numFmtId="164" fontId="8" fillId="2" borderId="2" xfId="0" applyFont="true" applyBorder="true" applyAlignment="true" applyProtection="false">
      <alignment horizontal="general" vertical="center" textRotation="0" wrapText="false" indent="0" shrinkToFit="false"/>
      <protection locked="true" hidden="false"/>
    </xf>
    <xf numFmtId="164" fontId="8" fillId="2" borderId="4" xfId="0" applyFont="true" applyBorder="true" applyAlignment="true" applyProtection="false">
      <alignment horizontal="general" vertical="center"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4" xfId="0" applyFont="true" applyBorder="true" applyAlignment="true" applyProtection="false">
      <alignment horizontal="center" vertical="center" textRotation="0" wrapText="false" indent="0" shrinkToFit="false"/>
      <protection locked="true" hidden="false"/>
    </xf>
    <xf numFmtId="164" fontId="8" fillId="6" borderId="9" xfId="0" applyFont="true" applyBorder="true" applyAlignment="true" applyProtection="false">
      <alignment horizontal="center" vertical="center" textRotation="0" wrapText="false" indent="0" shrinkToFit="false"/>
      <protection locked="true" hidden="false"/>
    </xf>
    <xf numFmtId="164" fontId="19" fillId="4" borderId="2" xfId="0" applyFont="true" applyBorder="true" applyAlignment="true" applyProtection="false">
      <alignment horizontal="center" vertical="center" textRotation="0" wrapText="true" indent="0" shrinkToFit="false"/>
      <protection locked="true" hidden="false"/>
    </xf>
    <xf numFmtId="164" fontId="19" fillId="4" borderId="4" xfId="0" applyFont="true" applyBorder="true" applyAlignment="true" applyProtection="false">
      <alignment horizontal="center" vertical="center" textRotation="0" wrapText="false" indent="0" shrinkToFit="false"/>
      <protection locked="true" hidden="false"/>
    </xf>
    <xf numFmtId="164" fontId="19" fillId="4" borderId="6" xfId="0" applyFont="true" applyBorder="true" applyAlignment="true" applyProtection="false">
      <alignment horizontal="center" vertical="center" textRotation="0" wrapText="true" indent="0" shrinkToFit="false"/>
      <protection locked="true" hidden="false"/>
    </xf>
    <xf numFmtId="164" fontId="19" fillId="4" borderId="9" xfId="0" applyFont="true" applyBorder="true" applyAlignment="true" applyProtection="false">
      <alignment horizontal="center" vertical="center" textRotation="0" wrapText="true" indent="0" shrinkToFit="false"/>
      <protection locked="true" hidden="false"/>
    </xf>
    <xf numFmtId="164" fontId="19" fillId="4" borderId="5" xfId="0" applyFont="true" applyBorder="true" applyAlignment="true" applyProtection="false">
      <alignment horizontal="center" vertical="center" textRotation="0" wrapText="tru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8" fillId="0" borderId="7" xfId="0" applyFont="true" applyBorder="true" applyAlignment="false" applyProtection="false">
      <alignment horizontal="general" vertical="bottom" textRotation="0" wrapText="false" indent="0" shrinkToFit="false"/>
      <protection locked="true" hidden="false"/>
    </xf>
    <xf numFmtId="164" fontId="8" fillId="0" borderId="11" xfId="0" applyFont="true" applyBorder="true" applyAlignment="false" applyProtection="false">
      <alignment horizontal="general" vertical="bottom" textRotation="0" wrapText="false" indent="0" shrinkToFit="false"/>
      <protection locked="true" hidden="false"/>
    </xf>
    <xf numFmtId="164" fontId="8" fillId="0" borderId="12" xfId="0" applyFont="true" applyBorder="true" applyAlignment="false" applyProtection="false">
      <alignment horizontal="general" vertical="bottom"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4" fontId="8" fillId="0" borderId="8" xfId="0" applyFont="true" applyBorder="true" applyAlignment="false" applyProtection="false">
      <alignment horizontal="general" vertical="bottom" textRotation="0" wrapText="false" indent="0" shrinkToFit="false"/>
      <protection locked="true" hidden="false"/>
    </xf>
    <xf numFmtId="172" fontId="8" fillId="0" borderId="8"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1" fontId="8" fillId="7" borderId="0" xfId="0" applyFont="true" applyBorder="tru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9" xfId="0" applyFont="true" applyBorder="true" applyAlignment="false" applyProtection="false">
      <alignment horizontal="general" vertical="bottom" textRotation="0" wrapText="false" indent="0" shrinkToFit="false"/>
      <protection locked="true" hidden="false"/>
    </xf>
    <xf numFmtId="171" fontId="8" fillId="8" borderId="0" xfId="0" applyFont="true" applyBorder="true" applyAlignment="false" applyProtection="false">
      <alignment horizontal="general" vertical="bottom" textRotation="0" wrapText="false" indent="0" shrinkToFit="false"/>
      <protection locked="true" hidden="false"/>
    </xf>
    <xf numFmtId="171" fontId="8" fillId="9" borderId="0" xfId="0" applyFont="true" applyBorder="true" applyAlignment="false" applyProtection="false">
      <alignment horizontal="general" vertical="bottom" textRotation="0" wrapText="false" indent="0" shrinkToFit="false"/>
      <protection locked="true" hidden="false"/>
    </xf>
    <xf numFmtId="171" fontId="8" fillId="10" borderId="0" xfId="0" applyFont="true" applyBorder="true" applyAlignment="false" applyProtection="false">
      <alignment horizontal="general" vertical="bottom" textRotation="0" wrapText="false" indent="0" shrinkToFit="false"/>
      <protection locked="true" hidden="false"/>
    </xf>
    <xf numFmtId="171" fontId="8" fillId="11"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10"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008000"/>
      </font>
      <fill>
        <patternFill>
          <bgColor rgb="FFCCFFFF"/>
        </patternFill>
      </fill>
    </dxf>
    <dxf>
      <font>
        <color rgb="FFFF6600"/>
      </font>
      <fill>
        <patternFill>
          <bgColor rgb="FFFFFF99"/>
        </patternFill>
      </fill>
    </dxf>
    <dxf>
      <font>
        <color rgb="FFFF0000"/>
      </font>
      <fill>
        <patternFill>
          <bgColor rgb="FFFFCC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FBFB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_rels/drawing2.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28440</xdr:colOff>
      <xdr:row>0</xdr:row>
      <xdr:rowOff>85680</xdr:rowOff>
    </xdr:from>
    <xdr:to>
      <xdr:col>2</xdr:col>
      <xdr:colOff>165600</xdr:colOff>
      <xdr:row>2</xdr:row>
      <xdr:rowOff>56520</xdr:rowOff>
    </xdr:to>
    <xdr:pic>
      <xdr:nvPicPr>
        <xdr:cNvPr id="1" name="image1.jpg"/>
        <xdr:cNvPicPr/>
      </xdr:nvPicPr>
      <xdr:blipFill>
        <a:blip r:embed="rId1"/>
        <a:stretch/>
      </xdr:blipFill>
      <xdr:spPr>
        <a:xfrm>
          <a:off x="28440" y="85680"/>
          <a:ext cx="485280" cy="3139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28440</xdr:colOff>
      <xdr:row>0</xdr:row>
      <xdr:rowOff>85680</xdr:rowOff>
    </xdr:from>
    <xdr:to>
      <xdr:col>1</xdr:col>
      <xdr:colOff>330120</xdr:colOff>
      <xdr:row>2</xdr:row>
      <xdr:rowOff>56520</xdr:rowOff>
    </xdr:to>
    <xdr:pic>
      <xdr:nvPicPr>
        <xdr:cNvPr id="2" name="image1.jpg"/>
        <xdr:cNvPicPr/>
      </xdr:nvPicPr>
      <xdr:blipFill>
        <a:blip r:embed="rId1"/>
        <a:stretch/>
      </xdr:blipFill>
      <xdr:spPr>
        <a:xfrm>
          <a:off x="28440" y="85680"/>
          <a:ext cx="485280" cy="313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7" min="1" style="0" width="2.71"/>
    <col collapsed="false" customWidth="true" hidden="false" outlineLevel="0" max="18" min="18" style="0" width="4.29"/>
    <col collapsed="false" customWidth="true" hidden="false" outlineLevel="0" max="19" min="19" style="0" width="3.42"/>
    <col collapsed="false" customWidth="true" hidden="false" outlineLevel="0" max="47" min="20" style="0" width="2.71"/>
  </cols>
  <sheetData>
    <row r="1" customFormat="false" ht="13.5" hidden="false" customHeight="true" outlineLevel="0" collapsed="false">
      <c r="A1" s="1"/>
      <c r="B1" s="1"/>
      <c r="C1" s="1"/>
      <c r="D1" s="1" t="s">
        <v>0</v>
      </c>
      <c r="E1" s="1"/>
      <c r="F1" s="1"/>
      <c r="G1" s="1"/>
      <c r="H1" s="1"/>
      <c r="I1" s="1"/>
      <c r="J1" s="1"/>
      <c r="K1" s="1"/>
      <c r="L1" s="1"/>
      <c r="M1" s="1"/>
      <c r="N1" s="1"/>
      <c r="O1" s="1"/>
      <c r="P1" s="1"/>
      <c r="Q1" s="1"/>
      <c r="R1" s="1"/>
      <c r="S1" s="1"/>
      <c r="T1" s="1"/>
      <c r="U1" s="1"/>
      <c r="V1" s="1"/>
      <c r="W1" s="1"/>
      <c r="X1" s="1"/>
      <c r="Y1" s="2"/>
      <c r="Z1" s="2"/>
      <c r="AA1" s="2"/>
      <c r="AB1" s="2"/>
      <c r="AC1" s="2"/>
      <c r="AD1" s="2"/>
      <c r="AE1" s="2"/>
      <c r="AF1" s="2"/>
      <c r="AG1" s="2"/>
      <c r="AH1" s="2"/>
      <c r="AI1" s="2"/>
      <c r="AJ1" s="2"/>
      <c r="AK1" s="2"/>
      <c r="AL1" s="2"/>
      <c r="AM1" s="2"/>
      <c r="AN1" s="2"/>
      <c r="AO1" s="2"/>
      <c r="AP1" s="2"/>
      <c r="AQ1" s="2"/>
      <c r="AR1" s="2"/>
      <c r="AS1" s="2"/>
      <c r="AT1" s="2"/>
      <c r="AU1" s="2"/>
    </row>
    <row r="2" customFormat="false" ht="13.5" hidden="false" customHeight="true" outlineLevel="0" collapsed="false">
      <c r="A2" s="1"/>
      <c r="B2" s="1"/>
      <c r="C2" s="1"/>
      <c r="D2" s="1" t="s">
        <v>1</v>
      </c>
      <c r="E2" s="1"/>
      <c r="F2" s="1"/>
      <c r="G2" s="1"/>
      <c r="H2" s="1"/>
      <c r="I2" s="1"/>
      <c r="J2" s="1"/>
      <c r="K2" s="1"/>
      <c r="L2" s="1"/>
      <c r="M2" s="1"/>
      <c r="N2" s="1"/>
      <c r="O2" s="1"/>
      <c r="P2" s="1"/>
      <c r="Q2" s="1"/>
      <c r="R2" s="1"/>
      <c r="S2" s="1"/>
      <c r="T2" s="1"/>
      <c r="U2" s="1"/>
      <c r="V2" s="1"/>
      <c r="W2" s="1"/>
      <c r="X2" s="1"/>
      <c r="Y2" s="2"/>
      <c r="Z2" s="2"/>
      <c r="AA2" s="2"/>
      <c r="AB2" s="2"/>
      <c r="AC2" s="2"/>
      <c r="AD2" s="2"/>
      <c r="AE2" s="2"/>
      <c r="AF2" s="2"/>
      <c r="AG2" s="2"/>
      <c r="AH2" s="2"/>
      <c r="AI2" s="2"/>
      <c r="AJ2" s="2"/>
      <c r="AK2" s="2"/>
      <c r="AL2" s="2"/>
      <c r="AM2" s="2"/>
      <c r="AN2" s="2"/>
      <c r="AO2" s="2"/>
      <c r="AP2" s="2"/>
      <c r="AQ2" s="2"/>
      <c r="AR2" s="2"/>
      <c r="AS2" s="2"/>
      <c r="AT2" s="2"/>
      <c r="AU2" s="2"/>
    </row>
    <row r="3" customFormat="false" ht="13.5" hidden="false" customHeight="true" outlineLevel="0" collapsed="false">
      <c r="A3" s="1"/>
      <c r="B3" s="1"/>
      <c r="C3" s="1"/>
      <c r="D3" s="3" t="s">
        <v>2</v>
      </c>
      <c r="E3" s="1"/>
      <c r="F3" s="1"/>
      <c r="G3" s="1"/>
      <c r="H3" s="1"/>
      <c r="I3" s="1"/>
      <c r="J3" s="1"/>
      <c r="K3" s="1"/>
      <c r="L3" s="1"/>
      <c r="M3" s="1"/>
      <c r="N3" s="1"/>
      <c r="O3" s="1"/>
      <c r="P3" s="1"/>
      <c r="Q3" s="1"/>
      <c r="R3" s="1"/>
      <c r="S3" s="1"/>
      <c r="T3" s="1"/>
      <c r="U3" s="1"/>
      <c r="V3" s="1"/>
      <c r="W3" s="1"/>
      <c r="X3" s="1"/>
      <c r="Y3" s="2"/>
      <c r="Z3" s="2"/>
      <c r="AA3" s="2"/>
      <c r="AB3" s="2"/>
      <c r="AC3" s="2"/>
      <c r="AD3" s="2"/>
      <c r="AE3" s="2"/>
      <c r="AF3" s="2"/>
      <c r="AG3" s="2"/>
      <c r="AH3" s="2"/>
      <c r="AI3" s="2"/>
      <c r="AJ3" s="2"/>
      <c r="AK3" s="2"/>
      <c r="AL3" s="2"/>
      <c r="AM3" s="2"/>
      <c r="AN3" s="2"/>
      <c r="AO3" s="2"/>
      <c r="AP3" s="2"/>
      <c r="AQ3" s="2"/>
      <c r="AR3" s="2"/>
      <c r="AS3" s="2"/>
      <c r="AT3" s="2"/>
      <c r="AU3" s="2"/>
    </row>
    <row r="4" customFormat="false" ht="12" hidden="false" customHeight="true" outlineLevel="0" collapsed="false">
      <c r="A4" s="4"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2"/>
      <c r="AF4" s="2"/>
      <c r="AG4" s="2"/>
      <c r="AH4" s="2"/>
      <c r="AI4" s="2"/>
      <c r="AJ4" s="2"/>
      <c r="AK4" s="2"/>
      <c r="AL4" s="2"/>
      <c r="AM4" s="2"/>
      <c r="AN4" s="2"/>
      <c r="AO4" s="2"/>
      <c r="AP4" s="2"/>
      <c r="AQ4" s="2"/>
      <c r="AR4" s="2"/>
      <c r="AS4" s="2"/>
      <c r="AT4" s="2"/>
      <c r="AU4" s="2"/>
    </row>
    <row r="5" customFormat="false" ht="12" hidden="false" customHeight="true" outlineLevel="0" collapsed="fals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2"/>
      <c r="AF5" s="2"/>
      <c r="AG5" s="2"/>
      <c r="AH5" s="2"/>
      <c r="AI5" s="2"/>
      <c r="AJ5" s="2"/>
      <c r="AK5" s="2"/>
      <c r="AL5" s="2"/>
      <c r="AM5" s="2"/>
      <c r="AN5" s="2"/>
      <c r="AO5" s="2"/>
      <c r="AP5" s="2"/>
      <c r="AQ5" s="2"/>
      <c r="AR5" s="2"/>
      <c r="AS5" s="2"/>
      <c r="AT5" s="2"/>
      <c r="AU5" s="2"/>
    </row>
    <row r="6" customFormat="false" ht="12" hidden="false" customHeight="true" outlineLevel="0" collapsed="false">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1"/>
      <c r="AF6" s="1"/>
      <c r="AG6" s="1"/>
      <c r="AH6" s="1"/>
      <c r="AI6" s="1"/>
      <c r="AJ6" s="1"/>
      <c r="AK6" s="1"/>
      <c r="AL6" s="1"/>
      <c r="AM6" s="1"/>
      <c r="AN6" s="1"/>
      <c r="AO6" s="1"/>
      <c r="AP6" s="1"/>
      <c r="AQ6" s="1"/>
      <c r="AR6" s="1"/>
      <c r="AS6" s="1"/>
      <c r="AT6" s="1"/>
      <c r="AU6" s="1"/>
    </row>
    <row r="7" customFormat="false" ht="13.5" hidden="false" customHeight="true" outlineLevel="0" collapsed="false">
      <c r="A7" s="5" t="s">
        <v>4</v>
      </c>
      <c r="B7" s="5"/>
      <c r="C7" s="5"/>
      <c r="D7" s="5"/>
      <c r="E7" s="5"/>
      <c r="F7" s="6" t="s">
        <v>0</v>
      </c>
      <c r="G7" s="6"/>
      <c r="H7" s="6"/>
      <c r="I7" s="6"/>
      <c r="J7" s="6"/>
      <c r="K7" s="6"/>
      <c r="L7" s="6"/>
      <c r="M7" s="6"/>
      <c r="N7" s="6"/>
      <c r="O7" s="6"/>
      <c r="P7" s="6"/>
      <c r="Q7" s="6"/>
      <c r="R7" s="7" t="s">
        <v>5</v>
      </c>
      <c r="S7" s="7"/>
      <c r="T7" s="8" t="n">
        <v>700</v>
      </c>
      <c r="U7" s="8"/>
      <c r="V7" s="8"/>
      <c r="W7" s="7" t="s">
        <v>6</v>
      </c>
      <c r="X7" s="7"/>
      <c r="Y7" s="9" t="n">
        <f aca="false">Y8*T7</f>
        <v>1081500</v>
      </c>
      <c r="Z7" s="9"/>
      <c r="AA7" s="9"/>
      <c r="AB7" s="9"/>
      <c r="AC7" s="9"/>
      <c r="AD7" s="9"/>
      <c r="AE7" s="1"/>
      <c r="AF7" s="1"/>
      <c r="AG7" s="1"/>
      <c r="AH7" s="1"/>
      <c r="AI7" s="1"/>
      <c r="AJ7" s="1"/>
      <c r="AK7" s="1"/>
      <c r="AL7" s="1"/>
      <c r="AM7" s="1"/>
      <c r="AN7" s="1"/>
      <c r="AO7" s="1"/>
      <c r="AP7" s="1"/>
      <c r="AQ7" s="1"/>
      <c r="AR7" s="1"/>
      <c r="AS7" s="1"/>
      <c r="AT7" s="1"/>
      <c r="AU7" s="1"/>
    </row>
    <row r="8" customFormat="false" ht="13.5" hidden="false" customHeight="true" outlineLevel="0" collapsed="false">
      <c r="A8" s="5" t="s">
        <v>7</v>
      </c>
      <c r="B8" s="5"/>
      <c r="C8" s="5"/>
      <c r="D8" s="5"/>
      <c r="E8" s="5"/>
      <c r="F8" s="6" t="s">
        <v>8</v>
      </c>
      <c r="G8" s="6"/>
      <c r="H8" s="6"/>
      <c r="I8" s="6"/>
      <c r="J8" s="6"/>
      <c r="K8" s="6"/>
      <c r="L8" s="6"/>
      <c r="M8" s="6"/>
      <c r="N8" s="6"/>
      <c r="O8" s="6"/>
      <c r="P8" s="6"/>
      <c r="Q8" s="6"/>
      <c r="R8" s="6"/>
      <c r="S8" s="6"/>
      <c r="T8" s="6"/>
      <c r="U8" s="6"/>
      <c r="V8" s="6"/>
      <c r="W8" s="7" t="s">
        <v>9</v>
      </c>
      <c r="X8" s="7"/>
      <c r="Y8" s="10" t="n">
        <f aca="false">SUM(AA15:AA18)</f>
        <v>1545</v>
      </c>
      <c r="Z8" s="10"/>
      <c r="AA8" s="10"/>
      <c r="AB8" s="10"/>
      <c r="AC8" s="10"/>
      <c r="AD8" s="10"/>
      <c r="AE8" s="1"/>
      <c r="AF8" s="1"/>
      <c r="AG8" s="1"/>
      <c r="AH8" s="1"/>
      <c r="AI8" s="1"/>
      <c r="AJ8" s="1"/>
      <c r="AK8" s="1"/>
      <c r="AL8" s="1"/>
      <c r="AM8" s="1"/>
      <c r="AN8" s="1"/>
      <c r="AO8" s="1"/>
      <c r="AP8" s="1"/>
      <c r="AQ8" s="1"/>
      <c r="AR8" s="1"/>
      <c r="AS8" s="1"/>
      <c r="AT8" s="1"/>
      <c r="AU8" s="1"/>
    </row>
    <row r="9" customFormat="false" ht="13.5" hidden="false" customHeight="true" outlineLevel="0" collapsed="false">
      <c r="A9" s="5" t="s">
        <v>10</v>
      </c>
      <c r="B9" s="5"/>
      <c r="C9" s="5"/>
      <c r="D9" s="5"/>
      <c r="E9" s="5"/>
      <c r="F9" s="11" t="s">
        <v>11</v>
      </c>
      <c r="G9" s="11"/>
      <c r="H9" s="11"/>
      <c r="I9" s="11"/>
      <c r="J9" s="11"/>
      <c r="K9" s="11"/>
      <c r="L9" s="11"/>
      <c r="M9" s="11"/>
      <c r="N9" s="11"/>
      <c r="O9" s="11"/>
      <c r="P9" s="11"/>
      <c r="Q9" s="11"/>
      <c r="R9" s="11"/>
      <c r="S9" s="11"/>
      <c r="T9" s="11"/>
      <c r="U9" s="11"/>
      <c r="V9" s="11"/>
      <c r="W9" s="11"/>
      <c r="X9" s="11"/>
      <c r="Y9" s="11"/>
      <c r="Z9" s="11"/>
      <c r="AA9" s="11"/>
      <c r="AB9" s="11"/>
      <c r="AC9" s="11"/>
      <c r="AD9" s="11"/>
      <c r="AE9" s="1"/>
      <c r="AF9" s="1"/>
      <c r="AG9" s="1"/>
      <c r="AH9" s="1"/>
      <c r="AI9" s="1"/>
      <c r="AJ9" s="1"/>
      <c r="AK9" s="1"/>
      <c r="AL9" s="1"/>
      <c r="AM9" s="1"/>
      <c r="AN9" s="1"/>
      <c r="AO9" s="1"/>
      <c r="AP9" s="1"/>
      <c r="AQ9" s="1"/>
      <c r="AR9" s="1"/>
      <c r="AS9" s="1"/>
      <c r="AT9" s="1"/>
      <c r="AU9" s="1"/>
    </row>
    <row r="10" customFormat="false" ht="13.5" hidden="false" customHeight="true" outlineLevel="0" collapsed="false">
      <c r="A10" s="5" t="s">
        <v>12</v>
      </c>
      <c r="B10" s="5"/>
      <c r="C10" s="5"/>
      <c r="D10" s="5"/>
      <c r="E10" s="5"/>
      <c r="F10" s="6" t="s">
        <v>13</v>
      </c>
      <c r="G10" s="6"/>
      <c r="H10" s="6"/>
      <c r="I10" s="6"/>
      <c r="J10" s="6"/>
      <c r="K10" s="5" t="s">
        <v>14</v>
      </c>
      <c r="L10" s="5"/>
      <c r="M10" s="5"/>
      <c r="N10" s="12" t="s">
        <v>15</v>
      </c>
      <c r="O10" s="12"/>
      <c r="P10" s="12"/>
      <c r="Q10" s="13"/>
      <c r="R10" s="13"/>
      <c r="S10" s="13"/>
      <c r="T10" s="13"/>
      <c r="U10" s="13"/>
      <c r="V10" s="13"/>
      <c r="W10" s="13"/>
      <c r="X10" s="13"/>
      <c r="Y10" s="13"/>
      <c r="Z10" s="13"/>
      <c r="AA10" s="13"/>
      <c r="AB10" s="13"/>
      <c r="AC10" s="13"/>
      <c r="AD10" s="13"/>
      <c r="AE10" s="1"/>
      <c r="AF10" s="1"/>
      <c r="AG10" s="1"/>
      <c r="AH10" s="1"/>
      <c r="AI10" s="1"/>
      <c r="AJ10" s="1"/>
      <c r="AK10" s="1"/>
      <c r="AL10" s="1"/>
      <c r="AM10" s="1"/>
      <c r="AN10" s="1"/>
      <c r="AO10" s="1"/>
      <c r="AP10" s="1"/>
      <c r="AQ10" s="1"/>
      <c r="AR10" s="1"/>
      <c r="AS10" s="1"/>
      <c r="AT10" s="1"/>
      <c r="AU10" s="1"/>
    </row>
    <row r="11" customFormat="false" ht="13.5" hidden="false" customHeight="true" outlineLevel="0" collapsed="false">
      <c r="A11" s="5" t="s">
        <v>16</v>
      </c>
      <c r="B11" s="5"/>
      <c r="C11" s="5"/>
      <c r="D11" s="5"/>
      <c r="E11" s="5"/>
      <c r="F11" s="6" t="s">
        <v>17</v>
      </c>
      <c r="G11" s="6"/>
      <c r="H11" s="6"/>
      <c r="I11" s="6"/>
      <c r="J11" s="6"/>
      <c r="K11" s="6"/>
      <c r="L11" s="6"/>
      <c r="M11" s="6"/>
      <c r="N11" s="6"/>
      <c r="O11" s="6"/>
      <c r="P11" s="6"/>
      <c r="Q11" s="6"/>
      <c r="R11" s="6"/>
      <c r="S11" s="6"/>
      <c r="T11" s="6"/>
      <c r="U11" s="6"/>
      <c r="V11" s="6"/>
      <c r="W11" s="14" t="s">
        <v>18</v>
      </c>
      <c r="X11" s="14"/>
      <c r="Y11" s="14"/>
      <c r="Z11" s="15" t="s">
        <v>19</v>
      </c>
      <c r="AA11" s="15"/>
      <c r="AB11" s="15"/>
      <c r="AC11" s="15"/>
      <c r="AD11" s="15"/>
      <c r="AE11" s="1"/>
      <c r="AF11" s="1"/>
      <c r="AG11" s="1"/>
      <c r="AH11" s="1"/>
      <c r="AI11" s="1"/>
      <c r="AJ11" s="1"/>
      <c r="AK11" s="1"/>
      <c r="AL11" s="1"/>
      <c r="AM11" s="1"/>
      <c r="AN11" s="1"/>
      <c r="AO11" s="1"/>
      <c r="AP11" s="1"/>
      <c r="AQ11" s="1"/>
      <c r="AR11" s="1"/>
      <c r="AS11" s="1"/>
      <c r="AT11" s="1"/>
      <c r="AU11" s="1"/>
    </row>
    <row r="12" customFormat="false" ht="13.5" hidden="false" customHeight="true" outlineLevel="0" collapsed="false">
      <c r="A12" s="5" t="s">
        <v>20</v>
      </c>
      <c r="B12" s="5"/>
      <c r="C12" s="5"/>
      <c r="D12" s="5"/>
      <c r="E12" s="5"/>
      <c r="F12" s="6" t="s">
        <v>21</v>
      </c>
      <c r="G12" s="6"/>
      <c r="H12" s="6"/>
      <c r="I12" s="6"/>
      <c r="J12" s="6"/>
      <c r="K12" s="6"/>
      <c r="L12" s="6"/>
      <c r="M12" s="6"/>
      <c r="N12" s="6"/>
      <c r="O12" s="6"/>
      <c r="P12" s="6"/>
      <c r="Q12" s="6"/>
      <c r="R12" s="6"/>
      <c r="S12" s="6"/>
      <c r="T12" s="6"/>
      <c r="U12" s="6"/>
      <c r="V12" s="6"/>
      <c r="W12" s="14" t="s">
        <v>22</v>
      </c>
      <c r="X12" s="14"/>
      <c r="Y12" s="14"/>
      <c r="Z12" s="15" t="s">
        <v>19</v>
      </c>
      <c r="AA12" s="15"/>
      <c r="AB12" s="15"/>
      <c r="AC12" s="15"/>
      <c r="AD12" s="15"/>
      <c r="AE12" s="1"/>
      <c r="AF12" s="1"/>
      <c r="AG12" s="1"/>
      <c r="AH12" s="1"/>
      <c r="AI12" s="1"/>
      <c r="AJ12" s="1"/>
      <c r="AK12" s="1"/>
      <c r="AL12" s="1"/>
      <c r="AM12" s="1"/>
      <c r="AN12" s="1"/>
      <c r="AO12" s="1"/>
      <c r="AP12" s="1"/>
      <c r="AQ12" s="1"/>
      <c r="AR12" s="1"/>
      <c r="AS12" s="1"/>
      <c r="AT12" s="1"/>
      <c r="AU12" s="1"/>
    </row>
    <row r="13" customFormat="false" ht="13.5" hidden="false" customHeight="tru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row>
    <row r="14" customFormat="false" ht="13.5" hidden="false" customHeight="true" outlineLevel="0" collapsed="false">
      <c r="A14" s="16" t="s">
        <v>23</v>
      </c>
      <c r="B14" s="16"/>
      <c r="C14" s="17" t="s">
        <v>24</v>
      </c>
      <c r="D14" s="17"/>
      <c r="E14" s="17"/>
      <c r="F14" s="17"/>
      <c r="G14" s="17"/>
      <c r="H14" s="17"/>
      <c r="I14" s="17"/>
      <c r="J14" s="17"/>
      <c r="K14" s="17"/>
      <c r="L14" s="18"/>
      <c r="M14" s="19"/>
      <c r="N14" s="19"/>
      <c r="O14" s="20" t="s">
        <v>25</v>
      </c>
      <c r="P14" s="20"/>
      <c r="Q14" s="7" t="s">
        <v>26</v>
      </c>
      <c r="R14" s="7"/>
      <c r="S14" s="7"/>
      <c r="T14" s="7"/>
      <c r="U14" s="7"/>
      <c r="V14" s="7"/>
      <c r="W14" s="7" t="s">
        <v>27</v>
      </c>
      <c r="X14" s="7"/>
      <c r="Y14" s="7"/>
      <c r="Z14" s="7"/>
      <c r="AA14" s="7" t="s">
        <v>28</v>
      </c>
      <c r="AB14" s="7"/>
      <c r="AC14" s="7"/>
      <c r="AD14" s="7"/>
      <c r="AE14" s="21"/>
      <c r="AF14" s="21"/>
      <c r="AG14" s="1"/>
      <c r="AH14" s="1"/>
      <c r="AI14" s="1"/>
      <c r="AJ14" s="1"/>
      <c r="AK14" s="1"/>
      <c r="AL14" s="1"/>
      <c r="AM14" s="1"/>
      <c r="AN14" s="1"/>
      <c r="AO14" s="1"/>
      <c r="AP14" s="1"/>
      <c r="AQ14" s="1"/>
      <c r="AR14" s="1"/>
      <c r="AS14" s="1"/>
      <c r="AT14" s="1"/>
      <c r="AU14" s="1"/>
    </row>
    <row r="15" customFormat="false" ht="13.5" hidden="false" customHeight="true" outlineLevel="0" collapsed="false">
      <c r="A15" s="16"/>
      <c r="B15" s="16"/>
      <c r="C15" s="17" t="s">
        <v>29</v>
      </c>
      <c r="D15" s="17"/>
      <c r="E15" s="17"/>
      <c r="F15" s="17"/>
      <c r="G15" s="17"/>
      <c r="H15" s="17"/>
      <c r="I15" s="17"/>
      <c r="J15" s="17"/>
      <c r="K15" s="17"/>
      <c r="L15" s="18" t="s">
        <v>30</v>
      </c>
      <c r="M15" s="19"/>
      <c r="N15" s="19"/>
      <c r="O15" s="20"/>
      <c r="P15" s="20"/>
      <c r="Q15" s="14" t="s">
        <v>31</v>
      </c>
      <c r="R15" s="14"/>
      <c r="S15" s="10" t="n">
        <f aca="false">Sumário!E57</f>
        <v>1545</v>
      </c>
      <c r="T15" s="10"/>
      <c r="U15" s="10"/>
      <c r="V15" s="10"/>
      <c r="W15" s="22" t="n">
        <v>1</v>
      </c>
      <c r="X15" s="22"/>
      <c r="Y15" s="22"/>
      <c r="Z15" s="22"/>
      <c r="AA15" s="10" t="n">
        <f aca="false">S15*W15</f>
        <v>1545</v>
      </c>
      <c r="AB15" s="10"/>
      <c r="AC15" s="10"/>
      <c r="AD15" s="10"/>
      <c r="AE15" s="1"/>
      <c r="AF15" s="1"/>
      <c r="AG15" s="1"/>
      <c r="AH15" s="1"/>
      <c r="AI15" s="1"/>
      <c r="AJ15" s="1"/>
      <c r="AK15" s="1"/>
      <c r="AL15" s="1"/>
      <c r="AM15" s="1"/>
      <c r="AN15" s="1"/>
      <c r="AO15" s="1"/>
      <c r="AP15" s="1"/>
      <c r="AQ15" s="1"/>
      <c r="AR15" s="1"/>
      <c r="AS15" s="1"/>
      <c r="AT15" s="1"/>
      <c r="AU15" s="1"/>
    </row>
    <row r="16" customFormat="false" ht="13.5" hidden="false" customHeight="true" outlineLevel="0" collapsed="false">
      <c r="A16" s="16"/>
      <c r="B16" s="16"/>
      <c r="C16" s="17" t="s">
        <v>32</v>
      </c>
      <c r="D16" s="17"/>
      <c r="E16" s="17"/>
      <c r="F16" s="17"/>
      <c r="G16" s="17"/>
      <c r="H16" s="17"/>
      <c r="I16" s="17"/>
      <c r="J16" s="17"/>
      <c r="K16" s="17"/>
      <c r="L16" s="18"/>
      <c r="M16" s="19"/>
      <c r="N16" s="19"/>
      <c r="O16" s="20"/>
      <c r="P16" s="20"/>
      <c r="Q16" s="23" t="s">
        <v>33</v>
      </c>
      <c r="R16" s="23"/>
      <c r="S16" s="10" t="n">
        <f aca="false">Sumário!E58</f>
        <v>0</v>
      </c>
      <c r="T16" s="10"/>
      <c r="U16" s="10"/>
      <c r="V16" s="10"/>
      <c r="W16" s="22" t="n">
        <v>0.8</v>
      </c>
      <c r="X16" s="22"/>
      <c r="Y16" s="22"/>
      <c r="Z16" s="22"/>
      <c r="AA16" s="10" t="n">
        <f aca="false">S16*W16</f>
        <v>0</v>
      </c>
      <c r="AB16" s="10"/>
      <c r="AC16" s="10"/>
      <c r="AD16" s="10"/>
      <c r="AE16" s="1"/>
      <c r="AF16" s="1"/>
      <c r="AG16" s="1"/>
      <c r="AH16" s="1"/>
      <c r="AI16" s="1"/>
      <c r="AJ16" s="1"/>
      <c r="AK16" s="1"/>
      <c r="AL16" s="1"/>
      <c r="AM16" s="1"/>
      <c r="AN16" s="1"/>
      <c r="AO16" s="1"/>
      <c r="AP16" s="1"/>
      <c r="AQ16" s="1"/>
      <c r="AR16" s="1"/>
      <c r="AS16" s="1"/>
      <c r="AT16" s="1"/>
      <c r="AU16" s="1"/>
    </row>
    <row r="17" customFormat="false" ht="13.5" hidden="false" customHeight="true" outlineLevel="0" collapsed="false">
      <c r="A17" s="16"/>
      <c r="B17" s="16"/>
      <c r="C17" s="17" t="s">
        <v>34</v>
      </c>
      <c r="D17" s="17"/>
      <c r="E17" s="17"/>
      <c r="F17" s="17"/>
      <c r="G17" s="17"/>
      <c r="H17" s="17"/>
      <c r="I17" s="17"/>
      <c r="J17" s="17"/>
      <c r="K17" s="17"/>
      <c r="L17" s="18"/>
      <c r="M17" s="19"/>
      <c r="N17" s="19"/>
      <c r="O17" s="20"/>
      <c r="P17" s="20"/>
      <c r="Q17" s="23" t="s">
        <v>35</v>
      </c>
      <c r="R17" s="23"/>
      <c r="S17" s="10" t="n">
        <f aca="false">Sumário!E59</f>
        <v>0</v>
      </c>
      <c r="T17" s="10"/>
      <c r="U17" s="10"/>
      <c r="V17" s="10"/>
      <c r="W17" s="22" t="n">
        <v>1</v>
      </c>
      <c r="X17" s="22"/>
      <c r="Y17" s="22"/>
      <c r="Z17" s="22"/>
      <c r="AA17" s="10" t="n">
        <f aca="false">S17*W17</f>
        <v>0</v>
      </c>
      <c r="AB17" s="10"/>
      <c r="AC17" s="10"/>
      <c r="AD17" s="10"/>
      <c r="AE17" s="1"/>
      <c r="AF17" s="1"/>
      <c r="AG17" s="1"/>
      <c r="AH17" s="1"/>
      <c r="AI17" s="1"/>
      <c r="AJ17" s="1"/>
      <c r="AK17" s="1"/>
      <c r="AL17" s="1"/>
      <c r="AM17" s="1"/>
      <c r="AN17" s="1"/>
      <c r="AO17" s="1"/>
      <c r="AP17" s="1"/>
      <c r="AQ17" s="1"/>
      <c r="AR17" s="1"/>
      <c r="AS17" s="1"/>
      <c r="AT17" s="1"/>
      <c r="AU17" s="1"/>
    </row>
    <row r="18" customFormat="false" ht="13.5" hidden="false" customHeight="true" outlineLevel="0" collapsed="false">
      <c r="A18" s="16"/>
      <c r="B18" s="16"/>
      <c r="C18" s="1"/>
      <c r="D18" s="1"/>
      <c r="E18" s="1"/>
      <c r="F18" s="1"/>
      <c r="G18" s="1"/>
      <c r="H18" s="1"/>
      <c r="I18" s="1"/>
      <c r="J18" s="1"/>
      <c r="K18" s="1"/>
      <c r="L18" s="1"/>
      <c r="M18" s="19"/>
      <c r="N18" s="19"/>
      <c r="O18" s="20"/>
      <c r="P18" s="20"/>
      <c r="Q18" s="23" t="s">
        <v>36</v>
      </c>
      <c r="R18" s="23"/>
      <c r="S18" s="10" t="n">
        <f aca="false">Sumário!E60</f>
        <v>0</v>
      </c>
      <c r="T18" s="10"/>
      <c r="U18" s="10"/>
      <c r="V18" s="10"/>
      <c r="W18" s="22" t="n">
        <v>1</v>
      </c>
      <c r="X18" s="22"/>
      <c r="Y18" s="22"/>
      <c r="Z18" s="22"/>
      <c r="AA18" s="10" t="n">
        <f aca="false">S18*W18</f>
        <v>0</v>
      </c>
      <c r="AB18" s="10"/>
      <c r="AC18" s="10"/>
      <c r="AD18" s="10"/>
      <c r="AE18" s="1"/>
      <c r="AF18" s="1"/>
      <c r="AG18" s="1"/>
      <c r="AH18" s="1"/>
      <c r="AI18" s="1"/>
      <c r="AJ18" s="1"/>
      <c r="AK18" s="1"/>
      <c r="AL18" s="1"/>
      <c r="AM18" s="1"/>
      <c r="AN18" s="1"/>
      <c r="AO18" s="1"/>
      <c r="AP18" s="1"/>
      <c r="AQ18" s="1"/>
      <c r="AR18" s="1"/>
      <c r="AS18" s="1"/>
      <c r="AT18" s="1"/>
      <c r="AU18" s="1"/>
    </row>
    <row r="19" customFormat="false" ht="12" hidden="false" customHeight="true" outlineLevel="0" collapsed="false">
      <c r="A19" s="1"/>
      <c r="B19" s="1"/>
      <c r="C19" s="1"/>
      <c r="D19" s="1"/>
      <c r="E19" s="1"/>
      <c r="F19" s="1"/>
      <c r="G19" s="1"/>
      <c r="H19" s="1"/>
      <c r="I19" s="1"/>
      <c r="J19" s="1"/>
      <c r="K19" s="1"/>
      <c r="L19" s="1"/>
      <c r="M19" s="1"/>
      <c r="N19" s="1"/>
      <c r="O19" s="1"/>
      <c r="P19" s="1"/>
      <c r="Q19" s="1"/>
      <c r="R19" s="24"/>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row>
    <row r="20" customFormat="false" ht="12" hidden="false" customHeight="true" outlineLevel="0" collapsed="false">
      <c r="A20" s="1"/>
      <c r="B20" s="25"/>
      <c r="C20" s="25"/>
      <c r="D20" s="1"/>
      <c r="E20" s="1"/>
      <c r="F20" s="25"/>
      <c r="G20" s="25"/>
      <c r="H20" s="25"/>
      <c r="I20" s="25"/>
      <c r="J20" s="1"/>
      <c r="K20" s="26" t="s">
        <v>37</v>
      </c>
      <c r="L20" s="26"/>
      <c r="M20" s="26"/>
      <c r="N20" s="26"/>
      <c r="O20" s="26"/>
      <c r="P20" s="26"/>
      <c r="Q20" s="26"/>
      <c r="R20" s="26"/>
      <c r="S20" s="26"/>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row>
    <row r="21" customFormat="false" ht="12" hidden="false" customHeight="true" outlineLevel="0" collapsed="false">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1"/>
      <c r="AF21" s="1"/>
      <c r="AG21" s="1"/>
      <c r="AH21" s="1"/>
      <c r="AI21" s="1"/>
      <c r="AJ21" s="1"/>
      <c r="AK21" s="1"/>
      <c r="AL21" s="1"/>
      <c r="AM21" s="1"/>
      <c r="AN21" s="1"/>
      <c r="AO21" s="1"/>
      <c r="AP21" s="1"/>
      <c r="AQ21" s="1"/>
      <c r="AR21" s="1"/>
      <c r="AS21" s="1"/>
      <c r="AT21" s="1"/>
      <c r="AU21" s="1"/>
    </row>
    <row r="22" customFormat="false" ht="12" hidden="false" customHeight="true" outlineLevel="0" collapsed="false">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1"/>
      <c r="AF22" s="1"/>
      <c r="AG22" s="1"/>
      <c r="AH22" s="1"/>
      <c r="AI22" s="1"/>
      <c r="AJ22" s="1"/>
      <c r="AK22" s="1"/>
      <c r="AL22" s="1"/>
      <c r="AM22" s="1"/>
      <c r="AN22" s="1"/>
      <c r="AO22" s="1"/>
      <c r="AP22" s="1"/>
      <c r="AQ22" s="1"/>
      <c r="AR22" s="1"/>
      <c r="AS22" s="1"/>
      <c r="AT22" s="1"/>
      <c r="AU22" s="1"/>
    </row>
    <row r="23" customFormat="false" ht="12" hidden="false" customHeight="true" outlineLevel="0" collapsed="false">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1"/>
      <c r="AF23" s="1"/>
      <c r="AG23" s="1"/>
      <c r="AH23" s="1"/>
      <c r="AI23" s="1"/>
      <c r="AJ23" s="1"/>
      <c r="AK23" s="1"/>
      <c r="AL23" s="1"/>
      <c r="AM23" s="1"/>
      <c r="AN23" s="1"/>
      <c r="AO23" s="1"/>
      <c r="AP23" s="1"/>
      <c r="AQ23" s="1"/>
      <c r="AR23" s="1"/>
      <c r="AS23" s="1"/>
      <c r="AT23" s="1"/>
      <c r="AU23" s="1"/>
    </row>
    <row r="24" customFormat="false" ht="12" hidden="false" customHeight="true" outlineLevel="0" collapsed="false">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1"/>
      <c r="AF24" s="1"/>
      <c r="AG24" s="1"/>
      <c r="AH24" s="1"/>
      <c r="AI24" s="1"/>
      <c r="AJ24" s="1"/>
      <c r="AK24" s="1"/>
      <c r="AL24" s="1"/>
      <c r="AM24" s="1"/>
      <c r="AN24" s="1"/>
      <c r="AO24" s="1"/>
      <c r="AP24" s="1"/>
      <c r="AQ24" s="1"/>
      <c r="AR24" s="1"/>
      <c r="AS24" s="1"/>
      <c r="AT24" s="1"/>
      <c r="AU24" s="1"/>
    </row>
    <row r="25" customFormat="false" ht="12" hidden="false" customHeight="true" outlineLevel="0" collapsed="false">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1"/>
      <c r="AF25" s="1"/>
      <c r="AG25" s="1"/>
      <c r="AH25" s="1"/>
      <c r="AI25" s="1"/>
      <c r="AJ25" s="1"/>
      <c r="AK25" s="1"/>
      <c r="AL25" s="1"/>
      <c r="AM25" s="1"/>
      <c r="AN25" s="1"/>
      <c r="AO25" s="1"/>
      <c r="AP25" s="1"/>
      <c r="AQ25" s="1"/>
      <c r="AR25" s="1"/>
      <c r="AS25" s="1"/>
      <c r="AT25" s="1"/>
      <c r="AU25" s="1"/>
    </row>
    <row r="26" customFormat="false" ht="12" hidden="false" customHeight="true" outlineLevel="0" collapsed="false">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1"/>
      <c r="AF26" s="1"/>
      <c r="AG26" s="1"/>
      <c r="AH26" s="1"/>
      <c r="AI26" s="1"/>
      <c r="AJ26" s="1"/>
      <c r="AK26" s="1"/>
      <c r="AL26" s="1"/>
      <c r="AM26" s="1"/>
      <c r="AN26" s="1"/>
      <c r="AO26" s="1"/>
      <c r="AP26" s="1"/>
      <c r="AQ26" s="1"/>
      <c r="AR26" s="1"/>
      <c r="AS26" s="1"/>
      <c r="AT26" s="1"/>
      <c r="AU26" s="1"/>
    </row>
    <row r="27" customFormat="false" ht="12" hidden="false" customHeight="true" outlineLevel="0" collapsed="false">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1"/>
      <c r="AF27" s="1"/>
      <c r="AG27" s="1"/>
      <c r="AH27" s="1"/>
      <c r="AI27" s="1"/>
      <c r="AJ27" s="1"/>
      <c r="AK27" s="1"/>
      <c r="AL27" s="1"/>
      <c r="AM27" s="1"/>
      <c r="AN27" s="1"/>
      <c r="AO27" s="1"/>
      <c r="AP27" s="1"/>
      <c r="AQ27" s="1"/>
      <c r="AR27" s="1"/>
      <c r="AS27" s="1"/>
      <c r="AT27" s="1"/>
      <c r="AU27" s="1"/>
    </row>
    <row r="28" customFormat="false" ht="12" hidden="false" customHeight="true" outlineLevel="0" collapsed="false">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1"/>
      <c r="AF28" s="1"/>
      <c r="AG28" s="1"/>
      <c r="AH28" s="1"/>
      <c r="AI28" s="1"/>
      <c r="AJ28" s="1"/>
      <c r="AK28" s="1"/>
      <c r="AL28" s="1"/>
      <c r="AM28" s="1"/>
      <c r="AN28" s="1"/>
      <c r="AO28" s="1"/>
      <c r="AP28" s="1"/>
      <c r="AQ28" s="1"/>
      <c r="AR28" s="1"/>
      <c r="AS28" s="1"/>
      <c r="AT28" s="1"/>
      <c r="AU28" s="1"/>
    </row>
    <row r="29" customFormat="false" ht="12" hidden="false" customHeight="true" outlineLevel="0" collapsed="false">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1"/>
      <c r="AF29" s="1"/>
      <c r="AG29" s="1"/>
      <c r="AH29" s="1"/>
      <c r="AI29" s="1"/>
      <c r="AJ29" s="1"/>
      <c r="AK29" s="1"/>
      <c r="AL29" s="1"/>
      <c r="AM29" s="1"/>
      <c r="AN29" s="1"/>
      <c r="AO29" s="1"/>
      <c r="AP29" s="1"/>
      <c r="AQ29" s="1"/>
      <c r="AR29" s="1"/>
      <c r="AS29" s="1"/>
      <c r="AT29" s="1"/>
      <c r="AU29" s="1"/>
    </row>
    <row r="30" customFormat="false" ht="12" hidden="false" customHeight="true" outlineLevel="0" collapsed="false">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1"/>
      <c r="AF30" s="1"/>
      <c r="AG30" s="1"/>
      <c r="AH30" s="1"/>
      <c r="AI30" s="1"/>
      <c r="AJ30" s="1"/>
      <c r="AK30" s="1"/>
      <c r="AL30" s="1"/>
      <c r="AM30" s="1"/>
      <c r="AN30" s="1"/>
      <c r="AO30" s="1"/>
      <c r="AP30" s="1"/>
      <c r="AQ30" s="1"/>
      <c r="AR30" s="1"/>
      <c r="AS30" s="1"/>
      <c r="AT30" s="1"/>
      <c r="AU30" s="1"/>
    </row>
    <row r="31" customFormat="false" ht="12" hidden="false" customHeight="true" outlineLevel="0" collapsed="false">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1"/>
      <c r="AF31" s="1"/>
      <c r="AG31" s="1"/>
      <c r="AH31" s="1"/>
      <c r="AI31" s="1"/>
      <c r="AJ31" s="1"/>
      <c r="AK31" s="1"/>
      <c r="AL31" s="1"/>
      <c r="AM31" s="1"/>
      <c r="AN31" s="1"/>
      <c r="AO31" s="1"/>
      <c r="AP31" s="1"/>
      <c r="AQ31" s="1"/>
      <c r="AR31" s="1"/>
      <c r="AS31" s="1"/>
      <c r="AT31" s="1"/>
      <c r="AU31" s="1"/>
    </row>
    <row r="32" customFormat="false" ht="12" hidden="false" customHeight="true" outlineLevel="0" collapsed="false">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1"/>
      <c r="AF32" s="1"/>
      <c r="AG32" s="1"/>
      <c r="AH32" s="1"/>
      <c r="AI32" s="1"/>
      <c r="AJ32" s="1"/>
      <c r="AK32" s="1"/>
      <c r="AL32" s="1"/>
      <c r="AM32" s="1"/>
      <c r="AN32" s="1"/>
      <c r="AO32" s="1"/>
      <c r="AP32" s="1"/>
      <c r="AQ32" s="1"/>
      <c r="AR32" s="1"/>
      <c r="AS32" s="1"/>
      <c r="AT32" s="1"/>
      <c r="AU32" s="1"/>
    </row>
    <row r="33" customFormat="false" ht="12" hidden="false" customHeight="true" outlineLevel="0" collapsed="false">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1"/>
      <c r="AF33" s="1"/>
      <c r="AG33" s="1"/>
      <c r="AH33" s="1"/>
      <c r="AI33" s="1"/>
      <c r="AJ33" s="1"/>
      <c r="AK33" s="1"/>
      <c r="AL33" s="1"/>
      <c r="AM33" s="1"/>
      <c r="AN33" s="1"/>
      <c r="AO33" s="1"/>
      <c r="AP33" s="1"/>
      <c r="AQ33" s="1"/>
      <c r="AR33" s="1"/>
      <c r="AS33" s="1"/>
      <c r="AT33" s="1"/>
      <c r="AU33" s="1"/>
    </row>
    <row r="34" customFormat="false" ht="12" hidden="false" customHeight="true" outlineLevel="0" collapsed="false">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1"/>
      <c r="AF34" s="1"/>
      <c r="AG34" s="1"/>
      <c r="AH34" s="1"/>
      <c r="AI34" s="1"/>
      <c r="AJ34" s="1"/>
      <c r="AK34" s="1"/>
      <c r="AL34" s="1"/>
      <c r="AM34" s="1"/>
      <c r="AN34" s="1"/>
      <c r="AO34" s="1"/>
      <c r="AP34" s="1"/>
      <c r="AQ34" s="1"/>
      <c r="AR34" s="1"/>
      <c r="AS34" s="1"/>
      <c r="AT34" s="1"/>
      <c r="AU34" s="1"/>
    </row>
    <row r="35" customFormat="false" ht="12" hidden="false" customHeight="true" outlineLevel="0" collapsed="false">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1"/>
      <c r="AF35" s="1"/>
      <c r="AG35" s="1"/>
      <c r="AH35" s="1"/>
      <c r="AI35" s="1"/>
      <c r="AJ35" s="1"/>
      <c r="AK35" s="1"/>
      <c r="AL35" s="1"/>
      <c r="AM35" s="1"/>
      <c r="AN35" s="1"/>
      <c r="AO35" s="1"/>
      <c r="AP35" s="1"/>
      <c r="AQ35" s="1"/>
      <c r="AR35" s="1"/>
      <c r="AS35" s="1"/>
      <c r="AT35" s="1"/>
      <c r="AU35" s="1"/>
    </row>
    <row r="36" customFormat="false" ht="12" hidden="false" customHeight="true" outlineLevel="0" collapsed="false">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1"/>
      <c r="AF36" s="1"/>
      <c r="AG36" s="1"/>
      <c r="AH36" s="1"/>
      <c r="AI36" s="1"/>
      <c r="AJ36" s="1"/>
      <c r="AK36" s="1"/>
      <c r="AL36" s="1"/>
      <c r="AM36" s="1"/>
      <c r="AN36" s="1"/>
      <c r="AO36" s="1"/>
      <c r="AP36" s="1"/>
      <c r="AQ36" s="1"/>
      <c r="AR36" s="1"/>
      <c r="AS36" s="1"/>
      <c r="AT36" s="1"/>
      <c r="AU36" s="1"/>
    </row>
    <row r="37" customFormat="false" ht="12" hidden="false" customHeight="true" outlineLevel="0" collapsed="false">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1"/>
      <c r="AF37" s="1"/>
      <c r="AG37" s="1"/>
      <c r="AH37" s="1"/>
      <c r="AI37" s="1"/>
      <c r="AJ37" s="1"/>
      <c r="AK37" s="1"/>
      <c r="AL37" s="1"/>
      <c r="AM37" s="1"/>
      <c r="AN37" s="1"/>
      <c r="AO37" s="1"/>
      <c r="AP37" s="1"/>
      <c r="AQ37" s="1"/>
      <c r="AR37" s="1"/>
      <c r="AS37" s="1"/>
      <c r="AT37" s="1"/>
      <c r="AU37" s="1"/>
    </row>
    <row r="38" customFormat="false" ht="12" hidden="false" customHeight="true" outlineLevel="0" collapsed="false">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1"/>
      <c r="AF38" s="1"/>
      <c r="AG38" s="1"/>
      <c r="AH38" s="1"/>
      <c r="AI38" s="1"/>
      <c r="AJ38" s="1"/>
      <c r="AK38" s="1"/>
      <c r="AL38" s="1"/>
      <c r="AM38" s="1"/>
      <c r="AN38" s="1"/>
      <c r="AO38" s="1"/>
      <c r="AP38" s="1"/>
      <c r="AQ38" s="1"/>
      <c r="AR38" s="1"/>
      <c r="AS38" s="1"/>
      <c r="AT38" s="1"/>
      <c r="AU38" s="1"/>
    </row>
    <row r="39" customFormat="false" ht="12" hidden="false" customHeight="true" outlineLevel="0" collapsed="false">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1"/>
      <c r="AF39" s="1"/>
      <c r="AG39" s="1"/>
      <c r="AH39" s="1"/>
      <c r="AI39" s="1"/>
      <c r="AJ39" s="1"/>
      <c r="AK39" s="1"/>
      <c r="AL39" s="1"/>
      <c r="AM39" s="1"/>
      <c r="AN39" s="1"/>
      <c r="AO39" s="1"/>
      <c r="AP39" s="1"/>
      <c r="AQ39" s="1"/>
      <c r="AR39" s="1"/>
      <c r="AS39" s="1"/>
      <c r="AT39" s="1"/>
      <c r="AU39" s="1"/>
    </row>
    <row r="40" customFormat="false" ht="12" hidden="false" customHeight="true" outlineLevel="0" collapsed="false">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1"/>
      <c r="AF40" s="1"/>
      <c r="AG40" s="1"/>
      <c r="AH40" s="1"/>
      <c r="AI40" s="1"/>
      <c r="AJ40" s="1"/>
      <c r="AK40" s="1"/>
      <c r="AL40" s="1"/>
      <c r="AM40" s="1"/>
      <c r="AN40" s="1"/>
      <c r="AO40" s="1"/>
      <c r="AP40" s="1"/>
      <c r="AQ40" s="1"/>
      <c r="AR40" s="1"/>
      <c r="AS40" s="1"/>
      <c r="AT40" s="1"/>
      <c r="AU40" s="1"/>
    </row>
    <row r="41" customFormat="false" ht="12" hidden="false" customHeight="true" outlineLevel="0" collapsed="false">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1"/>
      <c r="AF41" s="1"/>
      <c r="AG41" s="1"/>
      <c r="AH41" s="1"/>
      <c r="AI41" s="1"/>
      <c r="AJ41" s="1"/>
      <c r="AK41" s="1"/>
      <c r="AL41" s="1"/>
      <c r="AM41" s="1"/>
      <c r="AN41" s="1"/>
      <c r="AO41" s="1"/>
      <c r="AP41" s="1"/>
      <c r="AQ41" s="1"/>
      <c r="AR41" s="1"/>
      <c r="AS41" s="1"/>
      <c r="AT41" s="1"/>
      <c r="AU41" s="1"/>
    </row>
    <row r="42" customFormat="false" ht="12" hidden="false" customHeight="true" outlineLevel="0" collapsed="false">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1"/>
      <c r="AF42" s="1"/>
      <c r="AG42" s="1"/>
      <c r="AH42" s="1"/>
      <c r="AI42" s="1"/>
      <c r="AJ42" s="1"/>
      <c r="AK42" s="1"/>
      <c r="AL42" s="1"/>
      <c r="AM42" s="1"/>
      <c r="AN42" s="1"/>
      <c r="AO42" s="1"/>
      <c r="AP42" s="1"/>
      <c r="AQ42" s="1"/>
      <c r="AR42" s="1"/>
      <c r="AS42" s="1"/>
      <c r="AT42" s="1"/>
      <c r="AU42" s="1"/>
    </row>
    <row r="43" customFormat="false" ht="12"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row>
    <row r="44" customFormat="false" ht="12" hidden="false" customHeight="true" outlineLevel="0" collapsed="false">
      <c r="A44" s="1"/>
      <c r="B44" s="1"/>
      <c r="C44" s="1"/>
      <c r="D44" s="1"/>
      <c r="E44" s="1"/>
      <c r="F44" s="1"/>
      <c r="G44" s="1"/>
      <c r="H44" s="1"/>
      <c r="I44" s="1"/>
      <c r="J44" s="1"/>
      <c r="K44" s="26" t="s">
        <v>38</v>
      </c>
      <c r="L44" s="26"/>
      <c r="M44" s="26"/>
      <c r="N44" s="26"/>
      <c r="O44" s="26"/>
      <c r="P44" s="26"/>
      <c r="Q44" s="26"/>
      <c r="R44" s="26"/>
      <c r="S44" s="26"/>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row>
    <row r="45" customFormat="false" ht="12" hidden="false" customHeight="true" outlineLevel="0" collapsed="false">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1"/>
      <c r="AF45" s="1"/>
      <c r="AG45" s="1"/>
      <c r="AH45" s="1"/>
      <c r="AI45" s="1"/>
      <c r="AJ45" s="1"/>
      <c r="AK45" s="1"/>
      <c r="AL45" s="1"/>
      <c r="AM45" s="1"/>
      <c r="AN45" s="1"/>
      <c r="AO45" s="1"/>
      <c r="AP45" s="1"/>
      <c r="AQ45" s="1"/>
      <c r="AR45" s="1"/>
      <c r="AS45" s="1"/>
      <c r="AT45" s="1"/>
      <c r="AU45" s="1"/>
    </row>
    <row r="46" customFormat="false" ht="12" hidden="false" customHeight="true" outlineLevel="0" collapsed="false">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1"/>
      <c r="AF46" s="1"/>
      <c r="AG46" s="1"/>
      <c r="AH46" s="1"/>
      <c r="AI46" s="1"/>
      <c r="AJ46" s="1"/>
      <c r="AK46" s="1"/>
      <c r="AL46" s="1"/>
      <c r="AM46" s="1"/>
      <c r="AN46" s="1"/>
      <c r="AO46" s="1"/>
      <c r="AP46" s="1"/>
      <c r="AQ46" s="1"/>
      <c r="AR46" s="1"/>
      <c r="AS46" s="1"/>
      <c r="AT46" s="1"/>
      <c r="AU46" s="1"/>
    </row>
    <row r="47" customFormat="false" ht="12" hidden="false" customHeight="true" outlineLevel="0" collapsed="false">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1"/>
      <c r="AF47" s="1"/>
      <c r="AG47" s="1"/>
      <c r="AH47" s="1"/>
      <c r="AI47" s="1"/>
      <c r="AJ47" s="1"/>
      <c r="AK47" s="1"/>
      <c r="AL47" s="1"/>
      <c r="AM47" s="1"/>
      <c r="AN47" s="1"/>
      <c r="AO47" s="1"/>
      <c r="AP47" s="1"/>
      <c r="AQ47" s="1"/>
      <c r="AR47" s="1"/>
      <c r="AS47" s="1"/>
      <c r="AT47" s="1"/>
      <c r="AU47" s="1"/>
    </row>
    <row r="48" customFormat="false" ht="12" hidden="false" customHeight="true" outlineLevel="0" collapsed="false">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1"/>
      <c r="AF48" s="1"/>
      <c r="AG48" s="1"/>
      <c r="AH48" s="1"/>
      <c r="AI48" s="1"/>
      <c r="AJ48" s="1"/>
      <c r="AK48" s="1"/>
      <c r="AL48" s="1"/>
      <c r="AM48" s="1"/>
      <c r="AN48" s="1"/>
      <c r="AO48" s="1"/>
      <c r="AP48" s="1"/>
      <c r="AQ48" s="1"/>
      <c r="AR48" s="1"/>
      <c r="AS48" s="1"/>
      <c r="AT48" s="1"/>
      <c r="AU48" s="1"/>
    </row>
    <row r="49" customFormat="false" ht="12" hidden="false" customHeight="true" outlineLevel="0" collapsed="false">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1"/>
      <c r="AF49" s="1"/>
      <c r="AG49" s="1"/>
      <c r="AH49" s="1"/>
      <c r="AI49" s="1"/>
      <c r="AJ49" s="1"/>
      <c r="AK49" s="1"/>
      <c r="AL49" s="1"/>
      <c r="AM49" s="1"/>
      <c r="AN49" s="1"/>
      <c r="AO49" s="1"/>
      <c r="AP49" s="1"/>
      <c r="AQ49" s="1"/>
      <c r="AR49" s="1"/>
      <c r="AS49" s="1"/>
      <c r="AT49" s="1"/>
      <c r="AU49" s="1"/>
    </row>
    <row r="50" customFormat="false" ht="12" hidden="false" customHeight="true" outlineLevel="0" collapsed="false">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1"/>
      <c r="AF50" s="1"/>
      <c r="AG50" s="1"/>
      <c r="AH50" s="1"/>
      <c r="AI50" s="1"/>
      <c r="AJ50" s="1"/>
      <c r="AK50" s="1"/>
      <c r="AL50" s="1"/>
      <c r="AM50" s="1"/>
      <c r="AN50" s="1"/>
      <c r="AO50" s="1"/>
      <c r="AP50" s="1"/>
      <c r="AQ50" s="1"/>
      <c r="AR50" s="1"/>
      <c r="AS50" s="1"/>
      <c r="AT50" s="1"/>
      <c r="AU50" s="1"/>
    </row>
    <row r="51" customFormat="false" ht="12" hidden="false" customHeight="true" outlineLevel="0" collapsed="false">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1"/>
      <c r="AF51" s="1"/>
      <c r="AG51" s="1"/>
      <c r="AH51" s="1"/>
      <c r="AI51" s="1"/>
      <c r="AJ51" s="1"/>
      <c r="AK51" s="1"/>
      <c r="AL51" s="1"/>
      <c r="AM51" s="1"/>
      <c r="AN51" s="1"/>
      <c r="AO51" s="1"/>
      <c r="AP51" s="1"/>
      <c r="AQ51" s="1"/>
      <c r="AR51" s="1"/>
      <c r="AS51" s="1"/>
      <c r="AT51" s="1"/>
      <c r="AU51" s="1"/>
    </row>
    <row r="52" customFormat="false" ht="12" hidden="false" customHeight="true" outlineLevel="0" collapsed="false">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1"/>
      <c r="AF52" s="1"/>
      <c r="AG52" s="1"/>
      <c r="AH52" s="1"/>
      <c r="AI52" s="1"/>
      <c r="AJ52" s="1"/>
      <c r="AK52" s="1"/>
      <c r="AL52" s="1"/>
      <c r="AM52" s="1"/>
      <c r="AN52" s="1"/>
      <c r="AO52" s="1"/>
      <c r="AP52" s="1"/>
      <c r="AQ52" s="1"/>
      <c r="AR52" s="1"/>
      <c r="AS52" s="1"/>
      <c r="AT52" s="1"/>
      <c r="AU52" s="1"/>
    </row>
    <row r="53" customFormat="false" ht="12" hidden="false" customHeight="true" outlineLevel="0" collapsed="false">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1"/>
      <c r="AF53" s="1"/>
      <c r="AG53" s="1"/>
      <c r="AH53" s="1"/>
      <c r="AI53" s="1"/>
      <c r="AJ53" s="1"/>
      <c r="AK53" s="1"/>
      <c r="AL53" s="1"/>
      <c r="AM53" s="1"/>
      <c r="AN53" s="1"/>
      <c r="AO53" s="1"/>
      <c r="AP53" s="1"/>
      <c r="AQ53" s="1"/>
      <c r="AR53" s="1"/>
      <c r="AS53" s="1"/>
      <c r="AT53" s="1"/>
      <c r="AU53" s="1"/>
    </row>
    <row r="54" customFormat="false" ht="12" hidden="false" customHeight="true" outlineLevel="0" collapsed="false">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1"/>
      <c r="AF54" s="1"/>
      <c r="AG54" s="1"/>
      <c r="AH54" s="1"/>
      <c r="AI54" s="1"/>
      <c r="AJ54" s="1"/>
      <c r="AK54" s="1"/>
      <c r="AL54" s="1"/>
      <c r="AM54" s="1"/>
      <c r="AN54" s="1"/>
      <c r="AO54" s="1"/>
      <c r="AP54" s="1"/>
      <c r="AQ54" s="1"/>
      <c r="AR54" s="1"/>
      <c r="AS54" s="1"/>
      <c r="AT54" s="1"/>
      <c r="AU54" s="1"/>
    </row>
    <row r="55" customFormat="false" ht="12" hidden="false" customHeight="true" outlineLevel="0" collapsed="false">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1"/>
      <c r="AF55" s="1"/>
      <c r="AG55" s="1"/>
      <c r="AH55" s="1"/>
      <c r="AI55" s="1"/>
      <c r="AJ55" s="1"/>
      <c r="AK55" s="1"/>
      <c r="AL55" s="1"/>
      <c r="AM55" s="1"/>
      <c r="AN55" s="1"/>
      <c r="AO55" s="1"/>
      <c r="AP55" s="1"/>
      <c r="AQ55" s="1"/>
      <c r="AR55" s="1"/>
      <c r="AS55" s="1"/>
      <c r="AT55" s="1"/>
      <c r="AU55" s="1"/>
    </row>
    <row r="56" customFormat="false" ht="12" hidden="false" customHeight="true" outlineLevel="0" collapsed="false">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1"/>
      <c r="AF56" s="1"/>
      <c r="AG56" s="1"/>
      <c r="AH56" s="1"/>
      <c r="AI56" s="1"/>
      <c r="AJ56" s="1"/>
      <c r="AK56" s="1"/>
      <c r="AL56" s="1"/>
      <c r="AM56" s="1"/>
      <c r="AN56" s="1"/>
      <c r="AO56" s="1"/>
      <c r="AP56" s="1"/>
      <c r="AQ56" s="1"/>
      <c r="AR56" s="1"/>
      <c r="AS56" s="1"/>
      <c r="AT56" s="1"/>
      <c r="AU56" s="1"/>
    </row>
    <row r="57" customFormat="false" ht="12" hidden="false" customHeight="true" outlineLevel="0" collapsed="false">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1"/>
      <c r="AF57" s="1"/>
      <c r="AG57" s="1"/>
      <c r="AH57" s="1"/>
      <c r="AI57" s="1"/>
      <c r="AJ57" s="1"/>
      <c r="AK57" s="1"/>
      <c r="AL57" s="1"/>
      <c r="AM57" s="1"/>
      <c r="AN57" s="1"/>
      <c r="AO57" s="1"/>
      <c r="AP57" s="1"/>
      <c r="AQ57" s="1"/>
      <c r="AR57" s="1"/>
      <c r="AS57" s="1"/>
      <c r="AT57" s="1"/>
      <c r="AU57" s="1"/>
    </row>
    <row r="58" customFormat="false" ht="12" hidden="false" customHeight="true" outlineLevel="0" collapsed="false">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1"/>
      <c r="AF58" s="1"/>
      <c r="AG58" s="1"/>
      <c r="AH58" s="1"/>
      <c r="AI58" s="1"/>
      <c r="AJ58" s="1"/>
      <c r="AK58" s="1"/>
      <c r="AL58" s="1"/>
      <c r="AM58" s="1"/>
      <c r="AN58" s="1"/>
      <c r="AO58" s="1"/>
      <c r="AP58" s="1"/>
      <c r="AQ58" s="1"/>
      <c r="AR58" s="1"/>
      <c r="AS58" s="1"/>
      <c r="AT58" s="1"/>
      <c r="AU58" s="1"/>
    </row>
    <row r="59" customFormat="false" ht="12" hidden="false" customHeight="true" outlineLevel="0" collapsed="false">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1"/>
      <c r="AF59" s="1"/>
      <c r="AG59" s="1"/>
      <c r="AH59" s="1"/>
      <c r="AI59" s="1"/>
      <c r="AJ59" s="1"/>
      <c r="AK59" s="1"/>
      <c r="AL59" s="1"/>
      <c r="AM59" s="1"/>
      <c r="AN59" s="1"/>
      <c r="AO59" s="1"/>
      <c r="AP59" s="1"/>
      <c r="AQ59" s="1"/>
      <c r="AR59" s="1"/>
      <c r="AS59" s="1"/>
      <c r="AT59" s="1"/>
      <c r="AU59" s="1"/>
    </row>
    <row r="60" customFormat="false" ht="12" hidden="false" customHeight="true" outlineLevel="0" collapsed="false">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1"/>
      <c r="AF60" s="1"/>
      <c r="AG60" s="1"/>
      <c r="AH60" s="1"/>
      <c r="AI60" s="1"/>
      <c r="AJ60" s="1"/>
      <c r="AK60" s="1"/>
      <c r="AL60" s="1"/>
      <c r="AM60" s="1"/>
      <c r="AN60" s="1"/>
      <c r="AO60" s="1"/>
      <c r="AP60" s="1"/>
      <c r="AQ60" s="1"/>
      <c r="AR60" s="1"/>
      <c r="AS60" s="1"/>
      <c r="AT60" s="1"/>
      <c r="AU60" s="1"/>
    </row>
    <row r="61" customFormat="false" ht="12" hidden="false" customHeight="true" outlineLevel="0" collapsed="false">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1"/>
      <c r="AF61" s="1"/>
      <c r="AG61" s="1"/>
      <c r="AH61" s="1"/>
      <c r="AI61" s="1"/>
      <c r="AJ61" s="1"/>
      <c r="AK61" s="1"/>
      <c r="AL61" s="1"/>
      <c r="AM61" s="1"/>
      <c r="AN61" s="1"/>
      <c r="AO61" s="1"/>
      <c r="AP61" s="1"/>
      <c r="AQ61" s="1"/>
      <c r="AR61" s="1"/>
      <c r="AS61" s="1"/>
      <c r="AT61" s="1"/>
      <c r="AU61" s="1"/>
    </row>
    <row r="62" customFormat="false" ht="12" hidden="false" customHeight="true" outlineLevel="0" collapsed="false">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1"/>
      <c r="AF62" s="1"/>
      <c r="AG62" s="1"/>
      <c r="AH62" s="1"/>
      <c r="AI62" s="1"/>
      <c r="AJ62" s="1"/>
      <c r="AK62" s="1"/>
      <c r="AL62" s="1"/>
      <c r="AM62" s="1"/>
      <c r="AN62" s="1"/>
      <c r="AO62" s="1"/>
      <c r="AP62" s="1"/>
      <c r="AQ62" s="1"/>
      <c r="AR62" s="1"/>
      <c r="AS62" s="1"/>
      <c r="AT62" s="1"/>
      <c r="AU62" s="1"/>
    </row>
    <row r="63" customFormat="false" ht="12" hidden="false" customHeight="true" outlineLevel="0" collapsed="false">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1"/>
      <c r="AF63" s="1"/>
      <c r="AG63" s="1"/>
      <c r="AH63" s="1"/>
      <c r="AI63" s="1"/>
      <c r="AJ63" s="1"/>
      <c r="AK63" s="1"/>
      <c r="AL63" s="1"/>
      <c r="AM63" s="1"/>
      <c r="AN63" s="1"/>
      <c r="AO63" s="1"/>
      <c r="AP63" s="1"/>
      <c r="AQ63" s="1"/>
      <c r="AR63" s="1"/>
      <c r="AS63" s="1"/>
      <c r="AT63" s="1"/>
      <c r="AU63" s="1"/>
    </row>
    <row r="64" customFormat="false" ht="12" hidden="false" customHeight="true" outlineLevel="0" collapsed="false">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1"/>
      <c r="AF64" s="1"/>
      <c r="AG64" s="1"/>
      <c r="AH64" s="1"/>
      <c r="AI64" s="1"/>
      <c r="AJ64" s="1"/>
      <c r="AK64" s="1"/>
      <c r="AL64" s="1"/>
      <c r="AM64" s="1"/>
      <c r="AN64" s="1"/>
      <c r="AO64" s="1"/>
      <c r="AP64" s="1"/>
      <c r="AQ64" s="1"/>
      <c r="AR64" s="1"/>
      <c r="AS64" s="1"/>
      <c r="AT64" s="1"/>
      <c r="AU64" s="1"/>
    </row>
    <row r="65" customFormat="false" ht="12"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row>
    <row r="66" customFormat="false" ht="12"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row>
    <row r="67" customFormat="false" ht="12"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row>
    <row r="68" customFormat="false" ht="12"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row>
    <row r="69" customFormat="false" ht="12"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row>
    <row r="70" customFormat="false" ht="12"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row>
    <row r="71" customFormat="false" ht="12"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row>
    <row r="72" customFormat="false" ht="12"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row>
    <row r="73" customFormat="false" ht="12"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row>
    <row r="74" customFormat="false" ht="12"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row>
    <row r="75" customFormat="false" ht="12"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row>
    <row r="76" customFormat="false" ht="12"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row>
    <row r="77" customFormat="false" ht="12"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row>
    <row r="78" customFormat="false" ht="12"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row>
    <row r="79" customFormat="false" ht="12"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row>
    <row r="80" customFormat="false" ht="12"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row>
    <row r="81" customFormat="false" ht="12"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row>
    <row r="82" customFormat="false" ht="12"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row>
    <row r="83" customFormat="false" ht="12"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row>
    <row r="84" customFormat="false" ht="12"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row>
    <row r="85" customFormat="false" ht="12"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row>
    <row r="86" customFormat="false" ht="12"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row>
    <row r="87" customFormat="false" ht="12"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row>
    <row r="88" customFormat="false" ht="12"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row>
    <row r="89" customFormat="false" ht="12"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row>
    <row r="90" customFormat="false" ht="12"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row>
    <row r="91" customFormat="false" ht="12"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row>
    <row r="92" customFormat="false" ht="12"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row>
    <row r="93" customFormat="false" ht="12"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row>
    <row r="94" customFormat="false" ht="12"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row>
    <row r="95" customFormat="false" ht="12"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row>
    <row r="96" customFormat="false" ht="12"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row>
    <row r="97" customFormat="false" ht="12"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row>
    <row r="98" customFormat="false" ht="12"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row>
    <row r="99" customFormat="false" ht="12"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row>
    <row r="100" customFormat="false" ht="12"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row>
  </sheetData>
  <mergeCells count="55">
    <mergeCell ref="A4:AD6"/>
    <mergeCell ref="A7:E7"/>
    <mergeCell ref="F7:Q7"/>
    <mergeCell ref="R7:S7"/>
    <mergeCell ref="T7:V7"/>
    <mergeCell ref="W7:X7"/>
    <mergeCell ref="Y7:AD7"/>
    <mergeCell ref="A8:E8"/>
    <mergeCell ref="F8:V8"/>
    <mergeCell ref="W8:X8"/>
    <mergeCell ref="Y8:AD8"/>
    <mergeCell ref="A9:E9"/>
    <mergeCell ref="F9:AD9"/>
    <mergeCell ref="A10:E10"/>
    <mergeCell ref="F10:J10"/>
    <mergeCell ref="K10:M10"/>
    <mergeCell ref="N10:P10"/>
    <mergeCell ref="Q10:AD10"/>
    <mergeCell ref="A11:E11"/>
    <mergeCell ref="F11:V11"/>
    <mergeCell ref="W11:Y11"/>
    <mergeCell ref="Z11:AD11"/>
    <mergeCell ref="A12:E12"/>
    <mergeCell ref="F12:V12"/>
    <mergeCell ref="W12:Y12"/>
    <mergeCell ref="Z12:AD12"/>
    <mergeCell ref="A14:B18"/>
    <mergeCell ref="C14:K14"/>
    <mergeCell ref="O14:P18"/>
    <mergeCell ref="Q14:V14"/>
    <mergeCell ref="W14:Z14"/>
    <mergeCell ref="AA14:AD14"/>
    <mergeCell ref="C15:K15"/>
    <mergeCell ref="Q15:R15"/>
    <mergeCell ref="S15:V15"/>
    <mergeCell ref="W15:Z15"/>
    <mergeCell ref="AA15:AD15"/>
    <mergeCell ref="C16:K16"/>
    <mergeCell ref="Q16:R16"/>
    <mergeCell ref="S16:V16"/>
    <mergeCell ref="W16:Z16"/>
    <mergeCell ref="AA16:AD16"/>
    <mergeCell ref="C17:K17"/>
    <mergeCell ref="Q17:R17"/>
    <mergeCell ref="S17:V17"/>
    <mergeCell ref="W17:Z17"/>
    <mergeCell ref="AA17:AD17"/>
    <mergeCell ref="Q18:R18"/>
    <mergeCell ref="S18:V18"/>
    <mergeCell ref="W18:Z18"/>
    <mergeCell ref="AA18:AD18"/>
    <mergeCell ref="K20:S20"/>
    <mergeCell ref="A21:AD42"/>
    <mergeCell ref="K44:S44"/>
    <mergeCell ref="A45:AD64"/>
  </mergeCell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&amp;R&amp;F - &amp;A</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B9" activeCellId="0" sqref="B9"/>
    </sheetView>
  </sheetViews>
  <sheetFormatPr defaultColWidth="14.4296875" defaultRowHeight="15" customHeight="true" zeroHeight="false" outlineLevelRow="0" outlineLevelCol="0"/>
  <cols>
    <col collapsed="false" customWidth="true" hidden="true" outlineLevel="0" max="1" min="1" style="0" width="7.14"/>
    <col collapsed="false" customWidth="true" hidden="false" outlineLevel="0" max="2" min="2" style="0" width="5.43"/>
    <col collapsed="false" customWidth="true" hidden="false" outlineLevel="0" max="3" min="3" style="0" width="33.57"/>
    <col collapsed="false" customWidth="true" hidden="false" outlineLevel="0" max="4" min="4" style="0" width="5.57"/>
    <col collapsed="false" customWidth="true" hidden="false" outlineLevel="0" max="5" min="5" style="0" width="4.57"/>
    <col collapsed="false" customWidth="true" hidden="false" outlineLevel="0" max="6" min="6" style="0" width="7.29"/>
    <col collapsed="false" customWidth="true" hidden="false" outlineLevel="0" max="7" min="7" style="0" width="6.14"/>
    <col collapsed="false" customWidth="true" hidden="false" outlineLevel="0" max="8" min="8" style="0" width="5.43"/>
    <col collapsed="false" customWidth="true" hidden="false" outlineLevel="0" max="9" min="9" style="0" width="7"/>
    <col collapsed="false" customWidth="true" hidden="false" outlineLevel="0" max="10" min="10" style="0" width="4.29"/>
    <col collapsed="false" customWidth="true" hidden="false" outlineLevel="0" max="11" min="11" style="0" width="5.43"/>
    <col collapsed="false" customWidth="true" hidden="false" outlineLevel="0" max="12" min="12" style="0" width="4.14"/>
    <col collapsed="false" customWidth="true" hidden="false" outlineLevel="0" max="13" min="13" style="0" width="6"/>
    <col collapsed="false" customWidth="true" hidden="false" outlineLevel="0" max="14" min="14" style="0" width="5.29"/>
    <col collapsed="false" customWidth="true" hidden="false" outlineLevel="0" max="15" min="15" style="0" width="5.71"/>
    <col collapsed="false" customWidth="true" hidden="false" outlineLevel="0" max="16" min="16" style="0" width="9.58"/>
    <col collapsed="false" customWidth="true" hidden="false" outlineLevel="0" max="17" min="17" style="0" width="72"/>
  </cols>
  <sheetData>
    <row r="1" customFormat="false" ht="13.5" hidden="true" customHeight="true" outlineLevel="0" collapsed="false">
      <c r="A1" s="28"/>
      <c r="B1" s="28"/>
      <c r="C1" s="1"/>
      <c r="D1" s="28"/>
      <c r="E1" s="28"/>
      <c r="F1" s="28"/>
      <c r="G1" s="28"/>
      <c r="H1" s="28"/>
      <c r="I1" s="28"/>
      <c r="J1" s="28"/>
      <c r="K1" s="28"/>
      <c r="L1" s="28"/>
      <c r="M1" s="28"/>
      <c r="N1" s="28"/>
      <c r="O1" s="28"/>
      <c r="P1" s="28"/>
      <c r="Q1" s="28"/>
    </row>
    <row r="2" customFormat="false" ht="13.5" hidden="true" customHeight="true" outlineLevel="0" collapsed="false">
      <c r="A2" s="28"/>
      <c r="B2" s="28"/>
      <c r="C2" s="1"/>
      <c r="D2" s="28"/>
      <c r="E2" s="28"/>
      <c r="F2" s="28"/>
      <c r="G2" s="28"/>
      <c r="H2" s="28"/>
      <c r="I2" s="28"/>
      <c r="J2" s="28"/>
      <c r="K2" s="28"/>
      <c r="L2" s="28"/>
      <c r="M2" s="28"/>
      <c r="N2" s="28"/>
      <c r="O2" s="28"/>
      <c r="P2" s="28"/>
      <c r="Q2" s="28"/>
    </row>
    <row r="3" customFormat="false" ht="17.25" hidden="true" customHeight="true" outlineLevel="0" collapsed="false">
      <c r="A3" s="28"/>
      <c r="B3" s="28"/>
      <c r="C3" s="3"/>
      <c r="D3" s="28"/>
      <c r="E3" s="28"/>
      <c r="F3" s="28"/>
      <c r="G3" s="28"/>
      <c r="H3" s="28"/>
      <c r="I3" s="28"/>
      <c r="J3" s="28"/>
      <c r="K3" s="28"/>
      <c r="L3" s="28"/>
      <c r="M3" s="28"/>
      <c r="N3" s="28"/>
      <c r="O3" s="28"/>
      <c r="P3" s="28"/>
      <c r="Q3" s="28"/>
    </row>
    <row r="4" customFormat="false" ht="12" hidden="true" customHeight="true" outlineLevel="0" collapsed="false">
      <c r="A4" s="1"/>
      <c r="B4" s="29" t="s">
        <v>39</v>
      </c>
      <c r="C4" s="29"/>
      <c r="D4" s="29"/>
      <c r="E4" s="29"/>
      <c r="F4" s="29"/>
      <c r="G4" s="29"/>
      <c r="H4" s="29"/>
      <c r="I4" s="29"/>
      <c r="J4" s="29"/>
      <c r="K4" s="29"/>
      <c r="L4" s="29"/>
      <c r="M4" s="29"/>
      <c r="N4" s="29"/>
      <c r="O4" s="29"/>
      <c r="P4" s="29"/>
      <c r="Q4" s="29"/>
    </row>
    <row r="5" customFormat="false" ht="12" hidden="false" customHeight="true" outlineLevel="0" collapsed="false">
      <c r="A5" s="1"/>
      <c r="B5" s="29"/>
      <c r="C5" s="29"/>
      <c r="D5" s="29"/>
      <c r="E5" s="29"/>
      <c r="F5" s="29"/>
      <c r="G5" s="29"/>
      <c r="H5" s="29"/>
      <c r="I5" s="29"/>
      <c r="J5" s="29"/>
      <c r="K5" s="29"/>
      <c r="L5" s="29"/>
      <c r="M5" s="29"/>
      <c r="N5" s="29"/>
      <c r="O5" s="29"/>
      <c r="P5" s="29"/>
      <c r="Q5" s="29"/>
    </row>
    <row r="6" customFormat="false" ht="19.5" hidden="false" customHeight="true" outlineLevel="0" collapsed="false">
      <c r="A6" s="1"/>
      <c r="B6" s="29"/>
      <c r="C6" s="29"/>
      <c r="D6" s="29"/>
      <c r="E6" s="29"/>
      <c r="F6" s="29"/>
      <c r="G6" s="29"/>
      <c r="H6" s="29"/>
      <c r="I6" s="29"/>
      <c r="J6" s="29"/>
      <c r="K6" s="29"/>
      <c r="L6" s="29"/>
      <c r="M6" s="29"/>
      <c r="N6" s="29"/>
      <c r="O6" s="29"/>
      <c r="P6" s="29"/>
      <c r="Q6" s="29"/>
    </row>
    <row r="7" customFormat="false" ht="12" hidden="false" customHeight="true" outlineLevel="0" collapsed="false">
      <c r="A7" s="1"/>
      <c r="B7" s="30" t="str">
        <f aca="false">Contagem!A8&amp;" : "&amp;Contagem!F8</f>
        <v>Aplicação : Viabiliza — Sistema de Licenciamento Eletrônico da SEDUR</v>
      </c>
      <c r="C7" s="30"/>
      <c r="D7" s="30"/>
      <c r="E7" s="30"/>
      <c r="F7" s="30"/>
      <c r="G7" s="30"/>
      <c r="H7" s="30" t="str">
        <f aca="false">Contagem!A9&amp;" : "&amp;Contagem!F9</f>
        <v>Projeto : Contagem IFPUG - Projeto de Desenvolvimento (recontagem a partir do código)</v>
      </c>
      <c r="I7" s="30"/>
      <c r="J7" s="30"/>
      <c r="K7" s="30"/>
      <c r="L7" s="30"/>
      <c r="M7" s="30"/>
      <c r="N7" s="30"/>
      <c r="O7" s="30"/>
      <c r="P7" s="30"/>
      <c r="Q7" s="30"/>
    </row>
    <row r="8" customFormat="false" ht="12" hidden="false" customHeight="true" outlineLevel="0" collapsed="false">
      <c r="A8" s="1"/>
      <c r="B8" s="30" t="s">
        <v>40</v>
      </c>
      <c r="C8" s="30"/>
      <c r="D8" s="30"/>
      <c r="E8" s="30"/>
      <c r="F8" s="30" t="s">
        <v>41</v>
      </c>
      <c r="G8" s="31" t="str">
        <f aca="false">Contagem!N10</f>
        <v>2.0</v>
      </c>
      <c r="H8" s="32" t="s">
        <v>42</v>
      </c>
      <c r="I8" s="32"/>
      <c r="J8" s="32"/>
      <c r="K8" s="30" t="str">
        <f aca="false">IF(ISBLANK(Contagem!L14),IF(ISBLANK(Contagem!L15),IF(ISBLANK(Contagem!L16),IF(ISBLANK(Contagem!L17),"","Aplicação (Baseline)"),"Melhoria"),"Desenvolvimento"),"Estimativa")</f>
        <v>Desenvolvimento</v>
      </c>
      <c r="L8" s="30"/>
      <c r="M8" s="30"/>
      <c r="N8" s="30"/>
      <c r="O8" s="30"/>
      <c r="P8" s="30"/>
      <c r="Q8" s="30"/>
    </row>
    <row r="9" customFormat="false" ht="12" hidden="false" customHeight="true" outlineLevel="0" collapsed="false">
      <c r="A9" s="33"/>
      <c r="B9" s="32" t="str">
        <f aca="false">Contagem!A11&amp;" : "&amp;Contagem!F11</f>
        <v>Responsável : Equipe de Análise — Sudoeste Informática</v>
      </c>
      <c r="C9" s="32"/>
      <c r="D9" s="32"/>
      <c r="E9" s="32"/>
      <c r="F9" s="32"/>
      <c r="G9" s="32"/>
      <c r="H9" s="30" t="str">
        <f aca="false">Contagem!A12&amp;" : "&amp;Contagem!F12</f>
        <v>Revisor : Filipe Falcão</v>
      </c>
      <c r="I9" s="30"/>
      <c r="J9" s="30"/>
      <c r="K9" s="30"/>
      <c r="L9" s="30"/>
      <c r="M9" s="30"/>
      <c r="N9" s="30"/>
      <c r="O9" s="30"/>
      <c r="P9" s="30"/>
      <c r="Q9" s="30"/>
    </row>
    <row r="10" customFormat="false" ht="12" hidden="false" customHeight="true" outlineLevel="0" collapsed="false">
      <c r="A10" s="33"/>
      <c r="B10" s="32" t="str">
        <f aca="false">Contagem!A7&amp;" : "&amp;Contagem!F7</f>
        <v>Empresa : Sudoeste Informática</v>
      </c>
      <c r="C10" s="32"/>
      <c r="D10" s="32"/>
      <c r="E10" s="32"/>
      <c r="F10" s="32"/>
      <c r="G10" s="30"/>
      <c r="H10" s="30"/>
      <c r="I10" s="34"/>
      <c r="J10" s="34"/>
      <c r="K10" s="34"/>
      <c r="L10" s="34"/>
      <c r="M10" s="34"/>
      <c r="N10" s="34"/>
      <c r="O10" s="34" t="str">
        <f aca="false">"PF  = "&amp;VALUE(Contagem!Y8)</f>
        <v>PF  = 1545</v>
      </c>
      <c r="P10" s="34"/>
      <c r="Q10" s="35"/>
    </row>
    <row r="11" customFormat="false" ht="12" hidden="false" customHeight="true" outlineLevel="0" collapsed="false">
      <c r="A11" s="36"/>
      <c r="B11" s="37" t="s">
        <v>43</v>
      </c>
      <c r="C11" s="37" t="s">
        <v>44</v>
      </c>
      <c r="D11" s="37"/>
      <c r="E11" s="37"/>
      <c r="F11" s="37"/>
      <c r="G11" s="37"/>
      <c r="H11" s="38" t="s">
        <v>45</v>
      </c>
      <c r="I11" s="38" t="s">
        <v>46</v>
      </c>
      <c r="J11" s="39" t="s">
        <v>47</v>
      </c>
      <c r="K11" s="39" t="s">
        <v>48</v>
      </c>
      <c r="L11" s="39" t="s">
        <v>49</v>
      </c>
      <c r="M11" s="39" t="s">
        <v>50</v>
      </c>
      <c r="N11" s="39" t="s">
        <v>51</v>
      </c>
      <c r="O11" s="39" t="s">
        <v>9</v>
      </c>
      <c r="P11" s="39" t="s">
        <v>28</v>
      </c>
      <c r="Q11" s="39" t="s">
        <v>52</v>
      </c>
    </row>
    <row r="12" customFormat="false" ht="13.5" hidden="false" customHeight="true" outlineLevel="0" collapsed="false">
      <c r="A12" s="40" t="n">
        <f aca="false">IF(D12="",IF(C12="","",1),"")</f>
        <v>1</v>
      </c>
      <c r="B12" s="41" t="str">
        <f aca="false">CONCATENATE("F",A12)</f>
        <v>F1</v>
      </c>
      <c r="C12" s="42" t="s">
        <v>53</v>
      </c>
      <c r="D12" s="42"/>
      <c r="E12" s="42"/>
      <c r="F12" s="42"/>
      <c r="G12" s="42"/>
      <c r="H12" s="43"/>
      <c r="I12" s="43"/>
      <c r="J12" s="43"/>
      <c r="K12" s="43"/>
      <c r="L12" s="44" t="str">
        <f aca="false">CONCATENATE(H12,M12)</f>
        <v/>
      </c>
      <c r="M12" s="45" t="str">
        <f aca="false">IF(OR(ISBLANK(J12),ISBLANK(K12)),IF(OR(H12="ALI",H12="AIE"),"L",IF(ISBLANK(H12),"","A")),IF(H12="EE",IF(K12&gt;=3,IF(J12&gt;=5,"H","A"),IF(K12&gt;=2,IF(J12&gt;=16,"H",IF(J12&lt;=4,"L","A")),IF(J12&lt;=15,"L","A"))),IF(OR(H12="SE",H12="CE"),IF(K12&gt;=4,IF(J12&gt;=6,"H","A"),IF(K12&gt;=2,IF(J12&gt;=20,"H",IF(J12&lt;=5,"L","A")),IF(J12&lt;=19,"L","A"))),IF(OR(H12="ALI",H12="AIE"),IF(K12&gt;=6,IF(J12&gt;=20,"H","A"),IF(K12&gt;=2,IF(J12&gt;=51,"H",IF(J12&lt;=19,"L","A")),IF(J12&lt;=50,"L","A")))))))</f>
        <v/>
      </c>
      <c r="N12" s="46" t="str">
        <f aca="false">IF(M12="L","Baixa",IF(M12="A","Média",IF(M12="","","Alta")))</f>
        <v/>
      </c>
      <c r="O12" s="47" t="str">
        <f aca="false">IF(ISBLANK(H12),"",IF(H12="ALI",IF(M12="L",7,IF(M12="A",10,15)),IF(H12="AIE",IF(M12="L",5,IF(M12="A",7,10)),IF(H12="SE",IF(M12="L",4,IF(M12="A",5,7)),IF(OR(H12="EE",H12="CE"),IF(M12="L",3,IF(M12="A",4,6)))))))</f>
        <v/>
      </c>
      <c r="P12" s="48" t="str">
        <f aca="false">IF(I12="I",O12*Contagem!$W$15,IF(I12="E",O12*Contagem!$W$17,IF(I12="A",O12*Contagem!$W$16,IF(I12="T",O12*Contagem!$W$18,""))))</f>
        <v/>
      </c>
      <c r="Q12" s="49"/>
    </row>
    <row r="13" customFormat="false" ht="12" hidden="false" customHeight="true" outlineLevel="0" collapsed="false">
      <c r="A13" s="40" t="n">
        <f aca="false">IF(H13="",IF(C13="",A12,A12+1),A12)</f>
        <v>1</v>
      </c>
      <c r="B13" s="41" t="str">
        <f aca="false">IF(A13=A12,"",CONCATENATE("F",A13))</f>
        <v/>
      </c>
      <c r="C13" s="42" t="s">
        <v>54</v>
      </c>
      <c r="D13" s="42"/>
      <c r="E13" s="42"/>
      <c r="F13" s="42"/>
      <c r="G13" s="42"/>
      <c r="H13" s="44" t="s">
        <v>55</v>
      </c>
      <c r="I13" s="50" t="s">
        <v>56</v>
      </c>
      <c r="J13" s="44" t="n">
        <v>21</v>
      </c>
      <c r="K13" s="44" t="n">
        <v>3</v>
      </c>
      <c r="L13" s="44" t="str">
        <f aca="false">CONCATENATE(H13,M13)</f>
        <v>ALIA</v>
      </c>
      <c r="M13" s="45" t="str">
        <f aca="false">IF(OR(ISBLANK(J13),ISBLANK(K13)),IF(OR(H13="ALI",H13="AIE"),"L",IF(ISBLANK(H13),"","A")),IF(H13="EE",IF(K13&gt;=3,IF(J13&gt;=5,"H","A"),IF(K13&gt;=2,IF(J13&gt;=16,"H",IF(J13&lt;=4,"L","A")),IF(J13&lt;=15,"L","A"))),IF(OR(H13="SE",H13="CE"),IF(K13&gt;=4,IF(J13&gt;=6,"H","A"),IF(K13&gt;=2,IF(J13&gt;=20,"H",IF(J13&lt;=5,"L","A")),IF(J13&lt;=19,"L","A"))),IF(OR(H13="ALI",H13="AIE"),IF(K13&gt;=6,IF(J13&gt;=20,"H","A"),IF(K13&gt;=2,IF(J13&gt;=51,"H",IF(J13&lt;=19,"L","A")),IF(J13&lt;=50,"L","A")))))))</f>
        <v>A</v>
      </c>
      <c r="N13" s="46" t="str">
        <f aca="false">IF(M13="L","Baixa",IF(M13="A","Média",IF(M13="","","Alta")))</f>
        <v>Média</v>
      </c>
      <c r="O13" s="47" t="n">
        <f aca="false">IF(ISBLANK(H13),"",IF(H13="ALI",IF(M13="L",7,IF(M13="A",10,15)),IF(H13="AIE",IF(M13="L",5,IF(M13="A",7,10)),IF(H13="SE",IF(M13="L",4,IF(M13="A",5,7)),IF(OR(H13="EE",H13="CE"),IF(M13="L",3,IF(M13="A",4,6)))))))</f>
        <v>10</v>
      </c>
      <c r="P13" s="48" t="n">
        <f aca="false">IF(I13="I",O13*Contagem!$W$15,IF(I13="E",O13*Contagem!$W$17,IF(I13="A",O13*Contagem!$W$16,IF(I13="T",O13*Contagem!$W$18,""))))</f>
        <v>10</v>
      </c>
      <c r="Q13" s="49" t="s">
        <v>57</v>
      </c>
    </row>
    <row r="14" customFormat="false" ht="12" hidden="false" customHeight="true" outlineLevel="0" collapsed="false">
      <c r="A14" s="40" t="n">
        <f aca="false">IF(H14="",IF(C14="",A13,A13+1),A13)</f>
        <v>1</v>
      </c>
      <c r="B14" s="41" t="str">
        <f aca="false">IF(A14=A13,"",CONCATENATE("F",A14))</f>
        <v/>
      </c>
      <c r="C14" s="42" t="s">
        <v>58</v>
      </c>
      <c r="D14" s="42"/>
      <c r="E14" s="42"/>
      <c r="F14" s="42"/>
      <c r="G14" s="42"/>
      <c r="H14" s="44" t="s">
        <v>59</v>
      </c>
      <c r="I14" s="50" t="s">
        <v>56</v>
      </c>
      <c r="J14" s="44" t="n">
        <v>9</v>
      </c>
      <c r="K14" s="44" t="n">
        <v>1</v>
      </c>
      <c r="L14" s="44" t="str">
        <f aca="false">CONCATENATE(H14,M14)</f>
        <v>AIEL</v>
      </c>
      <c r="M14" s="45" t="str">
        <f aca="false">IF(OR(ISBLANK(J14),ISBLANK(K14)),IF(OR(H14="ALI",H14="AIE"),"L",IF(ISBLANK(H14),"","A")),IF(H14="EE",IF(K14&gt;=3,IF(J14&gt;=5,"H","A"),IF(K14&gt;=2,IF(J14&gt;=16,"H",IF(J14&lt;=4,"L","A")),IF(J14&lt;=15,"L","A"))),IF(OR(H14="SE",H14="CE"),IF(K14&gt;=4,IF(J14&gt;=6,"H","A"),IF(K14&gt;=2,IF(J14&gt;=20,"H",IF(J14&lt;=5,"L","A")),IF(J14&lt;=19,"L","A"))),IF(OR(H14="ALI",H14="AIE"),IF(K14&gt;=6,IF(J14&gt;=20,"H","A"),IF(K14&gt;=2,IF(J14&gt;=51,"H",IF(J14&lt;=19,"L","A")),IF(J14&lt;=50,"L","A")))))))</f>
        <v>L</v>
      </c>
      <c r="N14" s="46" t="str">
        <f aca="false">IF(M14="L","Baixa",IF(M14="A","Média",IF(M14="","","Alta")))</f>
        <v>Baixa</v>
      </c>
      <c r="O14" s="47" t="n">
        <f aca="false">IF(ISBLANK(H14),"",IF(H14="ALI",IF(M14="L",7,IF(M14="A",10,15)),IF(H14="AIE",IF(M14="L",5,IF(M14="A",7,10)),IF(H14="SE",IF(M14="L",4,IF(M14="A",5,7)),IF(OR(H14="EE",H14="CE"),IF(M14="L",3,IF(M14="A",4,6)))))))</f>
        <v>5</v>
      </c>
      <c r="P14" s="48" t="n">
        <f aca="false">IF(I14="I",O14*Contagem!$W$15,IF(I14="E",O14*Contagem!$W$17,IF(I14="A",O14*Contagem!$W$16,IF(I14="T",O14*Contagem!$W$18,""))))</f>
        <v>5</v>
      </c>
      <c r="Q14" s="49" t="s">
        <v>60</v>
      </c>
    </row>
    <row r="15" customFormat="false" ht="12" hidden="false" customHeight="true" outlineLevel="0" collapsed="false">
      <c r="A15" s="40" t="n">
        <f aca="false">IF(H15="",IF(C15="",A14,A14+1),A14)</f>
        <v>1</v>
      </c>
      <c r="B15" s="41" t="str">
        <f aca="false">IF(A15=A14,"",CONCATENATE("F",A15))</f>
        <v/>
      </c>
      <c r="C15" s="42" t="s">
        <v>61</v>
      </c>
      <c r="D15" s="42"/>
      <c r="E15" s="42"/>
      <c r="F15" s="42"/>
      <c r="G15" s="42"/>
      <c r="H15" s="44" t="s">
        <v>62</v>
      </c>
      <c r="I15" s="50" t="s">
        <v>56</v>
      </c>
      <c r="J15" s="44" t="n">
        <v>7</v>
      </c>
      <c r="K15" s="44" t="n">
        <v>2</v>
      </c>
      <c r="L15" s="44" t="str">
        <f aca="false">CONCATENATE(H15,M15)</f>
        <v>EEA</v>
      </c>
      <c r="M15" s="45" t="str">
        <f aca="false">IF(OR(ISBLANK(J15),ISBLANK(K15)),IF(OR(H15="ALI",H15="AIE"),"L",IF(ISBLANK(H15),"","A")),IF(H15="EE",IF(K15&gt;=3,IF(J15&gt;=5,"H","A"),IF(K15&gt;=2,IF(J15&gt;=16,"H",IF(J15&lt;=4,"L","A")),IF(J15&lt;=15,"L","A"))),IF(OR(H15="SE",H15="CE"),IF(K15&gt;=4,IF(J15&gt;=6,"H","A"),IF(K15&gt;=2,IF(J15&gt;=20,"H",IF(J15&lt;=5,"L","A")),IF(J15&lt;=19,"L","A"))),IF(OR(H15="ALI",H15="AIE"),IF(K15&gt;=6,IF(J15&gt;=20,"H","A"),IF(K15&gt;=2,IF(J15&gt;=51,"H",IF(J15&lt;=19,"L","A")),IF(J15&lt;=50,"L","A")))))))</f>
        <v>A</v>
      </c>
      <c r="N15" s="46" t="str">
        <f aca="false">IF(M15="L","Baixa",IF(M15="A","Média",IF(M15="","","Alta")))</f>
        <v>Média</v>
      </c>
      <c r="O15" s="47" t="n">
        <f aca="false">IF(ISBLANK(H15),"",IF(H15="ALI",IF(M15="L",7,IF(M15="A",10,15)),IF(H15="AIE",IF(M15="L",5,IF(M15="A",7,10)),IF(H15="SE",IF(M15="L",4,IF(M15="A",5,7)),IF(OR(H15="EE",H15="CE"),IF(M15="L",3,IF(M15="A",4,6)))))))</f>
        <v>4</v>
      </c>
      <c r="P15" s="48" t="n">
        <f aca="false">IF(I15="I",O15*Contagem!$W$15,IF(I15="E",O15*Contagem!$W$17,IF(I15="A",O15*Contagem!$W$16,IF(I15="T",O15*Contagem!$W$18,""))))</f>
        <v>4</v>
      </c>
      <c r="Q15" s="49" t="s">
        <v>63</v>
      </c>
    </row>
    <row r="16" customFormat="false" ht="12" hidden="false" customHeight="true" outlineLevel="0" collapsed="false">
      <c r="A16" s="40" t="n">
        <f aca="false">IF(H16="",IF(C16="",A15,A15+1),A15)</f>
        <v>1</v>
      </c>
      <c r="B16" s="41" t="str">
        <f aca="false">IF(A16=A15,"",CONCATENATE("F",A16))</f>
        <v/>
      </c>
      <c r="C16" s="42" t="s">
        <v>64</v>
      </c>
      <c r="D16" s="42"/>
      <c r="E16" s="42"/>
      <c r="F16" s="42"/>
      <c r="G16" s="42"/>
      <c r="H16" s="44" t="s">
        <v>62</v>
      </c>
      <c r="I16" s="50" t="s">
        <v>56</v>
      </c>
      <c r="J16" s="44" t="n">
        <v>4</v>
      </c>
      <c r="K16" s="44" t="n">
        <v>1</v>
      </c>
      <c r="L16" s="44" t="str">
        <f aca="false">CONCATENATE(H16,M16)</f>
        <v>EEL</v>
      </c>
      <c r="M16" s="45" t="str">
        <f aca="false">IF(OR(ISBLANK(J16),ISBLANK(K16)),IF(OR(H16="ALI",H16="AIE"),"L",IF(ISBLANK(H16),"","A")),IF(H16="EE",IF(K16&gt;=3,IF(J16&gt;=5,"H","A"),IF(K16&gt;=2,IF(J16&gt;=16,"H",IF(J16&lt;=4,"L","A")),IF(J16&lt;=15,"L","A"))),IF(OR(H16="SE",H16="CE"),IF(K16&gt;=4,IF(J16&gt;=6,"H","A"),IF(K16&gt;=2,IF(J16&gt;=20,"H",IF(J16&lt;=5,"L","A")),IF(J16&lt;=19,"L","A"))),IF(OR(H16="ALI",H16="AIE"),IF(K16&gt;=6,IF(J16&gt;=20,"H","A"),IF(K16&gt;=2,IF(J16&gt;=51,"H",IF(J16&lt;=19,"L","A")),IF(J16&lt;=50,"L","A")))))))</f>
        <v>L</v>
      </c>
      <c r="N16" s="46" t="str">
        <f aca="false">IF(M16="L","Baixa",IF(M16="A","Média",IF(M16="","","Alta")))</f>
        <v>Baixa</v>
      </c>
      <c r="O16" s="47" t="n">
        <f aca="false">IF(ISBLANK(H16),"",IF(H16="ALI",IF(M16="L",7,IF(M16="A",10,15)),IF(H16="AIE",IF(M16="L",5,IF(M16="A",7,10)),IF(H16="SE",IF(M16="L",4,IF(M16="A",5,7)),IF(OR(H16="EE",H16="CE"),IF(M16="L",3,IF(M16="A",4,6)))))))</f>
        <v>3</v>
      </c>
      <c r="P16" s="48" t="n">
        <f aca="false">IF(I16="I",O16*Contagem!$W$15,IF(I16="E",O16*Contagem!$W$17,IF(I16="A",O16*Contagem!$W$16,IF(I16="T",O16*Contagem!$W$18,""))))</f>
        <v>3</v>
      </c>
      <c r="Q16" s="49" t="s">
        <v>65</v>
      </c>
    </row>
    <row r="17" customFormat="false" ht="12" hidden="false" customHeight="true" outlineLevel="0" collapsed="false">
      <c r="A17" s="40" t="n">
        <f aca="false">IF(H17="",IF(C17="",A16,A16+1),A16)</f>
        <v>1</v>
      </c>
      <c r="B17" s="41" t="str">
        <f aca="false">IF(A17=A16,"",CONCATENATE("F",A17))</f>
        <v/>
      </c>
      <c r="C17" s="42" t="s">
        <v>66</v>
      </c>
      <c r="D17" s="42"/>
      <c r="E17" s="42"/>
      <c r="F17" s="42"/>
      <c r="G17" s="42"/>
      <c r="H17" s="44" t="s">
        <v>62</v>
      </c>
      <c r="I17" s="50" t="s">
        <v>56</v>
      </c>
      <c r="J17" s="44" t="n">
        <v>4</v>
      </c>
      <c r="K17" s="44" t="n">
        <v>2</v>
      </c>
      <c r="L17" s="44" t="str">
        <f aca="false">CONCATENATE(H17,M17)</f>
        <v>EEL</v>
      </c>
      <c r="M17" s="45" t="str">
        <f aca="false">IF(OR(ISBLANK(J17),ISBLANK(K17)),IF(OR(H17="ALI",H17="AIE"),"L",IF(ISBLANK(H17),"","A")),IF(H17="EE",IF(K17&gt;=3,IF(J17&gt;=5,"H","A"),IF(K17&gt;=2,IF(J17&gt;=16,"H",IF(J17&lt;=4,"L","A")),IF(J17&lt;=15,"L","A"))),IF(OR(H17="SE",H17="CE"),IF(K17&gt;=4,IF(J17&gt;=6,"H","A"),IF(K17&gt;=2,IF(J17&gt;=20,"H",IF(J17&lt;=5,"L","A")),IF(J17&lt;=19,"L","A"))),IF(OR(H17="ALI",H17="AIE"),IF(K17&gt;=6,IF(J17&gt;=20,"H","A"),IF(K17&gt;=2,IF(J17&gt;=51,"H",IF(J17&lt;=19,"L","A")),IF(J17&lt;=50,"L","A")))))))</f>
        <v>L</v>
      </c>
      <c r="N17" s="46" t="str">
        <f aca="false">IF(M17="L","Baixa",IF(M17="A","Média",IF(M17="","","Alta")))</f>
        <v>Baixa</v>
      </c>
      <c r="O17" s="47" t="n">
        <f aca="false">IF(ISBLANK(H17),"",IF(H17="ALI",IF(M17="L",7,IF(M17="A",10,15)),IF(H17="AIE",IF(M17="L",5,IF(M17="A",7,10)),IF(H17="SE",IF(M17="L",4,IF(M17="A",5,7)),IF(OR(H17="EE",H17="CE"),IF(M17="L",3,IF(M17="A",4,6)))))))</f>
        <v>3</v>
      </c>
      <c r="P17" s="48" t="n">
        <f aca="false">IF(I17="I",O17*Contagem!$W$15,IF(I17="E",O17*Contagem!$W$17,IF(I17="A",O17*Contagem!$W$16,IF(I17="T",O17*Contagem!$W$18,""))))</f>
        <v>3</v>
      </c>
      <c r="Q17" s="49" t="s">
        <v>67</v>
      </c>
    </row>
    <row r="18" customFormat="false" ht="12" hidden="false" customHeight="true" outlineLevel="0" collapsed="false">
      <c r="A18" s="40" t="n">
        <f aca="false">IF(H18="",IF(C18="",A17,A17+1),A17)</f>
        <v>1</v>
      </c>
      <c r="B18" s="41" t="str">
        <f aca="false">IF(A18=A17,"",CONCATENATE("F",A18))</f>
        <v/>
      </c>
      <c r="C18" s="42" t="s">
        <v>68</v>
      </c>
      <c r="D18" s="42"/>
      <c r="E18" s="42"/>
      <c r="F18" s="42"/>
      <c r="G18" s="42"/>
      <c r="H18" s="44" t="s">
        <v>62</v>
      </c>
      <c r="I18" s="50" t="s">
        <v>56</v>
      </c>
      <c r="J18" s="44" t="n">
        <v>5</v>
      </c>
      <c r="K18" s="44" t="n">
        <v>3</v>
      </c>
      <c r="L18" s="44" t="str">
        <f aca="false">CONCATENATE(H18,M18)</f>
        <v>EEH</v>
      </c>
      <c r="M18" s="45" t="str">
        <f aca="false">IF(OR(ISBLANK(J18),ISBLANK(K18)),IF(OR(H18="ALI",H18="AIE"),"L",IF(ISBLANK(H18),"","A")),IF(H18="EE",IF(K18&gt;=3,IF(J18&gt;=5,"H","A"),IF(K18&gt;=2,IF(J18&gt;=16,"H",IF(J18&lt;=4,"L","A")),IF(J18&lt;=15,"L","A"))),IF(OR(H18="SE",H18="CE"),IF(K18&gt;=4,IF(J18&gt;=6,"H","A"),IF(K18&gt;=2,IF(J18&gt;=20,"H",IF(J18&lt;=5,"L","A")),IF(J18&lt;=19,"L","A"))),IF(OR(H18="ALI",H18="AIE"),IF(K18&gt;=6,IF(J18&gt;=20,"H","A"),IF(K18&gt;=2,IF(J18&gt;=51,"H",IF(J18&lt;=19,"L","A")),IF(J18&lt;=50,"L","A")))))))</f>
        <v>H</v>
      </c>
      <c r="N18" s="46" t="str">
        <f aca="false">IF(M18="L","Baixa",IF(M18="A","Média",IF(M18="","","Alta")))</f>
        <v>Alta</v>
      </c>
      <c r="O18" s="47" t="n">
        <f aca="false">IF(ISBLANK(H18),"",IF(H18="ALI",IF(M18="L",7,IF(M18="A",10,15)),IF(H18="AIE",IF(M18="L",5,IF(M18="A",7,10)),IF(H18="SE",IF(M18="L",4,IF(M18="A",5,7)),IF(OR(H18="EE",H18="CE"),IF(M18="L",3,IF(M18="A",4,6)))))))</f>
        <v>6</v>
      </c>
      <c r="P18" s="48" t="n">
        <f aca="false">IF(I18="I",O18*Contagem!$W$15,IF(I18="E",O18*Contagem!$W$17,IF(I18="A",O18*Contagem!$W$16,IF(I18="T",O18*Contagem!$W$18,""))))</f>
        <v>6</v>
      </c>
      <c r="Q18" s="49" t="s">
        <v>69</v>
      </c>
    </row>
    <row r="19" customFormat="false" ht="12" hidden="false" customHeight="true" outlineLevel="0" collapsed="false">
      <c r="A19" s="40" t="n">
        <f aca="false">IF(H19="",IF(C19="",A18,A18+1),A18)</f>
        <v>1</v>
      </c>
      <c r="B19" s="41" t="str">
        <f aca="false">IF(A19=A18,"",CONCATENATE("F",A19))</f>
        <v/>
      </c>
      <c r="C19" s="42" t="s">
        <v>70</v>
      </c>
      <c r="D19" s="42"/>
      <c r="E19" s="42"/>
      <c r="F19" s="42"/>
      <c r="G19" s="42"/>
      <c r="H19" s="44" t="s">
        <v>62</v>
      </c>
      <c r="I19" s="50" t="s">
        <v>56</v>
      </c>
      <c r="J19" s="44" t="n">
        <v>2</v>
      </c>
      <c r="K19" s="44" t="n">
        <v>2</v>
      </c>
      <c r="L19" s="44" t="str">
        <f aca="false">CONCATENATE(H19,M19)</f>
        <v>EEL</v>
      </c>
      <c r="M19" s="45" t="str">
        <f aca="false">IF(OR(ISBLANK(J19),ISBLANK(K19)),IF(OR(H19="ALI",H19="AIE"),"L",IF(ISBLANK(H19),"","A")),IF(H19="EE",IF(K19&gt;=3,IF(J19&gt;=5,"H","A"),IF(K19&gt;=2,IF(J19&gt;=16,"H",IF(J19&lt;=4,"L","A")),IF(J19&lt;=15,"L","A"))),IF(OR(H19="SE",H19="CE"),IF(K19&gt;=4,IF(J19&gt;=6,"H","A"),IF(K19&gt;=2,IF(J19&gt;=20,"H",IF(J19&lt;=5,"L","A")),IF(J19&lt;=19,"L","A"))),IF(OR(H19="ALI",H19="AIE"),IF(K19&gt;=6,IF(J19&gt;=20,"H","A"),IF(K19&gt;=2,IF(J19&gt;=51,"H",IF(J19&lt;=19,"L","A")),IF(J19&lt;=50,"L","A")))))))</f>
        <v>L</v>
      </c>
      <c r="N19" s="46" t="str">
        <f aca="false">IF(M19="L","Baixa",IF(M19="A","Média",IF(M19="","","Alta")))</f>
        <v>Baixa</v>
      </c>
      <c r="O19" s="47" t="n">
        <f aca="false">IF(ISBLANK(H19),"",IF(H19="ALI",IF(M19="L",7,IF(M19="A",10,15)),IF(H19="AIE",IF(M19="L",5,IF(M19="A",7,10)),IF(H19="SE",IF(M19="L",4,IF(M19="A",5,7)),IF(OR(H19="EE",H19="CE"),IF(M19="L",3,IF(M19="A",4,6)))))))</f>
        <v>3</v>
      </c>
      <c r="P19" s="48" t="n">
        <f aca="false">IF(I19="I",O19*Contagem!$W$15,IF(I19="E",O19*Contagem!$W$17,IF(I19="A",O19*Contagem!$W$16,IF(I19="T",O19*Contagem!$W$18,""))))</f>
        <v>3</v>
      </c>
      <c r="Q19" s="49" t="s">
        <v>71</v>
      </c>
    </row>
    <row r="20" customFormat="false" ht="12" hidden="false" customHeight="true" outlineLevel="0" collapsed="false">
      <c r="A20" s="40" t="n">
        <f aca="false">IF(H20="",IF(C20="",A19,A19+1),A19)</f>
        <v>1</v>
      </c>
      <c r="B20" s="41" t="str">
        <f aca="false">IF(A20=A19,"",CONCATENATE("F",A20))</f>
        <v/>
      </c>
      <c r="C20" s="42" t="s">
        <v>72</v>
      </c>
      <c r="D20" s="42"/>
      <c r="E20" s="42"/>
      <c r="F20" s="42"/>
      <c r="G20" s="42"/>
      <c r="H20" s="44" t="s">
        <v>62</v>
      </c>
      <c r="I20" s="50" t="s">
        <v>56</v>
      </c>
      <c r="J20" s="44" t="n">
        <v>5</v>
      </c>
      <c r="K20" s="44" t="n">
        <v>1</v>
      </c>
      <c r="L20" s="44" t="str">
        <f aca="false">CONCATENATE(H20,M20)</f>
        <v>EEL</v>
      </c>
      <c r="M20" s="45" t="str">
        <f aca="false">IF(OR(ISBLANK(J20),ISBLANK(K20)),IF(OR(H20="ALI",H20="AIE"),"L",IF(ISBLANK(H20),"","A")),IF(H20="EE",IF(K20&gt;=3,IF(J20&gt;=5,"H","A"),IF(K20&gt;=2,IF(J20&gt;=16,"H",IF(J20&lt;=4,"L","A")),IF(J20&lt;=15,"L","A"))),IF(OR(H20="SE",H20="CE"),IF(K20&gt;=4,IF(J20&gt;=6,"H","A"),IF(K20&gt;=2,IF(J20&gt;=20,"H",IF(J20&lt;=5,"L","A")),IF(J20&lt;=19,"L","A"))),IF(OR(H20="ALI",H20="AIE"),IF(K20&gt;=6,IF(J20&gt;=20,"H","A"),IF(K20&gt;=2,IF(J20&gt;=51,"H",IF(J20&lt;=19,"L","A")),IF(J20&lt;=50,"L","A")))))))</f>
        <v>L</v>
      </c>
      <c r="N20" s="46" t="str">
        <f aca="false">IF(M20="L","Baixa",IF(M20="A","Média",IF(M20="","","Alta")))</f>
        <v>Baixa</v>
      </c>
      <c r="O20" s="47" t="n">
        <f aca="false">IF(ISBLANK(H20),"",IF(H20="ALI",IF(M20="L",7,IF(M20="A",10,15)),IF(H20="AIE",IF(M20="L",5,IF(M20="A",7,10)),IF(H20="SE",IF(M20="L",4,IF(M20="A",5,7)),IF(OR(H20="EE",H20="CE"),IF(M20="L",3,IF(M20="A",4,6)))))))</f>
        <v>3</v>
      </c>
      <c r="P20" s="48" t="n">
        <f aca="false">IF(I20="I",O20*Contagem!$W$15,IF(I20="E",O20*Contagem!$W$17,IF(I20="A",O20*Contagem!$W$16,IF(I20="T",O20*Contagem!$W$18,""))))</f>
        <v>3</v>
      </c>
      <c r="Q20" s="49" t="s">
        <v>73</v>
      </c>
    </row>
    <row r="21" customFormat="false" ht="12" hidden="false" customHeight="true" outlineLevel="0" collapsed="false">
      <c r="A21" s="40" t="n">
        <f aca="false">IF(H21="",IF(C21="",A20,A20+1),A20)</f>
        <v>1</v>
      </c>
      <c r="B21" s="41" t="str">
        <f aca="false">IF(A21=A20,"",CONCATENATE("F",A21))</f>
        <v/>
      </c>
      <c r="C21" s="42" t="s">
        <v>74</v>
      </c>
      <c r="D21" s="42"/>
      <c r="E21" s="42"/>
      <c r="F21" s="42"/>
      <c r="G21" s="42"/>
      <c r="H21" s="44" t="s">
        <v>62</v>
      </c>
      <c r="I21" s="50" t="s">
        <v>56</v>
      </c>
      <c r="J21" s="44" t="n">
        <v>2</v>
      </c>
      <c r="K21" s="44" t="n">
        <v>2</v>
      </c>
      <c r="L21" s="44" t="str">
        <f aca="false">CONCATENATE(H21,M21)</f>
        <v>EEL</v>
      </c>
      <c r="M21" s="45" t="str">
        <f aca="false">IF(OR(ISBLANK(J21),ISBLANK(K21)),IF(OR(H21="ALI",H21="AIE"),"L",IF(ISBLANK(H21),"","A")),IF(H21="EE",IF(K21&gt;=3,IF(J21&gt;=5,"H","A"),IF(K21&gt;=2,IF(J21&gt;=16,"H",IF(J21&lt;=4,"L","A")),IF(J21&lt;=15,"L","A"))),IF(OR(H21="SE",H21="CE"),IF(K21&gt;=4,IF(J21&gt;=6,"H","A"),IF(K21&gt;=2,IF(J21&gt;=20,"H",IF(J21&lt;=5,"L","A")),IF(J21&lt;=19,"L","A"))),IF(OR(H21="ALI",H21="AIE"),IF(K21&gt;=6,IF(J21&gt;=20,"H","A"),IF(K21&gt;=2,IF(J21&gt;=51,"H",IF(J21&lt;=19,"L","A")),IF(J21&lt;=50,"L","A")))))))</f>
        <v>L</v>
      </c>
      <c r="N21" s="46" t="str">
        <f aca="false">IF(M21="L","Baixa",IF(M21="A","Média",IF(M21="","","Alta")))</f>
        <v>Baixa</v>
      </c>
      <c r="O21" s="47" t="n">
        <f aca="false">IF(ISBLANK(H21),"",IF(H21="ALI",IF(M21="L",7,IF(M21="A",10,15)),IF(H21="AIE",IF(M21="L",5,IF(M21="A",7,10)),IF(H21="SE",IF(M21="L",4,IF(M21="A",5,7)),IF(OR(H21="EE",H21="CE"),IF(M21="L",3,IF(M21="A",4,6)))))))</f>
        <v>3</v>
      </c>
      <c r="P21" s="48" t="n">
        <f aca="false">IF(I21="I",O21*Contagem!$W$15,IF(I21="E",O21*Contagem!$W$17,IF(I21="A",O21*Contagem!$W$16,IF(I21="T",O21*Contagem!$W$18,""))))</f>
        <v>3</v>
      </c>
      <c r="Q21" s="49" t="s">
        <v>75</v>
      </c>
    </row>
    <row r="22" customFormat="false" ht="12" hidden="false" customHeight="true" outlineLevel="0" collapsed="false">
      <c r="A22" s="40" t="n">
        <f aca="false">IF(H22="",IF(C22="",A21,A21+1),A21)</f>
        <v>1</v>
      </c>
      <c r="B22" s="41" t="str">
        <f aca="false">IF(A22=A21,"",CONCATENATE("F",A22))</f>
        <v/>
      </c>
      <c r="C22" s="42" t="s">
        <v>76</v>
      </c>
      <c r="D22" s="42"/>
      <c r="E22" s="42"/>
      <c r="F22" s="42"/>
      <c r="G22" s="42"/>
      <c r="H22" s="44" t="s">
        <v>62</v>
      </c>
      <c r="I22" s="50" t="s">
        <v>56</v>
      </c>
      <c r="J22" s="44" t="n">
        <v>5</v>
      </c>
      <c r="K22" s="44" t="n">
        <v>1</v>
      </c>
      <c r="L22" s="44" t="str">
        <f aca="false">CONCATENATE(H22,M22)</f>
        <v>EEL</v>
      </c>
      <c r="M22" s="45" t="str">
        <f aca="false">IF(OR(ISBLANK(J22),ISBLANK(K22)),IF(OR(H22="ALI",H22="AIE"),"L",IF(ISBLANK(H22),"","A")),IF(H22="EE",IF(K22&gt;=3,IF(J22&gt;=5,"H","A"),IF(K22&gt;=2,IF(J22&gt;=16,"H",IF(J22&lt;=4,"L","A")),IF(J22&lt;=15,"L","A"))),IF(OR(H22="SE",H22="CE"),IF(K22&gt;=4,IF(J22&gt;=6,"H","A"),IF(K22&gt;=2,IF(J22&gt;=20,"H",IF(J22&lt;=5,"L","A")),IF(J22&lt;=19,"L","A"))),IF(OR(H22="ALI",H22="AIE"),IF(K22&gt;=6,IF(J22&gt;=20,"H","A"),IF(K22&gt;=2,IF(J22&gt;=51,"H",IF(J22&lt;=19,"L","A")),IF(J22&lt;=50,"L","A")))))))</f>
        <v>L</v>
      </c>
      <c r="N22" s="46" t="str">
        <f aca="false">IF(M22="L","Baixa",IF(M22="A","Média",IF(M22="","","Alta")))</f>
        <v>Baixa</v>
      </c>
      <c r="O22" s="47" t="n">
        <f aca="false">IF(ISBLANK(H22),"",IF(H22="ALI",IF(M22="L",7,IF(M22="A",10,15)),IF(H22="AIE",IF(M22="L",5,IF(M22="A",7,10)),IF(H22="SE",IF(M22="L",4,IF(M22="A",5,7)),IF(OR(H22="EE",H22="CE"),IF(M22="L",3,IF(M22="A",4,6)))))))</f>
        <v>3</v>
      </c>
      <c r="P22" s="48" t="n">
        <f aca="false">IF(I22="I",O22*Contagem!$W$15,IF(I22="E",O22*Contagem!$W$17,IF(I22="A",O22*Contagem!$W$16,IF(I22="T",O22*Contagem!$W$18,""))))</f>
        <v>3</v>
      </c>
      <c r="Q22" s="49" t="s">
        <v>77</v>
      </c>
    </row>
    <row r="23" customFormat="false" ht="12" hidden="false" customHeight="true" outlineLevel="0" collapsed="false">
      <c r="A23" s="40" t="n">
        <f aca="false">IF(H23="",IF(C23="",A22,A22+1),A22)</f>
        <v>1</v>
      </c>
      <c r="B23" s="41" t="str">
        <f aca="false">IF(A23=A22,"",CONCATENATE("F",A23))</f>
        <v/>
      </c>
      <c r="C23" s="42"/>
      <c r="D23" s="42"/>
      <c r="E23" s="42"/>
      <c r="F23" s="42"/>
      <c r="G23" s="42"/>
      <c r="H23" s="44"/>
      <c r="I23" s="50"/>
      <c r="J23" s="44"/>
      <c r="K23" s="44"/>
      <c r="L23" s="44" t="str">
        <f aca="false">CONCATENATE(H23,M23)</f>
        <v/>
      </c>
      <c r="M23" s="45" t="str">
        <f aca="false">IF(OR(ISBLANK(J23),ISBLANK(K23)),IF(OR(H23="ALI",H23="AIE"),"L",IF(ISBLANK(H23),"","A")),IF(H23="EE",IF(K23&gt;=3,IF(J23&gt;=5,"H","A"),IF(K23&gt;=2,IF(J23&gt;=16,"H",IF(J23&lt;=4,"L","A")),IF(J23&lt;=15,"L","A"))),IF(OR(H23="SE",H23="CE"),IF(K23&gt;=4,IF(J23&gt;=6,"H","A"),IF(K23&gt;=2,IF(J23&gt;=20,"H",IF(J23&lt;=5,"L","A")),IF(J23&lt;=19,"L","A"))),IF(OR(H23="ALI",H23="AIE"),IF(K23&gt;=6,IF(J23&gt;=20,"H","A"),IF(K23&gt;=2,IF(J23&gt;=51,"H",IF(J23&lt;=19,"L","A")),IF(J23&lt;=50,"L","A")))))))</f>
        <v/>
      </c>
      <c r="N23" s="46" t="str">
        <f aca="false">IF(M23="L","Baixa",IF(M23="A","Média",IF(M23="","","Alta")))</f>
        <v/>
      </c>
      <c r="O23" s="47" t="str">
        <f aca="false">IF(ISBLANK(H23),"",IF(H23="ALI",IF(M23="L",7,IF(M23="A",10,15)),IF(H23="AIE",IF(M23="L",5,IF(M23="A",7,10)),IF(H23="SE",IF(M23="L",4,IF(M23="A",5,7)),IF(OR(H23="EE",H23="CE"),IF(M23="L",3,IF(M23="A",4,6)))))))</f>
        <v/>
      </c>
      <c r="P23" s="48" t="str">
        <f aca="false">IF(I23="I",O23*Contagem!$W$15,IF(I23="E",O23*Contagem!$W$17,IF(I23="A",O23*Contagem!$W$16,IF(I23="T",O23*Contagem!$W$18,""))))</f>
        <v/>
      </c>
      <c r="Q23" s="49"/>
    </row>
    <row r="24" customFormat="false" ht="12" hidden="false" customHeight="true" outlineLevel="0" collapsed="false">
      <c r="A24" s="40" t="n">
        <f aca="false">IF(H24="",IF(C24="",A23,A23+1),A23)</f>
        <v>2</v>
      </c>
      <c r="B24" s="41" t="str">
        <f aca="false">IF(A24=A23,"",CONCATENATE("F",A24))</f>
        <v>F2</v>
      </c>
      <c r="C24" s="42" t="s">
        <v>78</v>
      </c>
      <c r="D24" s="42"/>
      <c r="E24" s="42"/>
      <c r="F24" s="42"/>
      <c r="G24" s="42"/>
      <c r="H24" s="44"/>
      <c r="I24" s="50"/>
      <c r="J24" s="44"/>
      <c r="K24" s="44"/>
      <c r="L24" s="44" t="str">
        <f aca="false">CONCATENATE(H24,M24)</f>
        <v/>
      </c>
      <c r="M24" s="45" t="str">
        <f aca="false">IF(OR(ISBLANK(J24),ISBLANK(K24)),IF(OR(H24="ALI",H24="AIE"),"L",IF(ISBLANK(H24),"","A")),IF(H24="EE",IF(K24&gt;=3,IF(J24&gt;=5,"H","A"),IF(K24&gt;=2,IF(J24&gt;=16,"H",IF(J24&lt;=4,"L","A")),IF(J24&lt;=15,"L","A"))),IF(OR(H24="SE",H24="CE"),IF(K24&gt;=4,IF(J24&gt;=6,"H","A"),IF(K24&gt;=2,IF(J24&gt;=20,"H",IF(J24&lt;=5,"L","A")),IF(J24&lt;=19,"L","A"))),IF(OR(H24="ALI",H24="AIE"),IF(K24&gt;=6,IF(J24&gt;=20,"H","A"),IF(K24&gt;=2,IF(J24&gt;=51,"H",IF(J24&lt;=19,"L","A")),IF(J24&lt;=50,"L","A")))))))</f>
        <v/>
      </c>
      <c r="N24" s="46" t="str">
        <f aca="false">IF(M24="L","Baixa",IF(M24="A","Média",IF(M24="","","Alta")))</f>
        <v/>
      </c>
      <c r="O24" s="47" t="str">
        <f aca="false">IF(ISBLANK(H24),"",IF(H24="ALI",IF(M24="L",7,IF(M24="A",10,15)),IF(H24="AIE",IF(M24="L",5,IF(M24="A",7,10)),IF(H24="SE",IF(M24="L",4,IF(M24="A",5,7)),IF(OR(H24="EE",H24="CE"),IF(M24="L",3,IF(M24="A",4,6)))))))</f>
        <v/>
      </c>
      <c r="P24" s="48" t="str">
        <f aca="false">IF(I24="I",O24*Contagem!$W$15,IF(I24="E",O24*Contagem!$W$17,IF(I24="A",O24*Contagem!$W$16,IF(I24="T",O24*Contagem!$W$18,""))))</f>
        <v/>
      </c>
      <c r="Q24" s="49"/>
    </row>
    <row r="25" customFormat="false" ht="12" hidden="false" customHeight="true" outlineLevel="0" collapsed="false">
      <c r="A25" s="40" t="n">
        <f aca="false">IF(H25="",IF(C25="",A24,A24+1),A24)</f>
        <v>2</v>
      </c>
      <c r="B25" s="41" t="str">
        <f aca="false">IF(A25=A24,"",CONCATENATE("F",A25))</f>
        <v/>
      </c>
      <c r="C25" s="42" t="s">
        <v>79</v>
      </c>
      <c r="D25" s="42"/>
      <c r="E25" s="42"/>
      <c r="F25" s="42"/>
      <c r="G25" s="42"/>
      <c r="H25" s="44" t="s">
        <v>80</v>
      </c>
      <c r="I25" s="50" t="s">
        <v>56</v>
      </c>
      <c r="J25" s="44" t="n">
        <v>6</v>
      </c>
      <c r="K25" s="44" t="n">
        <v>1</v>
      </c>
      <c r="L25" s="44" t="str">
        <f aca="false">CONCATENATE(H25,M25)</f>
        <v>CEL</v>
      </c>
      <c r="M25" s="45" t="str">
        <f aca="false">IF(OR(ISBLANK(J25),ISBLANK(K25)),IF(OR(H25="ALI",H25="AIE"),"L",IF(ISBLANK(H25),"","A")),IF(H25="EE",IF(K25&gt;=3,IF(J25&gt;=5,"H","A"),IF(K25&gt;=2,IF(J25&gt;=16,"H",IF(J25&lt;=4,"L","A")),IF(J25&lt;=15,"L","A"))),IF(OR(H25="SE",H25="CE"),IF(K25&gt;=4,IF(J25&gt;=6,"H","A"),IF(K25&gt;=2,IF(J25&gt;=20,"H",IF(J25&lt;=5,"L","A")),IF(J25&lt;=19,"L","A"))),IF(OR(H25="ALI",H25="AIE"),IF(K25&gt;=6,IF(J25&gt;=20,"H","A"),IF(K25&gt;=2,IF(J25&gt;=51,"H",IF(J25&lt;=19,"L","A")),IF(J25&lt;=50,"L","A")))))))</f>
        <v>L</v>
      </c>
      <c r="N25" s="46" t="str">
        <f aca="false">IF(M25="L","Baixa",IF(M25="A","Média",IF(M25="","","Alta")))</f>
        <v>Baixa</v>
      </c>
      <c r="O25" s="47" t="n">
        <f aca="false">IF(ISBLANK(H25),"",IF(H25="ALI",IF(M25="L",7,IF(M25="A",10,15)),IF(H25="AIE",IF(M25="L",5,IF(M25="A",7,10)),IF(H25="SE",IF(M25="L",4,IF(M25="A",5,7)),IF(OR(H25="EE",H25="CE"),IF(M25="L",3,IF(M25="A",4,6)))))))</f>
        <v>3</v>
      </c>
      <c r="P25" s="48" t="n">
        <f aca="false">IF(I25="I",O25*Contagem!$W$15,IF(I25="E",O25*Contagem!$W$17,IF(I25="A",O25*Contagem!$W$16,IF(I25="T",O25*Contagem!$W$18,""))))</f>
        <v>3</v>
      </c>
      <c r="Q25" s="49" t="s">
        <v>81</v>
      </c>
    </row>
    <row r="26" customFormat="false" ht="12" hidden="false" customHeight="true" outlineLevel="0" collapsed="false">
      <c r="A26" s="40" t="n">
        <f aca="false">IF(H26="",IF(C26="",A25,A25+1),A25)</f>
        <v>2</v>
      </c>
      <c r="B26" s="41" t="str">
        <f aca="false">IF(A26=A25,"",CONCATENATE("F",A26))</f>
        <v/>
      </c>
      <c r="C26" s="42" t="s">
        <v>82</v>
      </c>
      <c r="D26" s="42"/>
      <c r="E26" s="42"/>
      <c r="F26" s="42"/>
      <c r="G26" s="42"/>
      <c r="H26" s="44" t="s">
        <v>62</v>
      </c>
      <c r="I26" s="50" t="s">
        <v>56</v>
      </c>
      <c r="J26" s="44" t="n">
        <v>4</v>
      </c>
      <c r="K26" s="44" t="n">
        <v>2</v>
      </c>
      <c r="L26" s="44" t="str">
        <f aca="false">CONCATENATE(H26,M26)</f>
        <v>EEL</v>
      </c>
      <c r="M26" s="45" t="str">
        <f aca="false">IF(OR(ISBLANK(J26),ISBLANK(K26)),IF(OR(H26="ALI",H26="AIE"),"L",IF(ISBLANK(H26),"","A")),IF(H26="EE",IF(K26&gt;=3,IF(J26&gt;=5,"H","A"),IF(K26&gt;=2,IF(J26&gt;=16,"H",IF(J26&lt;=4,"L","A")),IF(J26&lt;=15,"L","A"))),IF(OR(H26="SE",H26="CE"),IF(K26&gt;=4,IF(J26&gt;=6,"H","A"),IF(K26&gt;=2,IF(J26&gt;=20,"H",IF(J26&lt;=5,"L","A")),IF(J26&lt;=19,"L","A"))),IF(OR(H26="ALI",H26="AIE"),IF(K26&gt;=6,IF(J26&gt;=20,"H","A"),IF(K26&gt;=2,IF(J26&gt;=51,"H",IF(J26&lt;=19,"L","A")),IF(J26&lt;=50,"L","A")))))))</f>
        <v>L</v>
      </c>
      <c r="N26" s="46" t="str">
        <f aca="false">IF(M26="L","Baixa",IF(M26="A","Média",IF(M26="","","Alta")))</f>
        <v>Baixa</v>
      </c>
      <c r="O26" s="47" t="n">
        <f aca="false">IF(ISBLANK(H26),"",IF(H26="ALI",IF(M26="L",7,IF(M26="A",10,15)),IF(H26="AIE",IF(M26="L",5,IF(M26="A",7,10)),IF(H26="SE",IF(M26="L",4,IF(M26="A",5,7)),IF(OR(H26="EE",H26="CE"),IF(M26="L",3,IF(M26="A",4,6)))))))</f>
        <v>3</v>
      </c>
      <c r="P26" s="48" t="n">
        <f aca="false">IF(I26="I",O26*Contagem!$W$15,IF(I26="E",O26*Contagem!$W$17,IF(I26="A",O26*Contagem!$W$16,IF(I26="T",O26*Contagem!$W$18,""))))</f>
        <v>3</v>
      </c>
      <c r="Q26" s="49" t="s">
        <v>83</v>
      </c>
    </row>
    <row r="27" customFormat="false" ht="12" hidden="false" customHeight="true" outlineLevel="0" collapsed="false">
      <c r="A27" s="40" t="n">
        <f aca="false">IF(H27="",IF(C27="",A26,A26+1),A26)</f>
        <v>2</v>
      </c>
      <c r="B27" s="41" t="str">
        <f aca="false">IF(A27=A26,"",CONCATENATE("F",A27))</f>
        <v/>
      </c>
      <c r="C27" s="42" t="s">
        <v>84</v>
      </c>
      <c r="D27" s="42"/>
      <c r="E27" s="42"/>
      <c r="F27" s="42"/>
      <c r="G27" s="42"/>
      <c r="H27" s="44" t="s">
        <v>62</v>
      </c>
      <c r="I27" s="50" t="s">
        <v>56</v>
      </c>
      <c r="J27" s="44" t="n">
        <v>4</v>
      </c>
      <c r="K27" s="44" t="n">
        <v>1</v>
      </c>
      <c r="L27" s="44" t="str">
        <f aca="false">CONCATENATE(H27,M27)</f>
        <v>EEL</v>
      </c>
      <c r="M27" s="45" t="str">
        <f aca="false">IF(OR(ISBLANK(J27),ISBLANK(K27)),IF(OR(H27="ALI",H27="AIE"),"L",IF(ISBLANK(H27),"","A")),IF(H27="EE",IF(K27&gt;=3,IF(J27&gt;=5,"H","A"),IF(K27&gt;=2,IF(J27&gt;=16,"H",IF(J27&lt;=4,"L","A")),IF(J27&lt;=15,"L","A"))),IF(OR(H27="SE",H27="CE"),IF(K27&gt;=4,IF(J27&gt;=6,"H","A"),IF(K27&gt;=2,IF(J27&gt;=20,"H",IF(J27&lt;=5,"L","A")),IF(J27&lt;=19,"L","A"))),IF(OR(H27="ALI",H27="AIE"),IF(K27&gt;=6,IF(J27&gt;=20,"H","A"),IF(K27&gt;=2,IF(J27&gt;=51,"H",IF(J27&lt;=19,"L","A")),IF(J27&lt;=50,"L","A")))))))</f>
        <v>L</v>
      </c>
      <c r="N27" s="46" t="str">
        <f aca="false">IF(M27="L","Baixa",IF(M27="A","Média",IF(M27="","","Alta")))</f>
        <v>Baixa</v>
      </c>
      <c r="O27" s="47" t="n">
        <f aca="false">IF(ISBLANK(H27),"",IF(H27="ALI",IF(M27="L",7,IF(M27="A",10,15)),IF(H27="AIE",IF(M27="L",5,IF(M27="A",7,10)),IF(H27="SE",IF(M27="L",4,IF(M27="A",5,7)),IF(OR(H27="EE",H27="CE"),IF(M27="L",3,IF(M27="A",4,6)))))))</f>
        <v>3</v>
      </c>
      <c r="P27" s="48" t="n">
        <f aca="false">IF(I27="I",O27*Contagem!$W$15,IF(I27="E",O27*Contagem!$W$17,IF(I27="A",O27*Contagem!$W$16,IF(I27="T",O27*Contagem!$W$18,""))))</f>
        <v>3</v>
      </c>
      <c r="Q27" s="49" t="s">
        <v>85</v>
      </c>
    </row>
    <row r="28" customFormat="false" ht="12" hidden="false" customHeight="true" outlineLevel="0" collapsed="false">
      <c r="A28" s="40" t="n">
        <f aca="false">IF(H28="",IF(C28="",A27,A27+1),A27)</f>
        <v>2</v>
      </c>
      <c r="B28" s="41" t="str">
        <f aca="false">IF(A28=A27,"",CONCATENATE("F",A28))</f>
        <v/>
      </c>
      <c r="C28" s="42"/>
      <c r="D28" s="42"/>
      <c r="E28" s="42"/>
      <c r="F28" s="42"/>
      <c r="G28" s="42"/>
      <c r="H28" s="44"/>
      <c r="I28" s="50"/>
      <c r="J28" s="44"/>
      <c r="K28" s="44"/>
      <c r="L28" s="44" t="str">
        <f aca="false">CONCATENATE(H28,M28)</f>
        <v/>
      </c>
      <c r="M28" s="45" t="str">
        <f aca="false">IF(OR(ISBLANK(J28),ISBLANK(K28)),IF(OR(H28="ALI",H28="AIE"),"L",IF(ISBLANK(H28),"","A")),IF(H28="EE",IF(K28&gt;=3,IF(J28&gt;=5,"H","A"),IF(K28&gt;=2,IF(J28&gt;=16,"H",IF(J28&lt;=4,"L","A")),IF(J28&lt;=15,"L","A"))),IF(OR(H28="SE",H28="CE"),IF(K28&gt;=4,IF(J28&gt;=6,"H","A"),IF(K28&gt;=2,IF(J28&gt;=20,"H",IF(J28&lt;=5,"L","A")),IF(J28&lt;=19,"L","A"))),IF(OR(H28="ALI",H28="AIE"),IF(K28&gt;=6,IF(J28&gt;=20,"H","A"),IF(K28&gt;=2,IF(J28&gt;=51,"H",IF(J28&lt;=19,"L","A")),IF(J28&lt;=50,"L","A")))))))</f>
        <v/>
      </c>
      <c r="N28" s="46" t="str">
        <f aca="false">IF(M28="L","Baixa",IF(M28="A","Média",IF(M28="","","Alta")))</f>
        <v/>
      </c>
      <c r="O28" s="47" t="str">
        <f aca="false">IF(ISBLANK(H28),"",IF(H28="ALI",IF(M28="L",7,IF(M28="A",10,15)),IF(H28="AIE",IF(M28="L",5,IF(M28="A",7,10)),IF(H28="SE",IF(M28="L",4,IF(M28="A",5,7)),IF(OR(H28="EE",H28="CE"),IF(M28="L",3,IF(M28="A",4,6)))))))</f>
        <v/>
      </c>
      <c r="P28" s="48" t="str">
        <f aca="false">IF(I28="I",O28*Contagem!$W$15,IF(I28="E",O28*Contagem!$W$17,IF(I28="A",O28*Contagem!$W$16,IF(I28="T",O28*Contagem!$W$18,""))))</f>
        <v/>
      </c>
      <c r="Q28" s="49"/>
    </row>
    <row r="29" customFormat="false" ht="12" hidden="false" customHeight="true" outlineLevel="0" collapsed="false">
      <c r="A29" s="40" t="n">
        <f aca="false">IF(H29="",IF(C29="",A28,A28+1),A28)</f>
        <v>3</v>
      </c>
      <c r="B29" s="41" t="str">
        <f aca="false">IF(A29=A28,"",CONCATENATE("F",A29))</f>
        <v>F3</v>
      </c>
      <c r="C29" s="42" t="s">
        <v>86</v>
      </c>
      <c r="D29" s="42"/>
      <c r="E29" s="42"/>
      <c r="F29" s="42"/>
      <c r="G29" s="42"/>
      <c r="H29" s="44"/>
      <c r="I29" s="50"/>
      <c r="J29" s="44"/>
      <c r="K29" s="44"/>
      <c r="L29" s="44" t="str">
        <f aca="false">CONCATENATE(H29,M29)</f>
        <v/>
      </c>
      <c r="M29" s="45" t="str">
        <f aca="false">IF(OR(ISBLANK(J29),ISBLANK(K29)),IF(OR(H29="ALI",H29="AIE"),"L",IF(ISBLANK(H29),"","A")),IF(H29="EE",IF(K29&gt;=3,IF(J29&gt;=5,"H","A"),IF(K29&gt;=2,IF(J29&gt;=16,"H",IF(J29&lt;=4,"L","A")),IF(J29&lt;=15,"L","A"))),IF(OR(H29="SE",H29="CE"),IF(K29&gt;=4,IF(J29&gt;=6,"H","A"),IF(K29&gt;=2,IF(J29&gt;=20,"H",IF(J29&lt;=5,"L","A")),IF(J29&lt;=19,"L","A"))),IF(OR(H29="ALI",H29="AIE"),IF(K29&gt;=6,IF(J29&gt;=20,"H","A"),IF(K29&gt;=2,IF(J29&gt;=51,"H",IF(J29&lt;=19,"L","A")),IF(J29&lt;=50,"L","A")))))))</f>
        <v/>
      </c>
      <c r="N29" s="46" t="str">
        <f aca="false">IF(M29="L","Baixa",IF(M29="A","Média",IF(M29="","","Alta")))</f>
        <v/>
      </c>
      <c r="O29" s="47" t="str">
        <f aca="false">IF(ISBLANK(H29),"",IF(H29="ALI",IF(M29="L",7,IF(M29="A",10,15)),IF(H29="AIE",IF(M29="L",5,IF(M29="A",7,10)),IF(H29="SE",IF(M29="L",4,IF(M29="A",5,7)),IF(OR(H29="EE",H29="CE"),IF(M29="L",3,IF(M29="A",4,6)))))))</f>
        <v/>
      </c>
      <c r="P29" s="48" t="str">
        <f aca="false">IF(I29="I",O29*Contagem!$W$15,IF(I29="E",O29*Contagem!$W$17,IF(I29="A",O29*Contagem!$W$16,IF(I29="T",O29*Contagem!$W$18,""))))</f>
        <v/>
      </c>
      <c r="Q29" s="49"/>
    </row>
    <row r="30" customFormat="false" ht="12" hidden="false" customHeight="true" outlineLevel="0" collapsed="false">
      <c r="A30" s="40" t="n">
        <f aca="false">IF(H30="",IF(C30="",A29,A29+1),A29)</f>
        <v>3</v>
      </c>
      <c r="B30" s="41" t="str">
        <f aca="false">IF(A30=A29,"",CONCATENATE("F",A30))</f>
        <v/>
      </c>
      <c r="C30" s="42" t="s">
        <v>87</v>
      </c>
      <c r="D30" s="42"/>
      <c r="E30" s="42"/>
      <c r="F30" s="42"/>
      <c r="G30" s="42"/>
      <c r="H30" s="44" t="s">
        <v>80</v>
      </c>
      <c r="I30" s="50" t="s">
        <v>56</v>
      </c>
      <c r="J30" s="44" t="n">
        <v>3</v>
      </c>
      <c r="K30" s="44" t="n">
        <v>2</v>
      </c>
      <c r="L30" s="44" t="str">
        <f aca="false">CONCATENATE(H30,M30)</f>
        <v>CEL</v>
      </c>
      <c r="M30" s="45" t="str">
        <f aca="false">IF(OR(ISBLANK(J30),ISBLANK(K30)),IF(OR(H30="ALI",H30="AIE"),"L",IF(ISBLANK(H30),"","A")),IF(H30="EE",IF(K30&gt;=3,IF(J30&gt;=5,"H","A"),IF(K30&gt;=2,IF(J30&gt;=16,"H",IF(J30&lt;=4,"L","A")),IF(J30&lt;=15,"L","A"))),IF(OR(H30="SE",H30="CE"),IF(K30&gt;=4,IF(J30&gt;=6,"H","A"),IF(K30&gt;=2,IF(J30&gt;=20,"H",IF(J30&lt;=5,"L","A")),IF(J30&lt;=19,"L","A"))),IF(OR(H30="ALI",H30="AIE"),IF(K30&gt;=6,IF(J30&gt;=20,"H","A"),IF(K30&gt;=2,IF(J30&gt;=51,"H",IF(J30&lt;=19,"L","A")),IF(J30&lt;=50,"L","A")))))))</f>
        <v>L</v>
      </c>
      <c r="N30" s="46" t="str">
        <f aca="false">IF(M30="L","Baixa",IF(M30="A","Média",IF(M30="","","Alta")))</f>
        <v>Baixa</v>
      </c>
      <c r="O30" s="47" t="n">
        <f aca="false">IF(ISBLANK(H30),"",IF(H30="ALI",IF(M30="L",7,IF(M30="A",10,15)),IF(H30="AIE",IF(M30="L",5,IF(M30="A",7,10)),IF(H30="SE",IF(M30="L",4,IF(M30="A",5,7)),IF(OR(H30="EE",H30="CE"),IF(M30="L",3,IF(M30="A",4,6)))))))</f>
        <v>3</v>
      </c>
      <c r="P30" s="48" t="n">
        <f aca="false">IF(I30="I",O30*Contagem!$W$15,IF(I30="E",O30*Contagem!$W$17,IF(I30="A",O30*Contagem!$W$16,IF(I30="T",O30*Contagem!$W$18,""))))</f>
        <v>3</v>
      </c>
      <c r="Q30" s="49" t="s">
        <v>88</v>
      </c>
    </row>
    <row r="31" customFormat="false" ht="12" hidden="false" customHeight="true" outlineLevel="0" collapsed="false">
      <c r="A31" s="40" t="n">
        <f aca="false">IF(H31="",IF(C31="",A30,A30+1),A30)</f>
        <v>3</v>
      </c>
      <c r="B31" s="41" t="str">
        <f aca="false">IF(A31=A30,"",CONCATENATE("F",A31))</f>
        <v/>
      </c>
      <c r="C31" s="42" t="s">
        <v>89</v>
      </c>
      <c r="D31" s="42"/>
      <c r="E31" s="42"/>
      <c r="F31" s="42"/>
      <c r="G31" s="42"/>
      <c r="H31" s="44" t="s">
        <v>62</v>
      </c>
      <c r="I31" s="50" t="s">
        <v>56</v>
      </c>
      <c r="J31" s="44" t="n">
        <v>6</v>
      </c>
      <c r="K31" s="44" t="n">
        <v>2</v>
      </c>
      <c r="L31" s="44" t="str">
        <f aca="false">CONCATENATE(H31,M31)</f>
        <v>EEA</v>
      </c>
      <c r="M31" s="45" t="str">
        <f aca="false">IF(OR(ISBLANK(J31),ISBLANK(K31)),IF(OR(H31="ALI",H31="AIE"),"L",IF(ISBLANK(H31),"","A")),IF(H31="EE",IF(K31&gt;=3,IF(J31&gt;=5,"H","A"),IF(K31&gt;=2,IF(J31&gt;=16,"H",IF(J31&lt;=4,"L","A")),IF(J31&lt;=15,"L","A"))),IF(OR(H31="SE",H31="CE"),IF(K31&gt;=4,IF(J31&gt;=6,"H","A"),IF(K31&gt;=2,IF(J31&gt;=20,"H",IF(J31&lt;=5,"L","A")),IF(J31&lt;=19,"L","A"))),IF(OR(H31="ALI",H31="AIE"),IF(K31&gt;=6,IF(J31&gt;=20,"H","A"),IF(K31&gt;=2,IF(J31&gt;=51,"H",IF(J31&lt;=19,"L","A")),IF(J31&lt;=50,"L","A")))))))</f>
        <v>A</v>
      </c>
      <c r="N31" s="46" t="str">
        <f aca="false">IF(M31="L","Baixa",IF(M31="A","Média",IF(M31="","","Alta")))</f>
        <v>Média</v>
      </c>
      <c r="O31" s="47" t="n">
        <f aca="false">IF(ISBLANK(H31),"",IF(H31="ALI",IF(M31="L",7,IF(M31="A",10,15)),IF(H31="AIE",IF(M31="L",5,IF(M31="A",7,10)),IF(H31="SE",IF(M31="L",4,IF(M31="A",5,7)),IF(OR(H31="EE",H31="CE"),IF(M31="L",3,IF(M31="A",4,6)))))))</f>
        <v>4</v>
      </c>
      <c r="P31" s="48" t="n">
        <f aca="false">IF(I31="I",O31*Contagem!$W$15,IF(I31="E",O31*Contagem!$W$17,IF(I31="A",O31*Contagem!$W$16,IF(I31="T",O31*Contagem!$W$18,""))))</f>
        <v>4</v>
      </c>
      <c r="Q31" s="49" t="s">
        <v>90</v>
      </c>
    </row>
    <row r="32" customFormat="false" ht="12" hidden="false" customHeight="true" outlineLevel="0" collapsed="false">
      <c r="A32" s="40" t="n">
        <f aca="false">IF(H32="",IF(C32="",A31,A31+1),A31)</f>
        <v>3</v>
      </c>
      <c r="B32" s="41" t="str">
        <f aca="false">IF(A32=A31,"",CONCATENATE("F",A32))</f>
        <v/>
      </c>
      <c r="C32" s="42"/>
      <c r="D32" s="42"/>
      <c r="E32" s="42"/>
      <c r="F32" s="42"/>
      <c r="G32" s="42"/>
      <c r="H32" s="44"/>
      <c r="I32" s="50"/>
      <c r="J32" s="44"/>
      <c r="K32" s="44"/>
      <c r="L32" s="44" t="str">
        <f aca="false">CONCATENATE(H32,M32)</f>
        <v/>
      </c>
      <c r="M32" s="45" t="str">
        <f aca="false">IF(OR(ISBLANK(J32),ISBLANK(K32)),IF(OR(H32="ALI",H32="AIE"),"L",IF(ISBLANK(H32),"","A")),IF(H32="EE",IF(K32&gt;=3,IF(J32&gt;=5,"H","A"),IF(K32&gt;=2,IF(J32&gt;=16,"H",IF(J32&lt;=4,"L","A")),IF(J32&lt;=15,"L","A"))),IF(OR(H32="SE",H32="CE"),IF(K32&gt;=4,IF(J32&gt;=6,"H","A"),IF(K32&gt;=2,IF(J32&gt;=20,"H",IF(J32&lt;=5,"L","A")),IF(J32&lt;=19,"L","A"))),IF(OR(H32="ALI",H32="AIE"),IF(K32&gt;=6,IF(J32&gt;=20,"H","A"),IF(K32&gt;=2,IF(J32&gt;=51,"H",IF(J32&lt;=19,"L","A")),IF(J32&lt;=50,"L","A")))))))</f>
        <v/>
      </c>
      <c r="N32" s="46" t="str">
        <f aca="false">IF(M32="L","Baixa",IF(M32="A","Média",IF(M32="","","Alta")))</f>
        <v/>
      </c>
      <c r="O32" s="47" t="str">
        <f aca="false">IF(ISBLANK(H32),"",IF(H32="ALI",IF(M32="L",7,IF(M32="A",10,15)),IF(H32="AIE",IF(M32="L",5,IF(M32="A",7,10)),IF(H32="SE",IF(M32="L",4,IF(M32="A",5,7)),IF(OR(H32="EE",H32="CE"),IF(M32="L",3,IF(M32="A",4,6)))))))</f>
        <v/>
      </c>
      <c r="P32" s="48" t="str">
        <f aca="false">IF(I32="I",O32*Contagem!$W$15,IF(I32="E",O32*Contagem!$W$17,IF(I32="A",O32*Contagem!$W$16,IF(I32="T",O32*Contagem!$W$18,""))))</f>
        <v/>
      </c>
      <c r="Q32" s="49"/>
    </row>
    <row r="33" customFormat="false" ht="12" hidden="false" customHeight="true" outlineLevel="0" collapsed="false">
      <c r="A33" s="40" t="n">
        <f aca="false">IF(H33="",IF(C33="",A32,A32+1),A32)</f>
        <v>4</v>
      </c>
      <c r="B33" s="41" t="str">
        <f aca="false">IF(A33=A32,"",CONCATENATE("F",A33))</f>
        <v>F4</v>
      </c>
      <c r="C33" s="42" t="s">
        <v>91</v>
      </c>
      <c r="D33" s="42"/>
      <c r="E33" s="42"/>
      <c r="F33" s="42"/>
      <c r="G33" s="42"/>
      <c r="H33" s="44"/>
      <c r="I33" s="50"/>
      <c r="J33" s="44"/>
      <c r="K33" s="44"/>
      <c r="L33" s="44" t="str">
        <f aca="false">CONCATENATE(H33,M33)</f>
        <v/>
      </c>
      <c r="M33" s="45" t="str">
        <f aca="false">IF(OR(ISBLANK(J33),ISBLANK(K33)),IF(OR(H33="ALI",H33="AIE"),"L",IF(ISBLANK(H33),"","A")),IF(H33="EE",IF(K33&gt;=3,IF(J33&gt;=5,"H","A"),IF(K33&gt;=2,IF(J33&gt;=16,"H",IF(J33&lt;=4,"L","A")),IF(J33&lt;=15,"L","A"))),IF(OR(H33="SE",H33="CE"),IF(K33&gt;=4,IF(J33&gt;=6,"H","A"),IF(K33&gt;=2,IF(J33&gt;=20,"H",IF(J33&lt;=5,"L","A")),IF(J33&lt;=19,"L","A"))),IF(OR(H33="ALI",H33="AIE"),IF(K33&gt;=6,IF(J33&gt;=20,"H","A"),IF(K33&gt;=2,IF(J33&gt;=51,"H",IF(J33&lt;=19,"L","A")),IF(J33&lt;=50,"L","A")))))))</f>
        <v/>
      </c>
      <c r="N33" s="46" t="str">
        <f aca="false">IF(M33="L","Baixa",IF(M33="A","Média",IF(M33="","","Alta")))</f>
        <v/>
      </c>
      <c r="O33" s="47" t="str">
        <f aca="false">IF(ISBLANK(H33),"",IF(H33="ALI",IF(M33="L",7,IF(M33="A",10,15)),IF(H33="AIE",IF(M33="L",5,IF(M33="A",7,10)),IF(H33="SE",IF(M33="L",4,IF(M33="A",5,7)),IF(OR(H33="EE",H33="CE"),IF(M33="L",3,IF(M33="A",4,6)))))))</f>
        <v/>
      </c>
      <c r="P33" s="48" t="str">
        <f aca="false">IF(I33="I",O33*Contagem!$W$15,IF(I33="E",O33*Contagem!$W$17,IF(I33="A",O33*Contagem!$W$16,IF(I33="T",O33*Contagem!$W$18,""))))</f>
        <v/>
      </c>
      <c r="Q33" s="49"/>
    </row>
    <row r="34" customFormat="false" ht="12" hidden="false" customHeight="true" outlineLevel="0" collapsed="false">
      <c r="A34" s="40" t="n">
        <f aca="false">IF(H34="",IF(C34="",A33,A33+1),A33)</f>
        <v>4</v>
      </c>
      <c r="B34" s="41" t="str">
        <f aca="false">IF(A34=A33,"",CONCATENATE("F",A34))</f>
        <v/>
      </c>
      <c r="C34" s="42" t="s">
        <v>92</v>
      </c>
      <c r="D34" s="42"/>
      <c r="E34" s="42"/>
      <c r="F34" s="42"/>
      <c r="G34" s="42"/>
      <c r="H34" s="44" t="s">
        <v>55</v>
      </c>
      <c r="I34" s="50" t="s">
        <v>56</v>
      </c>
      <c r="J34" s="44" t="n">
        <v>8</v>
      </c>
      <c r="K34" s="44" t="n">
        <v>1</v>
      </c>
      <c r="L34" s="44" t="str">
        <f aca="false">CONCATENATE(H34,M34)</f>
        <v>ALIL</v>
      </c>
      <c r="M34" s="45" t="str">
        <f aca="false">IF(OR(ISBLANK(J34),ISBLANK(K34)),IF(OR(H34="ALI",H34="AIE"),"L",IF(ISBLANK(H34),"","A")),IF(H34="EE",IF(K34&gt;=3,IF(J34&gt;=5,"H","A"),IF(K34&gt;=2,IF(J34&gt;=16,"H",IF(J34&lt;=4,"L","A")),IF(J34&lt;=15,"L","A"))),IF(OR(H34="SE",H34="CE"),IF(K34&gt;=4,IF(J34&gt;=6,"H","A"),IF(K34&gt;=2,IF(J34&gt;=20,"H",IF(J34&lt;=5,"L","A")),IF(J34&lt;=19,"L","A"))),IF(OR(H34="ALI",H34="AIE"),IF(K34&gt;=6,IF(J34&gt;=20,"H","A"),IF(K34&gt;=2,IF(J34&gt;=51,"H",IF(J34&lt;=19,"L","A")),IF(J34&lt;=50,"L","A")))))))</f>
        <v>L</v>
      </c>
      <c r="N34" s="46" t="str">
        <f aca="false">IF(M34="L","Baixa",IF(M34="A","Média",IF(M34="","","Alta")))</f>
        <v>Baixa</v>
      </c>
      <c r="O34" s="47" t="n">
        <f aca="false">IF(ISBLANK(H34),"",IF(H34="ALI",IF(M34="L",7,IF(M34="A",10,15)),IF(H34="AIE",IF(M34="L",5,IF(M34="A",7,10)),IF(H34="SE",IF(M34="L",4,IF(M34="A",5,7)),IF(OR(H34="EE",H34="CE"),IF(M34="L",3,IF(M34="A",4,6)))))))</f>
        <v>7</v>
      </c>
      <c r="P34" s="48" t="n">
        <f aca="false">IF(I34="I",O34*Contagem!$W$15,IF(I34="E",O34*Contagem!$W$17,IF(I34="A",O34*Contagem!$W$16,IF(I34="T",O34*Contagem!$W$18,""))))</f>
        <v>7</v>
      </c>
      <c r="Q34" s="49" t="s">
        <v>93</v>
      </c>
    </row>
    <row r="35" customFormat="false" ht="12" hidden="false" customHeight="true" outlineLevel="0" collapsed="false">
      <c r="A35" s="40" t="n">
        <f aca="false">IF(H35="",IF(C35="",A34,A34+1),A34)</f>
        <v>4</v>
      </c>
      <c r="B35" s="41" t="str">
        <f aca="false">IF(A35=A34,"",CONCATENATE("F",A35))</f>
        <v/>
      </c>
      <c r="C35" s="42" t="s">
        <v>94</v>
      </c>
      <c r="D35" s="42"/>
      <c r="E35" s="42"/>
      <c r="F35" s="42"/>
      <c r="G35" s="42"/>
      <c r="H35" s="44" t="s">
        <v>80</v>
      </c>
      <c r="I35" s="50" t="s">
        <v>56</v>
      </c>
      <c r="J35" s="44" t="n">
        <v>4</v>
      </c>
      <c r="K35" s="44" t="n">
        <v>1</v>
      </c>
      <c r="L35" s="44" t="str">
        <f aca="false">CONCATENATE(H35,M35)</f>
        <v>CEL</v>
      </c>
      <c r="M35" s="45" t="str">
        <f aca="false">IF(OR(ISBLANK(J35),ISBLANK(K35)),IF(OR(H35="ALI",H35="AIE"),"L",IF(ISBLANK(H35),"","A")),IF(H35="EE",IF(K35&gt;=3,IF(J35&gt;=5,"H","A"),IF(K35&gt;=2,IF(J35&gt;=16,"H",IF(J35&lt;=4,"L","A")),IF(J35&lt;=15,"L","A"))),IF(OR(H35="SE",H35="CE"),IF(K35&gt;=4,IF(J35&gt;=6,"H","A"),IF(K35&gt;=2,IF(J35&gt;=20,"H",IF(J35&lt;=5,"L","A")),IF(J35&lt;=19,"L","A"))),IF(OR(H35="ALI",H35="AIE"),IF(K35&gt;=6,IF(J35&gt;=20,"H","A"),IF(K35&gt;=2,IF(J35&gt;=51,"H",IF(J35&lt;=19,"L","A")),IF(J35&lt;=50,"L","A")))))))</f>
        <v>L</v>
      </c>
      <c r="N35" s="46" t="str">
        <f aca="false">IF(M35="L","Baixa",IF(M35="A","Média",IF(M35="","","Alta")))</f>
        <v>Baixa</v>
      </c>
      <c r="O35" s="47" t="n">
        <f aca="false">IF(ISBLANK(H35),"",IF(H35="ALI",IF(M35="L",7,IF(M35="A",10,15)),IF(H35="AIE",IF(M35="L",5,IF(M35="A",7,10)),IF(H35="SE",IF(M35="L",4,IF(M35="A",5,7)),IF(OR(H35="EE",H35="CE"),IF(M35="L",3,IF(M35="A",4,6)))))))</f>
        <v>3</v>
      </c>
      <c r="P35" s="48" t="n">
        <f aca="false">IF(I35="I",O35*Contagem!$W$15,IF(I35="E",O35*Contagem!$W$17,IF(I35="A",O35*Contagem!$W$16,IF(I35="T",O35*Contagem!$W$18,""))))</f>
        <v>3</v>
      </c>
      <c r="Q35" s="49" t="s">
        <v>95</v>
      </c>
    </row>
    <row r="36" customFormat="false" ht="12" hidden="false" customHeight="true" outlineLevel="0" collapsed="false">
      <c r="A36" s="40" t="n">
        <f aca="false">IF(H36="",IF(C36="",A35,A35+1),A35)</f>
        <v>4</v>
      </c>
      <c r="B36" s="41" t="str">
        <f aca="false">IF(A36=A35,"",CONCATENATE("F",A36))</f>
        <v/>
      </c>
      <c r="C36" s="42" t="s">
        <v>96</v>
      </c>
      <c r="D36" s="42"/>
      <c r="E36" s="42"/>
      <c r="F36" s="42"/>
      <c r="G36" s="42"/>
      <c r="H36" s="44" t="s">
        <v>80</v>
      </c>
      <c r="I36" s="50" t="s">
        <v>56</v>
      </c>
      <c r="J36" s="44" t="n">
        <v>6</v>
      </c>
      <c r="K36" s="44" t="n">
        <v>2</v>
      </c>
      <c r="L36" s="44" t="str">
        <f aca="false">CONCATENATE(H36,M36)</f>
        <v>CEA</v>
      </c>
      <c r="M36" s="45" t="str">
        <f aca="false">IF(OR(ISBLANK(J36),ISBLANK(K36)),IF(OR(H36="ALI",H36="AIE"),"L",IF(ISBLANK(H36),"","A")),IF(H36="EE",IF(K36&gt;=3,IF(J36&gt;=5,"H","A"),IF(K36&gt;=2,IF(J36&gt;=16,"H",IF(J36&lt;=4,"L","A")),IF(J36&lt;=15,"L","A"))),IF(OR(H36="SE",H36="CE"),IF(K36&gt;=4,IF(J36&gt;=6,"H","A"),IF(K36&gt;=2,IF(J36&gt;=20,"H",IF(J36&lt;=5,"L","A")),IF(J36&lt;=19,"L","A"))),IF(OR(H36="ALI",H36="AIE"),IF(K36&gt;=6,IF(J36&gt;=20,"H","A"),IF(K36&gt;=2,IF(J36&gt;=51,"H",IF(J36&lt;=19,"L","A")),IF(J36&lt;=50,"L","A")))))))</f>
        <v>A</v>
      </c>
      <c r="N36" s="46" t="str">
        <f aca="false">IF(M36="L","Baixa",IF(M36="A","Média",IF(M36="","","Alta")))</f>
        <v>Média</v>
      </c>
      <c r="O36" s="47" t="n">
        <f aca="false">IF(ISBLANK(H36),"",IF(H36="ALI",IF(M36="L",7,IF(M36="A",10,15)),IF(H36="AIE",IF(M36="L",5,IF(M36="A",7,10)),IF(H36="SE",IF(M36="L",4,IF(M36="A",5,7)),IF(OR(H36="EE",H36="CE"),IF(M36="L",3,IF(M36="A",4,6)))))))</f>
        <v>4</v>
      </c>
      <c r="P36" s="48" t="n">
        <f aca="false">IF(I36="I",O36*Contagem!$W$15,IF(I36="E",O36*Contagem!$W$17,IF(I36="A",O36*Contagem!$W$16,IF(I36="T",O36*Contagem!$W$18,""))))</f>
        <v>4</v>
      </c>
      <c r="Q36" s="49" t="s">
        <v>97</v>
      </c>
    </row>
    <row r="37" customFormat="false" ht="12" hidden="false" customHeight="true" outlineLevel="0" collapsed="false">
      <c r="A37" s="40" t="n">
        <f aca="false">IF(H37="",IF(C37="",A36,A36+1),A36)</f>
        <v>4</v>
      </c>
      <c r="B37" s="41" t="str">
        <f aca="false">IF(A37=A36,"",CONCATENATE("F",A37))</f>
        <v/>
      </c>
      <c r="C37" s="42" t="s">
        <v>98</v>
      </c>
      <c r="D37" s="42"/>
      <c r="E37" s="42"/>
      <c r="F37" s="42"/>
      <c r="G37" s="42"/>
      <c r="H37" s="44" t="s">
        <v>99</v>
      </c>
      <c r="I37" s="50" t="s">
        <v>56</v>
      </c>
      <c r="J37" s="44" t="n">
        <v>4</v>
      </c>
      <c r="K37" s="44" t="n">
        <v>3</v>
      </c>
      <c r="L37" s="44" t="str">
        <f aca="false">CONCATENATE(H37,M37)</f>
        <v>SEL</v>
      </c>
      <c r="M37" s="45" t="str">
        <f aca="false">IF(OR(ISBLANK(J37),ISBLANK(K37)),IF(OR(H37="ALI",H37="AIE"),"L",IF(ISBLANK(H37),"","A")),IF(H37="EE",IF(K37&gt;=3,IF(J37&gt;=5,"H","A"),IF(K37&gt;=2,IF(J37&gt;=16,"H",IF(J37&lt;=4,"L","A")),IF(J37&lt;=15,"L","A"))),IF(OR(H37="SE",H37="CE"),IF(K37&gt;=4,IF(J37&gt;=6,"H","A"),IF(K37&gt;=2,IF(J37&gt;=20,"H",IF(J37&lt;=5,"L","A")),IF(J37&lt;=19,"L","A"))),IF(OR(H37="ALI",H37="AIE"),IF(K37&gt;=6,IF(J37&gt;=20,"H","A"),IF(K37&gt;=2,IF(J37&gt;=51,"H",IF(J37&lt;=19,"L","A")),IF(J37&lt;=50,"L","A")))))))</f>
        <v>L</v>
      </c>
      <c r="N37" s="46" t="str">
        <f aca="false">IF(M37="L","Baixa",IF(M37="A","Média",IF(M37="","","Alta")))</f>
        <v>Baixa</v>
      </c>
      <c r="O37" s="47" t="n">
        <f aca="false">IF(ISBLANK(H37),"",IF(H37="ALI",IF(M37="L",7,IF(M37="A",10,15)),IF(H37="AIE",IF(M37="L",5,IF(M37="A",7,10)),IF(H37="SE",IF(M37="L",4,IF(M37="A",5,7)),IF(OR(H37="EE",H37="CE"),IF(M37="L",3,IF(M37="A",4,6)))))))</f>
        <v>4</v>
      </c>
      <c r="P37" s="48" t="n">
        <f aca="false">IF(I37="I",O37*Contagem!$W$15,IF(I37="E",O37*Contagem!$W$17,IF(I37="A",O37*Contagem!$W$16,IF(I37="T",O37*Contagem!$W$18,""))))</f>
        <v>4</v>
      </c>
      <c r="Q37" s="49" t="s">
        <v>100</v>
      </c>
    </row>
    <row r="38" customFormat="false" ht="12" hidden="false" customHeight="true" outlineLevel="0" collapsed="false">
      <c r="A38" s="40" t="n">
        <f aca="false">IF(H38="",IF(C38="",A37,A37+1),A37)</f>
        <v>4</v>
      </c>
      <c r="B38" s="41" t="str">
        <f aca="false">IF(A38=A37,"",CONCATENATE("F",A38))</f>
        <v/>
      </c>
      <c r="C38" s="42"/>
      <c r="D38" s="42"/>
      <c r="E38" s="42"/>
      <c r="F38" s="42"/>
      <c r="G38" s="42"/>
      <c r="H38" s="44"/>
      <c r="I38" s="50"/>
      <c r="J38" s="44"/>
      <c r="K38" s="44"/>
      <c r="L38" s="44" t="str">
        <f aca="false">CONCATENATE(H38,M38)</f>
        <v/>
      </c>
      <c r="M38" s="45" t="str">
        <f aca="false">IF(OR(ISBLANK(J38),ISBLANK(K38)),IF(OR(H38="ALI",H38="AIE"),"L",IF(ISBLANK(H38),"","A")),IF(H38="EE",IF(K38&gt;=3,IF(J38&gt;=5,"H","A"),IF(K38&gt;=2,IF(J38&gt;=16,"H",IF(J38&lt;=4,"L","A")),IF(J38&lt;=15,"L","A"))),IF(OR(H38="SE",H38="CE"),IF(K38&gt;=4,IF(J38&gt;=6,"H","A"),IF(K38&gt;=2,IF(J38&gt;=20,"H",IF(J38&lt;=5,"L","A")),IF(J38&lt;=19,"L","A"))),IF(OR(H38="ALI",H38="AIE"),IF(K38&gt;=6,IF(J38&gt;=20,"H","A"),IF(K38&gt;=2,IF(J38&gt;=51,"H",IF(J38&lt;=19,"L","A")),IF(J38&lt;=50,"L","A")))))))</f>
        <v/>
      </c>
      <c r="N38" s="46" t="str">
        <f aca="false">IF(M38="L","Baixa",IF(M38="A","Média",IF(M38="","","Alta")))</f>
        <v/>
      </c>
      <c r="O38" s="47" t="str">
        <f aca="false">IF(ISBLANK(H38),"",IF(H38="ALI",IF(M38="L",7,IF(M38="A",10,15)),IF(H38="AIE",IF(M38="L",5,IF(M38="A",7,10)),IF(H38="SE",IF(M38="L",4,IF(M38="A",5,7)),IF(OR(H38="EE",H38="CE"),IF(M38="L",3,IF(M38="A",4,6)))))))</f>
        <v/>
      </c>
      <c r="P38" s="48" t="str">
        <f aca="false">IF(I38="I",O38*Contagem!$W$15,IF(I38="E",O38*Contagem!$W$17,IF(I38="A",O38*Contagem!$W$16,IF(I38="T",O38*Contagem!$W$18,""))))</f>
        <v/>
      </c>
      <c r="Q38" s="49"/>
    </row>
    <row r="39" customFormat="false" ht="12" hidden="false" customHeight="true" outlineLevel="0" collapsed="false">
      <c r="A39" s="40" t="n">
        <f aca="false">IF(H39="",IF(C39="",A38,A38+1),A38)</f>
        <v>5</v>
      </c>
      <c r="B39" s="41" t="str">
        <f aca="false">IF(A39=A38,"",CONCATENATE("F",A39))</f>
        <v>F5</v>
      </c>
      <c r="C39" s="42" t="s">
        <v>101</v>
      </c>
      <c r="D39" s="42"/>
      <c r="E39" s="42"/>
      <c r="F39" s="42"/>
      <c r="G39" s="42"/>
      <c r="H39" s="44"/>
      <c r="I39" s="50"/>
      <c r="J39" s="44"/>
      <c r="K39" s="44"/>
      <c r="L39" s="44" t="str">
        <f aca="false">CONCATENATE(H39,M39)</f>
        <v/>
      </c>
      <c r="M39" s="45" t="str">
        <f aca="false">IF(OR(ISBLANK(J39),ISBLANK(K39)),IF(OR(H39="ALI",H39="AIE"),"L",IF(ISBLANK(H39),"","A")),IF(H39="EE",IF(K39&gt;=3,IF(J39&gt;=5,"H","A"),IF(K39&gt;=2,IF(J39&gt;=16,"H",IF(J39&lt;=4,"L","A")),IF(J39&lt;=15,"L","A"))),IF(OR(H39="SE",H39="CE"),IF(K39&gt;=4,IF(J39&gt;=6,"H","A"),IF(K39&gt;=2,IF(J39&gt;=20,"H",IF(J39&lt;=5,"L","A")),IF(J39&lt;=19,"L","A"))),IF(OR(H39="ALI",H39="AIE"),IF(K39&gt;=6,IF(J39&gt;=20,"H","A"),IF(K39&gt;=2,IF(J39&gt;=51,"H",IF(J39&lt;=19,"L","A")),IF(J39&lt;=50,"L","A")))))))</f>
        <v/>
      </c>
      <c r="N39" s="46" t="str">
        <f aca="false">IF(M39="L","Baixa",IF(M39="A","Média",IF(M39="","","Alta")))</f>
        <v/>
      </c>
      <c r="O39" s="47" t="str">
        <f aca="false">IF(ISBLANK(H39),"",IF(H39="ALI",IF(M39="L",7,IF(M39="A",10,15)),IF(H39="AIE",IF(M39="L",5,IF(M39="A",7,10)),IF(H39="SE",IF(M39="L",4,IF(M39="A",5,7)),IF(OR(H39="EE",H39="CE"),IF(M39="L",3,IF(M39="A",4,6)))))))</f>
        <v/>
      </c>
      <c r="P39" s="48" t="str">
        <f aca="false">IF(I39="I",O39*Contagem!$W$15,IF(I39="E",O39*Contagem!$W$17,IF(I39="A",O39*Contagem!$W$16,IF(I39="T",O39*Contagem!$W$18,""))))</f>
        <v/>
      </c>
      <c r="Q39" s="49"/>
    </row>
    <row r="40" customFormat="false" ht="12" hidden="false" customHeight="true" outlineLevel="0" collapsed="false">
      <c r="A40" s="40" t="n">
        <f aca="false">IF(H40="",IF(C40="",A39,A39+1),A39)</f>
        <v>5</v>
      </c>
      <c r="B40" s="41" t="str">
        <f aca="false">IF(A40=A39,"",CONCATENATE("F",A40))</f>
        <v/>
      </c>
      <c r="C40" s="42" t="s">
        <v>102</v>
      </c>
      <c r="D40" s="42"/>
      <c r="E40" s="42"/>
      <c r="F40" s="42"/>
      <c r="G40" s="42"/>
      <c r="H40" s="44" t="s">
        <v>55</v>
      </c>
      <c r="I40" s="50" t="s">
        <v>56</v>
      </c>
      <c r="J40" s="44" t="n">
        <v>6</v>
      </c>
      <c r="K40" s="44" t="n">
        <v>1</v>
      </c>
      <c r="L40" s="44" t="str">
        <f aca="false">CONCATENATE(H40,M40)</f>
        <v>ALIL</v>
      </c>
      <c r="M40" s="45" t="str">
        <f aca="false">IF(OR(ISBLANK(J40),ISBLANK(K40)),IF(OR(H40="ALI",H40="AIE"),"L",IF(ISBLANK(H40),"","A")),IF(H40="EE",IF(K40&gt;=3,IF(J40&gt;=5,"H","A"),IF(K40&gt;=2,IF(J40&gt;=16,"H",IF(J40&lt;=4,"L","A")),IF(J40&lt;=15,"L","A"))),IF(OR(H40="SE",H40="CE"),IF(K40&gt;=4,IF(J40&gt;=6,"H","A"),IF(K40&gt;=2,IF(J40&gt;=20,"H",IF(J40&lt;=5,"L","A")),IF(J40&lt;=19,"L","A"))),IF(OR(H40="ALI",H40="AIE"),IF(K40&gt;=6,IF(J40&gt;=20,"H","A"),IF(K40&gt;=2,IF(J40&gt;=51,"H",IF(J40&lt;=19,"L","A")),IF(J40&lt;=50,"L","A")))))))</f>
        <v>L</v>
      </c>
      <c r="N40" s="46" t="str">
        <f aca="false">IF(M40="L","Baixa",IF(M40="A","Média",IF(M40="","","Alta")))</f>
        <v>Baixa</v>
      </c>
      <c r="O40" s="47" t="n">
        <f aca="false">IF(ISBLANK(H40),"",IF(H40="ALI",IF(M40="L",7,IF(M40="A",10,15)),IF(H40="AIE",IF(M40="L",5,IF(M40="A",7,10)),IF(H40="SE",IF(M40="L",4,IF(M40="A",5,7)),IF(OR(H40="EE",H40="CE"),IF(M40="L",3,IF(M40="A",4,6)))))))</f>
        <v>7</v>
      </c>
      <c r="P40" s="48" t="n">
        <f aca="false">IF(I40="I",O40*Contagem!$W$15,IF(I40="E",O40*Contagem!$W$17,IF(I40="A",O40*Contagem!$W$16,IF(I40="T",O40*Contagem!$W$18,""))))</f>
        <v>7</v>
      </c>
      <c r="Q40" s="49" t="s">
        <v>103</v>
      </c>
    </row>
    <row r="41" customFormat="false" ht="12" hidden="false" customHeight="true" outlineLevel="0" collapsed="false">
      <c r="A41" s="40" t="n">
        <f aca="false">IF(H41="",IF(C41="",A40,A40+1),A40)</f>
        <v>5</v>
      </c>
      <c r="B41" s="41" t="str">
        <f aca="false">IF(A41=A40,"",CONCATENATE("F",A41))</f>
        <v/>
      </c>
      <c r="C41" s="42" t="s">
        <v>104</v>
      </c>
      <c r="D41" s="42"/>
      <c r="E41" s="42"/>
      <c r="F41" s="42"/>
      <c r="G41" s="42"/>
      <c r="H41" s="44" t="s">
        <v>80</v>
      </c>
      <c r="I41" s="50" t="s">
        <v>56</v>
      </c>
      <c r="J41" s="44" t="n">
        <v>6</v>
      </c>
      <c r="K41" s="44" t="n">
        <v>2</v>
      </c>
      <c r="L41" s="44" t="str">
        <f aca="false">CONCATENATE(H41,M41)</f>
        <v>CEA</v>
      </c>
      <c r="M41" s="45" t="str">
        <f aca="false">IF(OR(ISBLANK(J41),ISBLANK(K41)),IF(OR(H41="ALI",H41="AIE"),"L",IF(ISBLANK(H41),"","A")),IF(H41="EE",IF(K41&gt;=3,IF(J41&gt;=5,"H","A"),IF(K41&gt;=2,IF(J41&gt;=16,"H",IF(J41&lt;=4,"L","A")),IF(J41&lt;=15,"L","A"))),IF(OR(H41="SE",H41="CE"),IF(K41&gt;=4,IF(J41&gt;=6,"H","A"),IF(K41&gt;=2,IF(J41&gt;=20,"H",IF(J41&lt;=5,"L","A")),IF(J41&lt;=19,"L","A"))),IF(OR(H41="ALI",H41="AIE"),IF(K41&gt;=6,IF(J41&gt;=20,"H","A"),IF(K41&gt;=2,IF(J41&gt;=51,"H",IF(J41&lt;=19,"L","A")),IF(J41&lt;=50,"L","A")))))))</f>
        <v>A</v>
      </c>
      <c r="N41" s="46" t="str">
        <f aca="false">IF(M41="L","Baixa",IF(M41="A","Média",IF(M41="","","Alta")))</f>
        <v>Média</v>
      </c>
      <c r="O41" s="47" t="n">
        <f aca="false">IF(ISBLANK(H41),"",IF(H41="ALI",IF(M41="L",7,IF(M41="A",10,15)),IF(H41="AIE",IF(M41="L",5,IF(M41="A",7,10)),IF(H41="SE",IF(M41="L",4,IF(M41="A",5,7)),IF(OR(H41="EE",H41="CE"),IF(M41="L",3,IF(M41="A",4,6)))))))</f>
        <v>4</v>
      </c>
      <c r="P41" s="48" t="n">
        <f aca="false">IF(I41="I",O41*Contagem!$W$15,IF(I41="E",O41*Contagem!$W$17,IF(I41="A",O41*Contagem!$W$16,IF(I41="T",O41*Contagem!$W$18,""))))</f>
        <v>4</v>
      </c>
      <c r="Q41" s="49" t="s">
        <v>105</v>
      </c>
    </row>
    <row r="42" customFormat="false" ht="12" hidden="false" customHeight="true" outlineLevel="0" collapsed="false">
      <c r="A42" s="40" t="n">
        <f aca="false">IF(H42="",IF(C42="",A41,A41+1),A41)</f>
        <v>5</v>
      </c>
      <c r="B42" s="41" t="str">
        <f aca="false">IF(A42=A41,"",CONCATENATE("F",A42))</f>
        <v/>
      </c>
      <c r="C42" s="42" t="s">
        <v>106</v>
      </c>
      <c r="D42" s="42"/>
      <c r="E42" s="42"/>
      <c r="F42" s="42"/>
      <c r="G42" s="42"/>
      <c r="H42" s="44" t="s">
        <v>62</v>
      </c>
      <c r="I42" s="50" t="s">
        <v>56</v>
      </c>
      <c r="J42" s="44" t="n">
        <v>3</v>
      </c>
      <c r="K42" s="44" t="n">
        <v>2</v>
      </c>
      <c r="L42" s="44" t="str">
        <f aca="false">CONCATENATE(H42,M42)</f>
        <v>EEL</v>
      </c>
      <c r="M42" s="45" t="str">
        <f aca="false">IF(OR(ISBLANK(J42),ISBLANK(K42)),IF(OR(H42="ALI",H42="AIE"),"L",IF(ISBLANK(H42),"","A")),IF(H42="EE",IF(K42&gt;=3,IF(J42&gt;=5,"H","A"),IF(K42&gt;=2,IF(J42&gt;=16,"H",IF(J42&lt;=4,"L","A")),IF(J42&lt;=15,"L","A"))),IF(OR(H42="SE",H42="CE"),IF(K42&gt;=4,IF(J42&gt;=6,"H","A"),IF(K42&gt;=2,IF(J42&gt;=20,"H",IF(J42&lt;=5,"L","A")),IF(J42&lt;=19,"L","A"))),IF(OR(H42="ALI",H42="AIE"),IF(K42&gt;=6,IF(J42&gt;=20,"H","A"),IF(K42&gt;=2,IF(J42&gt;=51,"H",IF(J42&lt;=19,"L","A")),IF(J42&lt;=50,"L","A")))))))</f>
        <v>L</v>
      </c>
      <c r="N42" s="46" t="str">
        <f aca="false">IF(M42="L","Baixa",IF(M42="A","Média",IF(M42="","","Alta")))</f>
        <v>Baixa</v>
      </c>
      <c r="O42" s="47" t="n">
        <f aca="false">IF(ISBLANK(H42),"",IF(H42="ALI",IF(M42="L",7,IF(M42="A",10,15)),IF(H42="AIE",IF(M42="L",5,IF(M42="A",7,10)),IF(H42="SE",IF(M42="L",4,IF(M42="A",5,7)),IF(OR(H42="EE",H42="CE"),IF(M42="L",3,IF(M42="A",4,6)))))))</f>
        <v>3</v>
      </c>
      <c r="P42" s="48" t="n">
        <f aca="false">IF(I42="I",O42*Contagem!$W$15,IF(I42="E",O42*Contagem!$W$17,IF(I42="A",O42*Contagem!$W$16,IF(I42="T",O42*Contagem!$W$18,""))))</f>
        <v>3</v>
      </c>
      <c r="Q42" s="49" t="s">
        <v>107</v>
      </c>
    </row>
    <row r="43" customFormat="false" ht="12" hidden="false" customHeight="true" outlineLevel="0" collapsed="false">
      <c r="A43" s="40" t="n">
        <f aca="false">IF(H43="",IF(C43="",A42,A42+1),A42)</f>
        <v>5</v>
      </c>
      <c r="B43" s="41" t="str">
        <f aca="false">IF(A43=A42,"",CONCATENATE("F",A43))</f>
        <v/>
      </c>
      <c r="C43" s="42" t="s">
        <v>108</v>
      </c>
      <c r="D43" s="42"/>
      <c r="E43" s="42"/>
      <c r="F43" s="42"/>
      <c r="G43" s="42"/>
      <c r="H43" s="44" t="s">
        <v>62</v>
      </c>
      <c r="I43" s="50" t="s">
        <v>56</v>
      </c>
      <c r="J43" s="44" t="n">
        <v>4</v>
      </c>
      <c r="K43" s="44" t="n">
        <v>1</v>
      </c>
      <c r="L43" s="44" t="str">
        <f aca="false">CONCATENATE(H43,M43)</f>
        <v>EEL</v>
      </c>
      <c r="M43" s="45" t="str">
        <f aca="false">IF(OR(ISBLANK(J43),ISBLANK(K43)),IF(OR(H43="ALI",H43="AIE"),"L",IF(ISBLANK(H43),"","A")),IF(H43="EE",IF(K43&gt;=3,IF(J43&gt;=5,"H","A"),IF(K43&gt;=2,IF(J43&gt;=16,"H",IF(J43&lt;=4,"L","A")),IF(J43&lt;=15,"L","A"))),IF(OR(H43="SE",H43="CE"),IF(K43&gt;=4,IF(J43&gt;=6,"H","A"),IF(K43&gt;=2,IF(J43&gt;=20,"H",IF(J43&lt;=5,"L","A")),IF(J43&lt;=19,"L","A"))),IF(OR(H43="ALI",H43="AIE"),IF(K43&gt;=6,IF(J43&gt;=20,"H","A"),IF(K43&gt;=2,IF(J43&gt;=51,"H",IF(J43&lt;=19,"L","A")),IF(J43&lt;=50,"L","A")))))))</f>
        <v>L</v>
      </c>
      <c r="N43" s="46" t="str">
        <f aca="false">IF(M43="L","Baixa",IF(M43="A","Média",IF(M43="","","Alta")))</f>
        <v>Baixa</v>
      </c>
      <c r="O43" s="47" t="n">
        <f aca="false">IF(ISBLANK(H43),"",IF(H43="ALI",IF(M43="L",7,IF(M43="A",10,15)),IF(H43="AIE",IF(M43="L",5,IF(M43="A",7,10)),IF(H43="SE",IF(M43="L",4,IF(M43="A",5,7)),IF(OR(H43="EE",H43="CE"),IF(M43="L",3,IF(M43="A",4,6)))))))</f>
        <v>3</v>
      </c>
      <c r="P43" s="48" t="n">
        <f aca="false">IF(I43="I",O43*Contagem!$W$15,IF(I43="E",O43*Contagem!$W$17,IF(I43="A",O43*Contagem!$W$16,IF(I43="T",O43*Contagem!$W$18,""))))</f>
        <v>3</v>
      </c>
      <c r="Q43" s="49" t="s">
        <v>109</v>
      </c>
    </row>
    <row r="44" customFormat="false" ht="12" hidden="false" customHeight="true" outlineLevel="0" collapsed="false">
      <c r="A44" s="40" t="n">
        <f aca="false">IF(H44="",IF(C44="",A43,A43+1),A43)</f>
        <v>5</v>
      </c>
      <c r="B44" s="41" t="str">
        <f aca="false">IF(A44=A43,"",CONCATENATE("F",A44))</f>
        <v/>
      </c>
      <c r="C44" s="42" t="s">
        <v>110</v>
      </c>
      <c r="D44" s="42"/>
      <c r="E44" s="42"/>
      <c r="F44" s="42"/>
      <c r="G44" s="42"/>
      <c r="H44" s="44" t="s">
        <v>62</v>
      </c>
      <c r="I44" s="50" t="s">
        <v>56</v>
      </c>
      <c r="J44" s="44" t="n">
        <v>3</v>
      </c>
      <c r="K44" s="44" t="n">
        <v>1</v>
      </c>
      <c r="L44" s="44" t="str">
        <f aca="false">CONCATENATE(H44,M44)</f>
        <v>EEL</v>
      </c>
      <c r="M44" s="45" t="str">
        <f aca="false">IF(OR(ISBLANK(J44),ISBLANK(K44)),IF(OR(H44="ALI",H44="AIE"),"L",IF(ISBLANK(H44),"","A")),IF(H44="EE",IF(K44&gt;=3,IF(J44&gt;=5,"H","A"),IF(K44&gt;=2,IF(J44&gt;=16,"H",IF(J44&lt;=4,"L","A")),IF(J44&lt;=15,"L","A"))),IF(OR(H44="SE",H44="CE"),IF(K44&gt;=4,IF(J44&gt;=6,"H","A"),IF(K44&gt;=2,IF(J44&gt;=20,"H",IF(J44&lt;=5,"L","A")),IF(J44&lt;=19,"L","A"))),IF(OR(H44="ALI",H44="AIE"),IF(K44&gt;=6,IF(J44&gt;=20,"H","A"),IF(K44&gt;=2,IF(J44&gt;=51,"H",IF(J44&lt;=19,"L","A")),IF(J44&lt;=50,"L","A")))))))</f>
        <v>L</v>
      </c>
      <c r="N44" s="46" t="str">
        <f aca="false">IF(M44="L","Baixa",IF(M44="A","Média",IF(M44="","","Alta")))</f>
        <v>Baixa</v>
      </c>
      <c r="O44" s="47" t="n">
        <f aca="false">IF(ISBLANK(H44),"",IF(H44="ALI",IF(M44="L",7,IF(M44="A",10,15)),IF(H44="AIE",IF(M44="L",5,IF(M44="A",7,10)),IF(H44="SE",IF(M44="L",4,IF(M44="A",5,7)),IF(OR(H44="EE",H44="CE"),IF(M44="L",3,IF(M44="A",4,6)))))))</f>
        <v>3</v>
      </c>
      <c r="P44" s="48" t="n">
        <f aca="false">IF(I44="I",O44*Contagem!$W$15,IF(I44="E",O44*Contagem!$W$17,IF(I44="A",O44*Contagem!$W$16,IF(I44="T",O44*Contagem!$W$18,""))))</f>
        <v>3</v>
      </c>
      <c r="Q44" s="49" t="s">
        <v>111</v>
      </c>
    </row>
    <row r="45" customFormat="false" ht="12" hidden="false" customHeight="true" outlineLevel="0" collapsed="false">
      <c r="A45" s="40" t="n">
        <f aca="false">IF(H45="",IF(C45="",A44,A44+1),A44)</f>
        <v>5</v>
      </c>
      <c r="B45" s="41" t="str">
        <f aca="false">IF(A45=A44,"",CONCATENATE("F",A45))</f>
        <v/>
      </c>
      <c r="C45" s="42"/>
      <c r="D45" s="42"/>
      <c r="E45" s="42"/>
      <c r="F45" s="42"/>
      <c r="G45" s="42"/>
      <c r="H45" s="44"/>
      <c r="I45" s="50"/>
      <c r="J45" s="44"/>
      <c r="K45" s="44"/>
      <c r="L45" s="44" t="str">
        <f aca="false">CONCATENATE(H45,M45)</f>
        <v/>
      </c>
      <c r="M45" s="45" t="str">
        <f aca="false">IF(OR(ISBLANK(J45),ISBLANK(K45)),IF(OR(H45="ALI",H45="AIE"),"L",IF(ISBLANK(H45),"","A")),IF(H45="EE",IF(K45&gt;=3,IF(J45&gt;=5,"H","A"),IF(K45&gt;=2,IF(J45&gt;=16,"H",IF(J45&lt;=4,"L","A")),IF(J45&lt;=15,"L","A"))),IF(OR(H45="SE",H45="CE"),IF(K45&gt;=4,IF(J45&gt;=6,"H","A"),IF(K45&gt;=2,IF(J45&gt;=20,"H",IF(J45&lt;=5,"L","A")),IF(J45&lt;=19,"L","A"))),IF(OR(H45="ALI",H45="AIE"),IF(K45&gt;=6,IF(J45&gt;=20,"H","A"),IF(K45&gt;=2,IF(J45&gt;=51,"H",IF(J45&lt;=19,"L","A")),IF(J45&lt;=50,"L","A")))))))</f>
        <v/>
      </c>
      <c r="N45" s="46" t="str">
        <f aca="false">IF(M45="L","Baixa",IF(M45="A","Média",IF(M45="","","Alta")))</f>
        <v/>
      </c>
      <c r="O45" s="47" t="str">
        <f aca="false">IF(ISBLANK(H45),"",IF(H45="ALI",IF(M45="L",7,IF(M45="A",10,15)),IF(H45="AIE",IF(M45="L",5,IF(M45="A",7,10)),IF(H45="SE",IF(M45="L",4,IF(M45="A",5,7)),IF(OR(H45="EE",H45="CE"),IF(M45="L",3,IF(M45="A",4,6)))))))</f>
        <v/>
      </c>
      <c r="P45" s="48" t="str">
        <f aca="false">IF(I45="I",O45*Contagem!$W$15,IF(I45="E",O45*Contagem!$W$17,IF(I45="A",O45*Contagem!$W$16,IF(I45="T",O45*Contagem!$W$18,""))))</f>
        <v/>
      </c>
      <c r="Q45" s="49"/>
    </row>
    <row r="46" customFormat="false" ht="12" hidden="false" customHeight="true" outlineLevel="0" collapsed="false">
      <c r="A46" s="40" t="n">
        <f aca="false">IF(H46="",IF(C46="",A45,A45+1),A45)</f>
        <v>6</v>
      </c>
      <c r="B46" s="41" t="str">
        <f aca="false">IF(A46=A45,"",CONCATENATE("F",A46))</f>
        <v>F6</v>
      </c>
      <c r="C46" s="42" t="s">
        <v>112</v>
      </c>
      <c r="D46" s="42"/>
      <c r="E46" s="42"/>
      <c r="F46" s="42"/>
      <c r="G46" s="42"/>
      <c r="H46" s="44"/>
      <c r="I46" s="50"/>
      <c r="J46" s="44"/>
      <c r="K46" s="44"/>
      <c r="L46" s="44" t="str">
        <f aca="false">CONCATENATE(H46,M46)</f>
        <v/>
      </c>
      <c r="M46" s="45" t="str">
        <f aca="false">IF(OR(ISBLANK(J46),ISBLANK(K46)),IF(OR(H46="ALI",H46="AIE"),"L",IF(ISBLANK(H46),"","A")),IF(H46="EE",IF(K46&gt;=3,IF(J46&gt;=5,"H","A"),IF(K46&gt;=2,IF(J46&gt;=16,"H",IF(J46&lt;=4,"L","A")),IF(J46&lt;=15,"L","A"))),IF(OR(H46="SE",H46="CE"),IF(K46&gt;=4,IF(J46&gt;=6,"H","A"),IF(K46&gt;=2,IF(J46&gt;=20,"H",IF(J46&lt;=5,"L","A")),IF(J46&lt;=19,"L","A"))),IF(OR(H46="ALI",H46="AIE"),IF(K46&gt;=6,IF(J46&gt;=20,"H","A"),IF(K46&gt;=2,IF(J46&gt;=51,"H",IF(J46&lt;=19,"L","A")),IF(J46&lt;=50,"L","A")))))))</f>
        <v/>
      </c>
      <c r="N46" s="46" t="str">
        <f aca="false">IF(M46="L","Baixa",IF(M46="A","Média",IF(M46="","","Alta")))</f>
        <v/>
      </c>
      <c r="O46" s="47" t="str">
        <f aca="false">IF(ISBLANK(H46),"",IF(H46="ALI",IF(M46="L",7,IF(M46="A",10,15)),IF(H46="AIE",IF(M46="L",5,IF(M46="A",7,10)),IF(H46="SE",IF(M46="L",4,IF(M46="A",5,7)),IF(OR(H46="EE",H46="CE"),IF(M46="L",3,IF(M46="A",4,6)))))))</f>
        <v/>
      </c>
      <c r="P46" s="48" t="str">
        <f aca="false">IF(I46="I",O46*Contagem!$W$15,IF(I46="E",O46*Contagem!$W$17,IF(I46="A",O46*Contagem!$W$16,IF(I46="T",O46*Contagem!$W$18,""))))</f>
        <v/>
      </c>
      <c r="Q46" s="49"/>
    </row>
    <row r="47" customFormat="false" ht="12" hidden="false" customHeight="true" outlineLevel="0" collapsed="false">
      <c r="A47" s="40" t="n">
        <f aca="false">IF(H47="",IF(C47="",A46,A46+1),A46)</f>
        <v>6</v>
      </c>
      <c r="B47" s="41" t="str">
        <f aca="false">IF(A47=A46,"",CONCATENATE("F",A47))</f>
        <v/>
      </c>
      <c r="C47" s="42" t="s">
        <v>113</v>
      </c>
      <c r="D47" s="42"/>
      <c r="E47" s="42"/>
      <c r="F47" s="42"/>
      <c r="G47" s="42"/>
      <c r="H47" s="44" t="s">
        <v>55</v>
      </c>
      <c r="I47" s="50" t="s">
        <v>56</v>
      </c>
      <c r="J47" s="44" t="n">
        <v>8</v>
      </c>
      <c r="K47" s="44" t="n">
        <v>1</v>
      </c>
      <c r="L47" s="44" t="str">
        <f aca="false">CONCATENATE(H47,M47)</f>
        <v>ALIL</v>
      </c>
      <c r="M47" s="45" t="str">
        <f aca="false">IF(OR(ISBLANK(J47),ISBLANK(K47)),IF(OR(H47="ALI",H47="AIE"),"L",IF(ISBLANK(H47),"","A")),IF(H47="EE",IF(K47&gt;=3,IF(J47&gt;=5,"H","A"),IF(K47&gt;=2,IF(J47&gt;=16,"H",IF(J47&lt;=4,"L","A")),IF(J47&lt;=15,"L","A"))),IF(OR(H47="SE",H47="CE"),IF(K47&gt;=4,IF(J47&gt;=6,"H","A"),IF(K47&gt;=2,IF(J47&gt;=20,"H",IF(J47&lt;=5,"L","A")),IF(J47&lt;=19,"L","A"))),IF(OR(H47="ALI",H47="AIE"),IF(K47&gt;=6,IF(J47&gt;=20,"H","A"),IF(K47&gt;=2,IF(J47&gt;=51,"H",IF(J47&lt;=19,"L","A")),IF(J47&lt;=50,"L","A")))))))</f>
        <v>L</v>
      </c>
      <c r="N47" s="46" t="str">
        <f aca="false">IF(M47="L","Baixa",IF(M47="A","Média",IF(M47="","","Alta")))</f>
        <v>Baixa</v>
      </c>
      <c r="O47" s="47" t="n">
        <f aca="false">IF(ISBLANK(H47),"",IF(H47="ALI",IF(M47="L",7,IF(M47="A",10,15)),IF(H47="AIE",IF(M47="L",5,IF(M47="A",7,10)),IF(H47="SE",IF(M47="L",4,IF(M47="A",5,7)),IF(OR(H47="EE",H47="CE"),IF(M47="L",3,IF(M47="A",4,6)))))))</f>
        <v>7</v>
      </c>
      <c r="P47" s="48" t="n">
        <f aca="false">IF(I47="I",O47*Contagem!$W$15,IF(I47="E",O47*Contagem!$W$17,IF(I47="A",O47*Contagem!$W$16,IF(I47="T",O47*Contagem!$W$18,""))))</f>
        <v>7</v>
      </c>
      <c r="Q47" s="49" t="s">
        <v>114</v>
      </c>
    </row>
    <row r="48" customFormat="false" ht="12" hidden="false" customHeight="true" outlineLevel="0" collapsed="false">
      <c r="A48" s="40" t="n">
        <f aca="false">IF(H48="",IF(C48="",A47,A47+1),A47)</f>
        <v>6</v>
      </c>
      <c r="B48" s="41" t="str">
        <f aca="false">IF(A48=A47,"",CONCATENATE("F",A48))</f>
        <v/>
      </c>
      <c r="C48" s="42" t="s">
        <v>115</v>
      </c>
      <c r="D48" s="42"/>
      <c r="E48" s="42"/>
      <c r="F48" s="42"/>
      <c r="G48" s="42"/>
      <c r="H48" s="44" t="s">
        <v>80</v>
      </c>
      <c r="I48" s="50" t="s">
        <v>56</v>
      </c>
      <c r="J48" s="44" t="n">
        <v>5</v>
      </c>
      <c r="K48" s="44" t="n">
        <v>1</v>
      </c>
      <c r="L48" s="44" t="str">
        <f aca="false">CONCATENATE(H48,M48)</f>
        <v>CEL</v>
      </c>
      <c r="M48" s="45" t="str">
        <f aca="false">IF(OR(ISBLANK(J48),ISBLANK(K48)),IF(OR(H48="ALI",H48="AIE"),"L",IF(ISBLANK(H48),"","A")),IF(H48="EE",IF(K48&gt;=3,IF(J48&gt;=5,"H","A"),IF(K48&gt;=2,IF(J48&gt;=16,"H",IF(J48&lt;=4,"L","A")),IF(J48&lt;=15,"L","A"))),IF(OR(H48="SE",H48="CE"),IF(K48&gt;=4,IF(J48&gt;=6,"H","A"),IF(K48&gt;=2,IF(J48&gt;=20,"H",IF(J48&lt;=5,"L","A")),IF(J48&lt;=19,"L","A"))),IF(OR(H48="ALI",H48="AIE"),IF(K48&gt;=6,IF(J48&gt;=20,"H","A"),IF(K48&gt;=2,IF(J48&gt;=51,"H",IF(J48&lt;=19,"L","A")),IF(J48&lt;=50,"L","A")))))))</f>
        <v>L</v>
      </c>
      <c r="N48" s="46" t="str">
        <f aca="false">IF(M48="L","Baixa",IF(M48="A","Média",IF(M48="","","Alta")))</f>
        <v>Baixa</v>
      </c>
      <c r="O48" s="47" t="n">
        <f aca="false">IF(ISBLANK(H48),"",IF(H48="ALI",IF(M48="L",7,IF(M48="A",10,15)),IF(H48="AIE",IF(M48="L",5,IF(M48="A",7,10)),IF(H48="SE",IF(M48="L",4,IF(M48="A",5,7)),IF(OR(H48="EE",H48="CE"),IF(M48="L",3,IF(M48="A",4,6)))))))</f>
        <v>3</v>
      </c>
      <c r="P48" s="48" t="n">
        <f aca="false">IF(I48="I",O48*Contagem!$W$15,IF(I48="E",O48*Contagem!$W$17,IF(I48="A",O48*Contagem!$W$16,IF(I48="T",O48*Contagem!$W$18,""))))</f>
        <v>3</v>
      </c>
      <c r="Q48" s="49" t="s">
        <v>116</v>
      </c>
    </row>
    <row r="49" customFormat="false" ht="12" hidden="false" customHeight="true" outlineLevel="0" collapsed="false">
      <c r="A49" s="40" t="n">
        <f aca="false">IF(H49="",IF(C49="",A48,A48+1),A48)</f>
        <v>6</v>
      </c>
      <c r="B49" s="41" t="str">
        <f aca="false">IF(A49=A48,"",CONCATENATE("F",A49))</f>
        <v/>
      </c>
      <c r="C49" s="42" t="s">
        <v>117</v>
      </c>
      <c r="D49" s="42"/>
      <c r="E49" s="42"/>
      <c r="F49" s="42"/>
      <c r="G49" s="42"/>
      <c r="H49" s="44" t="s">
        <v>62</v>
      </c>
      <c r="I49" s="50" t="s">
        <v>56</v>
      </c>
      <c r="J49" s="44" t="n">
        <v>2</v>
      </c>
      <c r="K49" s="44" t="n">
        <v>1</v>
      </c>
      <c r="L49" s="44" t="str">
        <f aca="false">CONCATENATE(H49,M49)</f>
        <v>EEL</v>
      </c>
      <c r="M49" s="45" t="str">
        <f aca="false">IF(OR(ISBLANK(J49),ISBLANK(K49)),IF(OR(H49="ALI",H49="AIE"),"L",IF(ISBLANK(H49),"","A")),IF(H49="EE",IF(K49&gt;=3,IF(J49&gt;=5,"H","A"),IF(K49&gt;=2,IF(J49&gt;=16,"H",IF(J49&lt;=4,"L","A")),IF(J49&lt;=15,"L","A"))),IF(OR(H49="SE",H49="CE"),IF(K49&gt;=4,IF(J49&gt;=6,"H","A"),IF(K49&gt;=2,IF(J49&gt;=20,"H",IF(J49&lt;=5,"L","A")),IF(J49&lt;=19,"L","A"))),IF(OR(H49="ALI",H49="AIE"),IF(K49&gt;=6,IF(J49&gt;=20,"H","A"),IF(K49&gt;=2,IF(J49&gt;=51,"H",IF(J49&lt;=19,"L","A")),IF(J49&lt;=50,"L","A")))))))</f>
        <v>L</v>
      </c>
      <c r="N49" s="46" t="str">
        <f aca="false">IF(M49="L","Baixa",IF(M49="A","Média",IF(M49="","","Alta")))</f>
        <v>Baixa</v>
      </c>
      <c r="O49" s="47" t="n">
        <f aca="false">IF(ISBLANK(H49),"",IF(H49="ALI",IF(M49="L",7,IF(M49="A",10,15)),IF(H49="AIE",IF(M49="L",5,IF(M49="A",7,10)),IF(H49="SE",IF(M49="L",4,IF(M49="A",5,7)),IF(OR(H49="EE",H49="CE"),IF(M49="L",3,IF(M49="A",4,6)))))))</f>
        <v>3</v>
      </c>
      <c r="P49" s="48" t="n">
        <f aca="false">IF(I49="I",O49*Contagem!$W$15,IF(I49="E",O49*Contagem!$W$17,IF(I49="A",O49*Contagem!$W$16,IF(I49="T",O49*Contagem!$W$18,""))))</f>
        <v>3</v>
      </c>
      <c r="Q49" s="49" t="s">
        <v>118</v>
      </c>
    </row>
    <row r="50" customFormat="false" ht="12" hidden="false" customHeight="true" outlineLevel="0" collapsed="false">
      <c r="A50" s="40" t="n">
        <f aca="false">IF(H50="",IF(C50="",A49,A49+1),A49)</f>
        <v>6</v>
      </c>
      <c r="B50" s="41" t="str">
        <f aca="false">IF(A50=A49,"",CONCATENATE("F",A50))</f>
        <v/>
      </c>
      <c r="C50" s="42"/>
      <c r="D50" s="42"/>
      <c r="E50" s="42"/>
      <c r="F50" s="42"/>
      <c r="G50" s="42"/>
      <c r="H50" s="44"/>
      <c r="I50" s="50"/>
      <c r="J50" s="44"/>
      <c r="K50" s="44"/>
      <c r="L50" s="44" t="str">
        <f aca="false">CONCATENATE(H50,M50)</f>
        <v/>
      </c>
      <c r="M50" s="45" t="str">
        <f aca="false">IF(OR(ISBLANK(J50),ISBLANK(K50)),IF(OR(H50="ALI",H50="AIE"),"L",IF(ISBLANK(H50),"","A")),IF(H50="EE",IF(K50&gt;=3,IF(J50&gt;=5,"H","A"),IF(K50&gt;=2,IF(J50&gt;=16,"H",IF(J50&lt;=4,"L","A")),IF(J50&lt;=15,"L","A"))),IF(OR(H50="SE",H50="CE"),IF(K50&gt;=4,IF(J50&gt;=6,"H","A"),IF(K50&gt;=2,IF(J50&gt;=20,"H",IF(J50&lt;=5,"L","A")),IF(J50&lt;=19,"L","A"))),IF(OR(H50="ALI",H50="AIE"),IF(K50&gt;=6,IF(J50&gt;=20,"H","A"),IF(K50&gt;=2,IF(J50&gt;=51,"H",IF(J50&lt;=19,"L","A")),IF(J50&lt;=50,"L","A")))))))</f>
        <v/>
      </c>
      <c r="N50" s="46" t="str">
        <f aca="false">IF(M50="L","Baixa",IF(M50="A","Média",IF(M50="","","Alta")))</f>
        <v/>
      </c>
      <c r="O50" s="47" t="str">
        <f aca="false">IF(ISBLANK(H50),"",IF(H50="ALI",IF(M50="L",7,IF(M50="A",10,15)),IF(H50="AIE",IF(M50="L",5,IF(M50="A",7,10)),IF(H50="SE",IF(M50="L",4,IF(M50="A",5,7)),IF(OR(H50="EE",H50="CE"),IF(M50="L",3,IF(M50="A",4,6)))))))</f>
        <v/>
      </c>
      <c r="P50" s="48" t="str">
        <f aca="false">IF(I50="I",O50*Contagem!$W$15,IF(I50="E",O50*Contagem!$W$17,IF(I50="A",O50*Contagem!$W$16,IF(I50="T",O50*Contagem!$W$18,""))))</f>
        <v/>
      </c>
      <c r="Q50" s="49"/>
    </row>
    <row r="51" customFormat="false" ht="12" hidden="false" customHeight="true" outlineLevel="0" collapsed="false">
      <c r="A51" s="40" t="n">
        <f aca="false">IF(H51="",IF(C51="",A50,A50+1),A50)</f>
        <v>7</v>
      </c>
      <c r="B51" s="41" t="str">
        <f aca="false">IF(A51=A50,"",CONCATENATE("F",A51))</f>
        <v>F7</v>
      </c>
      <c r="C51" s="42" t="s">
        <v>119</v>
      </c>
      <c r="D51" s="42"/>
      <c r="E51" s="42"/>
      <c r="F51" s="42"/>
      <c r="G51" s="42"/>
      <c r="H51" s="44"/>
      <c r="I51" s="50"/>
      <c r="J51" s="44"/>
      <c r="K51" s="44"/>
      <c r="L51" s="44" t="str">
        <f aca="false">CONCATENATE(H51,M51)</f>
        <v/>
      </c>
      <c r="M51" s="45" t="str">
        <f aca="false">IF(OR(ISBLANK(J51),ISBLANK(K51)),IF(OR(H51="ALI",H51="AIE"),"L",IF(ISBLANK(H51),"","A")),IF(H51="EE",IF(K51&gt;=3,IF(J51&gt;=5,"H","A"),IF(K51&gt;=2,IF(J51&gt;=16,"H",IF(J51&lt;=4,"L","A")),IF(J51&lt;=15,"L","A"))),IF(OR(H51="SE",H51="CE"),IF(K51&gt;=4,IF(J51&gt;=6,"H","A"),IF(K51&gt;=2,IF(J51&gt;=20,"H",IF(J51&lt;=5,"L","A")),IF(J51&lt;=19,"L","A"))),IF(OR(H51="ALI",H51="AIE"),IF(K51&gt;=6,IF(J51&gt;=20,"H","A"),IF(K51&gt;=2,IF(J51&gt;=51,"H",IF(J51&lt;=19,"L","A")),IF(J51&lt;=50,"L","A")))))))</f>
        <v/>
      </c>
      <c r="N51" s="46" t="str">
        <f aca="false">IF(M51="L","Baixa",IF(M51="A","Média",IF(M51="","","Alta")))</f>
        <v/>
      </c>
      <c r="O51" s="47" t="str">
        <f aca="false">IF(ISBLANK(H51),"",IF(H51="ALI",IF(M51="L",7,IF(M51="A",10,15)),IF(H51="AIE",IF(M51="L",5,IF(M51="A",7,10)),IF(H51="SE",IF(M51="L",4,IF(M51="A",5,7)),IF(OR(H51="EE",H51="CE"),IF(M51="L",3,IF(M51="A",4,6)))))))</f>
        <v/>
      </c>
      <c r="P51" s="48" t="str">
        <f aca="false">IF(I51="I",O51*Contagem!$W$15,IF(I51="E",O51*Contagem!$W$17,IF(I51="A",O51*Contagem!$W$16,IF(I51="T",O51*Contagem!$W$18,""))))</f>
        <v/>
      </c>
      <c r="Q51" s="49"/>
    </row>
    <row r="52" customFormat="false" ht="12" hidden="false" customHeight="true" outlineLevel="0" collapsed="false">
      <c r="A52" s="40" t="n">
        <f aca="false">IF(H52="",IF(C52="",A51,A51+1),A51)</f>
        <v>7</v>
      </c>
      <c r="B52" s="41" t="str">
        <f aca="false">IF(A52=A51,"",CONCATENATE("F",A52))</f>
        <v/>
      </c>
      <c r="C52" s="42" t="s">
        <v>120</v>
      </c>
      <c r="D52" s="42"/>
      <c r="E52" s="42"/>
      <c r="F52" s="42"/>
      <c r="G52" s="42"/>
      <c r="H52" s="44" t="s">
        <v>55</v>
      </c>
      <c r="I52" s="50" t="s">
        <v>56</v>
      </c>
      <c r="J52" s="44" t="n">
        <v>15</v>
      </c>
      <c r="K52" s="44" t="n">
        <v>1</v>
      </c>
      <c r="L52" s="44" t="str">
        <f aca="false">CONCATENATE(H52,M52)</f>
        <v>ALIL</v>
      </c>
      <c r="M52" s="45" t="str">
        <f aca="false">IF(OR(ISBLANK(J52),ISBLANK(K52)),IF(OR(H52="ALI",H52="AIE"),"L",IF(ISBLANK(H52),"","A")),IF(H52="EE",IF(K52&gt;=3,IF(J52&gt;=5,"H","A"),IF(K52&gt;=2,IF(J52&gt;=16,"H",IF(J52&lt;=4,"L","A")),IF(J52&lt;=15,"L","A"))),IF(OR(H52="SE",H52="CE"),IF(K52&gt;=4,IF(J52&gt;=6,"H","A"),IF(K52&gt;=2,IF(J52&gt;=20,"H",IF(J52&lt;=5,"L","A")),IF(J52&lt;=19,"L","A"))),IF(OR(H52="ALI",H52="AIE"),IF(K52&gt;=6,IF(J52&gt;=20,"H","A"),IF(K52&gt;=2,IF(J52&gt;=51,"H",IF(J52&lt;=19,"L","A")),IF(J52&lt;=50,"L","A")))))))</f>
        <v>L</v>
      </c>
      <c r="N52" s="46" t="str">
        <f aca="false">IF(M52="L","Baixa",IF(M52="A","Média",IF(M52="","","Alta")))</f>
        <v>Baixa</v>
      </c>
      <c r="O52" s="47" t="n">
        <f aca="false">IF(ISBLANK(H52),"",IF(H52="ALI",IF(M52="L",7,IF(M52="A",10,15)),IF(H52="AIE",IF(M52="L",5,IF(M52="A",7,10)),IF(H52="SE",IF(M52="L",4,IF(M52="A",5,7)),IF(OR(H52="EE",H52="CE"),IF(M52="L",3,IF(M52="A",4,6)))))))</f>
        <v>7</v>
      </c>
      <c r="P52" s="48" t="n">
        <f aca="false">IF(I52="I",O52*Contagem!$W$15,IF(I52="E",O52*Contagem!$W$17,IF(I52="A",O52*Contagem!$W$16,IF(I52="T",O52*Contagem!$W$18,""))))</f>
        <v>7</v>
      </c>
      <c r="Q52" s="49" t="s">
        <v>121</v>
      </c>
    </row>
    <row r="53" customFormat="false" ht="12" hidden="false" customHeight="true" outlineLevel="0" collapsed="false">
      <c r="A53" s="40" t="n">
        <f aca="false">IF(H53="",IF(C53="",A52,A52+1),A52)</f>
        <v>7</v>
      </c>
      <c r="B53" s="41" t="str">
        <f aca="false">IF(A53=A52,"",CONCATENATE("F",A53))</f>
        <v/>
      </c>
      <c r="C53" s="42" t="s">
        <v>122</v>
      </c>
      <c r="D53" s="42"/>
      <c r="E53" s="42"/>
      <c r="F53" s="42"/>
      <c r="G53" s="42"/>
      <c r="H53" s="44" t="s">
        <v>80</v>
      </c>
      <c r="I53" s="50" t="s">
        <v>56</v>
      </c>
      <c r="J53" s="44" t="n">
        <v>10</v>
      </c>
      <c r="K53" s="44" t="n">
        <v>2</v>
      </c>
      <c r="L53" s="44" t="str">
        <f aca="false">CONCATENATE(H53,M53)</f>
        <v>CEA</v>
      </c>
      <c r="M53" s="45" t="str">
        <f aca="false">IF(OR(ISBLANK(J53),ISBLANK(K53)),IF(OR(H53="ALI",H53="AIE"),"L",IF(ISBLANK(H53),"","A")),IF(H53="EE",IF(K53&gt;=3,IF(J53&gt;=5,"H","A"),IF(K53&gt;=2,IF(J53&gt;=16,"H",IF(J53&lt;=4,"L","A")),IF(J53&lt;=15,"L","A"))),IF(OR(H53="SE",H53="CE"),IF(K53&gt;=4,IF(J53&gt;=6,"H","A"),IF(K53&gt;=2,IF(J53&gt;=20,"H",IF(J53&lt;=5,"L","A")),IF(J53&lt;=19,"L","A"))),IF(OR(H53="ALI",H53="AIE"),IF(K53&gt;=6,IF(J53&gt;=20,"H","A"),IF(K53&gt;=2,IF(J53&gt;=51,"H",IF(J53&lt;=19,"L","A")),IF(J53&lt;=50,"L","A")))))))</f>
        <v>A</v>
      </c>
      <c r="N53" s="46" t="str">
        <f aca="false">IF(M53="L","Baixa",IF(M53="A","Média",IF(M53="","","Alta")))</f>
        <v>Média</v>
      </c>
      <c r="O53" s="47" t="n">
        <f aca="false">IF(ISBLANK(H53),"",IF(H53="ALI",IF(M53="L",7,IF(M53="A",10,15)),IF(H53="AIE",IF(M53="L",5,IF(M53="A",7,10)),IF(H53="SE",IF(M53="L",4,IF(M53="A",5,7)),IF(OR(H53="EE",H53="CE"),IF(M53="L",3,IF(M53="A",4,6)))))))</f>
        <v>4</v>
      </c>
      <c r="P53" s="48" t="n">
        <f aca="false">IF(I53="I",O53*Contagem!$W$15,IF(I53="E",O53*Contagem!$W$17,IF(I53="A",O53*Contagem!$W$16,IF(I53="T",O53*Contagem!$W$18,""))))</f>
        <v>4</v>
      </c>
      <c r="Q53" s="49" t="s">
        <v>123</v>
      </c>
    </row>
    <row r="54" customFormat="false" ht="12" hidden="false" customHeight="true" outlineLevel="0" collapsed="false">
      <c r="A54" s="40" t="n">
        <f aca="false">IF(H54="",IF(C54="",A53,A53+1),A53)</f>
        <v>7</v>
      </c>
      <c r="B54" s="41" t="str">
        <f aca="false">IF(A54=A53,"",CONCATENATE("F",A54))</f>
        <v/>
      </c>
      <c r="C54" s="42" t="s">
        <v>124</v>
      </c>
      <c r="D54" s="42"/>
      <c r="E54" s="42"/>
      <c r="F54" s="42"/>
      <c r="G54" s="42"/>
      <c r="H54" s="44" t="s">
        <v>80</v>
      </c>
      <c r="I54" s="50" t="s">
        <v>56</v>
      </c>
      <c r="J54" s="44" t="n">
        <v>10</v>
      </c>
      <c r="K54" s="44" t="n">
        <v>2</v>
      </c>
      <c r="L54" s="44" t="str">
        <f aca="false">CONCATENATE(H54,M54)</f>
        <v>CEA</v>
      </c>
      <c r="M54" s="45" t="str">
        <f aca="false">IF(OR(ISBLANK(J54),ISBLANK(K54)),IF(OR(H54="ALI",H54="AIE"),"L",IF(ISBLANK(H54),"","A")),IF(H54="EE",IF(K54&gt;=3,IF(J54&gt;=5,"H","A"),IF(K54&gt;=2,IF(J54&gt;=16,"H",IF(J54&lt;=4,"L","A")),IF(J54&lt;=15,"L","A"))),IF(OR(H54="SE",H54="CE"),IF(K54&gt;=4,IF(J54&gt;=6,"H","A"),IF(K54&gt;=2,IF(J54&gt;=20,"H",IF(J54&lt;=5,"L","A")),IF(J54&lt;=19,"L","A"))),IF(OR(H54="ALI",H54="AIE"),IF(K54&gt;=6,IF(J54&gt;=20,"H","A"),IF(K54&gt;=2,IF(J54&gt;=51,"H",IF(J54&lt;=19,"L","A")),IF(J54&lt;=50,"L","A")))))))</f>
        <v>A</v>
      </c>
      <c r="N54" s="46" t="str">
        <f aca="false">IF(M54="L","Baixa",IF(M54="A","Média",IF(M54="","","Alta")))</f>
        <v>Média</v>
      </c>
      <c r="O54" s="47" t="n">
        <f aca="false">IF(ISBLANK(H54),"",IF(H54="ALI",IF(M54="L",7,IF(M54="A",10,15)),IF(H54="AIE",IF(M54="L",5,IF(M54="A",7,10)),IF(H54="SE",IF(M54="L",4,IF(M54="A",5,7)),IF(OR(H54="EE",H54="CE"),IF(M54="L",3,IF(M54="A",4,6)))))))</f>
        <v>4</v>
      </c>
      <c r="P54" s="48" t="n">
        <f aca="false">IF(I54="I",O54*Contagem!$W$15,IF(I54="E",O54*Contagem!$W$17,IF(I54="A",O54*Contagem!$W$16,IF(I54="T",O54*Contagem!$W$18,""))))</f>
        <v>4</v>
      </c>
      <c r="Q54" s="49" t="s">
        <v>125</v>
      </c>
    </row>
    <row r="55" customFormat="false" ht="12" hidden="false" customHeight="true" outlineLevel="0" collapsed="false">
      <c r="A55" s="40" t="n">
        <f aca="false">IF(H55="",IF(C55="",A54,A54+1),A54)</f>
        <v>7</v>
      </c>
      <c r="B55" s="41" t="str">
        <f aca="false">IF(A55=A54,"",CONCATENATE("F",A55))</f>
        <v/>
      </c>
      <c r="C55" s="42" t="s">
        <v>126</v>
      </c>
      <c r="D55" s="42"/>
      <c r="E55" s="42"/>
      <c r="F55" s="42"/>
      <c r="G55" s="42"/>
      <c r="H55" s="44" t="s">
        <v>80</v>
      </c>
      <c r="I55" s="50" t="s">
        <v>56</v>
      </c>
      <c r="J55" s="44" t="n">
        <v>8</v>
      </c>
      <c r="K55" s="44" t="n">
        <v>2</v>
      </c>
      <c r="L55" s="44" t="str">
        <f aca="false">CONCATENATE(H55,M55)</f>
        <v>CEA</v>
      </c>
      <c r="M55" s="45" t="str">
        <f aca="false">IF(OR(ISBLANK(J55),ISBLANK(K55)),IF(OR(H55="ALI",H55="AIE"),"L",IF(ISBLANK(H55),"","A")),IF(H55="EE",IF(K55&gt;=3,IF(J55&gt;=5,"H","A"),IF(K55&gt;=2,IF(J55&gt;=16,"H",IF(J55&lt;=4,"L","A")),IF(J55&lt;=15,"L","A"))),IF(OR(H55="SE",H55="CE"),IF(K55&gt;=4,IF(J55&gt;=6,"H","A"),IF(K55&gt;=2,IF(J55&gt;=20,"H",IF(J55&lt;=5,"L","A")),IF(J55&lt;=19,"L","A"))),IF(OR(H55="ALI",H55="AIE"),IF(K55&gt;=6,IF(J55&gt;=20,"H","A"),IF(K55&gt;=2,IF(J55&gt;=51,"H",IF(J55&lt;=19,"L","A")),IF(J55&lt;=50,"L","A")))))))</f>
        <v>A</v>
      </c>
      <c r="N55" s="46" t="str">
        <f aca="false">IF(M55="L","Baixa",IF(M55="A","Média",IF(M55="","","Alta")))</f>
        <v>Média</v>
      </c>
      <c r="O55" s="47" t="n">
        <f aca="false">IF(ISBLANK(H55),"",IF(H55="ALI",IF(M55="L",7,IF(M55="A",10,15)),IF(H55="AIE",IF(M55="L",5,IF(M55="A",7,10)),IF(H55="SE",IF(M55="L",4,IF(M55="A",5,7)),IF(OR(H55="EE",H55="CE"),IF(M55="L",3,IF(M55="A",4,6)))))))</f>
        <v>4</v>
      </c>
      <c r="P55" s="48" t="n">
        <f aca="false">IF(I55="I",O55*Contagem!$W$15,IF(I55="E",O55*Contagem!$W$17,IF(I55="A",O55*Contagem!$W$16,IF(I55="T",O55*Contagem!$W$18,""))))</f>
        <v>4</v>
      </c>
      <c r="Q55" s="49" t="s">
        <v>127</v>
      </c>
    </row>
    <row r="56" customFormat="false" ht="12" hidden="false" customHeight="true" outlineLevel="0" collapsed="false">
      <c r="A56" s="40" t="n">
        <f aca="false">IF(H56="",IF(C56="",A55,A55+1),A55)</f>
        <v>7</v>
      </c>
      <c r="B56" s="41" t="str">
        <f aca="false">IF(A56=A55,"",CONCATENATE("F",A56))</f>
        <v/>
      </c>
      <c r="C56" s="42" t="s">
        <v>128</v>
      </c>
      <c r="D56" s="42"/>
      <c r="E56" s="42"/>
      <c r="F56" s="42"/>
      <c r="G56" s="42"/>
      <c r="H56" s="44" t="s">
        <v>99</v>
      </c>
      <c r="I56" s="50" t="s">
        <v>56</v>
      </c>
      <c r="J56" s="44" t="n">
        <v>15</v>
      </c>
      <c r="K56" s="44" t="n">
        <v>3</v>
      </c>
      <c r="L56" s="44" t="str">
        <f aca="false">CONCATENATE(H56,M56)</f>
        <v>SEA</v>
      </c>
      <c r="M56" s="45" t="str">
        <f aca="false">IF(OR(ISBLANK(J56),ISBLANK(K56)),IF(OR(H56="ALI",H56="AIE"),"L",IF(ISBLANK(H56),"","A")),IF(H56="EE",IF(K56&gt;=3,IF(J56&gt;=5,"H","A"),IF(K56&gt;=2,IF(J56&gt;=16,"H",IF(J56&lt;=4,"L","A")),IF(J56&lt;=15,"L","A"))),IF(OR(H56="SE",H56="CE"),IF(K56&gt;=4,IF(J56&gt;=6,"H","A"),IF(K56&gt;=2,IF(J56&gt;=20,"H",IF(J56&lt;=5,"L","A")),IF(J56&lt;=19,"L","A"))),IF(OR(H56="ALI",H56="AIE"),IF(K56&gt;=6,IF(J56&gt;=20,"H","A"),IF(K56&gt;=2,IF(J56&gt;=51,"H",IF(J56&lt;=19,"L","A")),IF(J56&lt;=50,"L","A")))))))</f>
        <v>A</v>
      </c>
      <c r="N56" s="46" t="str">
        <f aca="false">IF(M56="L","Baixa",IF(M56="A","Média",IF(M56="","","Alta")))</f>
        <v>Média</v>
      </c>
      <c r="O56" s="47" t="n">
        <f aca="false">IF(ISBLANK(H56),"",IF(H56="ALI",IF(M56="L",7,IF(M56="A",10,15)),IF(H56="AIE",IF(M56="L",5,IF(M56="A",7,10)),IF(H56="SE",IF(M56="L",4,IF(M56="A",5,7)),IF(OR(H56="EE",H56="CE"),IF(M56="L",3,IF(M56="A",4,6)))))))</f>
        <v>5</v>
      </c>
      <c r="P56" s="48" t="n">
        <f aca="false">IF(I56="I",O56*Contagem!$W$15,IF(I56="E",O56*Contagem!$W$17,IF(I56="A",O56*Contagem!$W$16,IF(I56="T",O56*Contagem!$W$18,""))))</f>
        <v>5</v>
      </c>
      <c r="Q56" s="49" t="s">
        <v>129</v>
      </c>
    </row>
    <row r="57" customFormat="false" ht="12" hidden="false" customHeight="true" outlineLevel="0" collapsed="false">
      <c r="A57" s="40" t="n">
        <f aca="false">IF(H57="",IF(C57="",A56,A56+1),A56)</f>
        <v>7</v>
      </c>
      <c r="B57" s="41" t="str">
        <f aca="false">IF(A57=A56,"",CONCATENATE("F",A57))</f>
        <v/>
      </c>
      <c r="C57" s="42"/>
      <c r="D57" s="42"/>
      <c r="E57" s="42"/>
      <c r="F57" s="42"/>
      <c r="G57" s="42"/>
      <c r="H57" s="44"/>
      <c r="I57" s="50"/>
      <c r="J57" s="44"/>
      <c r="K57" s="44"/>
      <c r="L57" s="44" t="str">
        <f aca="false">CONCATENATE(H57,M57)</f>
        <v/>
      </c>
      <c r="M57" s="45" t="str">
        <f aca="false">IF(OR(ISBLANK(J57),ISBLANK(K57)),IF(OR(H57="ALI",H57="AIE"),"L",IF(ISBLANK(H57),"","A")),IF(H57="EE",IF(K57&gt;=3,IF(J57&gt;=5,"H","A"),IF(K57&gt;=2,IF(J57&gt;=16,"H",IF(J57&lt;=4,"L","A")),IF(J57&lt;=15,"L","A"))),IF(OR(H57="SE",H57="CE"),IF(K57&gt;=4,IF(J57&gt;=6,"H","A"),IF(K57&gt;=2,IF(J57&gt;=20,"H",IF(J57&lt;=5,"L","A")),IF(J57&lt;=19,"L","A"))),IF(OR(H57="ALI",H57="AIE"),IF(K57&gt;=6,IF(J57&gt;=20,"H","A"),IF(K57&gt;=2,IF(J57&gt;=51,"H",IF(J57&lt;=19,"L","A")),IF(J57&lt;=50,"L","A")))))))</f>
        <v/>
      </c>
      <c r="N57" s="46" t="str">
        <f aca="false">IF(M57="L","Baixa",IF(M57="A","Média",IF(M57="","","Alta")))</f>
        <v/>
      </c>
      <c r="O57" s="47" t="str">
        <f aca="false">IF(ISBLANK(H57),"",IF(H57="ALI",IF(M57="L",7,IF(M57="A",10,15)),IF(H57="AIE",IF(M57="L",5,IF(M57="A",7,10)),IF(H57="SE",IF(M57="L",4,IF(M57="A",5,7)),IF(OR(H57="EE",H57="CE"),IF(M57="L",3,IF(M57="A",4,6)))))))</f>
        <v/>
      </c>
      <c r="P57" s="48" t="str">
        <f aca="false">IF(I57="I",O57*Contagem!$W$15,IF(I57="E",O57*Contagem!$W$17,IF(I57="A",O57*Contagem!$W$16,IF(I57="T",O57*Contagem!$W$18,""))))</f>
        <v/>
      </c>
      <c r="Q57" s="49"/>
    </row>
    <row r="58" customFormat="false" ht="12" hidden="false" customHeight="true" outlineLevel="0" collapsed="false">
      <c r="A58" s="40" t="n">
        <f aca="false">IF(H58="",IF(C58="",A57,A57+1),A57)</f>
        <v>8</v>
      </c>
      <c r="B58" s="41" t="str">
        <f aca="false">IF(A58=A57,"",CONCATENATE("F",A58))</f>
        <v>F8</v>
      </c>
      <c r="C58" s="42" t="s">
        <v>130</v>
      </c>
      <c r="D58" s="42"/>
      <c r="E58" s="42"/>
      <c r="F58" s="42"/>
      <c r="G58" s="42"/>
      <c r="H58" s="44"/>
      <c r="I58" s="50"/>
      <c r="J58" s="44"/>
      <c r="K58" s="44"/>
      <c r="L58" s="44" t="str">
        <f aca="false">CONCATENATE(H58,M58)</f>
        <v/>
      </c>
      <c r="M58" s="45" t="str">
        <f aca="false">IF(OR(ISBLANK(J58),ISBLANK(K58)),IF(OR(H58="ALI",H58="AIE"),"L",IF(ISBLANK(H58),"","A")),IF(H58="EE",IF(K58&gt;=3,IF(J58&gt;=5,"H","A"),IF(K58&gt;=2,IF(J58&gt;=16,"H",IF(J58&lt;=4,"L","A")),IF(J58&lt;=15,"L","A"))),IF(OR(H58="SE",H58="CE"),IF(K58&gt;=4,IF(J58&gt;=6,"H","A"),IF(K58&gt;=2,IF(J58&gt;=20,"H",IF(J58&lt;=5,"L","A")),IF(J58&lt;=19,"L","A"))),IF(OR(H58="ALI",H58="AIE"),IF(K58&gt;=6,IF(J58&gt;=20,"H","A"),IF(K58&gt;=2,IF(J58&gt;=51,"H",IF(J58&lt;=19,"L","A")),IF(J58&lt;=50,"L","A")))))))</f>
        <v/>
      </c>
      <c r="N58" s="46" t="str">
        <f aca="false">IF(M58="L","Baixa",IF(M58="A","Média",IF(M58="","","Alta")))</f>
        <v/>
      </c>
      <c r="O58" s="47" t="str">
        <f aca="false">IF(ISBLANK(H58),"",IF(H58="ALI",IF(M58="L",7,IF(M58="A",10,15)),IF(H58="AIE",IF(M58="L",5,IF(M58="A",7,10)),IF(H58="SE",IF(M58="L",4,IF(M58="A",5,7)),IF(OR(H58="EE",H58="CE"),IF(M58="L",3,IF(M58="A",4,6)))))))</f>
        <v/>
      </c>
      <c r="P58" s="48" t="str">
        <f aca="false">IF(I58="I",O58*Contagem!$W$15,IF(I58="E",O58*Contagem!$W$17,IF(I58="A",O58*Contagem!$W$16,IF(I58="T",O58*Contagem!$W$18,""))))</f>
        <v/>
      </c>
      <c r="Q58" s="49"/>
    </row>
    <row r="59" customFormat="false" ht="12" hidden="false" customHeight="true" outlineLevel="0" collapsed="false">
      <c r="A59" s="40" t="n">
        <f aca="false">IF(H59="",IF(C59="",A58,A58+1),A58)</f>
        <v>8</v>
      </c>
      <c r="B59" s="41" t="str">
        <f aca="false">IF(A59=A58,"",CONCATENATE("F",A59))</f>
        <v/>
      </c>
      <c r="C59" s="42" t="s">
        <v>131</v>
      </c>
      <c r="D59" s="42"/>
      <c r="E59" s="42"/>
      <c r="F59" s="42"/>
      <c r="G59" s="42"/>
      <c r="H59" s="44" t="s">
        <v>55</v>
      </c>
      <c r="I59" s="50" t="s">
        <v>56</v>
      </c>
      <c r="J59" s="44" t="n">
        <v>17</v>
      </c>
      <c r="K59" s="44" t="n">
        <v>1</v>
      </c>
      <c r="L59" s="44" t="str">
        <f aca="false">CONCATENATE(H59,M59)</f>
        <v>ALIL</v>
      </c>
      <c r="M59" s="45" t="str">
        <f aca="false">IF(OR(ISBLANK(J59),ISBLANK(K59)),IF(OR(H59="ALI",H59="AIE"),"L",IF(ISBLANK(H59),"","A")),IF(H59="EE",IF(K59&gt;=3,IF(J59&gt;=5,"H","A"),IF(K59&gt;=2,IF(J59&gt;=16,"H",IF(J59&lt;=4,"L","A")),IF(J59&lt;=15,"L","A"))),IF(OR(H59="SE",H59="CE"),IF(K59&gt;=4,IF(J59&gt;=6,"H","A"),IF(K59&gt;=2,IF(J59&gt;=20,"H",IF(J59&lt;=5,"L","A")),IF(J59&lt;=19,"L","A"))),IF(OR(H59="ALI",H59="AIE"),IF(K59&gt;=6,IF(J59&gt;=20,"H","A"),IF(K59&gt;=2,IF(J59&gt;=51,"H",IF(J59&lt;=19,"L","A")),IF(J59&lt;=50,"L","A")))))))</f>
        <v>L</v>
      </c>
      <c r="N59" s="46" t="str">
        <f aca="false">IF(M59="L","Baixa",IF(M59="A","Média",IF(M59="","","Alta")))</f>
        <v>Baixa</v>
      </c>
      <c r="O59" s="47" t="n">
        <f aca="false">IF(ISBLANK(H59),"",IF(H59="ALI",IF(M59="L",7,IF(M59="A",10,15)),IF(H59="AIE",IF(M59="L",5,IF(M59="A",7,10)),IF(H59="SE",IF(M59="L",4,IF(M59="A",5,7)),IF(OR(H59="EE",H59="CE"),IF(M59="L",3,IF(M59="A",4,6)))))))</f>
        <v>7</v>
      </c>
      <c r="P59" s="48" t="n">
        <f aca="false">IF(I59="I",O59*Contagem!$W$15,IF(I59="E",O59*Contagem!$W$17,IF(I59="A",O59*Contagem!$W$16,IF(I59="T",O59*Contagem!$W$18,""))))</f>
        <v>7</v>
      </c>
      <c r="Q59" s="49" t="s">
        <v>132</v>
      </c>
    </row>
    <row r="60" customFormat="false" ht="12" hidden="false" customHeight="true" outlineLevel="0" collapsed="false">
      <c r="A60" s="40" t="n">
        <f aca="false">IF(H60="",IF(C60="",A59,A59+1),A59)</f>
        <v>8</v>
      </c>
      <c r="B60" s="41" t="str">
        <f aca="false">IF(A60=A59,"",CONCATENATE("F",A60))</f>
        <v/>
      </c>
      <c r="C60" s="42" t="s">
        <v>133</v>
      </c>
      <c r="D60" s="42"/>
      <c r="E60" s="42"/>
      <c r="F60" s="42"/>
      <c r="G60" s="42"/>
      <c r="H60" s="44" t="s">
        <v>80</v>
      </c>
      <c r="I60" s="50" t="s">
        <v>56</v>
      </c>
      <c r="J60" s="44" t="n">
        <v>7</v>
      </c>
      <c r="K60" s="44" t="n">
        <v>1</v>
      </c>
      <c r="L60" s="44" t="str">
        <f aca="false">CONCATENATE(H60,M60)</f>
        <v>CEL</v>
      </c>
      <c r="M60" s="45" t="str">
        <f aca="false">IF(OR(ISBLANK(J60),ISBLANK(K60)),IF(OR(H60="ALI",H60="AIE"),"L",IF(ISBLANK(H60),"","A")),IF(H60="EE",IF(K60&gt;=3,IF(J60&gt;=5,"H","A"),IF(K60&gt;=2,IF(J60&gt;=16,"H",IF(J60&lt;=4,"L","A")),IF(J60&lt;=15,"L","A"))),IF(OR(H60="SE",H60="CE"),IF(K60&gt;=4,IF(J60&gt;=6,"H","A"),IF(K60&gt;=2,IF(J60&gt;=20,"H",IF(J60&lt;=5,"L","A")),IF(J60&lt;=19,"L","A"))),IF(OR(H60="ALI",H60="AIE"),IF(K60&gt;=6,IF(J60&gt;=20,"H","A"),IF(K60&gt;=2,IF(J60&gt;=51,"H",IF(J60&lt;=19,"L","A")),IF(J60&lt;=50,"L","A")))))))</f>
        <v>L</v>
      </c>
      <c r="N60" s="46" t="str">
        <f aca="false">IF(M60="L","Baixa",IF(M60="A","Média",IF(M60="","","Alta")))</f>
        <v>Baixa</v>
      </c>
      <c r="O60" s="47" t="n">
        <f aca="false">IF(ISBLANK(H60),"",IF(H60="ALI",IF(M60="L",7,IF(M60="A",10,15)),IF(H60="AIE",IF(M60="L",5,IF(M60="A",7,10)),IF(H60="SE",IF(M60="L",4,IF(M60="A",5,7)),IF(OR(H60="EE",H60="CE"),IF(M60="L",3,IF(M60="A",4,6)))))))</f>
        <v>3</v>
      </c>
      <c r="P60" s="48" t="n">
        <f aca="false">IF(I60="I",O60*Contagem!$W$15,IF(I60="E",O60*Contagem!$W$17,IF(I60="A",O60*Contagem!$W$16,IF(I60="T",O60*Contagem!$W$18,""))))</f>
        <v>3</v>
      </c>
      <c r="Q60" s="49" t="s">
        <v>134</v>
      </c>
    </row>
    <row r="61" customFormat="false" ht="12" hidden="false" customHeight="true" outlineLevel="0" collapsed="false">
      <c r="A61" s="40" t="n">
        <f aca="false">IF(H61="",IF(C61="",A60,A60+1),A60)</f>
        <v>8</v>
      </c>
      <c r="B61" s="41" t="str">
        <f aca="false">IF(A61=A60,"",CONCATENATE("F",A61))</f>
        <v/>
      </c>
      <c r="C61" s="42" t="s">
        <v>135</v>
      </c>
      <c r="D61" s="42"/>
      <c r="E61" s="42"/>
      <c r="F61" s="42"/>
      <c r="G61" s="42"/>
      <c r="H61" s="44" t="s">
        <v>80</v>
      </c>
      <c r="I61" s="50" t="s">
        <v>56</v>
      </c>
      <c r="J61" s="44" t="n">
        <v>16</v>
      </c>
      <c r="K61" s="44" t="n">
        <v>1</v>
      </c>
      <c r="L61" s="44" t="str">
        <f aca="false">CONCATENATE(H61,M61)</f>
        <v>CEL</v>
      </c>
      <c r="M61" s="45" t="str">
        <f aca="false">IF(OR(ISBLANK(J61),ISBLANK(K61)),IF(OR(H61="ALI",H61="AIE"),"L",IF(ISBLANK(H61),"","A")),IF(H61="EE",IF(K61&gt;=3,IF(J61&gt;=5,"H","A"),IF(K61&gt;=2,IF(J61&gt;=16,"H",IF(J61&lt;=4,"L","A")),IF(J61&lt;=15,"L","A"))),IF(OR(H61="SE",H61="CE"),IF(K61&gt;=4,IF(J61&gt;=6,"H","A"),IF(K61&gt;=2,IF(J61&gt;=20,"H",IF(J61&lt;=5,"L","A")),IF(J61&lt;=19,"L","A"))),IF(OR(H61="ALI",H61="AIE"),IF(K61&gt;=6,IF(J61&gt;=20,"H","A"),IF(K61&gt;=2,IF(J61&gt;=51,"H",IF(J61&lt;=19,"L","A")),IF(J61&lt;=50,"L","A")))))))</f>
        <v>L</v>
      </c>
      <c r="N61" s="46" t="str">
        <f aca="false">IF(M61="L","Baixa",IF(M61="A","Média",IF(M61="","","Alta")))</f>
        <v>Baixa</v>
      </c>
      <c r="O61" s="47" t="n">
        <f aca="false">IF(ISBLANK(H61),"",IF(H61="ALI",IF(M61="L",7,IF(M61="A",10,15)),IF(H61="AIE",IF(M61="L",5,IF(M61="A",7,10)),IF(H61="SE",IF(M61="L",4,IF(M61="A",5,7)),IF(OR(H61="EE",H61="CE"),IF(M61="L",3,IF(M61="A",4,6)))))))</f>
        <v>3</v>
      </c>
      <c r="P61" s="48" t="n">
        <f aca="false">IF(I61="I",O61*Contagem!$W$15,IF(I61="E",O61*Contagem!$W$17,IF(I61="A",O61*Contagem!$W$16,IF(I61="T",O61*Contagem!$W$18,""))))</f>
        <v>3</v>
      </c>
      <c r="Q61" s="49" t="s">
        <v>136</v>
      </c>
    </row>
    <row r="62" customFormat="false" ht="12" hidden="false" customHeight="true" outlineLevel="0" collapsed="false">
      <c r="A62" s="40" t="n">
        <f aca="false">IF(H62="",IF(C62="",A61,A61+1),A61)</f>
        <v>8</v>
      </c>
      <c r="B62" s="41" t="str">
        <f aca="false">IF(A62=A61,"",CONCATENATE("F",A62))</f>
        <v/>
      </c>
      <c r="C62" s="42"/>
      <c r="D62" s="42"/>
      <c r="E62" s="42"/>
      <c r="F62" s="42"/>
      <c r="G62" s="42"/>
      <c r="H62" s="44"/>
      <c r="I62" s="50"/>
      <c r="J62" s="44"/>
      <c r="K62" s="44"/>
      <c r="L62" s="44" t="str">
        <f aca="false">CONCATENATE(H62,M62)</f>
        <v/>
      </c>
      <c r="M62" s="45" t="str">
        <f aca="false">IF(OR(ISBLANK(J62),ISBLANK(K62)),IF(OR(H62="ALI",H62="AIE"),"L",IF(ISBLANK(H62),"","A")),IF(H62="EE",IF(K62&gt;=3,IF(J62&gt;=5,"H","A"),IF(K62&gt;=2,IF(J62&gt;=16,"H",IF(J62&lt;=4,"L","A")),IF(J62&lt;=15,"L","A"))),IF(OR(H62="SE",H62="CE"),IF(K62&gt;=4,IF(J62&gt;=6,"H","A"),IF(K62&gt;=2,IF(J62&gt;=20,"H",IF(J62&lt;=5,"L","A")),IF(J62&lt;=19,"L","A"))),IF(OR(H62="ALI",H62="AIE"),IF(K62&gt;=6,IF(J62&gt;=20,"H","A"),IF(K62&gt;=2,IF(J62&gt;=51,"H",IF(J62&lt;=19,"L","A")),IF(J62&lt;=50,"L","A")))))))</f>
        <v/>
      </c>
      <c r="N62" s="46" t="str">
        <f aca="false">IF(M62="L","Baixa",IF(M62="A","Média",IF(M62="","","Alta")))</f>
        <v/>
      </c>
      <c r="O62" s="47" t="str">
        <f aca="false">IF(ISBLANK(H62),"",IF(H62="ALI",IF(M62="L",7,IF(M62="A",10,15)),IF(H62="AIE",IF(M62="L",5,IF(M62="A",7,10)),IF(H62="SE",IF(M62="L",4,IF(M62="A",5,7)),IF(OR(H62="EE",H62="CE"),IF(M62="L",3,IF(M62="A",4,6)))))))</f>
        <v/>
      </c>
      <c r="P62" s="48" t="str">
        <f aca="false">IF(I62="I",O62*Contagem!$W$15,IF(I62="E",O62*Contagem!$W$17,IF(I62="A",O62*Contagem!$W$16,IF(I62="T",O62*Contagem!$W$18,""))))</f>
        <v/>
      </c>
      <c r="Q62" s="49"/>
    </row>
    <row r="63" customFormat="false" ht="12" hidden="false" customHeight="true" outlineLevel="0" collapsed="false">
      <c r="A63" s="40" t="n">
        <f aca="false">IF(H63="",IF(C63="",A62,A62+1),A62)</f>
        <v>9</v>
      </c>
      <c r="B63" s="41" t="str">
        <f aca="false">IF(A63=A62,"",CONCATENATE("F",A63))</f>
        <v>F9</v>
      </c>
      <c r="C63" s="42" t="s">
        <v>137</v>
      </c>
      <c r="D63" s="42"/>
      <c r="E63" s="42"/>
      <c r="F63" s="42"/>
      <c r="G63" s="42"/>
      <c r="H63" s="44"/>
      <c r="I63" s="50"/>
      <c r="J63" s="44"/>
      <c r="K63" s="44"/>
      <c r="L63" s="44" t="str">
        <f aca="false">CONCATENATE(H63,M63)</f>
        <v/>
      </c>
      <c r="M63" s="45" t="str">
        <f aca="false">IF(OR(ISBLANK(J63),ISBLANK(K63)),IF(OR(H63="ALI",H63="AIE"),"L",IF(ISBLANK(H63),"","A")),IF(H63="EE",IF(K63&gt;=3,IF(J63&gt;=5,"H","A"),IF(K63&gt;=2,IF(J63&gt;=16,"H",IF(J63&lt;=4,"L","A")),IF(J63&lt;=15,"L","A"))),IF(OR(H63="SE",H63="CE"),IF(K63&gt;=4,IF(J63&gt;=6,"H","A"),IF(K63&gt;=2,IF(J63&gt;=20,"H",IF(J63&lt;=5,"L","A")),IF(J63&lt;=19,"L","A"))),IF(OR(H63="ALI",H63="AIE"),IF(K63&gt;=6,IF(J63&gt;=20,"H","A"),IF(K63&gt;=2,IF(J63&gt;=51,"H",IF(J63&lt;=19,"L","A")),IF(J63&lt;=50,"L","A")))))))</f>
        <v/>
      </c>
      <c r="N63" s="46" t="str">
        <f aca="false">IF(M63="L","Baixa",IF(M63="A","Média",IF(M63="","","Alta")))</f>
        <v/>
      </c>
      <c r="O63" s="47" t="str">
        <f aca="false">IF(ISBLANK(H63),"",IF(H63="ALI",IF(M63="L",7,IF(M63="A",10,15)),IF(H63="AIE",IF(M63="L",5,IF(M63="A",7,10)),IF(H63="SE",IF(M63="L",4,IF(M63="A",5,7)),IF(OR(H63="EE",H63="CE"),IF(M63="L",3,IF(M63="A",4,6)))))))</f>
        <v/>
      </c>
      <c r="P63" s="48" t="str">
        <f aca="false">IF(I63="I",O63*Contagem!$W$15,IF(I63="E",O63*Contagem!$W$17,IF(I63="A",O63*Contagem!$W$16,IF(I63="T",O63*Contagem!$W$18,""))))</f>
        <v/>
      </c>
      <c r="Q63" s="49"/>
    </row>
    <row r="64" customFormat="false" ht="12" hidden="false" customHeight="true" outlineLevel="0" collapsed="false">
      <c r="A64" s="40" t="n">
        <f aca="false">IF(H64="",IF(C64="",A63,A63+1),A63)</f>
        <v>9</v>
      </c>
      <c r="B64" s="41" t="str">
        <f aca="false">IF(A64=A63,"",CONCATENATE("F",A64))</f>
        <v/>
      </c>
      <c r="C64" s="42" t="s">
        <v>138</v>
      </c>
      <c r="D64" s="42"/>
      <c r="E64" s="42"/>
      <c r="F64" s="42"/>
      <c r="G64" s="42"/>
      <c r="H64" s="44" t="s">
        <v>99</v>
      </c>
      <c r="I64" s="50" t="s">
        <v>56</v>
      </c>
      <c r="J64" s="44" t="n">
        <v>14</v>
      </c>
      <c r="K64" s="44" t="n">
        <v>4</v>
      </c>
      <c r="L64" s="44" t="str">
        <f aca="false">CONCATENATE(H64,M64)</f>
        <v>SEH</v>
      </c>
      <c r="M64" s="45" t="str">
        <f aca="false">IF(OR(ISBLANK(J64),ISBLANK(K64)),IF(OR(H64="ALI",H64="AIE"),"L",IF(ISBLANK(H64),"","A")),IF(H64="EE",IF(K64&gt;=3,IF(J64&gt;=5,"H","A"),IF(K64&gt;=2,IF(J64&gt;=16,"H",IF(J64&lt;=4,"L","A")),IF(J64&lt;=15,"L","A"))),IF(OR(H64="SE",H64="CE"),IF(K64&gt;=4,IF(J64&gt;=6,"H","A"),IF(K64&gt;=2,IF(J64&gt;=20,"H",IF(J64&lt;=5,"L","A")),IF(J64&lt;=19,"L","A"))),IF(OR(H64="ALI",H64="AIE"),IF(K64&gt;=6,IF(J64&gt;=20,"H","A"),IF(K64&gt;=2,IF(J64&gt;=51,"H",IF(J64&lt;=19,"L","A")),IF(J64&lt;=50,"L","A")))))))</f>
        <v>H</v>
      </c>
      <c r="N64" s="46" t="str">
        <f aca="false">IF(M64="L","Baixa",IF(M64="A","Média",IF(M64="","","Alta")))</f>
        <v>Alta</v>
      </c>
      <c r="O64" s="47" t="n">
        <f aca="false">IF(ISBLANK(H64),"",IF(H64="ALI",IF(M64="L",7,IF(M64="A",10,15)),IF(H64="AIE",IF(M64="L",5,IF(M64="A",7,10)),IF(H64="SE",IF(M64="L",4,IF(M64="A",5,7)),IF(OR(H64="EE",H64="CE"),IF(M64="L",3,IF(M64="A",4,6)))))))</f>
        <v>7</v>
      </c>
      <c r="P64" s="48" t="n">
        <f aca="false">IF(I64="I",O64*Contagem!$W$15,IF(I64="E",O64*Contagem!$W$17,IF(I64="A",O64*Contagem!$W$16,IF(I64="T",O64*Contagem!$W$18,""))))</f>
        <v>7</v>
      </c>
      <c r="Q64" s="49" t="s">
        <v>139</v>
      </c>
    </row>
    <row r="65" customFormat="false" ht="12" hidden="false" customHeight="true" outlineLevel="0" collapsed="false">
      <c r="A65" s="40" t="n">
        <f aca="false">IF(H65="",IF(C65="",A64,A64+1),A64)</f>
        <v>9</v>
      </c>
      <c r="B65" s="41" t="str">
        <f aca="false">IF(A65=A64,"",CONCATENATE("F",A65))</f>
        <v/>
      </c>
      <c r="C65" s="42"/>
      <c r="D65" s="42"/>
      <c r="E65" s="42"/>
      <c r="F65" s="42"/>
      <c r="G65" s="42"/>
      <c r="H65" s="44"/>
      <c r="I65" s="50"/>
      <c r="J65" s="44"/>
      <c r="K65" s="44"/>
      <c r="L65" s="44" t="str">
        <f aca="false">CONCATENATE(H65,M65)</f>
        <v/>
      </c>
      <c r="M65" s="45" t="str">
        <f aca="false">IF(OR(ISBLANK(J65),ISBLANK(K65)),IF(OR(H65="ALI",H65="AIE"),"L",IF(ISBLANK(H65),"","A")),IF(H65="EE",IF(K65&gt;=3,IF(J65&gt;=5,"H","A"),IF(K65&gt;=2,IF(J65&gt;=16,"H",IF(J65&lt;=4,"L","A")),IF(J65&lt;=15,"L","A"))),IF(OR(H65="SE",H65="CE"),IF(K65&gt;=4,IF(J65&gt;=6,"H","A"),IF(K65&gt;=2,IF(J65&gt;=20,"H",IF(J65&lt;=5,"L","A")),IF(J65&lt;=19,"L","A"))),IF(OR(H65="ALI",H65="AIE"),IF(K65&gt;=6,IF(J65&gt;=20,"H","A"),IF(K65&gt;=2,IF(J65&gt;=51,"H",IF(J65&lt;=19,"L","A")),IF(J65&lt;=50,"L","A")))))))</f>
        <v/>
      </c>
      <c r="N65" s="46" t="str">
        <f aca="false">IF(M65="L","Baixa",IF(M65="A","Média",IF(M65="","","Alta")))</f>
        <v/>
      </c>
      <c r="O65" s="47" t="str">
        <f aca="false">IF(ISBLANK(H65),"",IF(H65="ALI",IF(M65="L",7,IF(M65="A",10,15)),IF(H65="AIE",IF(M65="L",5,IF(M65="A",7,10)),IF(H65="SE",IF(M65="L",4,IF(M65="A",5,7)),IF(OR(H65="EE",H65="CE"),IF(M65="L",3,IF(M65="A",4,6)))))))</f>
        <v/>
      </c>
      <c r="P65" s="48" t="str">
        <f aca="false">IF(I65="I",O65*Contagem!$W$15,IF(I65="E",O65*Contagem!$W$17,IF(I65="A",O65*Contagem!$W$16,IF(I65="T",O65*Contagem!$W$18,""))))</f>
        <v/>
      </c>
      <c r="Q65" s="49"/>
    </row>
    <row r="66" customFormat="false" ht="12" hidden="false" customHeight="true" outlineLevel="0" collapsed="false">
      <c r="A66" s="40" t="n">
        <f aca="false">IF(H66="",IF(C66="",A65,A65+1),A65)</f>
        <v>10</v>
      </c>
      <c r="B66" s="41" t="str">
        <f aca="false">IF(A66=A65,"",CONCATENATE("F",A66))</f>
        <v>F10</v>
      </c>
      <c r="C66" s="42" t="s">
        <v>140</v>
      </c>
      <c r="D66" s="42"/>
      <c r="E66" s="42"/>
      <c r="F66" s="42"/>
      <c r="G66" s="42"/>
      <c r="H66" s="44"/>
      <c r="I66" s="50"/>
      <c r="J66" s="44"/>
      <c r="K66" s="44"/>
      <c r="L66" s="44" t="str">
        <f aca="false">CONCATENATE(H66,M66)</f>
        <v/>
      </c>
      <c r="M66" s="45" t="str">
        <f aca="false">IF(OR(ISBLANK(J66),ISBLANK(K66)),IF(OR(H66="ALI",H66="AIE"),"L",IF(ISBLANK(H66),"","A")),IF(H66="EE",IF(K66&gt;=3,IF(J66&gt;=5,"H","A"),IF(K66&gt;=2,IF(J66&gt;=16,"H",IF(J66&lt;=4,"L","A")),IF(J66&lt;=15,"L","A"))),IF(OR(H66="SE",H66="CE"),IF(K66&gt;=4,IF(J66&gt;=6,"H","A"),IF(K66&gt;=2,IF(J66&gt;=20,"H",IF(J66&lt;=5,"L","A")),IF(J66&lt;=19,"L","A"))),IF(OR(H66="ALI",H66="AIE"),IF(K66&gt;=6,IF(J66&gt;=20,"H","A"),IF(K66&gt;=2,IF(J66&gt;=51,"H",IF(J66&lt;=19,"L","A")),IF(J66&lt;=50,"L","A")))))))</f>
        <v/>
      </c>
      <c r="N66" s="46" t="str">
        <f aca="false">IF(M66="L","Baixa",IF(M66="A","Média",IF(M66="","","Alta")))</f>
        <v/>
      </c>
      <c r="O66" s="47" t="str">
        <f aca="false">IF(ISBLANK(H66),"",IF(H66="ALI",IF(M66="L",7,IF(M66="A",10,15)),IF(H66="AIE",IF(M66="L",5,IF(M66="A",7,10)),IF(H66="SE",IF(M66="L",4,IF(M66="A",5,7)),IF(OR(H66="EE",H66="CE"),IF(M66="L",3,IF(M66="A",4,6)))))))</f>
        <v/>
      </c>
      <c r="P66" s="48" t="str">
        <f aca="false">IF(I66="I",O66*Contagem!$W$15,IF(I66="E",O66*Contagem!$W$17,IF(I66="A",O66*Contagem!$W$16,IF(I66="T",O66*Contagem!$W$18,""))))</f>
        <v/>
      </c>
      <c r="Q66" s="49"/>
    </row>
    <row r="67" customFormat="false" ht="12" hidden="false" customHeight="true" outlineLevel="0" collapsed="false">
      <c r="A67" s="40" t="n">
        <f aca="false">IF(H67="",IF(C67="",A66,A66+1),A66)</f>
        <v>10</v>
      </c>
      <c r="B67" s="41" t="str">
        <f aca="false">IF(A67=A66,"",CONCATENATE("F",A67))</f>
        <v/>
      </c>
      <c r="C67" s="42" t="s">
        <v>141</v>
      </c>
      <c r="D67" s="42"/>
      <c r="E67" s="42"/>
      <c r="F67" s="42"/>
      <c r="G67" s="42"/>
      <c r="H67" s="44" t="s">
        <v>55</v>
      </c>
      <c r="I67" s="50" t="s">
        <v>56</v>
      </c>
      <c r="J67" s="44" t="n">
        <v>14</v>
      </c>
      <c r="K67" s="44" t="n">
        <v>1</v>
      </c>
      <c r="L67" s="44" t="str">
        <f aca="false">CONCATENATE(H67,M67)</f>
        <v>ALIL</v>
      </c>
      <c r="M67" s="45" t="str">
        <f aca="false">IF(OR(ISBLANK(J67),ISBLANK(K67)),IF(OR(H67="ALI",H67="AIE"),"L",IF(ISBLANK(H67),"","A")),IF(H67="EE",IF(K67&gt;=3,IF(J67&gt;=5,"H","A"),IF(K67&gt;=2,IF(J67&gt;=16,"H",IF(J67&lt;=4,"L","A")),IF(J67&lt;=15,"L","A"))),IF(OR(H67="SE",H67="CE"),IF(K67&gt;=4,IF(J67&gt;=6,"H","A"),IF(K67&gt;=2,IF(J67&gt;=20,"H",IF(J67&lt;=5,"L","A")),IF(J67&lt;=19,"L","A"))),IF(OR(H67="ALI",H67="AIE"),IF(K67&gt;=6,IF(J67&gt;=20,"H","A"),IF(K67&gt;=2,IF(J67&gt;=51,"H",IF(J67&lt;=19,"L","A")),IF(J67&lt;=50,"L","A")))))))</f>
        <v>L</v>
      </c>
      <c r="N67" s="46" t="str">
        <f aca="false">IF(M67="L","Baixa",IF(M67="A","Média",IF(M67="","","Alta")))</f>
        <v>Baixa</v>
      </c>
      <c r="O67" s="47" t="n">
        <f aca="false">IF(ISBLANK(H67),"",IF(H67="ALI",IF(M67="L",7,IF(M67="A",10,15)),IF(H67="AIE",IF(M67="L",5,IF(M67="A",7,10)),IF(H67="SE",IF(M67="L",4,IF(M67="A",5,7)),IF(OR(H67="EE",H67="CE"),IF(M67="L",3,IF(M67="A",4,6)))))))</f>
        <v>7</v>
      </c>
      <c r="P67" s="48" t="n">
        <f aca="false">IF(I67="I",O67*Contagem!$W$15,IF(I67="E",O67*Contagem!$W$17,IF(I67="A",O67*Contagem!$W$16,IF(I67="T",O67*Contagem!$W$18,""))))</f>
        <v>7</v>
      </c>
      <c r="Q67" s="49" t="s">
        <v>142</v>
      </c>
    </row>
    <row r="68" customFormat="false" ht="12" hidden="false" customHeight="true" outlineLevel="0" collapsed="false">
      <c r="A68" s="40" t="n">
        <f aca="false">IF(H68="",IF(C68="",A67,A67+1),A67)</f>
        <v>10</v>
      </c>
      <c r="B68" s="41" t="str">
        <f aca="false">IF(A68=A67,"",CONCATENATE("F",A68))</f>
        <v/>
      </c>
      <c r="C68" s="42" t="s">
        <v>143</v>
      </c>
      <c r="D68" s="42"/>
      <c r="E68" s="42"/>
      <c r="F68" s="42"/>
      <c r="G68" s="42"/>
      <c r="H68" s="44" t="s">
        <v>99</v>
      </c>
      <c r="I68" s="50" t="s">
        <v>56</v>
      </c>
      <c r="J68" s="44" t="n">
        <v>16</v>
      </c>
      <c r="K68" s="44" t="n">
        <v>3</v>
      </c>
      <c r="L68" s="44" t="str">
        <f aca="false">CONCATENATE(H68,M68)</f>
        <v>SEA</v>
      </c>
      <c r="M68" s="45" t="str">
        <f aca="false">IF(OR(ISBLANK(J68),ISBLANK(K68)),IF(OR(H68="ALI",H68="AIE"),"L",IF(ISBLANK(H68),"","A")),IF(H68="EE",IF(K68&gt;=3,IF(J68&gt;=5,"H","A"),IF(K68&gt;=2,IF(J68&gt;=16,"H",IF(J68&lt;=4,"L","A")),IF(J68&lt;=15,"L","A"))),IF(OR(H68="SE",H68="CE"),IF(K68&gt;=4,IF(J68&gt;=6,"H","A"),IF(K68&gt;=2,IF(J68&gt;=20,"H",IF(J68&lt;=5,"L","A")),IF(J68&lt;=19,"L","A"))),IF(OR(H68="ALI",H68="AIE"),IF(K68&gt;=6,IF(J68&gt;=20,"H","A"),IF(K68&gt;=2,IF(J68&gt;=51,"H",IF(J68&lt;=19,"L","A")),IF(J68&lt;=50,"L","A")))))))</f>
        <v>A</v>
      </c>
      <c r="N68" s="46" t="str">
        <f aca="false">IF(M68="L","Baixa",IF(M68="A","Média",IF(M68="","","Alta")))</f>
        <v>Média</v>
      </c>
      <c r="O68" s="47" t="n">
        <f aca="false">IF(ISBLANK(H68),"",IF(H68="ALI",IF(M68="L",7,IF(M68="A",10,15)),IF(H68="AIE",IF(M68="L",5,IF(M68="A",7,10)),IF(H68="SE",IF(M68="L",4,IF(M68="A",5,7)),IF(OR(H68="EE",H68="CE"),IF(M68="L",3,IF(M68="A",4,6)))))))</f>
        <v>5</v>
      </c>
      <c r="P68" s="48" t="n">
        <f aca="false">IF(I68="I",O68*Contagem!$W$15,IF(I68="E",O68*Contagem!$W$17,IF(I68="A",O68*Contagem!$W$16,IF(I68="T",O68*Contagem!$W$18,""))))</f>
        <v>5</v>
      </c>
      <c r="Q68" s="49" t="s">
        <v>144</v>
      </c>
    </row>
    <row r="69" customFormat="false" ht="12" hidden="false" customHeight="true" outlineLevel="0" collapsed="false">
      <c r="A69" s="40" t="n">
        <f aca="false">IF(H69="",IF(C69="",A68,A68+1),A68)</f>
        <v>10</v>
      </c>
      <c r="B69" s="41" t="str">
        <f aca="false">IF(A69=A68,"",CONCATENATE("F",A69))</f>
        <v/>
      </c>
      <c r="C69" s="42" t="s">
        <v>145</v>
      </c>
      <c r="D69" s="42"/>
      <c r="E69" s="42"/>
      <c r="F69" s="42"/>
      <c r="G69" s="42"/>
      <c r="H69" s="44" t="s">
        <v>62</v>
      </c>
      <c r="I69" s="50" t="s">
        <v>56</v>
      </c>
      <c r="J69" s="44" t="n">
        <v>6</v>
      </c>
      <c r="K69" s="44" t="n">
        <v>1</v>
      </c>
      <c r="L69" s="44" t="str">
        <f aca="false">CONCATENATE(H69,M69)</f>
        <v>EEL</v>
      </c>
      <c r="M69" s="45" t="str">
        <f aca="false">IF(OR(ISBLANK(J69),ISBLANK(K69)),IF(OR(H69="ALI",H69="AIE"),"L",IF(ISBLANK(H69),"","A")),IF(H69="EE",IF(K69&gt;=3,IF(J69&gt;=5,"H","A"),IF(K69&gt;=2,IF(J69&gt;=16,"H",IF(J69&lt;=4,"L","A")),IF(J69&lt;=15,"L","A"))),IF(OR(H69="SE",H69="CE"),IF(K69&gt;=4,IF(J69&gt;=6,"H","A"),IF(K69&gt;=2,IF(J69&gt;=20,"H",IF(J69&lt;=5,"L","A")),IF(J69&lt;=19,"L","A"))),IF(OR(H69="ALI",H69="AIE"),IF(K69&gt;=6,IF(J69&gt;=20,"H","A"),IF(K69&gt;=2,IF(J69&gt;=51,"H",IF(J69&lt;=19,"L","A")),IF(J69&lt;=50,"L","A")))))))</f>
        <v>L</v>
      </c>
      <c r="N69" s="46" t="str">
        <f aca="false">IF(M69="L","Baixa",IF(M69="A","Média",IF(M69="","","Alta")))</f>
        <v>Baixa</v>
      </c>
      <c r="O69" s="47" t="n">
        <f aca="false">IF(ISBLANK(H69),"",IF(H69="ALI",IF(M69="L",7,IF(M69="A",10,15)),IF(H69="AIE",IF(M69="L",5,IF(M69="A",7,10)),IF(H69="SE",IF(M69="L",4,IF(M69="A",5,7)),IF(OR(H69="EE",H69="CE"),IF(M69="L",3,IF(M69="A",4,6)))))))</f>
        <v>3</v>
      </c>
      <c r="P69" s="48" t="n">
        <f aca="false">IF(I69="I",O69*Contagem!$W$15,IF(I69="E",O69*Contagem!$W$17,IF(I69="A",O69*Contagem!$W$16,IF(I69="T",O69*Contagem!$W$18,""))))</f>
        <v>3</v>
      </c>
      <c r="Q69" s="49" t="s">
        <v>146</v>
      </c>
    </row>
    <row r="70" customFormat="false" ht="12" hidden="false" customHeight="true" outlineLevel="0" collapsed="false">
      <c r="A70" s="40" t="n">
        <f aca="false">IF(H70="",IF(C70="",A69,A69+1),A69)</f>
        <v>10</v>
      </c>
      <c r="B70" s="41" t="str">
        <f aca="false">IF(A70=A69,"",CONCATENATE("F",A70))</f>
        <v/>
      </c>
      <c r="C70" s="42" t="s">
        <v>147</v>
      </c>
      <c r="D70" s="42"/>
      <c r="E70" s="42"/>
      <c r="F70" s="42"/>
      <c r="G70" s="42"/>
      <c r="H70" s="44" t="s">
        <v>62</v>
      </c>
      <c r="I70" s="50" t="s">
        <v>56</v>
      </c>
      <c r="J70" s="44" t="n">
        <v>6</v>
      </c>
      <c r="K70" s="44" t="n">
        <v>1</v>
      </c>
      <c r="L70" s="44" t="str">
        <f aca="false">CONCATENATE(H70,M70)</f>
        <v>EEL</v>
      </c>
      <c r="M70" s="45" t="str">
        <f aca="false">IF(OR(ISBLANK(J70),ISBLANK(K70)),IF(OR(H70="ALI",H70="AIE"),"L",IF(ISBLANK(H70),"","A")),IF(H70="EE",IF(K70&gt;=3,IF(J70&gt;=5,"H","A"),IF(K70&gt;=2,IF(J70&gt;=16,"H",IF(J70&lt;=4,"L","A")),IF(J70&lt;=15,"L","A"))),IF(OR(H70="SE",H70="CE"),IF(K70&gt;=4,IF(J70&gt;=6,"H","A"),IF(K70&gt;=2,IF(J70&gt;=20,"H",IF(J70&lt;=5,"L","A")),IF(J70&lt;=19,"L","A"))),IF(OR(H70="ALI",H70="AIE"),IF(K70&gt;=6,IF(J70&gt;=20,"H","A"),IF(K70&gt;=2,IF(J70&gt;=51,"H",IF(J70&lt;=19,"L","A")),IF(J70&lt;=50,"L","A")))))))</f>
        <v>L</v>
      </c>
      <c r="N70" s="46" t="str">
        <f aca="false">IF(M70="L","Baixa",IF(M70="A","Média",IF(M70="","","Alta")))</f>
        <v>Baixa</v>
      </c>
      <c r="O70" s="47" t="n">
        <f aca="false">IF(ISBLANK(H70),"",IF(H70="ALI",IF(M70="L",7,IF(M70="A",10,15)),IF(H70="AIE",IF(M70="L",5,IF(M70="A",7,10)),IF(H70="SE",IF(M70="L",4,IF(M70="A",5,7)),IF(OR(H70="EE",H70="CE"),IF(M70="L",3,IF(M70="A",4,6)))))))</f>
        <v>3</v>
      </c>
      <c r="P70" s="48" t="n">
        <f aca="false">IF(I70="I",O70*Contagem!$W$15,IF(I70="E",O70*Contagem!$W$17,IF(I70="A",O70*Contagem!$W$16,IF(I70="T",O70*Contagem!$W$18,""))))</f>
        <v>3</v>
      </c>
      <c r="Q70" s="49" t="s">
        <v>148</v>
      </c>
    </row>
    <row r="71" customFormat="false" ht="12" hidden="false" customHeight="true" outlineLevel="0" collapsed="false">
      <c r="A71" s="40" t="n">
        <f aca="false">IF(H71="",IF(C71="",A70,A70+1),A70)</f>
        <v>10</v>
      </c>
      <c r="B71" s="41" t="str">
        <f aca="false">IF(A71=A70,"",CONCATENATE("F",A71))</f>
        <v/>
      </c>
      <c r="C71" s="42" t="s">
        <v>149</v>
      </c>
      <c r="D71" s="42"/>
      <c r="E71" s="42"/>
      <c r="F71" s="42"/>
      <c r="G71" s="42"/>
      <c r="H71" s="44" t="s">
        <v>99</v>
      </c>
      <c r="I71" s="50" t="s">
        <v>56</v>
      </c>
      <c r="J71" s="44" t="n">
        <v>12</v>
      </c>
      <c r="K71" s="44" t="n">
        <v>4</v>
      </c>
      <c r="L71" s="44" t="str">
        <f aca="false">CONCATENATE(H71,M71)</f>
        <v>SEH</v>
      </c>
      <c r="M71" s="45" t="str">
        <f aca="false">IF(OR(ISBLANK(J71),ISBLANK(K71)),IF(OR(H71="ALI",H71="AIE"),"L",IF(ISBLANK(H71),"","A")),IF(H71="EE",IF(K71&gt;=3,IF(J71&gt;=5,"H","A"),IF(K71&gt;=2,IF(J71&gt;=16,"H",IF(J71&lt;=4,"L","A")),IF(J71&lt;=15,"L","A"))),IF(OR(H71="SE",H71="CE"),IF(K71&gt;=4,IF(J71&gt;=6,"H","A"),IF(K71&gt;=2,IF(J71&gt;=20,"H",IF(J71&lt;=5,"L","A")),IF(J71&lt;=19,"L","A"))),IF(OR(H71="ALI",H71="AIE"),IF(K71&gt;=6,IF(J71&gt;=20,"H","A"),IF(K71&gt;=2,IF(J71&gt;=51,"H",IF(J71&lt;=19,"L","A")),IF(J71&lt;=50,"L","A")))))))</f>
        <v>H</v>
      </c>
      <c r="N71" s="46" t="str">
        <f aca="false">IF(M71="L","Baixa",IF(M71="A","Média",IF(M71="","","Alta")))</f>
        <v>Alta</v>
      </c>
      <c r="O71" s="47" t="n">
        <f aca="false">IF(ISBLANK(H71),"",IF(H71="ALI",IF(M71="L",7,IF(M71="A",10,15)),IF(H71="AIE",IF(M71="L",5,IF(M71="A",7,10)),IF(H71="SE",IF(M71="L",4,IF(M71="A",5,7)),IF(OR(H71="EE",H71="CE"),IF(M71="L",3,IF(M71="A",4,6)))))))</f>
        <v>7</v>
      </c>
      <c r="P71" s="48" t="n">
        <f aca="false">IF(I71="I",O71*Contagem!$W$15,IF(I71="E",O71*Contagem!$W$17,IF(I71="A",O71*Contagem!$W$16,IF(I71="T",O71*Contagem!$W$18,""))))</f>
        <v>7</v>
      </c>
      <c r="Q71" s="49" t="s">
        <v>150</v>
      </c>
    </row>
    <row r="72" customFormat="false" ht="12" hidden="false" customHeight="true" outlineLevel="0" collapsed="false">
      <c r="A72" s="40" t="n">
        <f aca="false">IF(H72="",IF(C72="",A71,A71+1),A71)</f>
        <v>10</v>
      </c>
      <c r="B72" s="41" t="str">
        <f aca="false">IF(A72=A71,"",CONCATENATE("F",A72))</f>
        <v/>
      </c>
      <c r="C72" s="42"/>
      <c r="D72" s="42"/>
      <c r="E72" s="42"/>
      <c r="F72" s="42"/>
      <c r="G72" s="42"/>
      <c r="H72" s="44"/>
      <c r="I72" s="50"/>
      <c r="J72" s="44"/>
      <c r="K72" s="44"/>
      <c r="L72" s="44" t="str">
        <f aca="false">CONCATENATE(H72,M72)</f>
        <v/>
      </c>
      <c r="M72" s="45" t="str">
        <f aca="false">IF(OR(ISBLANK(J72),ISBLANK(K72)),IF(OR(H72="ALI",H72="AIE"),"L",IF(ISBLANK(H72),"","A")),IF(H72="EE",IF(K72&gt;=3,IF(J72&gt;=5,"H","A"),IF(K72&gt;=2,IF(J72&gt;=16,"H",IF(J72&lt;=4,"L","A")),IF(J72&lt;=15,"L","A"))),IF(OR(H72="SE",H72="CE"),IF(K72&gt;=4,IF(J72&gt;=6,"H","A"),IF(K72&gt;=2,IF(J72&gt;=20,"H",IF(J72&lt;=5,"L","A")),IF(J72&lt;=19,"L","A"))),IF(OR(H72="ALI",H72="AIE"),IF(K72&gt;=6,IF(J72&gt;=20,"H","A"),IF(K72&gt;=2,IF(J72&gt;=51,"H",IF(J72&lt;=19,"L","A")),IF(J72&lt;=50,"L","A")))))))</f>
        <v/>
      </c>
      <c r="N72" s="46" t="str">
        <f aca="false">IF(M72="L","Baixa",IF(M72="A","Média",IF(M72="","","Alta")))</f>
        <v/>
      </c>
      <c r="O72" s="47" t="str">
        <f aca="false">IF(ISBLANK(H72),"",IF(H72="ALI",IF(M72="L",7,IF(M72="A",10,15)),IF(H72="AIE",IF(M72="L",5,IF(M72="A",7,10)),IF(H72="SE",IF(M72="L",4,IF(M72="A",5,7)),IF(OR(H72="EE",H72="CE"),IF(M72="L",3,IF(M72="A",4,6)))))))</f>
        <v/>
      </c>
      <c r="P72" s="48" t="str">
        <f aca="false">IF(I72="I",O72*Contagem!$W$15,IF(I72="E",O72*Contagem!$W$17,IF(I72="A",O72*Contagem!$W$16,IF(I72="T",O72*Contagem!$W$18,""))))</f>
        <v/>
      </c>
      <c r="Q72" s="49"/>
    </row>
    <row r="73" customFormat="false" ht="12" hidden="false" customHeight="true" outlineLevel="0" collapsed="false">
      <c r="A73" s="40" t="n">
        <f aca="false">IF(H73="",IF(C73="",A72,A72+1),A72)</f>
        <v>11</v>
      </c>
      <c r="B73" s="41" t="str">
        <f aca="false">IF(A73=A72,"",CONCATENATE("F",A73))</f>
        <v>F11</v>
      </c>
      <c r="C73" s="42" t="s">
        <v>151</v>
      </c>
      <c r="D73" s="42"/>
      <c r="E73" s="42"/>
      <c r="F73" s="42"/>
      <c r="G73" s="42"/>
      <c r="H73" s="44"/>
      <c r="I73" s="50"/>
      <c r="J73" s="44"/>
      <c r="K73" s="44"/>
      <c r="L73" s="44" t="str">
        <f aca="false">CONCATENATE(H73,M73)</f>
        <v/>
      </c>
      <c r="M73" s="45" t="str">
        <f aca="false">IF(OR(ISBLANK(J73),ISBLANK(K73)),IF(OR(H73="ALI",H73="AIE"),"L",IF(ISBLANK(H73),"","A")),IF(H73="EE",IF(K73&gt;=3,IF(J73&gt;=5,"H","A"),IF(K73&gt;=2,IF(J73&gt;=16,"H",IF(J73&lt;=4,"L","A")),IF(J73&lt;=15,"L","A"))),IF(OR(H73="SE",H73="CE"),IF(K73&gt;=4,IF(J73&gt;=6,"H","A"),IF(K73&gt;=2,IF(J73&gt;=20,"H",IF(J73&lt;=5,"L","A")),IF(J73&lt;=19,"L","A"))),IF(OR(H73="ALI",H73="AIE"),IF(K73&gt;=6,IF(J73&gt;=20,"H","A"),IF(K73&gt;=2,IF(J73&gt;=51,"H",IF(J73&lt;=19,"L","A")),IF(J73&lt;=50,"L","A")))))))</f>
        <v/>
      </c>
      <c r="N73" s="46" t="str">
        <f aca="false">IF(M73="L","Baixa",IF(M73="A","Média",IF(M73="","","Alta")))</f>
        <v/>
      </c>
      <c r="O73" s="47" t="str">
        <f aca="false">IF(ISBLANK(H73),"",IF(H73="ALI",IF(M73="L",7,IF(M73="A",10,15)),IF(H73="AIE",IF(M73="L",5,IF(M73="A",7,10)),IF(H73="SE",IF(M73="L",4,IF(M73="A",5,7)),IF(OR(H73="EE",H73="CE"),IF(M73="L",3,IF(M73="A",4,6)))))))</f>
        <v/>
      </c>
      <c r="P73" s="48" t="str">
        <f aca="false">IF(I73="I",O73*Contagem!$W$15,IF(I73="E",O73*Contagem!$W$17,IF(I73="A",O73*Contagem!$W$16,IF(I73="T",O73*Contagem!$W$18,""))))</f>
        <v/>
      </c>
      <c r="Q73" s="49"/>
    </row>
    <row r="74" customFormat="false" ht="12" hidden="false" customHeight="true" outlineLevel="0" collapsed="false">
      <c r="A74" s="40" t="n">
        <f aca="false">IF(H74="",IF(C74="",A73,A73+1),A73)</f>
        <v>11</v>
      </c>
      <c r="B74" s="41" t="str">
        <f aca="false">IF(A74=A73,"",CONCATENATE("F",A74))</f>
        <v/>
      </c>
      <c r="C74" s="42" t="s">
        <v>152</v>
      </c>
      <c r="D74" s="42"/>
      <c r="E74" s="42"/>
      <c r="F74" s="42"/>
      <c r="G74" s="42"/>
      <c r="H74" s="44" t="s">
        <v>55</v>
      </c>
      <c r="I74" s="50" t="s">
        <v>56</v>
      </c>
      <c r="J74" s="44" t="n">
        <v>13</v>
      </c>
      <c r="K74" s="44" t="n">
        <v>1</v>
      </c>
      <c r="L74" s="44" t="str">
        <f aca="false">CONCATENATE(H74,M74)</f>
        <v>ALIL</v>
      </c>
      <c r="M74" s="45" t="str">
        <f aca="false">IF(OR(ISBLANK(J74),ISBLANK(K74)),IF(OR(H74="ALI",H74="AIE"),"L",IF(ISBLANK(H74),"","A")),IF(H74="EE",IF(K74&gt;=3,IF(J74&gt;=5,"H","A"),IF(K74&gt;=2,IF(J74&gt;=16,"H",IF(J74&lt;=4,"L","A")),IF(J74&lt;=15,"L","A"))),IF(OR(H74="SE",H74="CE"),IF(K74&gt;=4,IF(J74&gt;=6,"H","A"),IF(K74&gt;=2,IF(J74&gt;=20,"H",IF(J74&lt;=5,"L","A")),IF(J74&lt;=19,"L","A"))),IF(OR(H74="ALI",H74="AIE"),IF(K74&gt;=6,IF(J74&gt;=20,"H","A"),IF(K74&gt;=2,IF(J74&gt;=51,"H",IF(J74&lt;=19,"L","A")),IF(J74&lt;=50,"L","A")))))))</f>
        <v>L</v>
      </c>
      <c r="N74" s="46" t="str">
        <f aca="false">IF(M74="L","Baixa",IF(M74="A","Média",IF(M74="","","Alta")))</f>
        <v>Baixa</v>
      </c>
      <c r="O74" s="47" t="n">
        <f aca="false">IF(ISBLANK(H74),"",IF(H74="ALI",IF(M74="L",7,IF(M74="A",10,15)),IF(H74="AIE",IF(M74="L",5,IF(M74="A",7,10)),IF(H74="SE",IF(M74="L",4,IF(M74="A",5,7)),IF(OR(H74="EE",H74="CE"),IF(M74="L",3,IF(M74="A",4,6)))))))</f>
        <v>7</v>
      </c>
      <c r="P74" s="48" t="n">
        <f aca="false">IF(I74="I",O74*Contagem!$W$15,IF(I74="E",O74*Contagem!$W$17,IF(I74="A",O74*Contagem!$W$16,IF(I74="T",O74*Contagem!$W$18,""))))</f>
        <v>7</v>
      </c>
      <c r="Q74" s="49" t="s">
        <v>153</v>
      </c>
    </row>
    <row r="75" customFormat="false" ht="12" hidden="false" customHeight="true" outlineLevel="0" collapsed="false">
      <c r="A75" s="40" t="n">
        <f aca="false">IF(H75="",IF(C75="",A74,A74+1),A74)</f>
        <v>11</v>
      </c>
      <c r="B75" s="41" t="str">
        <f aca="false">IF(A75=A74,"",CONCATENATE("F",A75))</f>
        <v/>
      </c>
      <c r="C75" s="42" t="s">
        <v>154</v>
      </c>
      <c r="D75" s="42"/>
      <c r="E75" s="42"/>
      <c r="F75" s="42"/>
      <c r="G75" s="42"/>
      <c r="H75" s="44" t="s">
        <v>99</v>
      </c>
      <c r="I75" s="50" t="s">
        <v>56</v>
      </c>
      <c r="J75" s="44" t="n">
        <v>11</v>
      </c>
      <c r="K75" s="44" t="n">
        <v>3</v>
      </c>
      <c r="L75" s="44" t="str">
        <f aca="false">CONCATENATE(H75,M75)</f>
        <v>SEA</v>
      </c>
      <c r="M75" s="45" t="str">
        <f aca="false">IF(OR(ISBLANK(J75),ISBLANK(K75)),IF(OR(H75="ALI",H75="AIE"),"L",IF(ISBLANK(H75),"","A")),IF(H75="EE",IF(K75&gt;=3,IF(J75&gt;=5,"H","A"),IF(K75&gt;=2,IF(J75&gt;=16,"H",IF(J75&lt;=4,"L","A")),IF(J75&lt;=15,"L","A"))),IF(OR(H75="SE",H75="CE"),IF(K75&gt;=4,IF(J75&gt;=6,"H","A"),IF(K75&gt;=2,IF(J75&gt;=20,"H",IF(J75&lt;=5,"L","A")),IF(J75&lt;=19,"L","A"))),IF(OR(H75="ALI",H75="AIE"),IF(K75&gt;=6,IF(J75&gt;=20,"H","A"),IF(K75&gt;=2,IF(J75&gt;=51,"H",IF(J75&lt;=19,"L","A")),IF(J75&lt;=50,"L","A")))))))</f>
        <v>A</v>
      </c>
      <c r="N75" s="46" t="str">
        <f aca="false">IF(M75="L","Baixa",IF(M75="A","Média",IF(M75="","","Alta")))</f>
        <v>Média</v>
      </c>
      <c r="O75" s="47" t="n">
        <f aca="false">IF(ISBLANK(H75),"",IF(H75="ALI",IF(M75="L",7,IF(M75="A",10,15)),IF(H75="AIE",IF(M75="L",5,IF(M75="A",7,10)),IF(H75="SE",IF(M75="L",4,IF(M75="A",5,7)),IF(OR(H75="EE",H75="CE"),IF(M75="L",3,IF(M75="A",4,6)))))))</f>
        <v>5</v>
      </c>
      <c r="P75" s="48" t="n">
        <f aca="false">IF(I75="I",O75*Contagem!$W$15,IF(I75="E",O75*Contagem!$W$17,IF(I75="A",O75*Contagem!$W$16,IF(I75="T",O75*Contagem!$W$18,""))))</f>
        <v>5</v>
      </c>
      <c r="Q75" s="49" t="s">
        <v>155</v>
      </c>
    </row>
    <row r="76" customFormat="false" ht="12" hidden="false" customHeight="true" outlineLevel="0" collapsed="false">
      <c r="A76" s="40" t="n">
        <f aca="false">IF(H76="",IF(C76="",A75,A75+1),A75)</f>
        <v>11</v>
      </c>
      <c r="B76" s="41" t="str">
        <f aca="false">IF(A76=A75,"",CONCATENATE("F",A76))</f>
        <v/>
      </c>
      <c r="C76" s="42" t="s">
        <v>156</v>
      </c>
      <c r="D76" s="42"/>
      <c r="E76" s="42"/>
      <c r="F76" s="42"/>
      <c r="G76" s="42"/>
      <c r="H76" s="44" t="s">
        <v>62</v>
      </c>
      <c r="I76" s="50" t="s">
        <v>56</v>
      </c>
      <c r="J76" s="44" t="n">
        <v>6</v>
      </c>
      <c r="K76" s="44" t="n">
        <v>1</v>
      </c>
      <c r="L76" s="44" t="str">
        <f aca="false">CONCATENATE(H76,M76)</f>
        <v>EEL</v>
      </c>
      <c r="M76" s="45" t="str">
        <f aca="false">IF(OR(ISBLANK(J76),ISBLANK(K76)),IF(OR(H76="ALI",H76="AIE"),"L",IF(ISBLANK(H76),"","A")),IF(H76="EE",IF(K76&gt;=3,IF(J76&gt;=5,"H","A"),IF(K76&gt;=2,IF(J76&gt;=16,"H",IF(J76&lt;=4,"L","A")),IF(J76&lt;=15,"L","A"))),IF(OR(H76="SE",H76="CE"),IF(K76&gt;=4,IF(J76&gt;=6,"H","A"),IF(K76&gt;=2,IF(J76&gt;=20,"H",IF(J76&lt;=5,"L","A")),IF(J76&lt;=19,"L","A"))),IF(OR(H76="ALI",H76="AIE"),IF(K76&gt;=6,IF(J76&gt;=20,"H","A"),IF(K76&gt;=2,IF(J76&gt;=51,"H",IF(J76&lt;=19,"L","A")),IF(J76&lt;=50,"L","A")))))))</f>
        <v>L</v>
      </c>
      <c r="N76" s="46" t="str">
        <f aca="false">IF(M76="L","Baixa",IF(M76="A","Média",IF(M76="","","Alta")))</f>
        <v>Baixa</v>
      </c>
      <c r="O76" s="47" t="n">
        <f aca="false">IF(ISBLANK(H76),"",IF(H76="ALI",IF(M76="L",7,IF(M76="A",10,15)),IF(H76="AIE",IF(M76="L",5,IF(M76="A",7,10)),IF(H76="SE",IF(M76="L",4,IF(M76="A",5,7)),IF(OR(H76="EE",H76="CE"),IF(M76="L",3,IF(M76="A",4,6)))))))</f>
        <v>3</v>
      </c>
      <c r="P76" s="48" t="n">
        <f aca="false">IF(I76="I",O76*Contagem!$W$15,IF(I76="E",O76*Contagem!$W$17,IF(I76="A",O76*Contagem!$W$16,IF(I76="T",O76*Contagem!$W$18,""))))</f>
        <v>3</v>
      </c>
      <c r="Q76" s="49" t="s">
        <v>157</v>
      </c>
    </row>
    <row r="77" customFormat="false" ht="12" hidden="false" customHeight="true" outlineLevel="0" collapsed="false">
      <c r="A77" s="40" t="n">
        <f aca="false">IF(H77="",IF(C77="",A76,A76+1),A76)</f>
        <v>11</v>
      </c>
      <c r="B77" s="41" t="str">
        <f aca="false">IF(A77=A76,"",CONCATENATE("F",A77))</f>
        <v/>
      </c>
      <c r="C77" s="42" t="s">
        <v>158</v>
      </c>
      <c r="D77" s="42"/>
      <c r="E77" s="42"/>
      <c r="F77" s="42"/>
      <c r="G77" s="42"/>
      <c r="H77" s="44" t="s">
        <v>62</v>
      </c>
      <c r="I77" s="50" t="s">
        <v>56</v>
      </c>
      <c r="J77" s="44" t="n">
        <v>6</v>
      </c>
      <c r="K77" s="44" t="n">
        <v>1</v>
      </c>
      <c r="L77" s="44" t="str">
        <f aca="false">CONCATENATE(H77,M77)</f>
        <v>EEL</v>
      </c>
      <c r="M77" s="45" t="str">
        <f aca="false">IF(OR(ISBLANK(J77),ISBLANK(K77)),IF(OR(H77="ALI",H77="AIE"),"L",IF(ISBLANK(H77),"","A")),IF(H77="EE",IF(K77&gt;=3,IF(J77&gt;=5,"H","A"),IF(K77&gt;=2,IF(J77&gt;=16,"H",IF(J77&lt;=4,"L","A")),IF(J77&lt;=15,"L","A"))),IF(OR(H77="SE",H77="CE"),IF(K77&gt;=4,IF(J77&gt;=6,"H","A"),IF(K77&gt;=2,IF(J77&gt;=20,"H",IF(J77&lt;=5,"L","A")),IF(J77&lt;=19,"L","A"))),IF(OR(H77="ALI",H77="AIE"),IF(K77&gt;=6,IF(J77&gt;=20,"H","A"),IF(K77&gt;=2,IF(J77&gt;=51,"H",IF(J77&lt;=19,"L","A")),IF(J77&lt;=50,"L","A")))))))</f>
        <v>L</v>
      </c>
      <c r="N77" s="46" t="str">
        <f aca="false">IF(M77="L","Baixa",IF(M77="A","Média",IF(M77="","","Alta")))</f>
        <v>Baixa</v>
      </c>
      <c r="O77" s="47" t="n">
        <f aca="false">IF(ISBLANK(H77),"",IF(H77="ALI",IF(M77="L",7,IF(M77="A",10,15)),IF(H77="AIE",IF(M77="L",5,IF(M77="A",7,10)),IF(H77="SE",IF(M77="L",4,IF(M77="A",5,7)),IF(OR(H77="EE",H77="CE"),IF(M77="L",3,IF(M77="A",4,6)))))))</f>
        <v>3</v>
      </c>
      <c r="P77" s="48" t="n">
        <f aca="false">IF(I77="I",O77*Contagem!$W$15,IF(I77="E",O77*Contagem!$W$17,IF(I77="A",O77*Contagem!$W$16,IF(I77="T",O77*Contagem!$W$18,""))))</f>
        <v>3</v>
      </c>
      <c r="Q77" s="49" t="s">
        <v>159</v>
      </c>
    </row>
    <row r="78" customFormat="false" ht="12" hidden="false" customHeight="true" outlineLevel="0" collapsed="false">
      <c r="A78" s="40" t="n">
        <f aca="false">IF(H78="",IF(C78="",A77,A77+1),A77)</f>
        <v>11</v>
      </c>
      <c r="B78" s="41" t="str">
        <f aca="false">IF(A78=A77,"",CONCATENATE("F",A78))</f>
        <v/>
      </c>
      <c r="C78" s="42" t="s">
        <v>160</v>
      </c>
      <c r="D78" s="42"/>
      <c r="E78" s="42"/>
      <c r="F78" s="42"/>
      <c r="G78" s="42"/>
      <c r="H78" s="44" t="s">
        <v>99</v>
      </c>
      <c r="I78" s="50" t="s">
        <v>56</v>
      </c>
      <c r="J78" s="44" t="n">
        <v>15</v>
      </c>
      <c r="K78" s="44" t="n">
        <v>5</v>
      </c>
      <c r="L78" s="44" t="str">
        <f aca="false">CONCATENATE(H78,M78)</f>
        <v>SEH</v>
      </c>
      <c r="M78" s="45" t="str">
        <f aca="false">IF(OR(ISBLANK(J78),ISBLANK(K78)),IF(OR(H78="ALI",H78="AIE"),"L",IF(ISBLANK(H78),"","A")),IF(H78="EE",IF(K78&gt;=3,IF(J78&gt;=5,"H","A"),IF(K78&gt;=2,IF(J78&gt;=16,"H",IF(J78&lt;=4,"L","A")),IF(J78&lt;=15,"L","A"))),IF(OR(H78="SE",H78="CE"),IF(K78&gt;=4,IF(J78&gt;=6,"H","A"),IF(K78&gt;=2,IF(J78&gt;=20,"H",IF(J78&lt;=5,"L","A")),IF(J78&lt;=19,"L","A"))),IF(OR(H78="ALI",H78="AIE"),IF(K78&gt;=6,IF(J78&gt;=20,"H","A"),IF(K78&gt;=2,IF(J78&gt;=51,"H",IF(J78&lt;=19,"L","A")),IF(J78&lt;=50,"L","A")))))))</f>
        <v>H</v>
      </c>
      <c r="N78" s="46" t="str">
        <f aca="false">IF(M78="L","Baixa",IF(M78="A","Média",IF(M78="","","Alta")))</f>
        <v>Alta</v>
      </c>
      <c r="O78" s="47" t="n">
        <f aca="false">IF(ISBLANK(H78),"",IF(H78="ALI",IF(M78="L",7,IF(M78="A",10,15)),IF(H78="AIE",IF(M78="L",5,IF(M78="A",7,10)),IF(H78="SE",IF(M78="L",4,IF(M78="A",5,7)),IF(OR(H78="EE",H78="CE"),IF(M78="L",3,IF(M78="A",4,6)))))))</f>
        <v>7</v>
      </c>
      <c r="P78" s="48" t="n">
        <f aca="false">IF(I78="I",O78*Contagem!$W$15,IF(I78="E",O78*Contagem!$W$17,IF(I78="A",O78*Contagem!$W$16,IF(I78="T",O78*Contagem!$W$18,""))))</f>
        <v>7</v>
      </c>
      <c r="Q78" s="49" t="s">
        <v>161</v>
      </c>
    </row>
    <row r="79" customFormat="false" ht="12" hidden="false" customHeight="true" outlineLevel="0" collapsed="false">
      <c r="A79" s="40" t="n">
        <f aca="false">IF(H79="",IF(C79="",A78,A78+1),A78)</f>
        <v>11</v>
      </c>
      <c r="B79" s="41" t="str">
        <f aca="false">IF(A79=A78,"",CONCATENATE("F",A79))</f>
        <v/>
      </c>
      <c r="C79" s="42"/>
      <c r="D79" s="42"/>
      <c r="E79" s="42"/>
      <c r="F79" s="42"/>
      <c r="G79" s="42"/>
      <c r="H79" s="44"/>
      <c r="I79" s="50"/>
      <c r="J79" s="44"/>
      <c r="K79" s="44"/>
      <c r="L79" s="44" t="str">
        <f aca="false">CONCATENATE(H79,M79)</f>
        <v/>
      </c>
      <c r="M79" s="45" t="str">
        <f aca="false">IF(OR(ISBLANK(J79),ISBLANK(K79)),IF(OR(H79="ALI",H79="AIE"),"L",IF(ISBLANK(H79),"","A")),IF(H79="EE",IF(K79&gt;=3,IF(J79&gt;=5,"H","A"),IF(K79&gt;=2,IF(J79&gt;=16,"H",IF(J79&lt;=4,"L","A")),IF(J79&lt;=15,"L","A"))),IF(OR(H79="SE",H79="CE"),IF(K79&gt;=4,IF(J79&gt;=6,"H","A"),IF(K79&gt;=2,IF(J79&gt;=20,"H",IF(J79&lt;=5,"L","A")),IF(J79&lt;=19,"L","A"))),IF(OR(H79="ALI",H79="AIE"),IF(K79&gt;=6,IF(J79&gt;=20,"H","A"),IF(K79&gt;=2,IF(J79&gt;=51,"H",IF(J79&lt;=19,"L","A")),IF(J79&lt;=50,"L","A")))))))</f>
        <v/>
      </c>
      <c r="N79" s="46" t="str">
        <f aca="false">IF(M79="L","Baixa",IF(M79="A","Média",IF(M79="","","Alta")))</f>
        <v/>
      </c>
      <c r="O79" s="47" t="str">
        <f aca="false">IF(ISBLANK(H79),"",IF(H79="ALI",IF(M79="L",7,IF(M79="A",10,15)),IF(H79="AIE",IF(M79="L",5,IF(M79="A",7,10)),IF(H79="SE",IF(M79="L",4,IF(M79="A",5,7)),IF(OR(H79="EE",H79="CE"),IF(M79="L",3,IF(M79="A",4,6)))))))</f>
        <v/>
      </c>
      <c r="P79" s="48" t="str">
        <f aca="false">IF(I79="I",O79*Contagem!$W$15,IF(I79="E",O79*Contagem!$W$17,IF(I79="A",O79*Contagem!$W$16,IF(I79="T",O79*Contagem!$W$18,""))))</f>
        <v/>
      </c>
      <c r="Q79" s="49"/>
    </row>
    <row r="80" customFormat="false" ht="12" hidden="false" customHeight="true" outlineLevel="0" collapsed="false">
      <c r="A80" s="40" t="n">
        <f aca="false">IF(H80="",IF(C80="",A79,A79+1),A79)</f>
        <v>12</v>
      </c>
      <c r="B80" s="41" t="str">
        <f aca="false">IF(A80=A79,"",CONCATENATE("F",A80))</f>
        <v>F12</v>
      </c>
      <c r="C80" s="42" t="s">
        <v>162</v>
      </c>
      <c r="D80" s="42"/>
      <c r="E80" s="42"/>
      <c r="F80" s="42"/>
      <c r="G80" s="42"/>
      <c r="H80" s="44"/>
      <c r="I80" s="50"/>
      <c r="J80" s="44"/>
      <c r="K80" s="44"/>
      <c r="L80" s="44" t="str">
        <f aca="false">CONCATENATE(H80,M80)</f>
        <v/>
      </c>
      <c r="M80" s="45" t="str">
        <f aca="false">IF(OR(ISBLANK(J80),ISBLANK(K80)),IF(OR(H80="ALI",H80="AIE"),"L",IF(ISBLANK(H80),"","A")),IF(H80="EE",IF(K80&gt;=3,IF(J80&gt;=5,"H","A"),IF(K80&gt;=2,IF(J80&gt;=16,"H",IF(J80&lt;=4,"L","A")),IF(J80&lt;=15,"L","A"))),IF(OR(H80="SE",H80="CE"),IF(K80&gt;=4,IF(J80&gt;=6,"H","A"),IF(K80&gt;=2,IF(J80&gt;=20,"H",IF(J80&lt;=5,"L","A")),IF(J80&lt;=19,"L","A"))),IF(OR(H80="ALI",H80="AIE"),IF(K80&gt;=6,IF(J80&gt;=20,"H","A"),IF(K80&gt;=2,IF(J80&gt;=51,"H",IF(J80&lt;=19,"L","A")),IF(J80&lt;=50,"L","A")))))))</f>
        <v/>
      </c>
      <c r="N80" s="46" t="str">
        <f aca="false">IF(M80="L","Baixa",IF(M80="A","Média",IF(M80="","","Alta")))</f>
        <v/>
      </c>
      <c r="O80" s="47" t="str">
        <f aca="false">IF(ISBLANK(H80),"",IF(H80="ALI",IF(M80="L",7,IF(M80="A",10,15)),IF(H80="AIE",IF(M80="L",5,IF(M80="A",7,10)),IF(H80="SE",IF(M80="L",4,IF(M80="A",5,7)),IF(OR(H80="EE",H80="CE"),IF(M80="L",3,IF(M80="A",4,6)))))))</f>
        <v/>
      </c>
      <c r="P80" s="48" t="str">
        <f aca="false">IF(I80="I",O80*Contagem!$W$15,IF(I80="E",O80*Contagem!$W$17,IF(I80="A",O80*Contagem!$W$16,IF(I80="T",O80*Contagem!$W$18,""))))</f>
        <v/>
      </c>
      <c r="Q80" s="49"/>
    </row>
    <row r="81" customFormat="false" ht="12" hidden="false" customHeight="true" outlineLevel="0" collapsed="false">
      <c r="A81" s="40" t="n">
        <f aca="false">IF(H81="",IF(C81="",A80,A80+1),A80)</f>
        <v>12</v>
      </c>
      <c r="B81" s="41" t="str">
        <f aca="false">IF(A81=A80,"",CONCATENATE("F",A81))</f>
        <v/>
      </c>
      <c r="C81" s="42" t="s">
        <v>163</v>
      </c>
      <c r="D81" s="42"/>
      <c r="E81" s="42"/>
      <c r="F81" s="42"/>
      <c r="G81" s="42"/>
      <c r="H81" s="44" t="s">
        <v>80</v>
      </c>
      <c r="I81" s="50" t="s">
        <v>56</v>
      </c>
      <c r="J81" s="44" t="n">
        <v>6</v>
      </c>
      <c r="K81" s="44" t="n">
        <v>2</v>
      </c>
      <c r="L81" s="44" t="str">
        <f aca="false">CONCATENATE(H81,M81)</f>
        <v>CEA</v>
      </c>
      <c r="M81" s="45" t="str">
        <f aca="false">IF(OR(ISBLANK(J81),ISBLANK(K81)),IF(OR(H81="ALI",H81="AIE"),"L",IF(ISBLANK(H81),"","A")),IF(H81="EE",IF(K81&gt;=3,IF(J81&gt;=5,"H","A"),IF(K81&gt;=2,IF(J81&gt;=16,"H",IF(J81&lt;=4,"L","A")),IF(J81&lt;=15,"L","A"))),IF(OR(H81="SE",H81="CE"),IF(K81&gt;=4,IF(J81&gt;=6,"H","A"),IF(K81&gt;=2,IF(J81&gt;=20,"H",IF(J81&lt;=5,"L","A")),IF(J81&lt;=19,"L","A"))),IF(OR(H81="ALI",H81="AIE"),IF(K81&gt;=6,IF(J81&gt;=20,"H","A"),IF(K81&gt;=2,IF(J81&gt;=51,"H",IF(J81&lt;=19,"L","A")),IF(J81&lt;=50,"L","A")))))))</f>
        <v>A</v>
      </c>
      <c r="N81" s="46" t="str">
        <f aca="false">IF(M81="L","Baixa",IF(M81="A","Média",IF(M81="","","Alta")))</f>
        <v>Média</v>
      </c>
      <c r="O81" s="47" t="n">
        <f aca="false">IF(ISBLANK(H81),"",IF(H81="ALI",IF(M81="L",7,IF(M81="A",10,15)),IF(H81="AIE",IF(M81="L",5,IF(M81="A",7,10)),IF(H81="SE",IF(M81="L",4,IF(M81="A",5,7)),IF(OR(H81="EE",H81="CE"),IF(M81="L",3,IF(M81="A",4,6)))))))</f>
        <v>4</v>
      </c>
      <c r="P81" s="48" t="n">
        <f aca="false">IF(I81="I",O81*Contagem!$W$15,IF(I81="E",O81*Contagem!$W$17,IF(I81="A",O81*Contagem!$W$16,IF(I81="T",O81*Contagem!$W$18,""))))</f>
        <v>4</v>
      </c>
      <c r="Q81" s="49" t="s">
        <v>164</v>
      </c>
    </row>
    <row r="82" customFormat="false" ht="12" hidden="false" customHeight="true" outlineLevel="0" collapsed="false">
      <c r="A82" s="40" t="n">
        <f aca="false">IF(H82="",IF(C82="",A81,A81+1),A81)</f>
        <v>12</v>
      </c>
      <c r="B82" s="41" t="str">
        <f aca="false">IF(A82=A81,"",CONCATENATE("F",A82))</f>
        <v/>
      </c>
      <c r="C82" s="42"/>
      <c r="D82" s="42"/>
      <c r="E82" s="42"/>
      <c r="F82" s="42"/>
      <c r="G82" s="42"/>
      <c r="H82" s="44"/>
      <c r="I82" s="50"/>
      <c r="J82" s="44"/>
      <c r="K82" s="44"/>
      <c r="L82" s="44" t="str">
        <f aca="false">CONCATENATE(H82,M82)</f>
        <v/>
      </c>
      <c r="M82" s="45" t="str">
        <f aca="false">IF(OR(ISBLANK(J82),ISBLANK(K82)),IF(OR(H82="ALI",H82="AIE"),"L",IF(ISBLANK(H82),"","A")),IF(H82="EE",IF(K82&gt;=3,IF(J82&gt;=5,"H","A"),IF(K82&gt;=2,IF(J82&gt;=16,"H",IF(J82&lt;=4,"L","A")),IF(J82&lt;=15,"L","A"))),IF(OR(H82="SE",H82="CE"),IF(K82&gt;=4,IF(J82&gt;=6,"H","A"),IF(K82&gt;=2,IF(J82&gt;=20,"H",IF(J82&lt;=5,"L","A")),IF(J82&lt;=19,"L","A"))),IF(OR(H82="ALI",H82="AIE"),IF(K82&gt;=6,IF(J82&gt;=20,"H","A"),IF(K82&gt;=2,IF(J82&gt;=51,"H",IF(J82&lt;=19,"L","A")),IF(J82&lt;=50,"L","A")))))))</f>
        <v/>
      </c>
      <c r="N82" s="46" t="str">
        <f aca="false">IF(M82="L","Baixa",IF(M82="A","Média",IF(M82="","","Alta")))</f>
        <v/>
      </c>
      <c r="O82" s="47" t="str">
        <f aca="false">IF(ISBLANK(H82),"",IF(H82="ALI",IF(M82="L",7,IF(M82="A",10,15)),IF(H82="AIE",IF(M82="L",5,IF(M82="A",7,10)),IF(H82="SE",IF(M82="L",4,IF(M82="A",5,7)),IF(OR(H82="EE",H82="CE"),IF(M82="L",3,IF(M82="A",4,6)))))))</f>
        <v/>
      </c>
      <c r="P82" s="48" t="str">
        <f aca="false">IF(I82="I",O82*Contagem!$W$15,IF(I82="E",O82*Contagem!$W$17,IF(I82="A",O82*Contagem!$W$16,IF(I82="T",O82*Contagem!$W$18,""))))</f>
        <v/>
      </c>
      <c r="Q82" s="49"/>
    </row>
    <row r="83" customFormat="false" ht="12" hidden="false" customHeight="true" outlineLevel="0" collapsed="false">
      <c r="A83" s="40" t="n">
        <f aca="false">IF(H83="",IF(C83="",A82,A82+1),A82)</f>
        <v>13</v>
      </c>
      <c r="B83" s="41" t="str">
        <f aca="false">IF(A83=A82,"",CONCATENATE("F",A83))</f>
        <v>F13</v>
      </c>
      <c r="C83" s="42" t="s">
        <v>165</v>
      </c>
      <c r="D83" s="42"/>
      <c r="E83" s="42"/>
      <c r="F83" s="42"/>
      <c r="G83" s="42"/>
      <c r="H83" s="44"/>
      <c r="I83" s="50"/>
      <c r="J83" s="44"/>
      <c r="K83" s="44"/>
      <c r="L83" s="44" t="str">
        <f aca="false">CONCATENATE(H83,M83)</f>
        <v/>
      </c>
      <c r="M83" s="45" t="str">
        <f aca="false">IF(OR(ISBLANK(J83),ISBLANK(K83)),IF(OR(H83="ALI",H83="AIE"),"L",IF(ISBLANK(H83),"","A")),IF(H83="EE",IF(K83&gt;=3,IF(J83&gt;=5,"H","A"),IF(K83&gt;=2,IF(J83&gt;=16,"H",IF(J83&lt;=4,"L","A")),IF(J83&lt;=15,"L","A"))),IF(OR(H83="SE",H83="CE"),IF(K83&gt;=4,IF(J83&gt;=6,"H","A"),IF(K83&gt;=2,IF(J83&gt;=20,"H",IF(J83&lt;=5,"L","A")),IF(J83&lt;=19,"L","A"))),IF(OR(H83="ALI",H83="AIE"),IF(K83&gt;=6,IF(J83&gt;=20,"H","A"),IF(K83&gt;=2,IF(J83&gt;=51,"H",IF(J83&lt;=19,"L","A")),IF(J83&lt;=50,"L","A")))))))</f>
        <v/>
      </c>
      <c r="N83" s="46" t="str">
        <f aca="false">IF(M83="L","Baixa",IF(M83="A","Média",IF(M83="","","Alta")))</f>
        <v/>
      </c>
      <c r="O83" s="47" t="str">
        <f aca="false">IF(ISBLANK(H83),"",IF(H83="ALI",IF(M83="L",7,IF(M83="A",10,15)),IF(H83="AIE",IF(M83="L",5,IF(M83="A",7,10)),IF(H83="SE",IF(M83="L",4,IF(M83="A",5,7)),IF(OR(H83="EE",H83="CE"),IF(M83="L",3,IF(M83="A",4,6)))))))</f>
        <v/>
      </c>
      <c r="P83" s="48" t="str">
        <f aca="false">IF(I83="I",O83*Contagem!$W$15,IF(I83="E",O83*Contagem!$W$17,IF(I83="A",O83*Contagem!$W$16,IF(I83="T",O83*Contagem!$W$18,""))))</f>
        <v/>
      </c>
      <c r="Q83" s="49"/>
    </row>
    <row r="84" customFormat="false" ht="12" hidden="false" customHeight="true" outlineLevel="0" collapsed="false">
      <c r="A84" s="40" t="n">
        <f aca="false">IF(H84="",IF(C84="",A83,A83+1),A83)</f>
        <v>13</v>
      </c>
      <c r="B84" s="41" t="str">
        <f aca="false">IF(A84=A83,"",CONCATENATE("F",A84))</f>
        <v/>
      </c>
      <c r="C84" s="42" t="s">
        <v>166</v>
      </c>
      <c r="D84" s="42"/>
      <c r="E84" s="42"/>
      <c r="F84" s="42"/>
      <c r="G84" s="42"/>
      <c r="H84" s="44" t="s">
        <v>55</v>
      </c>
      <c r="I84" s="50" t="s">
        <v>56</v>
      </c>
      <c r="J84" s="44" t="n">
        <v>15</v>
      </c>
      <c r="K84" s="44" t="n">
        <v>1</v>
      </c>
      <c r="L84" s="44" t="str">
        <f aca="false">CONCATENATE(H84,M84)</f>
        <v>ALIL</v>
      </c>
      <c r="M84" s="45" t="str">
        <f aca="false">IF(OR(ISBLANK(J84),ISBLANK(K84)),IF(OR(H84="ALI",H84="AIE"),"L",IF(ISBLANK(H84),"","A")),IF(H84="EE",IF(K84&gt;=3,IF(J84&gt;=5,"H","A"),IF(K84&gt;=2,IF(J84&gt;=16,"H",IF(J84&lt;=4,"L","A")),IF(J84&lt;=15,"L","A"))),IF(OR(H84="SE",H84="CE"),IF(K84&gt;=4,IF(J84&gt;=6,"H","A"),IF(K84&gt;=2,IF(J84&gt;=20,"H",IF(J84&lt;=5,"L","A")),IF(J84&lt;=19,"L","A"))),IF(OR(H84="ALI",H84="AIE"),IF(K84&gt;=6,IF(J84&gt;=20,"H","A"),IF(K84&gt;=2,IF(J84&gt;=51,"H",IF(J84&lt;=19,"L","A")),IF(J84&lt;=50,"L","A")))))))</f>
        <v>L</v>
      </c>
      <c r="N84" s="46" t="str">
        <f aca="false">IF(M84="L","Baixa",IF(M84="A","Média",IF(M84="","","Alta")))</f>
        <v>Baixa</v>
      </c>
      <c r="O84" s="47" t="n">
        <f aca="false">IF(ISBLANK(H84),"",IF(H84="ALI",IF(M84="L",7,IF(M84="A",10,15)),IF(H84="AIE",IF(M84="L",5,IF(M84="A",7,10)),IF(H84="SE",IF(M84="L",4,IF(M84="A",5,7)),IF(OR(H84="EE",H84="CE"),IF(M84="L",3,IF(M84="A",4,6)))))))</f>
        <v>7</v>
      </c>
      <c r="P84" s="48" t="n">
        <f aca="false">IF(I84="I",O84*Contagem!$W$15,IF(I84="E",O84*Contagem!$W$17,IF(I84="A",O84*Contagem!$W$16,IF(I84="T",O84*Contagem!$W$18,""))))</f>
        <v>7</v>
      </c>
      <c r="Q84" s="49" t="s">
        <v>167</v>
      </c>
    </row>
    <row r="85" customFormat="false" ht="12" hidden="false" customHeight="true" outlineLevel="0" collapsed="false">
      <c r="A85" s="40" t="n">
        <f aca="false">IF(H85="",IF(C85="",A84,A84+1),A84)</f>
        <v>13</v>
      </c>
      <c r="B85" s="41" t="str">
        <f aca="false">IF(A85=A84,"",CONCATENATE("F",A85))</f>
        <v/>
      </c>
      <c r="C85" s="42" t="s">
        <v>168</v>
      </c>
      <c r="D85" s="42"/>
      <c r="E85" s="42"/>
      <c r="F85" s="42"/>
      <c r="G85" s="42"/>
      <c r="H85" s="44" t="s">
        <v>80</v>
      </c>
      <c r="I85" s="50" t="s">
        <v>56</v>
      </c>
      <c r="J85" s="44" t="n">
        <v>7</v>
      </c>
      <c r="K85" s="44" t="n">
        <v>1</v>
      </c>
      <c r="L85" s="44" t="str">
        <f aca="false">CONCATENATE(H85,M85)</f>
        <v>CEL</v>
      </c>
      <c r="M85" s="45" t="str">
        <f aca="false">IF(OR(ISBLANK(J85),ISBLANK(K85)),IF(OR(H85="ALI",H85="AIE"),"L",IF(ISBLANK(H85),"","A")),IF(H85="EE",IF(K85&gt;=3,IF(J85&gt;=5,"H","A"),IF(K85&gt;=2,IF(J85&gt;=16,"H",IF(J85&lt;=4,"L","A")),IF(J85&lt;=15,"L","A"))),IF(OR(H85="SE",H85="CE"),IF(K85&gt;=4,IF(J85&gt;=6,"H","A"),IF(K85&gt;=2,IF(J85&gt;=20,"H",IF(J85&lt;=5,"L","A")),IF(J85&lt;=19,"L","A"))),IF(OR(H85="ALI",H85="AIE"),IF(K85&gt;=6,IF(J85&gt;=20,"H","A"),IF(K85&gt;=2,IF(J85&gt;=51,"H",IF(J85&lt;=19,"L","A")),IF(J85&lt;=50,"L","A")))))))</f>
        <v>L</v>
      </c>
      <c r="N85" s="46" t="str">
        <f aca="false">IF(M85="L","Baixa",IF(M85="A","Média",IF(M85="","","Alta")))</f>
        <v>Baixa</v>
      </c>
      <c r="O85" s="47" t="n">
        <f aca="false">IF(ISBLANK(H85),"",IF(H85="ALI",IF(M85="L",7,IF(M85="A",10,15)),IF(H85="AIE",IF(M85="L",5,IF(M85="A",7,10)),IF(H85="SE",IF(M85="L",4,IF(M85="A",5,7)),IF(OR(H85="EE",H85="CE"),IF(M85="L",3,IF(M85="A",4,6)))))))</f>
        <v>3</v>
      </c>
      <c r="P85" s="48" t="n">
        <f aca="false">IF(I85="I",O85*Contagem!$W$15,IF(I85="E",O85*Contagem!$W$17,IF(I85="A",O85*Contagem!$W$16,IF(I85="T",O85*Contagem!$W$18,""))))</f>
        <v>3</v>
      </c>
      <c r="Q85" s="49" t="s">
        <v>169</v>
      </c>
    </row>
    <row r="86" customFormat="false" ht="12" hidden="false" customHeight="true" outlineLevel="0" collapsed="false">
      <c r="A86" s="40" t="n">
        <f aca="false">IF(H86="",IF(C86="",A85,A85+1),A85)</f>
        <v>13</v>
      </c>
      <c r="B86" s="41" t="str">
        <f aca="false">IF(A86=A85,"",CONCATENATE("F",A86))</f>
        <v/>
      </c>
      <c r="C86" s="42" t="s">
        <v>170</v>
      </c>
      <c r="D86" s="42"/>
      <c r="E86" s="42"/>
      <c r="F86" s="42"/>
      <c r="G86" s="42"/>
      <c r="H86" s="44" t="s">
        <v>62</v>
      </c>
      <c r="I86" s="50" t="s">
        <v>56</v>
      </c>
      <c r="J86" s="44" t="n">
        <v>16</v>
      </c>
      <c r="K86" s="44" t="n">
        <v>3</v>
      </c>
      <c r="L86" s="44" t="str">
        <f aca="false">CONCATENATE(H86,M86)</f>
        <v>EEH</v>
      </c>
      <c r="M86" s="45" t="str">
        <f aca="false">IF(OR(ISBLANK(J86),ISBLANK(K86)),IF(OR(H86="ALI",H86="AIE"),"L",IF(ISBLANK(H86),"","A")),IF(H86="EE",IF(K86&gt;=3,IF(J86&gt;=5,"H","A"),IF(K86&gt;=2,IF(J86&gt;=16,"H",IF(J86&lt;=4,"L","A")),IF(J86&lt;=15,"L","A"))),IF(OR(H86="SE",H86="CE"),IF(K86&gt;=4,IF(J86&gt;=6,"H","A"),IF(K86&gt;=2,IF(J86&gt;=20,"H",IF(J86&lt;=5,"L","A")),IF(J86&lt;=19,"L","A"))),IF(OR(H86="ALI",H86="AIE"),IF(K86&gt;=6,IF(J86&gt;=20,"H","A"),IF(K86&gt;=2,IF(J86&gt;=51,"H",IF(J86&lt;=19,"L","A")),IF(J86&lt;=50,"L","A")))))))</f>
        <v>H</v>
      </c>
      <c r="N86" s="46" t="str">
        <f aca="false">IF(M86="L","Baixa",IF(M86="A","Média",IF(M86="","","Alta")))</f>
        <v>Alta</v>
      </c>
      <c r="O86" s="47" t="n">
        <f aca="false">IF(ISBLANK(H86),"",IF(H86="ALI",IF(M86="L",7,IF(M86="A",10,15)),IF(H86="AIE",IF(M86="L",5,IF(M86="A",7,10)),IF(H86="SE",IF(M86="L",4,IF(M86="A",5,7)),IF(OR(H86="EE",H86="CE"),IF(M86="L",3,IF(M86="A",4,6)))))))</f>
        <v>6</v>
      </c>
      <c r="P86" s="48" t="n">
        <f aca="false">IF(I86="I",O86*Contagem!$W$15,IF(I86="E",O86*Contagem!$W$17,IF(I86="A",O86*Contagem!$W$16,IF(I86="T",O86*Contagem!$W$18,""))))</f>
        <v>6</v>
      </c>
      <c r="Q86" s="49" t="s">
        <v>171</v>
      </c>
    </row>
    <row r="87" customFormat="false" ht="12" hidden="false" customHeight="true" outlineLevel="0" collapsed="false">
      <c r="A87" s="40" t="n">
        <f aca="false">IF(H87="",IF(C87="",A86,A86+1),A86)</f>
        <v>13</v>
      </c>
      <c r="B87" s="41" t="str">
        <f aca="false">IF(A87=A86,"",CONCATENATE("F",A87))</f>
        <v/>
      </c>
      <c r="C87" s="42" t="s">
        <v>172</v>
      </c>
      <c r="D87" s="42"/>
      <c r="E87" s="42"/>
      <c r="F87" s="42"/>
      <c r="G87" s="42"/>
      <c r="H87" s="44" t="s">
        <v>62</v>
      </c>
      <c r="I87" s="50" t="s">
        <v>56</v>
      </c>
      <c r="J87" s="44" t="n">
        <v>17</v>
      </c>
      <c r="K87" s="44" t="n">
        <v>4</v>
      </c>
      <c r="L87" s="44" t="str">
        <f aca="false">CONCATENATE(H87,M87)</f>
        <v>EEH</v>
      </c>
      <c r="M87" s="45" t="str">
        <f aca="false">IF(OR(ISBLANK(J87),ISBLANK(K87)),IF(OR(H87="ALI",H87="AIE"),"L",IF(ISBLANK(H87),"","A")),IF(H87="EE",IF(K87&gt;=3,IF(J87&gt;=5,"H","A"),IF(K87&gt;=2,IF(J87&gt;=16,"H",IF(J87&lt;=4,"L","A")),IF(J87&lt;=15,"L","A"))),IF(OR(H87="SE",H87="CE"),IF(K87&gt;=4,IF(J87&gt;=6,"H","A"),IF(K87&gt;=2,IF(J87&gt;=20,"H",IF(J87&lt;=5,"L","A")),IF(J87&lt;=19,"L","A"))),IF(OR(H87="ALI",H87="AIE"),IF(K87&gt;=6,IF(J87&gt;=20,"H","A"),IF(K87&gt;=2,IF(J87&gt;=51,"H",IF(J87&lt;=19,"L","A")),IF(J87&lt;=50,"L","A")))))))</f>
        <v>H</v>
      </c>
      <c r="N87" s="46" t="str">
        <f aca="false">IF(M87="L","Baixa",IF(M87="A","Média",IF(M87="","","Alta")))</f>
        <v>Alta</v>
      </c>
      <c r="O87" s="47" t="n">
        <f aca="false">IF(ISBLANK(H87),"",IF(H87="ALI",IF(M87="L",7,IF(M87="A",10,15)),IF(H87="AIE",IF(M87="L",5,IF(M87="A",7,10)),IF(H87="SE",IF(M87="L",4,IF(M87="A",5,7)),IF(OR(H87="EE",H87="CE"),IF(M87="L",3,IF(M87="A",4,6)))))))</f>
        <v>6</v>
      </c>
      <c r="P87" s="48" t="n">
        <f aca="false">IF(I87="I",O87*Contagem!$W$15,IF(I87="E",O87*Contagem!$W$17,IF(I87="A",O87*Contagem!$W$16,IF(I87="T",O87*Contagem!$W$18,""))))</f>
        <v>6</v>
      </c>
      <c r="Q87" s="49" t="s">
        <v>173</v>
      </c>
    </row>
    <row r="88" customFormat="false" ht="12" hidden="false" customHeight="true" outlineLevel="0" collapsed="false">
      <c r="A88" s="40" t="n">
        <f aca="false">IF(H88="",IF(C88="",A87,A87+1),A87)</f>
        <v>13</v>
      </c>
      <c r="B88" s="41" t="str">
        <f aca="false">IF(A88=A87,"",CONCATENATE("F",A88))</f>
        <v/>
      </c>
      <c r="C88" s="42" t="s">
        <v>174</v>
      </c>
      <c r="D88" s="42"/>
      <c r="E88" s="42"/>
      <c r="F88" s="42"/>
      <c r="G88" s="42"/>
      <c r="H88" s="44" t="s">
        <v>62</v>
      </c>
      <c r="I88" s="50" t="s">
        <v>56</v>
      </c>
      <c r="J88" s="44" t="n">
        <v>3</v>
      </c>
      <c r="K88" s="44" t="n">
        <v>1</v>
      </c>
      <c r="L88" s="44" t="str">
        <f aca="false">CONCATENATE(H88,M88)</f>
        <v>EEL</v>
      </c>
      <c r="M88" s="45" t="str">
        <f aca="false">IF(OR(ISBLANK(J88),ISBLANK(K88)),IF(OR(H88="ALI",H88="AIE"),"L",IF(ISBLANK(H88),"","A")),IF(H88="EE",IF(K88&gt;=3,IF(J88&gt;=5,"H","A"),IF(K88&gt;=2,IF(J88&gt;=16,"H",IF(J88&lt;=4,"L","A")),IF(J88&lt;=15,"L","A"))),IF(OR(H88="SE",H88="CE"),IF(K88&gt;=4,IF(J88&gt;=6,"H","A"),IF(K88&gt;=2,IF(J88&gt;=20,"H",IF(J88&lt;=5,"L","A")),IF(J88&lt;=19,"L","A"))),IF(OR(H88="ALI",H88="AIE"),IF(K88&gt;=6,IF(J88&gt;=20,"H","A"),IF(K88&gt;=2,IF(J88&gt;=51,"H",IF(J88&lt;=19,"L","A")),IF(J88&lt;=50,"L","A")))))))</f>
        <v>L</v>
      </c>
      <c r="N88" s="46" t="str">
        <f aca="false">IF(M88="L","Baixa",IF(M88="A","Média",IF(M88="","","Alta")))</f>
        <v>Baixa</v>
      </c>
      <c r="O88" s="47" t="n">
        <f aca="false">IF(ISBLANK(H88),"",IF(H88="ALI",IF(M88="L",7,IF(M88="A",10,15)),IF(H88="AIE",IF(M88="L",5,IF(M88="A",7,10)),IF(H88="SE",IF(M88="L",4,IF(M88="A",5,7)),IF(OR(H88="EE",H88="CE"),IF(M88="L",3,IF(M88="A",4,6)))))))</f>
        <v>3</v>
      </c>
      <c r="P88" s="48" t="n">
        <f aca="false">IF(I88="I",O88*Contagem!$W$15,IF(I88="E",O88*Contagem!$W$17,IF(I88="A",O88*Contagem!$W$16,IF(I88="T",O88*Contagem!$W$18,""))))</f>
        <v>3</v>
      </c>
      <c r="Q88" s="49" t="s">
        <v>175</v>
      </c>
    </row>
    <row r="89" customFormat="false" ht="12" hidden="false" customHeight="true" outlineLevel="0" collapsed="false">
      <c r="A89" s="40" t="n">
        <f aca="false">IF(H89="",IF(C89="",A88,A88+1),A88)</f>
        <v>13</v>
      </c>
      <c r="B89" s="41" t="str">
        <f aca="false">IF(A89=A88,"",CONCATENATE("F",A89))</f>
        <v/>
      </c>
      <c r="C89" s="42" t="s">
        <v>176</v>
      </c>
      <c r="D89" s="42"/>
      <c r="E89" s="42"/>
      <c r="F89" s="42"/>
      <c r="G89" s="42"/>
      <c r="H89" s="44" t="s">
        <v>62</v>
      </c>
      <c r="I89" s="50" t="s">
        <v>56</v>
      </c>
      <c r="J89" s="44" t="n">
        <v>2</v>
      </c>
      <c r="K89" s="44" t="n">
        <v>2</v>
      </c>
      <c r="L89" s="44" t="str">
        <f aca="false">CONCATENATE(H89,M89)</f>
        <v>EEL</v>
      </c>
      <c r="M89" s="45" t="str">
        <f aca="false">IF(OR(ISBLANK(J89),ISBLANK(K89)),IF(OR(H89="ALI",H89="AIE"),"L",IF(ISBLANK(H89),"","A")),IF(H89="EE",IF(K89&gt;=3,IF(J89&gt;=5,"H","A"),IF(K89&gt;=2,IF(J89&gt;=16,"H",IF(J89&lt;=4,"L","A")),IF(J89&lt;=15,"L","A"))),IF(OR(H89="SE",H89="CE"),IF(K89&gt;=4,IF(J89&gt;=6,"H","A"),IF(K89&gt;=2,IF(J89&gt;=20,"H",IF(J89&lt;=5,"L","A")),IF(J89&lt;=19,"L","A"))),IF(OR(H89="ALI",H89="AIE"),IF(K89&gt;=6,IF(J89&gt;=20,"H","A"),IF(K89&gt;=2,IF(J89&gt;=51,"H",IF(J89&lt;=19,"L","A")),IF(J89&lt;=50,"L","A")))))))</f>
        <v>L</v>
      </c>
      <c r="N89" s="46" t="str">
        <f aca="false">IF(M89="L","Baixa",IF(M89="A","Média",IF(M89="","","Alta")))</f>
        <v>Baixa</v>
      </c>
      <c r="O89" s="47" t="n">
        <f aca="false">IF(ISBLANK(H89),"",IF(H89="ALI",IF(M89="L",7,IF(M89="A",10,15)),IF(H89="AIE",IF(M89="L",5,IF(M89="A",7,10)),IF(H89="SE",IF(M89="L",4,IF(M89="A",5,7)),IF(OR(H89="EE",H89="CE"),IF(M89="L",3,IF(M89="A",4,6)))))))</f>
        <v>3</v>
      </c>
      <c r="P89" s="48" t="n">
        <f aca="false">IF(I89="I",O89*Contagem!$W$15,IF(I89="E",O89*Contagem!$W$17,IF(I89="A",O89*Contagem!$W$16,IF(I89="T",O89*Contagem!$W$18,""))))</f>
        <v>3</v>
      </c>
      <c r="Q89" s="49" t="s">
        <v>177</v>
      </c>
    </row>
    <row r="90" customFormat="false" ht="12" hidden="false" customHeight="true" outlineLevel="0" collapsed="false">
      <c r="A90" s="40" t="n">
        <f aca="false">IF(H90="",IF(C90="",A89,A89+1),A89)</f>
        <v>13</v>
      </c>
      <c r="B90" s="41" t="str">
        <f aca="false">IF(A90=A89,"",CONCATENATE("F",A90))</f>
        <v/>
      </c>
      <c r="C90" s="42"/>
      <c r="D90" s="42"/>
      <c r="E90" s="42"/>
      <c r="F90" s="42"/>
      <c r="G90" s="42"/>
      <c r="H90" s="44"/>
      <c r="I90" s="50"/>
      <c r="J90" s="44"/>
      <c r="K90" s="44"/>
      <c r="L90" s="44" t="str">
        <f aca="false">CONCATENATE(H90,M90)</f>
        <v/>
      </c>
      <c r="M90" s="45" t="str">
        <f aca="false">IF(OR(ISBLANK(J90),ISBLANK(K90)),IF(OR(H90="ALI",H90="AIE"),"L",IF(ISBLANK(H90),"","A")),IF(H90="EE",IF(K90&gt;=3,IF(J90&gt;=5,"H","A"),IF(K90&gt;=2,IF(J90&gt;=16,"H",IF(J90&lt;=4,"L","A")),IF(J90&lt;=15,"L","A"))),IF(OR(H90="SE",H90="CE"),IF(K90&gt;=4,IF(J90&gt;=6,"H","A"),IF(K90&gt;=2,IF(J90&gt;=20,"H",IF(J90&lt;=5,"L","A")),IF(J90&lt;=19,"L","A"))),IF(OR(H90="ALI",H90="AIE"),IF(K90&gt;=6,IF(J90&gt;=20,"H","A"),IF(K90&gt;=2,IF(J90&gt;=51,"H",IF(J90&lt;=19,"L","A")),IF(J90&lt;=50,"L","A")))))))</f>
        <v/>
      </c>
      <c r="N90" s="46" t="str">
        <f aca="false">IF(M90="L","Baixa",IF(M90="A","Média",IF(M90="","","Alta")))</f>
        <v/>
      </c>
      <c r="O90" s="47" t="str">
        <f aca="false">IF(ISBLANK(H90),"",IF(H90="ALI",IF(M90="L",7,IF(M90="A",10,15)),IF(H90="AIE",IF(M90="L",5,IF(M90="A",7,10)),IF(H90="SE",IF(M90="L",4,IF(M90="A",5,7)),IF(OR(H90="EE",H90="CE"),IF(M90="L",3,IF(M90="A",4,6)))))))</f>
        <v/>
      </c>
      <c r="P90" s="48" t="str">
        <f aca="false">IF(I90="I",O90*Contagem!$W$15,IF(I90="E",O90*Contagem!$W$17,IF(I90="A",O90*Contagem!$W$16,IF(I90="T",O90*Contagem!$W$18,""))))</f>
        <v/>
      </c>
      <c r="Q90" s="49"/>
    </row>
    <row r="91" customFormat="false" ht="12" hidden="false" customHeight="true" outlineLevel="0" collapsed="false">
      <c r="A91" s="40" t="n">
        <f aca="false">IF(H91="",IF(C91="",A90,A90+1),A90)</f>
        <v>14</v>
      </c>
      <c r="B91" s="41" t="str">
        <f aca="false">IF(A91=A90,"",CONCATENATE("F",A91))</f>
        <v>F14</v>
      </c>
      <c r="C91" s="42" t="s">
        <v>178</v>
      </c>
      <c r="D91" s="42"/>
      <c r="E91" s="42"/>
      <c r="F91" s="42"/>
      <c r="G91" s="42"/>
      <c r="H91" s="44"/>
      <c r="I91" s="50"/>
      <c r="J91" s="44"/>
      <c r="K91" s="44"/>
      <c r="L91" s="44" t="str">
        <f aca="false">CONCATENATE(H91,M91)</f>
        <v/>
      </c>
      <c r="M91" s="45" t="str">
        <f aca="false">IF(OR(ISBLANK(J91),ISBLANK(K91)),IF(OR(H91="ALI",H91="AIE"),"L",IF(ISBLANK(H91),"","A")),IF(H91="EE",IF(K91&gt;=3,IF(J91&gt;=5,"H","A"),IF(K91&gt;=2,IF(J91&gt;=16,"H",IF(J91&lt;=4,"L","A")),IF(J91&lt;=15,"L","A"))),IF(OR(H91="SE",H91="CE"),IF(K91&gt;=4,IF(J91&gt;=6,"H","A"),IF(K91&gt;=2,IF(J91&gt;=20,"H",IF(J91&lt;=5,"L","A")),IF(J91&lt;=19,"L","A"))),IF(OR(H91="ALI",H91="AIE"),IF(K91&gt;=6,IF(J91&gt;=20,"H","A"),IF(K91&gt;=2,IF(J91&gt;=51,"H",IF(J91&lt;=19,"L","A")),IF(J91&lt;=50,"L","A")))))))</f>
        <v/>
      </c>
      <c r="N91" s="46" t="str">
        <f aca="false">IF(M91="L","Baixa",IF(M91="A","Média",IF(M91="","","Alta")))</f>
        <v/>
      </c>
      <c r="O91" s="47" t="str">
        <f aca="false">IF(ISBLANK(H91),"",IF(H91="ALI",IF(M91="L",7,IF(M91="A",10,15)),IF(H91="AIE",IF(M91="L",5,IF(M91="A",7,10)),IF(H91="SE",IF(M91="L",4,IF(M91="A",5,7)),IF(OR(H91="EE",H91="CE"),IF(M91="L",3,IF(M91="A",4,6)))))))</f>
        <v/>
      </c>
      <c r="P91" s="48" t="str">
        <f aca="false">IF(I91="I",O91*Contagem!$W$15,IF(I91="E",O91*Contagem!$W$17,IF(I91="A",O91*Contagem!$W$16,IF(I91="T",O91*Contagem!$W$18,""))))</f>
        <v/>
      </c>
      <c r="Q91" s="49"/>
    </row>
    <row r="92" customFormat="false" ht="12" hidden="false" customHeight="true" outlineLevel="0" collapsed="false">
      <c r="A92" s="40" t="n">
        <f aca="false">IF(H92="",IF(C92="",A91,A91+1),A91)</f>
        <v>14</v>
      </c>
      <c r="B92" s="41" t="str">
        <f aca="false">IF(A92=A91,"",CONCATENATE("F",A92))</f>
        <v/>
      </c>
      <c r="C92" s="42" t="s">
        <v>179</v>
      </c>
      <c r="D92" s="42"/>
      <c r="E92" s="42"/>
      <c r="F92" s="42"/>
      <c r="G92" s="42"/>
      <c r="H92" s="44" t="s">
        <v>80</v>
      </c>
      <c r="I92" s="50" t="s">
        <v>56</v>
      </c>
      <c r="J92" s="44" t="n">
        <v>12</v>
      </c>
      <c r="K92" s="44" t="n">
        <v>2</v>
      </c>
      <c r="L92" s="44" t="str">
        <f aca="false">CONCATENATE(H92,M92)</f>
        <v>CEA</v>
      </c>
      <c r="M92" s="45" t="str">
        <f aca="false">IF(OR(ISBLANK(J92),ISBLANK(K92)),IF(OR(H92="ALI",H92="AIE"),"L",IF(ISBLANK(H92),"","A")),IF(H92="EE",IF(K92&gt;=3,IF(J92&gt;=5,"H","A"),IF(K92&gt;=2,IF(J92&gt;=16,"H",IF(J92&lt;=4,"L","A")),IF(J92&lt;=15,"L","A"))),IF(OR(H92="SE",H92="CE"),IF(K92&gt;=4,IF(J92&gt;=6,"H","A"),IF(K92&gt;=2,IF(J92&gt;=20,"H",IF(J92&lt;=5,"L","A")),IF(J92&lt;=19,"L","A"))),IF(OR(H92="ALI",H92="AIE"),IF(K92&gt;=6,IF(J92&gt;=20,"H","A"),IF(K92&gt;=2,IF(J92&gt;=51,"H",IF(J92&lt;=19,"L","A")),IF(J92&lt;=50,"L","A")))))))</f>
        <v>A</v>
      </c>
      <c r="N92" s="46" t="str">
        <f aca="false">IF(M92="L","Baixa",IF(M92="A","Média",IF(M92="","","Alta")))</f>
        <v>Média</v>
      </c>
      <c r="O92" s="47" t="n">
        <f aca="false">IF(ISBLANK(H92),"",IF(H92="ALI",IF(M92="L",7,IF(M92="A",10,15)),IF(H92="AIE",IF(M92="L",5,IF(M92="A",7,10)),IF(H92="SE",IF(M92="L",4,IF(M92="A",5,7)),IF(OR(H92="EE",H92="CE"),IF(M92="L",3,IF(M92="A",4,6)))))))</f>
        <v>4</v>
      </c>
      <c r="P92" s="48" t="n">
        <f aca="false">IF(I92="I",O92*Contagem!$W$15,IF(I92="E",O92*Contagem!$W$17,IF(I92="A",O92*Contagem!$W$16,IF(I92="T",O92*Contagem!$W$18,""))))</f>
        <v>4</v>
      </c>
      <c r="Q92" s="49" t="s">
        <v>180</v>
      </c>
    </row>
    <row r="93" customFormat="false" ht="12" hidden="false" customHeight="true" outlineLevel="0" collapsed="false">
      <c r="A93" s="40" t="n">
        <f aca="false">IF(H93="",IF(C93="",A92,A92+1),A92)</f>
        <v>14</v>
      </c>
      <c r="B93" s="41" t="str">
        <f aca="false">IF(A93=A92,"",CONCATENATE("F",A93))</f>
        <v/>
      </c>
      <c r="C93" s="42" t="s">
        <v>181</v>
      </c>
      <c r="D93" s="42"/>
      <c r="E93" s="42"/>
      <c r="F93" s="42"/>
      <c r="G93" s="42"/>
      <c r="H93" s="44" t="s">
        <v>62</v>
      </c>
      <c r="I93" s="50" t="s">
        <v>56</v>
      </c>
      <c r="J93" s="44" t="n">
        <v>3</v>
      </c>
      <c r="K93" s="44" t="n">
        <v>2</v>
      </c>
      <c r="L93" s="44" t="str">
        <f aca="false">CONCATENATE(H93,M93)</f>
        <v>EEL</v>
      </c>
      <c r="M93" s="45" t="str">
        <f aca="false">IF(OR(ISBLANK(J93),ISBLANK(K93)),IF(OR(H93="ALI",H93="AIE"),"L",IF(ISBLANK(H93),"","A")),IF(H93="EE",IF(K93&gt;=3,IF(J93&gt;=5,"H","A"),IF(K93&gt;=2,IF(J93&gt;=16,"H",IF(J93&lt;=4,"L","A")),IF(J93&lt;=15,"L","A"))),IF(OR(H93="SE",H93="CE"),IF(K93&gt;=4,IF(J93&gt;=6,"H","A"),IF(K93&gt;=2,IF(J93&gt;=20,"H",IF(J93&lt;=5,"L","A")),IF(J93&lt;=19,"L","A"))),IF(OR(H93="ALI",H93="AIE"),IF(K93&gt;=6,IF(J93&gt;=20,"H","A"),IF(K93&gt;=2,IF(J93&gt;=51,"H",IF(J93&lt;=19,"L","A")),IF(J93&lt;=50,"L","A")))))))</f>
        <v>L</v>
      </c>
      <c r="N93" s="46" t="str">
        <f aca="false">IF(M93="L","Baixa",IF(M93="A","Média",IF(M93="","","Alta")))</f>
        <v>Baixa</v>
      </c>
      <c r="O93" s="47" t="n">
        <f aca="false">IF(ISBLANK(H93),"",IF(H93="ALI",IF(M93="L",7,IF(M93="A",10,15)),IF(H93="AIE",IF(M93="L",5,IF(M93="A",7,10)),IF(H93="SE",IF(M93="L",4,IF(M93="A",5,7)),IF(OR(H93="EE",H93="CE"),IF(M93="L",3,IF(M93="A",4,6)))))))</f>
        <v>3</v>
      </c>
      <c r="P93" s="48" t="n">
        <f aca="false">IF(I93="I",O93*Contagem!$W$15,IF(I93="E",O93*Contagem!$W$17,IF(I93="A",O93*Contagem!$W$16,IF(I93="T",O93*Contagem!$W$18,""))))</f>
        <v>3</v>
      </c>
      <c r="Q93" s="49" t="s">
        <v>182</v>
      </c>
    </row>
    <row r="94" customFormat="false" ht="12" hidden="false" customHeight="true" outlineLevel="0" collapsed="false">
      <c r="A94" s="40" t="n">
        <f aca="false">IF(H94="",IF(C94="",A93,A93+1),A93)</f>
        <v>14</v>
      </c>
      <c r="B94" s="41" t="str">
        <f aca="false">IF(A94=A93,"",CONCATENATE("F",A94))</f>
        <v/>
      </c>
      <c r="C94" s="42" t="s">
        <v>183</v>
      </c>
      <c r="D94" s="42"/>
      <c r="E94" s="42"/>
      <c r="F94" s="42"/>
      <c r="G94" s="42"/>
      <c r="H94" s="44" t="s">
        <v>62</v>
      </c>
      <c r="I94" s="50" t="s">
        <v>56</v>
      </c>
      <c r="J94" s="44" t="n">
        <v>3</v>
      </c>
      <c r="K94" s="44" t="n">
        <v>1</v>
      </c>
      <c r="L94" s="44" t="str">
        <f aca="false">CONCATENATE(H94,M94)</f>
        <v>EEL</v>
      </c>
      <c r="M94" s="45" t="str">
        <f aca="false">IF(OR(ISBLANK(J94),ISBLANK(K94)),IF(OR(H94="ALI",H94="AIE"),"L",IF(ISBLANK(H94),"","A")),IF(H94="EE",IF(K94&gt;=3,IF(J94&gt;=5,"H","A"),IF(K94&gt;=2,IF(J94&gt;=16,"H",IF(J94&lt;=4,"L","A")),IF(J94&lt;=15,"L","A"))),IF(OR(H94="SE",H94="CE"),IF(K94&gt;=4,IF(J94&gt;=6,"H","A"),IF(K94&gt;=2,IF(J94&gt;=20,"H",IF(J94&lt;=5,"L","A")),IF(J94&lt;=19,"L","A"))),IF(OR(H94="ALI",H94="AIE"),IF(K94&gt;=6,IF(J94&gt;=20,"H","A"),IF(K94&gt;=2,IF(J94&gt;=51,"H",IF(J94&lt;=19,"L","A")),IF(J94&lt;=50,"L","A")))))))</f>
        <v>L</v>
      </c>
      <c r="N94" s="46" t="str">
        <f aca="false">IF(M94="L","Baixa",IF(M94="A","Média",IF(M94="","","Alta")))</f>
        <v>Baixa</v>
      </c>
      <c r="O94" s="47" t="n">
        <f aca="false">IF(ISBLANK(H94),"",IF(H94="ALI",IF(M94="L",7,IF(M94="A",10,15)),IF(H94="AIE",IF(M94="L",5,IF(M94="A",7,10)),IF(H94="SE",IF(M94="L",4,IF(M94="A",5,7)),IF(OR(H94="EE",H94="CE"),IF(M94="L",3,IF(M94="A",4,6)))))))</f>
        <v>3</v>
      </c>
      <c r="P94" s="48" t="n">
        <f aca="false">IF(I94="I",O94*Contagem!$W$15,IF(I94="E",O94*Contagem!$W$17,IF(I94="A",O94*Contagem!$W$16,IF(I94="T",O94*Contagem!$W$18,""))))</f>
        <v>3</v>
      </c>
      <c r="Q94" s="49" t="s">
        <v>184</v>
      </c>
    </row>
    <row r="95" customFormat="false" ht="12" hidden="false" customHeight="true" outlineLevel="0" collapsed="false">
      <c r="A95" s="40" t="n">
        <f aca="false">IF(H95="",IF(C95="",A94,A94+1),A94)</f>
        <v>14</v>
      </c>
      <c r="B95" s="41" t="str">
        <f aca="false">IF(A95=A94,"",CONCATENATE("F",A95))</f>
        <v/>
      </c>
      <c r="C95" s="42" t="s">
        <v>185</v>
      </c>
      <c r="D95" s="42"/>
      <c r="E95" s="42"/>
      <c r="F95" s="42"/>
      <c r="G95" s="42"/>
      <c r="H95" s="44" t="s">
        <v>62</v>
      </c>
      <c r="I95" s="50" t="s">
        <v>56</v>
      </c>
      <c r="J95" s="44" t="n">
        <v>4</v>
      </c>
      <c r="K95" s="44" t="n">
        <v>1</v>
      </c>
      <c r="L95" s="44" t="str">
        <f aca="false">CONCATENATE(H95,M95)</f>
        <v>EEL</v>
      </c>
      <c r="M95" s="45" t="str">
        <f aca="false">IF(OR(ISBLANK(J95),ISBLANK(K95)),IF(OR(H95="ALI",H95="AIE"),"L",IF(ISBLANK(H95),"","A")),IF(H95="EE",IF(K95&gt;=3,IF(J95&gt;=5,"H","A"),IF(K95&gt;=2,IF(J95&gt;=16,"H",IF(J95&lt;=4,"L","A")),IF(J95&lt;=15,"L","A"))),IF(OR(H95="SE",H95="CE"),IF(K95&gt;=4,IF(J95&gt;=6,"H","A"),IF(K95&gt;=2,IF(J95&gt;=20,"H",IF(J95&lt;=5,"L","A")),IF(J95&lt;=19,"L","A"))),IF(OR(H95="ALI",H95="AIE"),IF(K95&gt;=6,IF(J95&gt;=20,"H","A"),IF(K95&gt;=2,IF(J95&gt;=51,"H",IF(J95&lt;=19,"L","A")),IF(J95&lt;=50,"L","A")))))))</f>
        <v>L</v>
      </c>
      <c r="N95" s="46" t="str">
        <f aca="false">IF(M95="L","Baixa",IF(M95="A","Média",IF(M95="","","Alta")))</f>
        <v>Baixa</v>
      </c>
      <c r="O95" s="47" t="n">
        <f aca="false">IF(ISBLANK(H95),"",IF(H95="ALI",IF(M95="L",7,IF(M95="A",10,15)),IF(H95="AIE",IF(M95="L",5,IF(M95="A",7,10)),IF(H95="SE",IF(M95="L",4,IF(M95="A",5,7)),IF(OR(H95="EE",H95="CE"),IF(M95="L",3,IF(M95="A",4,6)))))))</f>
        <v>3</v>
      </c>
      <c r="P95" s="48" t="n">
        <f aca="false">IF(I95="I",O95*Contagem!$W$15,IF(I95="E",O95*Contagem!$W$17,IF(I95="A",O95*Contagem!$W$16,IF(I95="T",O95*Contagem!$W$18,""))))</f>
        <v>3</v>
      </c>
      <c r="Q95" s="49" t="s">
        <v>186</v>
      </c>
    </row>
    <row r="96" customFormat="false" ht="12" hidden="false" customHeight="true" outlineLevel="0" collapsed="false">
      <c r="A96" s="40" t="n">
        <f aca="false">IF(H96="",IF(C96="",A95,A95+1),A95)</f>
        <v>14</v>
      </c>
      <c r="B96" s="41" t="str">
        <f aca="false">IF(A96=A95,"",CONCATENATE("F",A96))</f>
        <v/>
      </c>
      <c r="C96" s="42"/>
      <c r="D96" s="42"/>
      <c r="E96" s="42"/>
      <c r="F96" s="42"/>
      <c r="G96" s="42"/>
      <c r="H96" s="44"/>
      <c r="I96" s="50"/>
      <c r="J96" s="44"/>
      <c r="K96" s="44"/>
      <c r="L96" s="44" t="str">
        <f aca="false">CONCATENATE(H96,M96)</f>
        <v/>
      </c>
      <c r="M96" s="45" t="str">
        <f aca="false">IF(OR(ISBLANK(J96),ISBLANK(K96)),IF(OR(H96="ALI",H96="AIE"),"L",IF(ISBLANK(H96),"","A")),IF(H96="EE",IF(K96&gt;=3,IF(J96&gt;=5,"H","A"),IF(K96&gt;=2,IF(J96&gt;=16,"H",IF(J96&lt;=4,"L","A")),IF(J96&lt;=15,"L","A"))),IF(OR(H96="SE",H96="CE"),IF(K96&gt;=4,IF(J96&gt;=6,"H","A"),IF(K96&gt;=2,IF(J96&gt;=20,"H",IF(J96&lt;=5,"L","A")),IF(J96&lt;=19,"L","A"))),IF(OR(H96="ALI",H96="AIE"),IF(K96&gt;=6,IF(J96&gt;=20,"H","A"),IF(K96&gt;=2,IF(J96&gt;=51,"H",IF(J96&lt;=19,"L","A")),IF(J96&lt;=50,"L","A")))))))</f>
        <v/>
      </c>
      <c r="N96" s="46" t="str">
        <f aca="false">IF(M96="L","Baixa",IF(M96="A","Média",IF(M96="","","Alta")))</f>
        <v/>
      </c>
      <c r="O96" s="47" t="str">
        <f aca="false">IF(ISBLANK(H96),"",IF(H96="ALI",IF(M96="L",7,IF(M96="A",10,15)),IF(H96="AIE",IF(M96="L",5,IF(M96="A",7,10)),IF(H96="SE",IF(M96="L",4,IF(M96="A",5,7)),IF(OR(H96="EE",H96="CE"),IF(M96="L",3,IF(M96="A",4,6)))))))</f>
        <v/>
      </c>
      <c r="P96" s="48" t="str">
        <f aca="false">IF(I96="I",O96*Contagem!$W$15,IF(I96="E",O96*Contagem!$W$17,IF(I96="A",O96*Contagem!$W$16,IF(I96="T",O96*Contagem!$W$18,""))))</f>
        <v/>
      </c>
      <c r="Q96" s="49"/>
    </row>
    <row r="97" customFormat="false" ht="12" hidden="false" customHeight="true" outlineLevel="0" collapsed="false">
      <c r="A97" s="40" t="n">
        <f aca="false">IF(H97="",IF(C97="",A96,A96+1),A96)</f>
        <v>15</v>
      </c>
      <c r="B97" s="41" t="str">
        <f aca="false">IF(A97=A96,"",CONCATENATE("F",A97))</f>
        <v>F15</v>
      </c>
      <c r="C97" s="42" t="s">
        <v>187</v>
      </c>
      <c r="D97" s="42"/>
      <c r="E97" s="42"/>
      <c r="F97" s="42"/>
      <c r="G97" s="42"/>
      <c r="H97" s="44"/>
      <c r="I97" s="50"/>
      <c r="J97" s="44"/>
      <c r="K97" s="44"/>
      <c r="L97" s="44" t="str">
        <f aca="false">CONCATENATE(H97,M97)</f>
        <v/>
      </c>
      <c r="M97" s="45" t="str">
        <f aca="false">IF(OR(ISBLANK(J97),ISBLANK(K97)),IF(OR(H97="ALI",H97="AIE"),"L",IF(ISBLANK(H97),"","A")),IF(H97="EE",IF(K97&gt;=3,IF(J97&gt;=5,"H","A"),IF(K97&gt;=2,IF(J97&gt;=16,"H",IF(J97&lt;=4,"L","A")),IF(J97&lt;=15,"L","A"))),IF(OR(H97="SE",H97="CE"),IF(K97&gt;=4,IF(J97&gt;=6,"H","A"),IF(K97&gt;=2,IF(J97&gt;=20,"H",IF(J97&lt;=5,"L","A")),IF(J97&lt;=19,"L","A"))),IF(OR(H97="ALI",H97="AIE"),IF(K97&gt;=6,IF(J97&gt;=20,"H","A"),IF(K97&gt;=2,IF(J97&gt;=51,"H",IF(J97&lt;=19,"L","A")),IF(J97&lt;=50,"L","A")))))))</f>
        <v/>
      </c>
      <c r="N97" s="46" t="str">
        <f aca="false">IF(M97="L","Baixa",IF(M97="A","Média",IF(M97="","","Alta")))</f>
        <v/>
      </c>
      <c r="O97" s="47" t="str">
        <f aca="false">IF(ISBLANK(H97),"",IF(H97="ALI",IF(M97="L",7,IF(M97="A",10,15)),IF(H97="AIE",IF(M97="L",5,IF(M97="A",7,10)),IF(H97="SE",IF(M97="L",4,IF(M97="A",5,7)),IF(OR(H97="EE",H97="CE"),IF(M97="L",3,IF(M97="A",4,6)))))))</f>
        <v/>
      </c>
      <c r="P97" s="48" t="str">
        <f aca="false">IF(I97="I",O97*Contagem!$W$15,IF(I97="E",O97*Contagem!$W$17,IF(I97="A",O97*Contagem!$W$16,IF(I97="T",O97*Contagem!$W$18,""))))</f>
        <v/>
      </c>
      <c r="Q97" s="49"/>
    </row>
    <row r="98" customFormat="false" ht="12" hidden="false" customHeight="true" outlineLevel="0" collapsed="false">
      <c r="A98" s="40" t="n">
        <f aca="false">IF(H98="",IF(C98="",A97,A97+1),A97)</f>
        <v>15</v>
      </c>
      <c r="B98" s="41" t="str">
        <f aca="false">IF(A98=A97,"",CONCATENATE("F",A98))</f>
        <v/>
      </c>
      <c r="C98" s="42" t="s">
        <v>188</v>
      </c>
      <c r="D98" s="42"/>
      <c r="E98" s="42"/>
      <c r="F98" s="42"/>
      <c r="G98" s="42"/>
      <c r="H98" s="44" t="s">
        <v>55</v>
      </c>
      <c r="I98" s="50" t="s">
        <v>56</v>
      </c>
      <c r="J98" s="44" t="n">
        <v>3</v>
      </c>
      <c r="K98" s="44" t="n">
        <v>1</v>
      </c>
      <c r="L98" s="44" t="str">
        <f aca="false">CONCATENATE(H98,M98)</f>
        <v>ALIL</v>
      </c>
      <c r="M98" s="45" t="str">
        <f aca="false">IF(OR(ISBLANK(J98),ISBLANK(K98)),IF(OR(H98="ALI",H98="AIE"),"L",IF(ISBLANK(H98),"","A")),IF(H98="EE",IF(K98&gt;=3,IF(J98&gt;=5,"H","A"),IF(K98&gt;=2,IF(J98&gt;=16,"H",IF(J98&lt;=4,"L","A")),IF(J98&lt;=15,"L","A"))),IF(OR(H98="SE",H98="CE"),IF(K98&gt;=4,IF(J98&gt;=6,"H","A"),IF(K98&gt;=2,IF(J98&gt;=20,"H",IF(J98&lt;=5,"L","A")),IF(J98&lt;=19,"L","A"))),IF(OR(H98="ALI",H98="AIE"),IF(K98&gt;=6,IF(J98&gt;=20,"H","A"),IF(K98&gt;=2,IF(J98&gt;=51,"H",IF(J98&lt;=19,"L","A")),IF(J98&lt;=50,"L","A")))))))</f>
        <v>L</v>
      </c>
      <c r="N98" s="46" t="str">
        <f aca="false">IF(M98="L","Baixa",IF(M98="A","Média",IF(M98="","","Alta")))</f>
        <v>Baixa</v>
      </c>
      <c r="O98" s="47" t="n">
        <f aca="false">IF(ISBLANK(H98),"",IF(H98="ALI",IF(M98="L",7,IF(M98="A",10,15)),IF(H98="AIE",IF(M98="L",5,IF(M98="A",7,10)),IF(H98="SE",IF(M98="L",4,IF(M98="A",5,7)),IF(OR(H98="EE",H98="CE"),IF(M98="L",3,IF(M98="A",4,6)))))))</f>
        <v>7</v>
      </c>
      <c r="P98" s="48" t="n">
        <f aca="false">IF(I98="I",O98*Contagem!$W$15,IF(I98="E",O98*Contagem!$W$17,IF(I98="A",O98*Contagem!$W$16,IF(I98="T",O98*Contagem!$W$18,""))))</f>
        <v>7</v>
      </c>
      <c r="Q98" s="49" t="s">
        <v>189</v>
      </c>
    </row>
    <row r="99" customFormat="false" ht="12" hidden="false" customHeight="true" outlineLevel="0" collapsed="false">
      <c r="A99" s="40" t="n">
        <f aca="false">IF(H99="",IF(C99="",A98,A98+1),A98)</f>
        <v>15</v>
      </c>
      <c r="B99" s="41" t="str">
        <f aca="false">IF(A99=A98,"",CONCATENATE("F",A99))</f>
        <v/>
      </c>
      <c r="C99" s="42" t="s">
        <v>190</v>
      </c>
      <c r="D99" s="42"/>
      <c r="E99" s="42"/>
      <c r="F99" s="42"/>
      <c r="G99" s="42"/>
      <c r="H99" s="44" t="s">
        <v>80</v>
      </c>
      <c r="I99" s="50" t="s">
        <v>56</v>
      </c>
      <c r="J99" s="44" t="n">
        <v>6</v>
      </c>
      <c r="K99" s="44" t="n">
        <v>2</v>
      </c>
      <c r="L99" s="44" t="str">
        <f aca="false">CONCATENATE(H99,M99)</f>
        <v>CEA</v>
      </c>
      <c r="M99" s="45" t="str">
        <f aca="false">IF(OR(ISBLANK(J99),ISBLANK(K99)),IF(OR(H99="ALI",H99="AIE"),"L",IF(ISBLANK(H99),"","A")),IF(H99="EE",IF(K99&gt;=3,IF(J99&gt;=5,"H","A"),IF(K99&gt;=2,IF(J99&gt;=16,"H",IF(J99&lt;=4,"L","A")),IF(J99&lt;=15,"L","A"))),IF(OR(H99="SE",H99="CE"),IF(K99&gt;=4,IF(J99&gt;=6,"H","A"),IF(K99&gt;=2,IF(J99&gt;=20,"H",IF(J99&lt;=5,"L","A")),IF(J99&lt;=19,"L","A"))),IF(OR(H99="ALI",H99="AIE"),IF(K99&gt;=6,IF(J99&gt;=20,"H","A"),IF(K99&gt;=2,IF(J99&gt;=51,"H",IF(J99&lt;=19,"L","A")),IF(J99&lt;=50,"L","A")))))))</f>
        <v>A</v>
      </c>
      <c r="N99" s="46" t="str">
        <f aca="false">IF(M99="L","Baixa",IF(M99="A","Média",IF(M99="","","Alta")))</f>
        <v>Média</v>
      </c>
      <c r="O99" s="47" t="n">
        <f aca="false">IF(ISBLANK(H99),"",IF(H99="ALI",IF(M99="L",7,IF(M99="A",10,15)),IF(H99="AIE",IF(M99="L",5,IF(M99="A",7,10)),IF(H99="SE",IF(M99="L",4,IF(M99="A",5,7)),IF(OR(H99="EE",H99="CE"),IF(M99="L",3,IF(M99="A",4,6)))))))</f>
        <v>4</v>
      </c>
      <c r="P99" s="48" t="n">
        <f aca="false">IF(I99="I",O99*Contagem!$W$15,IF(I99="E",O99*Contagem!$W$17,IF(I99="A",O99*Contagem!$W$16,IF(I99="T",O99*Contagem!$W$18,""))))</f>
        <v>4</v>
      </c>
      <c r="Q99" s="49" t="s">
        <v>191</v>
      </c>
    </row>
    <row r="100" customFormat="false" ht="12" hidden="false" customHeight="true" outlineLevel="0" collapsed="false">
      <c r="A100" s="40" t="n">
        <f aca="false">IF(H100="",IF(C100="",A99,A99+1),A99)</f>
        <v>15</v>
      </c>
      <c r="B100" s="41" t="str">
        <f aca="false">IF(A100=A99,"",CONCATENATE("F",A100))</f>
        <v/>
      </c>
      <c r="C100" s="42" t="s">
        <v>192</v>
      </c>
      <c r="D100" s="42"/>
      <c r="E100" s="42"/>
      <c r="F100" s="42"/>
      <c r="G100" s="42"/>
      <c r="H100" s="44" t="s">
        <v>62</v>
      </c>
      <c r="I100" s="50" t="s">
        <v>56</v>
      </c>
      <c r="J100" s="44" t="n">
        <v>3</v>
      </c>
      <c r="K100" s="44" t="n">
        <v>1</v>
      </c>
      <c r="L100" s="44" t="str">
        <f aca="false">CONCATENATE(H100,M100)</f>
        <v>EEL</v>
      </c>
      <c r="M100" s="45" t="str">
        <f aca="false">IF(OR(ISBLANK(J100),ISBLANK(K100)),IF(OR(H100="ALI",H100="AIE"),"L",IF(ISBLANK(H100),"","A")),IF(H100="EE",IF(K100&gt;=3,IF(J100&gt;=5,"H","A"),IF(K100&gt;=2,IF(J100&gt;=16,"H",IF(J100&lt;=4,"L","A")),IF(J100&lt;=15,"L","A"))),IF(OR(H100="SE",H100="CE"),IF(K100&gt;=4,IF(J100&gt;=6,"H","A"),IF(K100&gt;=2,IF(J100&gt;=20,"H",IF(J100&lt;=5,"L","A")),IF(J100&lt;=19,"L","A"))),IF(OR(H100="ALI",H100="AIE"),IF(K100&gt;=6,IF(J100&gt;=20,"H","A"),IF(K100&gt;=2,IF(J100&gt;=51,"H",IF(J100&lt;=19,"L","A")),IF(J100&lt;=50,"L","A")))))))</f>
        <v>L</v>
      </c>
      <c r="N100" s="46" t="str">
        <f aca="false">IF(M100="L","Baixa",IF(M100="A","Média",IF(M100="","","Alta")))</f>
        <v>Baixa</v>
      </c>
      <c r="O100" s="47" t="n">
        <f aca="false">IF(ISBLANK(H100),"",IF(H100="ALI",IF(M100="L",7,IF(M100="A",10,15)),IF(H100="AIE",IF(M100="L",5,IF(M100="A",7,10)),IF(H100="SE",IF(M100="L",4,IF(M100="A",5,7)),IF(OR(H100="EE",H100="CE"),IF(M100="L",3,IF(M100="A",4,6)))))))</f>
        <v>3</v>
      </c>
      <c r="P100" s="48" t="n">
        <f aca="false">IF(I100="I",O100*Contagem!$W$15,IF(I100="E",O100*Contagem!$W$17,IF(I100="A",O100*Contagem!$W$16,IF(I100="T",O100*Contagem!$W$18,""))))</f>
        <v>3</v>
      </c>
      <c r="Q100" s="49" t="s">
        <v>193</v>
      </c>
    </row>
    <row r="101" customFormat="false" ht="12" hidden="false" customHeight="true" outlineLevel="0" collapsed="false">
      <c r="A101" s="40" t="n">
        <f aca="false">IF(H101="",IF(C101="",A100,A100+1),A100)</f>
        <v>15</v>
      </c>
      <c r="B101" s="41" t="str">
        <f aca="false">IF(A101=A100,"",CONCATENATE("F",A101))</f>
        <v/>
      </c>
      <c r="C101" s="42" t="s">
        <v>194</v>
      </c>
      <c r="D101" s="42"/>
      <c r="E101" s="42"/>
      <c r="F101" s="42"/>
      <c r="G101" s="42"/>
      <c r="H101" s="44" t="s">
        <v>62</v>
      </c>
      <c r="I101" s="50" t="s">
        <v>56</v>
      </c>
      <c r="J101" s="44" t="n">
        <v>4</v>
      </c>
      <c r="K101" s="44" t="n">
        <v>1</v>
      </c>
      <c r="L101" s="44" t="str">
        <f aca="false">CONCATENATE(H101,M101)</f>
        <v>EEL</v>
      </c>
      <c r="M101" s="45" t="str">
        <f aca="false">IF(OR(ISBLANK(J101),ISBLANK(K101)),IF(OR(H101="ALI",H101="AIE"),"L",IF(ISBLANK(H101),"","A")),IF(H101="EE",IF(K101&gt;=3,IF(J101&gt;=5,"H","A"),IF(K101&gt;=2,IF(J101&gt;=16,"H",IF(J101&lt;=4,"L","A")),IF(J101&lt;=15,"L","A"))),IF(OR(H101="SE",H101="CE"),IF(K101&gt;=4,IF(J101&gt;=6,"H","A"),IF(K101&gt;=2,IF(J101&gt;=20,"H",IF(J101&lt;=5,"L","A")),IF(J101&lt;=19,"L","A"))),IF(OR(H101="ALI",H101="AIE"),IF(K101&gt;=6,IF(J101&gt;=20,"H","A"),IF(K101&gt;=2,IF(J101&gt;=51,"H",IF(J101&lt;=19,"L","A")),IF(J101&lt;=50,"L","A")))))))</f>
        <v>L</v>
      </c>
      <c r="N101" s="46" t="str">
        <f aca="false">IF(M101="L","Baixa",IF(M101="A","Média",IF(M101="","","Alta")))</f>
        <v>Baixa</v>
      </c>
      <c r="O101" s="47" t="n">
        <f aca="false">IF(ISBLANK(H101),"",IF(H101="ALI",IF(M101="L",7,IF(M101="A",10,15)),IF(H101="AIE",IF(M101="L",5,IF(M101="A",7,10)),IF(H101="SE",IF(M101="L",4,IF(M101="A",5,7)),IF(OR(H101="EE",H101="CE"),IF(M101="L",3,IF(M101="A",4,6)))))))</f>
        <v>3</v>
      </c>
      <c r="P101" s="48" t="n">
        <f aca="false">IF(I101="I",O101*Contagem!$W$15,IF(I101="E",O101*Contagem!$W$17,IF(I101="A",O101*Contagem!$W$16,IF(I101="T",O101*Contagem!$W$18,""))))</f>
        <v>3</v>
      </c>
      <c r="Q101" s="49" t="s">
        <v>195</v>
      </c>
    </row>
    <row r="102" customFormat="false" ht="12" hidden="false" customHeight="true" outlineLevel="0" collapsed="false">
      <c r="A102" s="40" t="n">
        <f aca="false">IF(H102="",IF(C102="",A101,A101+1),A101)</f>
        <v>15</v>
      </c>
      <c r="B102" s="41" t="str">
        <f aca="false">IF(A102=A101,"",CONCATENATE("F",A102))</f>
        <v/>
      </c>
      <c r="C102" s="42" t="s">
        <v>196</v>
      </c>
      <c r="D102" s="42"/>
      <c r="E102" s="42"/>
      <c r="F102" s="42"/>
      <c r="G102" s="42"/>
      <c r="H102" s="44" t="s">
        <v>62</v>
      </c>
      <c r="I102" s="50" t="s">
        <v>56</v>
      </c>
      <c r="J102" s="44" t="n">
        <v>2</v>
      </c>
      <c r="K102" s="44" t="n">
        <v>2</v>
      </c>
      <c r="L102" s="44" t="str">
        <f aca="false">CONCATENATE(H102,M102)</f>
        <v>EEL</v>
      </c>
      <c r="M102" s="45" t="str">
        <f aca="false">IF(OR(ISBLANK(J102),ISBLANK(K102)),IF(OR(H102="ALI",H102="AIE"),"L",IF(ISBLANK(H102),"","A")),IF(H102="EE",IF(K102&gt;=3,IF(J102&gt;=5,"H","A"),IF(K102&gt;=2,IF(J102&gt;=16,"H",IF(J102&lt;=4,"L","A")),IF(J102&lt;=15,"L","A"))),IF(OR(H102="SE",H102="CE"),IF(K102&gt;=4,IF(J102&gt;=6,"H","A"),IF(K102&gt;=2,IF(J102&gt;=20,"H",IF(J102&lt;=5,"L","A")),IF(J102&lt;=19,"L","A"))),IF(OR(H102="ALI",H102="AIE"),IF(K102&gt;=6,IF(J102&gt;=20,"H","A"),IF(K102&gt;=2,IF(J102&gt;=51,"H",IF(J102&lt;=19,"L","A")),IF(J102&lt;=50,"L","A")))))))</f>
        <v>L</v>
      </c>
      <c r="N102" s="46" t="str">
        <f aca="false">IF(M102="L","Baixa",IF(M102="A","Média",IF(M102="","","Alta")))</f>
        <v>Baixa</v>
      </c>
      <c r="O102" s="47" t="n">
        <f aca="false">IF(ISBLANK(H102),"",IF(H102="ALI",IF(M102="L",7,IF(M102="A",10,15)),IF(H102="AIE",IF(M102="L",5,IF(M102="A",7,10)),IF(H102="SE",IF(M102="L",4,IF(M102="A",5,7)),IF(OR(H102="EE",H102="CE"),IF(M102="L",3,IF(M102="A",4,6)))))))</f>
        <v>3</v>
      </c>
      <c r="P102" s="48" t="n">
        <f aca="false">IF(I102="I",O102*Contagem!$W$15,IF(I102="E",O102*Contagem!$W$17,IF(I102="A",O102*Contagem!$W$16,IF(I102="T",O102*Contagem!$W$18,""))))</f>
        <v>3</v>
      </c>
      <c r="Q102" s="49" t="s">
        <v>197</v>
      </c>
    </row>
    <row r="103" customFormat="false" ht="12" hidden="false" customHeight="true" outlineLevel="0" collapsed="false">
      <c r="A103" s="40" t="n">
        <f aca="false">IF(H103="",IF(C103="",A102,A102+1),A102)</f>
        <v>15</v>
      </c>
      <c r="B103" s="41" t="str">
        <f aca="false">IF(A103=A102,"",CONCATENATE("F",A103))</f>
        <v/>
      </c>
      <c r="C103" s="42"/>
      <c r="D103" s="42"/>
      <c r="E103" s="42"/>
      <c r="F103" s="42"/>
      <c r="G103" s="42"/>
      <c r="H103" s="44"/>
      <c r="I103" s="50"/>
      <c r="J103" s="44"/>
      <c r="K103" s="44"/>
      <c r="L103" s="44" t="str">
        <f aca="false">CONCATENATE(H103,M103)</f>
        <v/>
      </c>
      <c r="M103" s="45" t="str">
        <f aca="false">IF(OR(ISBLANK(J103),ISBLANK(K103)),IF(OR(H103="ALI",H103="AIE"),"L",IF(ISBLANK(H103),"","A")),IF(H103="EE",IF(K103&gt;=3,IF(J103&gt;=5,"H","A"),IF(K103&gt;=2,IF(J103&gt;=16,"H",IF(J103&lt;=4,"L","A")),IF(J103&lt;=15,"L","A"))),IF(OR(H103="SE",H103="CE"),IF(K103&gt;=4,IF(J103&gt;=6,"H","A"),IF(K103&gt;=2,IF(J103&gt;=20,"H",IF(J103&lt;=5,"L","A")),IF(J103&lt;=19,"L","A"))),IF(OR(H103="ALI",H103="AIE"),IF(K103&gt;=6,IF(J103&gt;=20,"H","A"),IF(K103&gt;=2,IF(J103&gt;=51,"H",IF(J103&lt;=19,"L","A")),IF(J103&lt;=50,"L","A")))))))</f>
        <v/>
      </c>
      <c r="N103" s="46" t="str">
        <f aca="false">IF(M103="L","Baixa",IF(M103="A","Média",IF(M103="","","Alta")))</f>
        <v/>
      </c>
      <c r="O103" s="47" t="str">
        <f aca="false">IF(ISBLANK(H103),"",IF(H103="ALI",IF(M103="L",7,IF(M103="A",10,15)),IF(H103="AIE",IF(M103="L",5,IF(M103="A",7,10)),IF(H103="SE",IF(M103="L",4,IF(M103="A",5,7)),IF(OR(H103="EE",H103="CE"),IF(M103="L",3,IF(M103="A",4,6)))))))</f>
        <v/>
      </c>
      <c r="P103" s="48" t="str">
        <f aca="false">IF(I103="I",O103*Contagem!$W$15,IF(I103="E",O103*Contagem!$W$17,IF(I103="A",O103*Contagem!$W$16,IF(I103="T",O103*Contagem!$W$18,""))))</f>
        <v/>
      </c>
      <c r="Q103" s="49"/>
    </row>
    <row r="104" customFormat="false" ht="12" hidden="false" customHeight="true" outlineLevel="0" collapsed="false">
      <c r="A104" s="40" t="n">
        <f aca="false">IF(H104="",IF(C104="",A103,A103+1),A103)</f>
        <v>16</v>
      </c>
      <c r="B104" s="41" t="str">
        <f aca="false">IF(A104=A103,"",CONCATENATE("F",A104))</f>
        <v>F16</v>
      </c>
      <c r="C104" s="42" t="s">
        <v>198</v>
      </c>
      <c r="D104" s="42"/>
      <c r="E104" s="42"/>
      <c r="F104" s="42"/>
      <c r="G104" s="42"/>
      <c r="H104" s="44"/>
      <c r="I104" s="50"/>
      <c r="J104" s="44"/>
      <c r="K104" s="44"/>
      <c r="L104" s="44" t="str">
        <f aca="false">CONCATENATE(H104,M104)</f>
        <v/>
      </c>
      <c r="M104" s="45" t="str">
        <f aca="false">IF(OR(ISBLANK(J104),ISBLANK(K104)),IF(OR(H104="ALI",H104="AIE"),"L",IF(ISBLANK(H104),"","A")),IF(H104="EE",IF(K104&gt;=3,IF(J104&gt;=5,"H","A"),IF(K104&gt;=2,IF(J104&gt;=16,"H",IF(J104&lt;=4,"L","A")),IF(J104&lt;=15,"L","A"))),IF(OR(H104="SE",H104="CE"),IF(K104&gt;=4,IF(J104&gt;=6,"H","A"),IF(K104&gt;=2,IF(J104&gt;=20,"H",IF(J104&lt;=5,"L","A")),IF(J104&lt;=19,"L","A"))),IF(OR(H104="ALI",H104="AIE"),IF(K104&gt;=6,IF(J104&gt;=20,"H","A"),IF(K104&gt;=2,IF(J104&gt;=51,"H",IF(J104&lt;=19,"L","A")),IF(J104&lt;=50,"L","A")))))))</f>
        <v/>
      </c>
      <c r="N104" s="46" t="str">
        <f aca="false">IF(M104="L","Baixa",IF(M104="A","Média",IF(M104="","","Alta")))</f>
        <v/>
      </c>
      <c r="O104" s="47" t="str">
        <f aca="false">IF(ISBLANK(H104),"",IF(H104="ALI",IF(M104="L",7,IF(M104="A",10,15)),IF(H104="AIE",IF(M104="L",5,IF(M104="A",7,10)),IF(H104="SE",IF(M104="L",4,IF(M104="A",5,7)),IF(OR(H104="EE",H104="CE"),IF(M104="L",3,IF(M104="A",4,6)))))))</f>
        <v/>
      </c>
      <c r="P104" s="48" t="str">
        <f aca="false">IF(I104="I",O104*Contagem!$W$15,IF(I104="E",O104*Contagem!$W$17,IF(I104="A",O104*Contagem!$W$16,IF(I104="T",O104*Contagem!$W$18,""))))</f>
        <v/>
      </c>
      <c r="Q104" s="49"/>
    </row>
    <row r="105" customFormat="false" ht="12" hidden="false" customHeight="true" outlineLevel="0" collapsed="false">
      <c r="A105" s="40" t="n">
        <f aca="false">IF(H105="",IF(C105="",A104,A104+1),A104)</f>
        <v>16</v>
      </c>
      <c r="B105" s="41" t="str">
        <f aca="false">IF(A105=A104,"",CONCATENATE("F",A105))</f>
        <v/>
      </c>
      <c r="C105" s="42" t="s">
        <v>199</v>
      </c>
      <c r="D105" s="42"/>
      <c r="E105" s="42"/>
      <c r="F105" s="42"/>
      <c r="G105" s="42"/>
      <c r="H105" s="44" t="s">
        <v>55</v>
      </c>
      <c r="I105" s="50" t="s">
        <v>56</v>
      </c>
      <c r="J105" s="44" t="n">
        <v>15</v>
      </c>
      <c r="K105" s="44" t="n">
        <v>2</v>
      </c>
      <c r="L105" s="44" t="str">
        <f aca="false">CONCATENATE(H105,M105)</f>
        <v>ALIL</v>
      </c>
      <c r="M105" s="45" t="str">
        <f aca="false">IF(OR(ISBLANK(J105),ISBLANK(K105)),IF(OR(H105="ALI",H105="AIE"),"L",IF(ISBLANK(H105),"","A")),IF(H105="EE",IF(K105&gt;=3,IF(J105&gt;=5,"H","A"),IF(K105&gt;=2,IF(J105&gt;=16,"H",IF(J105&lt;=4,"L","A")),IF(J105&lt;=15,"L","A"))),IF(OR(H105="SE",H105="CE"),IF(K105&gt;=4,IF(J105&gt;=6,"H","A"),IF(K105&gt;=2,IF(J105&gt;=20,"H",IF(J105&lt;=5,"L","A")),IF(J105&lt;=19,"L","A"))),IF(OR(H105="ALI",H105="AIE"),IF(K105&gt;=6,IF(J105&gt;=20,"H","A"),IF(K105&gt;=2,IF(J105&gt;=51,"H",IF(J105&lt;=19,"L","A")),IF(J105&lt;=50,"L","A")))))))</f>
        <v>L</v>
      </c>
      <c r="N105" s="46" t="str">
        <f aca="false">IF(M105="L","Baixa",IF(M105="A","Média",IF(M105="","","Alta")))</f>
        <v>Baixa</v>
      </c>
      <c r="O105" s="47" t="n">
        <f aca="false">IF(ISBLANK(H105),"",IF(H105="ALI",IF(M105="L",7,IF(M105="A",10,15)),IF(H105="AIE",IF(M105="L",5,IF(M105="A",7,10)),IF(H105="SE",IF(M105="L",4,IF(M105="A",5,7)),IF(OR(H105="EE",H105="CE"),IF(M105="L",3,IF(M105="A",4,6)))))))</f>
        <v>7</v>
      </c>
      <c r="P105" s="48" t="n">
        <f aca="false">IF(I105="I",O105*Contagem!$W$15,IF(I105="E",O105*Contagem!$W$17,IF(I105="A",O105*Contagem!$W$16,IF(I105="T",O105*Contagem!$W$18,""))))</f>
        <v>7</v>
      </c>
      <c r="Q105" s="49" t="s">
        <v>200</v>
      </c>
    </row>
    <row r="106" customFormat="false" ht="12" hidden="false" customHeight="true" outlineLevel="0" collapsed="false">
      <c r="A106" s="40" t="n">
        <f aca="false">IF(H106="",IF(C106="",A105,A105+1),A105)</f>
        <v>16</v>
      </c>
      <c r="B106" s="41" t="str">
        <f aca="false">IF(A106=A105,"",CONCATENATE("F",A106))</f>
        <v/>
      </c>
      <c r="C106" s="42" t="s">
        <v>201</v>
      </c>
      <c r="D106" s="42"/>
      <c r="E106" s="42"/>
      <c r="F106" s="42"/>
      <c r="G106" s="42"/>
      <c r="H106" s="44" t="s">
        <v>80</v>
      </c>
      <c r="I106" s="50" t="s">
        <v>56</v>
      </c>
      <c r="J106" s="44" t="n">
        <v>15</v>
      </c>
      <c r="K106" s="44" t="n">
        <v>1</v>
      </c>
      <c r="L106" s="44" t="str">
        <f aca="false">CONCATENATE(H106,M106)</f>
        <v>CEL</v>
      </c>
      <c r="M106" s="45" t="str">
        <f aca="false">IF(OR(ISBLANK(J106),ISBLANK(K106)),IF(OR(H106="ALI",H106="AIE"),"L",IF(ISBLANK(H106),"","A")),IF(H106="EE",IF(K106&gt;=3,IF(J106&gt;=5,"H","A"),IF(K106&gt;=2,IF(J106&gt;=16,"H",IF(J106&lt;=4,"L","A")),IF(J106&lt;=15,"L","A"))),IF(OR(H106="SE",H106="CE"),IF(K106&gt;=4,IF(J106&gt;=6,"H","A"),IF(K106&gt;=2,IF(J106&gt;=20,"H",IF(J106&lt;=5,"L","A")),IF(J106&lt;=19,"L","A"))),IF(OR(H106="ALI",H106="AIE"),IF(K106&gt;=6,IF(J106&gt;=20,"H","A"),IF(K106&gt;=2,IF(J106&gt;=51,"H",IF(J106&lt;=19,"L","A")),IF(J106&lt;=50,"L","A")))))))</f>
        <v>L</v>
      </c>
      <c r="N106" s="46" t="str">
        <f aca="false">IF(M106="L","Baixa",IF(M106="A","Média",IF(M106="","","Alta")))</f>
        <v>Baixa</v>
      </c>
      <c r="O106" s="47" t="n">
        <f aca="false">IF(ISBLANK(H106),"",IF(H106="ALI",IF(M106="L",7,IF(M106="A",10,15)),IF(H106="AIE",IF(M106="L",5,IF(M106="A",7,10)),IF(H106="SE",IF(M106="L",4,IF(M106="A",5,7)),IF(OR(H106="EE",H106="CE"),IF(M106="L",3,IF(M106="A",4,6)))))))</f>
        <v>3</v>
      </c>
      <c r="P106" s="48" t="n">
        <f aca="false">IF(I106="I",O106*Contagem!$W$15,IF(I106="E",O106*Contagem!$W$17,IF(I106="A",O106*Contagem!$W$16,IF(I106="T",O106*Contagem!$W$18,""))))</f>
        <v>3</v>
      </c>
      <c r="Q106" s="49" t="s">
        <v>202</v>
      </c>
    </row>
    <row r="107" customFormat="false" ht="12" hidden="false" customHeight="true" outlineLevel="0" collapsed="false">
      <c r="A107" s="40" t="n">
        <f aca="false">IF(H107="",IF(C107="",A106,A106+1),A106)</f>
        <v>16</v>
      </c>
      <c r="B107" s="41" t="str">
        <f aca="false">IF(A107=A106,"",CONCATENATE("F",A107))</f>
        <v/>
      </c>
      <c r="C107" s="42" t="s">
        <v>203</v>
      </c>
      <c r="D107" s="42"/>
      <c r="E107" s="42"/>
      <c r="F107" s="42"/>
      <c r="G107" s="42"/>
      <c r="H107" s="44" t="s">
        <v>80</v>
      </c>
      <c r="I107" s="50" t="s">
        <v>56</v>
      </c>
      <c r="J107" s="44" t="n">
        <v>7</v>
      </c>
      <c r="K107" s="44" t="n">
        <v>2</v>
      </c>
      <c r="L107" s="44" t="str">
        <f aca="false">CONCATENATE(H107,M107)</f>
        <v>CEA</v>
      </c>
      <c r="M107" s="45" t="str">
        <f aca="false">IF(OR(ISBLANK(J107),ISBLANK(K107)),IF(OR(H107="ALI",H107="AIE"),"L",IF(ISBLANK(H107),"","A")),IF(H107="EE",IF(K107&gt;=3,IF(J107&gt;=5,"H","A"),IF(K107&gt;=2,IF(J107&gt;=16,"H",IF(J107&lt;=4,"L","A")),IF(J107&lt;=15,"L","A"))),IF(OR(H107="SE",H107="CE"),IF(K107&gt;=4,IF(J107&gt;=6,"H","A"),IF(K107&gt;=2,IF(J107&gt;=20,"H",IF(J107&lt;=5,"L","A")),IF(J107&lt;=19,"L","A"))),IF(OR(H107="ALI",H107="AIE"),IF(K107&gt;=6,IF(J107&gt;=20,"H","A"),IF(K107&gt;=2,IF(J107&gt;=51,"H",IF(J107&lt;=19,"L","A")),IF(J107&lt;=50,"L","A")))))))</f>
        <v>A</v>
      </c>
      <c r="N107" s="46" t="str">
        <f aca="false">IF(M107="L","Baixa",IF(M107="A","Média",IF(M107="","","Alta")))</f>
        <v>Média</v>
      </c>
      <c r="O107" s="47" t="n">
        <f aca="false">IF(ISBLANK(H107),"",IF(H107="ALI",IF(M107="L",7,IF(M107="A",10,15)),IF(H107="AIE",IF(M107="L",5,IF(M107="A",7,10)),IF(H107="SE",IF(M107="L",4,IF(M107="A",5,7)),IF(OR(H107="EE",H107="CE"),IF(M107="L",3,IF(M107="A",4,6)))))))</f>
        <v>4</v>
      </c>
      <c r="P107" s="48" t="n">
        <f aca="false">IF(I107="I",O107*Contagem!$W$15,IF(I107="E",O107*Contagem!$W$17,IF(I107="A",O107*Contagem!$W$16,IF(I107="T",O107*Contagem!$W$18,""))))</f>
        <v>4</v>
      </c>
      <c r="Q107" s="49" t="s">
        <v>204</v>
      </c>
    </row>
    <row r="108" customFormat="false" ht="12" hidden="false" customHeight="true" outlineLevel="0" collapsed="false">
      <c r="A108" s="40" t="n">
        <f aca="false">IF(H108="",IF(C108="",A107,A107+1),A107)</f>
        <v>16</v>
      </c>
      <c r="B108" s="41" t="str">
        <f aca="false">IF(A108=A107,"",CONCATENATE("F",A108))</f>
        <v/>
      </c>
      <c r="C108" s="42" t="s">
        <v>205</v>
      </c>
      <c r="D108" s="42"/>
      <c r="E108" s="42"/>
      <c r="F108" s="42"/>
      <c r="G108" s="42"/>
      <c r="H108" s="44" t="s">
        <v>62</v>
      </c>
      <c r="I108" s="50" t="s">
        <v>56</v>
      </c>
      <c r="J108" s="44" t="n">
        <v>3</v>
      </c>
      <c r="K108" s="44" t="n">
        <v>1</v>
      </c>
      <c r="L108" s="44" t="str">
        <f aca="false">CONCATENATE(H108,M108)</f>
        <v>EEL</v>
      </c>
      <c r="M108" s="45" t="str">
        <f aca="false">IF(OR(ISBLANK(J108),ISBLANK(K108)),IF(OR(H108="ALI",H108="AIE"),"L",IF(ISBLANK(H108),"","A")),IF(H108="EE",IF(K108&gt;=3,IF(J108&gt;=5,"H","A"),IF(K108&gt;=2,IF(J108&gt;=16,"H",IF(J108&lt;=4,"L","A")),IF(J108&lt;=15,"L","A"))),IF(OR(H108="SE",H108="CE"),IF(K108&gt;=4,IF(J108&gt;=6,"H","A"),IF(K108&gt;=2,IF(J108&gt;=20,"H",IF(J108&lt;=5,"L","A")),IF(J108&lt;=19,"L","A"))),IF(OR(H108="ALI",H108="AIE"),IF(K108&gt;=6,IF(J108&gt;=20,"H","A"),IF(K108&gt;=2,IF(J108&gt;=51,"H",IF(J108&lt;=19,"L","A")),IF(J108&lt;=50,"L","A")))))))</f>
        <v>L</v>
      </c>
      <c r="N108" s="46" t="str">
        <f aca="false">IF(M108="L","Baixa",IF(M108="A","Média",IF(M108="","","Alta")))</f>
        <v>Baixa</v>
      </c>
      <c r="O108" s="47" t="n">
        <f aca="false">IF(ISBLANK(H108),"",IF(H108="ALI",IF(M108="L",7,IF(M108="A",10,15)),IF(H108="AIE",IF(M108="L",5,IF(M108="A",7,10)),IF(H108="SE",IF(M108="L",4,IF(M108="A",5,7)),IF(OR(H108="EE",H108="CE"),IF(M108="L",3,IF(M108="A",4,6)))))))</f>
        <v>3</v>
      </c>
      <c r="P108" s="48" t="n">
        <f aca="false">IF(I108="I",O108*Contagem!$W$15,IF(I108="E",O108*Contagem!$W$17,IF(I108="A",O108*Contagem!$W$16,IF(I108="T",O108*Contagem!$W$18,""))))</f>
        <v>3</v>
      </c>
      <c r="Q108" s="49" t="s">
        <v>206</v>
      </c>
    </row>
    <row r="109" customFormat="false" ht="12" hidden="false" customHeight="true" outlineLevel="0" collapsed="false">
      <c r="A109" s="40" t="n">
        <f aca="false">IF(H109="",IF(C109="",A108,A108+1),A108)</f>
        <v>16</v>
      </c>
      <c r="B109" s="41" t="str">
        <f aca="false">IF(A109=A108,"",CONCATENATE("F",A109))</f>
        <v/>
      </c>
      <c r="C109" s="42" t="s">
        <v>207</v>
      </c>
      <c r="D109" s="42"/>
      <c r="E109" s="42"/>
      <c r="F109" s="42"/>
      <c r="G109" s="42"/>
      <c r="H109" s="44" t="s">
        <v>62</v>
      </c>
      <c r="I109" s="50" t="s">
        <v>56</v>
      </c>
      <c r="J109" s="44" t="n">
        <v>4</v>
      </c>
      <c r="K109" s="44" t="n">
        <v>1</v>
      </c>
      <c r="L109" s="44" t="str">
        <f aca="false">CONCATENATE(H109,M109)</f>
        <v>EEL</v>
      </c>
      <c r="M109" s="45" t="str">
        <f aca="false">IF(OR(ISBLANK(J109),ISBLANK(K109)),IF(OR(H109="ALI",H109="AIE"),"L",IF(ISBLANK(H109),"","A")),IF(H109="EE",IF(K109&gt;=3,IF(J109&gt;=5,"H","A"),IF(K109&gt;=2,IF(J109&gt;=16,"H",IF(J109&lt;=4,"L","A")),IF(J109&lt;=15,"L","A"))),IF(OR(H109="SE",H109="CE"),IF(K109&gt;=4,IF(J109&gt;=6,"H","A"),IF(K109&gt;=2,IF(J109&gt;=20,"H",IF(J109&lt;=5,"L","A")),IF(J109&lt;=19,"L","A"))),IF(OR(H109="ALI",H109="AIE"),IF(K109&gt;=6,IF(J109&gt;=20,"H","A"),IF(K109&gt;=2,IF(J109&gt;=51,"H",IF(J109&lt;=19,"L","A")),IF(J109&lt;=50,"L","A")))))))</f>
        <v>L</v>
      </c>
      <c r="N109" s="46" t="str">
        <f aca="false">IF(M109="L","Baixa",IF(M109="A","Média",IF(M109="","","Alta")))</f>
        <v>Baixa</v>
      </c>
      <c r="O109" s="47" t="n">
        <f aca="false">IF(ISBLANK(H109),"",IF(H109="ALI",IF(M109="L",7,IF(M109="A",10,15)),IF(H109="AIE",IF(M109="L",5,IF(M109="A",7,10)),IF(H109="SE",IF(M109="L",4,IF(M109="A",5,7)),IF(OR(H109="EE",H109="CE"),IF(M109="L",3,IF(M109="A",4,6)))))))</f>
        <v>3</v>
      </c>
      <c r="P109" s="48" t="n">
        <f aca="false">IF(I109="I",O109*Contagem!$W$15,IF(I109="E",O109*Contagem!$W$17,IF(I109="A",O109*Contagem!$W$16,IF(I109="T",O109*Contagem!$W$18,""))))</f>
        <v>3</v>
      </c>
      <c r="Q109" s="49" t="s">
        <v>208</v>
      </c>
    </row>
    <row r="110" customFormat="false" ht="12" hidden="false" customHeight="true" outlineLevel="0" collapsed="false">
      <c r="A110" s="40" t="n">
        <f aca="false">IF(H110="",IF(C110="",A109,A109+1),A109)</f>
        <v>16</v>
      </c>
      <c r="B110" s="41" t="str">
        <f aca="false">IF(A110=A109,"",CONCATENATE("F",A110))</f>
        <v/>
      </c>
      <c r="C110" s="42" t="s">
        <v>209</v>
      </c>
      <c r="D110" s="42"/>
      <c r="E110" s="42"/>
      <c r="F110" s="42"/>
      <c r="G110" s="42"/>
      <c r="H110" s="44" t="s">
        <v>62</v>
      </c>
      <c r="I110" s="50" t="s">
        <v>56</v>
      </c>
      <c r="J110" s="44" t="n">
        <v>4</v>
      </c>
      <c r="K110" s="44" t="n">
        <v>1</v>
      </c>
      <c r="L110" s="44" t="str">
        <f aca="false">CONCATENATE(H110,M110)</f>
        <v>EEL</v>
      </c>
      <c r="M110" s="45" t="str">
        <f aca="false">IF(OR(ISBLANK(J110),ISBLANK(K110)),IF(OR(H110="ALI",H110="AIE"),"L",IF(ISBLANK(H110),"","A")),IF(H110="EE",IF(K110&gt;=3,IF(J110&gt;=5,"H","A"),IF(K110&gt;=2,IF(J110&gt;=16,"H",IF(J110&lt;=4,"L","A")),IF(J110&lt;=15,"L","A"))),IF(OR(H110="SE",H110="CE"),IF(K110&gt;=4,IF(J110&gt;=6,"H","A"),IF(K110&gt;=2,IF(J110&gt;=20,"H",IF(J110&lt;=5,"L","A")),IF(J110&lt;=19,"L","A"))),IF(OR(H110="ALI",H110="AIE"),IF(K110&gt;=6,IF(J110&gt;=20,"H","A"),IF(K110&gt;=2,IF(J110&gt;=51,"H",IF(J110&lt;=19,"L","A")),IF(J110&lt;=50,"L","A")))))))</f>
        <v>L</v>
      </c>
      <c r="N110" s="46" t="str">
        <f aca="false">IF(M110="L","Baixa",IF(M110="A","Média",IF(M110="","","Alta")))</f>
        <v>Baixa</v>
      </c>
      <c r="O110" s="47" t="n">
        <f aca="false">IF(ISBLANK(H110),"",IF(H110="ALI",IF(M110="L",7,IF(M110="A",10,15)),IF(H110="AIE",IF(M110="L",5,IF(M110="A",7,10)),IF(H110="SE",IF(M110="L",4,IF(M110="A",5,7)),IF(OR(H110="EE",H110="CE"),IF(M110="L",3,IF(M110="A",4,6)))))))</f>
        <v>3</v>
      </c>
      <c r="P110" s="48" t="n">
        <f aca="false">IF(I110="I",O110*Contagem!$W$15,IF(I110="E",O110*Contagem!$W$17,IF(I110="A",O110*Contagem!$W$16,IF(I110="T",O110*Contagem!$W$18,""))))</f>
        <v>3</v>
      </c>
      <c r="Q110" s="49" t="s">
        <v>210</v>
      </c>
    </row>
    <row r="111" customFormat="false" ht="12" hidden="false" customHeight="true" outlineLevel="0" collapsed="false">
      <c r="A111" s="40" t="n">
        <f aca="false">IF(H111="",IF(C111="",A110,A110+1),A110)</f>
        <v>16</v>
      </c>
      <c r="B111" s="41" t="str">
        <f aca="false">IF(A111=A110,"",CONCATENATE("F",A111))</f>
        <v/>
      </c>
      <c r="C111" s="42"/>
      <c r="D111" s="42"/>
      <c r="E111" s="42"/>
      <c r="F111" s="42"/>
      <c r="G111" s="42"/>
      <c r="H111" s="44"/>
      <c r="I111" s="50"/>
      <c r="J111" s="44"/>
      <c r="K111" s="44"/>
      <c r="L111" s="44" t="str">
        <f aca="false">CONCATENATE(H111,M111)</f>
        <v/>
      </c>
      <c r="M111" s="45" t="str">
        <f aca="false">IF(OR(ISBLANK(J111),ISBLANK(K111)),IF(OR(H111="ALI",H111="AIE"),"L",IF(ISBLANK(H111),"","A")),IF(H111="EE",IF(K111&gt;=3,IF(J111&gt;=5,"H","A"),IF(K111&gt;=2,IF(J111&gt;=16,"H",IF(J111&lt;=4,"L","A")),IF(J111&lt;=15,"L","A"))),IF(OR(H111="SE",H111="CE"),IF(K111&gt;=4,IF(J111&gt;=6,"H","A"),IF(K111&gt;=2,IF(J111&gt;=20,"H",IF(J111&lt;=5,"L","A")),IF(J111&lt;=19,"L","A"))),IF(OR(H111="ALI",H111="AIE"),IF(K111&gt;=6,IF(J111&gt;=20,"H","A"),IF(K111&gt;=2,IF(J111&gt;=51,"H",IF(J111&lt;=19,"L","A")),IF(J111&lt;=50,"L","A")))))))</f>
        <v/>
      </c>
      <c r="N111" s="46" t="str">
        <f aca="false">IF(M111="L","Baixa",IF(M111="A","Média",IF(M111="","","Alta")))</f>
        <v/>
      </c>
      <c r="O111" s="47" t="str">
        <f aca="false">IF(ISBLANK(H111),"",IF(H111="ALI",IF(M111="L",7,IF(M111="A",10,15)),IF(H111="AIE",IF(M111="L",5,IF(M111="A",7,10)),IF(H111="SE",IF(M111="L",4,IF(M111="A",5,7)),IF(OR(H111="EE",H111="CE"),IF(M111="L",3,IF(M111="A",4,6)))))))</f>
        <v/>
      </c>
      <c r="P111" s="48" t="str">
        <f aca="false">IF(I111="I",O111*Contagem!$W$15,IF(I111="E",O111*Contagem!$W$17,IF(I111="A",O111*Contagem!$W$16,IF(I111="T",O111*Contagem!$W$18,""))))</f>
        <v/>
      </c>
      <c r="Q111" s="49"/>
    </row>
    <row r="112" customFormat="false" ht="12" hidden="false" customHeight="true" outlineLevel="0" collapsed="false">
      <c r="A112" s="40" t="n">
        <f aca="false">IF(H112="",IF(C112="",A111,A111+1),A111)</f>
        <v>17</v>
      </c>
      <c r="B112" s="41" t="str">
        <f aca="false">IF(A112=A111,"",CONCATENATE("F",A112))</f>
        <v>F17</v>
      </c>
      <c r="C112" s="42" t="s">
        <v>211</v>
      </c>
      <c r="D112" s="42"/>
      <c r="E112" s="42"/>
      <c r="F112" s="42"/>
      <c r="G112" s="42"/>
      <c r="H112" s="44"/>
      <c r="I112" s="50"/>
      <c r="J112" s="44"/>
      <c r="K112" s="44"/>
      <c r="L112" s="44" t="str">
        <f aca="false">CONCATENATE(H112,M112)</f>
        <v/>
      </c>
      <c r="M112" s="45" t="str">
        <f aca="false">IF(OR(ISBLANK(J112),ISBLANK(K112)),IF(OR(H112="ALI",H112="AIE"),"L",IF(ISBLANK(H112),"","A")),IF(H112="EE",IF(K112&gt;=3,IF(J112&gt;=5,"H","A"),IF(K112&gt;=2,IF(J112&gt;=16,"H",IF(J112&lt;=4,"L","A")),IF(J112&lt;=15,"L","A"))),IF(OR(H112="SE",H112="CE"),IF(K112&gt;=4,IF(J112&gt;=6,"H","A"),IF(K112&gt;=2,IF(J112&gt;=20,"H",IF(J112&lt;=5,"L","A")),IF(J112&lt;=19,"L","A"))),IF(OR(H112="ALI",H112="AIE"),IF(K112&gt;=6,IF(J112&gt;=20,"H","A"),IF(K112&gt;=2,IF(J112&gt;=51,"H",IF(J112&lt;=19,"L","A")),IF(J112&lt;=50,"L","A")))))))</f>
        <v/>
      </c>
      <c r="N112" s="46" t="str">
        <f aca="false">IF(M112="L","Baixa",IF(M112="A","Média",IF(M112="","","Alta")))</f>
        <v/>
      </c>
      <c r="O112" s="47" t="str">
        <f aca="false">IF(ISBLANK(H112),"",IF(H112="ALI",IF(M112="L",7,IF(M112="A",10,15)),IF(H112="AIE",IF(M112="L",5,IF(M112="A",7,10)),IF(H112="SE",IF(M112="L",4,IF(M112="A",5,7)),IF(OR(H112="EE",H112="CE"),IF(M112="L",3,IF(M112="A",4,6)))))))</f>
        <v/>
      </c>
      <c r="P112" s="48" t="str">
        <f aca="false">IF(I112="I",O112*Contagem!$W$15,IF(I112="E",O112*Contagem!$W$17,IF(I112="A",O112*Contagem!$W$16,IF(I112="T",O112*Contagem!$W$18,""))))</f>
        <v/>
      </c>
      <c r="Q112" s="49"/>
    </row>
    <row r="113" customFormat="false" ht="12" hidden="false" customHeight="true" outlineLevel="0" collapsed="false">
      <c r="A113" s="40" t="n">
        <f aca="false">IF(H113="",IF(C113="",A112,A112+1),A112)</f>
        <v>17</v>
      </c>
      <c r="B113" s="41" t="str">
        <f aca="false">IF(A113=A112,"",CONCATENATE("F",A113))</f>
        <v/>
      </c>
      <c r="C113" s="42" t="s">
        <v>212</v>
      </c>
      <c r="D113" s="42"/>
      <c r="E113" s="42"/>
      <c r="F113" s="42"/>
      <c r="G113" s="42"/>
      <c r="H113" s="44" t="s">
        <v>80</v>
      </c>
      <c r="I113" s="50" t="s">
        <v>56</v>
      </c>
      <c r="J113" s="44" t="n">
        <v>7</v>
      </c>
      <c r="K113" s="44" t="n">
        <v>1</v>
      </c>
      <c r="L113" s="44" t="str">
        <f aca="false">CONCATENATE(H113,M113)</f>
        <v>CEL</v>
      </c>
      <c r="M113" s="45" t="str">
        <f aca="false">IF(OR(ISBLANK(J113),ISBLANK(K113)),IF(OR(H113="ALI",H113="AIE"),"L",IF(ISBLANK(H113),"","A")),IF(H113="EE",IF(K113&gt;=3,IF(J113&gt;=5,"H","A"),IF(K113&gt;=2,IF(J113&gt;=16,"H",IF(J113&lt;=4,"L","A")),IF(J113&lt;=15,"L","A"))),IF(OR(H113="SE",H113="CE"),IF(K113&gt;=4,IF(J113&gt;=6,"H","A"),IF(K113&gt;=2,IF(J113&gt;=20,"H",IF(J113&lt;=5,"L","A")),IF(J113&lt;=19,"L","A"))),IF(OR(H113="ALI",H113="AIE"),IF(K113&gt;=6,IF(J113&gt;=20,"H","A"),IF(K113&gt;=2,IF(J113&gt;=51,"H",IF(J113&lt;=19,"L","A")),IF(J113&lt;=50,"L","A")))))))</f>
        <v>L</v>
      </c>
      <c r="N113" s="46" t="str">
        <f aca="false">IF(M113="L","Baixa",IF(M113="A","Média",IF(M113="","","Alta")))</f>
        <v>Baixa</v>
      </c>
      <c r="O113" s="47" t="n">
        <f aca="false">IF(ISBLANK(H113),"",IF(H113="ALI",IF(M113="L",7,IF(M113="A",10,15)),IF(H113="AIE",IF(M113="L",5,IF(M113="A",7,10)),IF(H113="SE",IF(M113="L",4,IF(M113="A",5,7)),IF(OR(H113="EE",H113="CE"),IF(M113="L",3,IF(M113="A",4,6)))))))</f>
        <v>3</v>
      </c>
      <c r="P113" s="48" t="n">
        <f aca="false">IF(I113="I",O113*Contagem!$W$15,IF(I113="E",O113*Contagem!$W$17,IF(I113="A",O113*Contagem!$W$16,IF(I113="T",O113*Contagem!$W$18,""))))</f>
        <v>3</v>
      </c>
      <c r="Q113" s="49" t="s">
        <v>213</v>
      </c>
    </row>
    <row r="114" customFormat="false" ht="12" hidden="false" customHeight="true" outlineLevel="0" collapsed="false">
      <c r="A114" s="40" t="n">
        <f aca="false">IF(H114="",IF(C114="",A113,A113+1),A113)</f>
        <v>17</v>
      </c>
      <c r="B114" s="41" t="str">
        <f aca="false">IF(A114=A113,"",CONCATENATE("F",A114))</f>
        <v/>
      </c>
      <c r="C114" s="42" t="s">
        <v>214</v>
      </c>
      <c r="D114" s="42"/>
      <c r="E114" s="42"/>
      <c r="F114" s="42"/>
      <c r="G114" s="42"/>
      <c r="H114" s="44" t="s">
        <v>62</v>
      </c>
      <c r="I114" s="50" t="s">
        <v>56</v>
      </c>
      <c r="J114" s="44" t="n">
        <v>7</v>
      </c>
      <c r="K114" s="44" t="n">
        <v>1</v>
      </c>
      <c r="L114" s="44" t="str">
        <f aca="false">CONCATENATE(H114,M114)</f>
        <v>EEL</v>
      </c>
      <c r="M114" s="45" t="str">
        <f aca="false">IF(OR(ISBLANK(J114),ISBLANK(K114)),IF(OR(H114="ALI",H114="AIE"),"L",IF(ISBLANK(H114),"","A")),IF(H114="EE",IF(K114&gt;=3,IF(J114&gt;=5,"H","A"),IF(K114&gt;=2,IF(J114&gt;=16,"H",IF(J114&lt;=4,"L","A")),IF(J114&lt;=15,"L","A"))),IF(OR(H114="SE",H114="CE"),IF(K114&gt;=4,IF(J114&gt;=6,"H","A"),IF(K114&gt;=2,IF(J114&gt;=20,"H",IF(J114&lt;=5,"L","A")),IF(J114&lt;=19,"L","A"))),IF(OR(H114="ALI",H114="AIE"),IF(K114&gt;=6,IF(J114&gt;=20,"H","A"),IF(K114&gt;=2,IF(J114&gt;=51,"H",IF(J114&lt;=19,"L","A")),IF(J114&lt;=50,"L","A")))))))</f>
        <v>L</v>
      </c>
      <c r="N114" s="46" t="str">
        <f aca="false">IF(M114="L","Baixa",IF(M114="A","Média",IF(M114="","","Alta")))</f>
        <v>Baixa</v>
      </c>
      <c r="O114" s="47" t="n">
        <f aca="false">IF(ISBLANK(H114),"",IF(H114="ALI",IF(M114="L",7,IF(M114="A",10,15)),IF(H114="AIE",IF(M114="L",5,IF(M114="A",7,10)),IF(H114="SE",IF(M114="L",4,IF(M114="A",5,7)),IF(OR(H114="EE",H114="CE"),IF(M114="L",3,IF(M114="A",4,6)))))))</f>
        <v>3</v>
      </c>
      <c r="P114" s="48" t="n">
        <f aca="false">IF(I114="I",O114*Contagem!$W$15,IF(I114="E",O114*Contagem!$W$17,IF(I114="A",O114*Contagem!$W$16,IF(I114="T",O114*Contagem!$W$18,""))))</f>
        <v>3</v>
      </c>
      <c r="Q114" s="49" t="s">
        <v>215</v>
      </c>
    </row>
    <row r="115" customFormat="false" ht="12" hidden="false" customHeight="true" outlineLevel="0" collapsed="false">
      <c r="A115" s="40" t="n">
        <f aca="false">IF(H115="",IF(C115="",A114,A114+1),A114)</f>
        <v>17</v>
      </c>
      <c r="B115" s="41" t="str">
        <f aca="false">IF(A115=A114,"",CONCATENATE("F",A115))</f>
        <v/>
      </c>
      <c r="C115" s="42" t="s">
        <v>216</v>
      </c>
      <c r="D115" s="42"/>
      <c r="E115" s="42"/>
      <c r="F115" s="42"/>
      <c r="G115" s="42"/>
      <c r="H115" s="44" t="s">
        <v>80</v>
      </c>
      <c r="I115" s="50" t="s">
        <v>56</v>
      </c>
      <c r="J115" s="44" t="n">
        <v>5</v>
      </c>
      <c r="K115" s="44" t="n">
        <v>1</v>
      </c>
      <c r="L115" s="44" t="str">
        <f aca="false">CONCATENATE(H115,M115)</f>
        <v>CEL</v>
      </c>
      <c r="M115" s="45" t="str">
        <f aca="false">IF(OR(ISBLANK(J115),ISBLANK(K115)),IF(OR(H115="ALI",H115="AIE"),"L",IF(ISBLANK(H115),"","A")),IF(H115="EE",IF(K115&gt;=3,IF(J115&gt;=5,"H","A"),IF(K115&gt;=2,IF(J115&gt;=16,"H",IF(J115&lt;=4,"L","A")),IF(J115&lt;=15,"L","A"))),IF(OR(H115="SE",H115="CE"),IF(K115&gt;=4,IF(J115&gt;=6,"H","A"),IF(K115&gt;=2,IF(J115&gt;=20,"H",IF(J115&lt;=5,"L","A")),IF(J115&lt;=19,"L","A"))),IF(OR(H115="ALI",H115="AIE"),IF(K115&gt;=6,IF(J115&gt;=20,"H","A"),IF(K115&gt;=2,IF(J115&gt;=51,"H",IF(J115&lt;=19,"L","A")),IF(J115&lt;=50,"L","A")))))))</f>
        <v>L</v>
      </c>
      <c r="N115" s="46" t="str">
        <f aca="false">IF(M115="L","Baixa",IF(M115="A","Média",IF(M115="","","Alta")))</f>
        <v>Baixa</v>
      </c>
      <c r="O115" s="47" t="n">
        <f aca="false">IF(ISBLANK(H115),"",IF(H115="ALI",IF(M115="L",7,IF(M115="A",10,15)),IF(H115="AIE",IF(M115="L",5,IF(M115="A",7,10)),IF(H115="SE",IF(M115="L",4,IF(M115="A",5,7)),IF(OR(H115="EE",H115="CE"),IF(M115="L",3,IF(M115="A",4,6)))))))</f>
        <v>3</v>
      </c>
      <c r="P115" s="48" t="n">
        <f aca="false">IF(I115="I",O115*Contagem!$W$15,IF(I115="E",O115*Contagem!$W$17,IF(I115="A",O115*Contagem!$W$16,IF(I115="T",O115*Contagem!$W$18,""))))</f>
        <v>3</v>
      </c>
      <c r="Q115" s="49" t="s">
        <v>217</v>
      </c>
    </row>
    <row r="116" customFormat="false" ht="12" hidden="false" customHeight="true" outlineLevel="0" collapsed="false">
      <c r="A116" s="40" t="n">
        <f aca="false">IF(H116="",IF(C116="",A115,A115+1),A115)</f>
        <v>17</v>
      </c>
      <c r="B116" s="41" t="str">
        <f aca="false">IF(A116=A115,"",CONCATENATE("F",A116))</f>
        <v/>
      </c>
      <c r="C116" s="42" t="s">
        <v>218</v>
      </c>
      <c r="D116" s="42"/>
      <c r="E116" s="42"/>
      <c r="F116" s="42"/>
      <c r="G116" s="42"/>
      <c r="H116" s="44" t="s">
        <v>62</v>
      </c>
      <c r="I116" s="50" t="s">
        <v>56</v>
      </c>
      <c r="J116" s="44" t="n">
        <v>5</v>
      </c>
      <c r="K116" s="44" t="n">
        <v>1</v>
      </c>
      <c r="L116" s="44" t="str">
        <f aca="false">CONCATENATE(H116,M116)</f>
        <v>EEL</v>
      </c>
      <c r="M116" s="45" t="str">
        <f aca="false">IF(OR(ISBLANK(J116),ISBLANK(K116)),IF(OR(H116="ALI",H116="AIE"),"L",IF(ISBLANK(H116),"","A")),IF(H116="EE",IF(K116&gt;=3,IF(J116&gt;=5,"H","A"),IF(K116&gt;=2,IF(J116&gt;=16,"H",IF(J116&lt;=4,"L","A")),IF(J116&lt;=15,"L","A"))),IF(OR(H116="SE",H116="CE"),IF(K116&gt;=4,IF(J116&gt;=6,"H","A"),IF(K116&gt;=2,IF(J116&gt;=20,"H",IF(J116&lt;=5,"L","A")),IF(J116&lt;=19,"L","A"))),IF(OR(H116="ALI",H116="AIE"),IF(K116&gt;=6,IF(J116&gt;=20,"H","A"),IF(K116&gt;=2,IF(J116&gt;=51,"H",IF(J116&lt;=19,"L","A")),IF(J116&lt;=50,"L","A")))))))</f>
        <v>L</v>
      </c>
      <c r="N116" s="46" t="str">
        <f aca="false">IF(M116="L","Baixa",IF(M116="A","Média",IF(M116="","","Alta")))</f>
        <v>Baixa</v>
      </c>
      <c r="O116" s="47" t="n">
        <f aca="false">IF(ISBLANK(H116),"",IF(H116="ALI",IF(M116="L",7,IF(M116="A",10,15)),IF(H116="AIE",IF(M116="L",5,IF(M116="A",7,10)),IF(H116="SE",IF(M116="L",4,IF(M116="A",5,7)),IF(OR(H116="EE",H116="CE"),IF(M116="L",3,IF(M116="A",4,6)))))))</f>
        <v>3</v>
      </c>
      <c r="P116" s="48" t="n">
        <f aca="false">IF(I116="I",O116*Contagem!$W$15,IF(I116="E",O116*Contagem!$W$17,IF(I116="A",O116*Contagem!$W$16,IF(I116="T",O116*Contagem!$W$18,""))))</f>
        <v>3</v>
      </c>
      <c r="Q116" s="49" t="s">
        <v>219</v>
      </c>
    </row>
    <row r="117" customFormat="false" ht="12" hidden="false" customHeight="true" outlineLevel="0" collapsed="false">
      <c r="A117" s="40" t="n">
        <f aca="false">IF(H117="",IF(C117="",A116,A116+1),A116)</f>
        <v>17</v>
      </c>
      <c r="B117" s="41" t="str">
        <f aca="false">IF(A117=A116,"",CONCATENATE("F",A117))</f>
        <v/>
      </c>
      <c r="C117" s="42" t="s">
        <v>220</v>
      </c>
      <c r="D117" s="42"/>
      <c r="E117" s="42"/>
      <c r="F117" s="42"/>
      <c r="G117" s="42"/>
      <c r="H117" s="44" t="s">
        <v>80</v>
      </c>
      <c r="I117" s="50" t="s">
        <v>56</v>
      </c>
      <c r="J117" s="44" t="n">
        <v>5</v>
      </c>
      <c r="K117" s="44" t="n">
        <v>1</v>
      </c>
      <c r="L117" s="44" t="str">
        <f aca="false">CONCATENATE(H117,M117)</f>
        <v>CEL</v>
      </c>
      <c r="M117" s="45" t="str">
        <f aca="false">IF(OR(ISBLANK(J117),ISBLANK(K117)),IF(OR(H117="ALI",H117="AIE"),"L",IF(ISBLANK(H117),"","A")),IF(H117="EE",IF(K117&gt;=3,IF(J117&gt;=5,"H","A"),IF(K117&gt;=2,IF(J117&gt;=16,"H",IF(J117&lt;=4,"L","A")),IF(J117&lt;=15,"L","A"))),IF(OR(H117="SE",H117="CE"),IF(K117&gt;=4,IF(J117&gt;=6,"H","A"),IF(K117&gt;=2,IF(J117&gt;=20,"H",IF(J117&lt;=5,"L","A")),IF(J117&lt;=19,"L","A"))),IF(OR(H117="ALI",H117="AIE"),IF(K117&gt;=6,IF(J117&gt;=20,"H","A"),IF(K117&gt;=2,IF(J117&gt;=51,"H",IF(J117&lt;=19,"L","A")),IF(J117&lt;=50,"L","A")))))))</f>
        <v>L</v>
      </c>
      <c r="N117" s="46" t="str">
        <f aca="false">IF(M117="L","Baixa",IF(M117="A","Média",IF(M117="","","Alta")))</f>
        <v>Baixa</v>
      </c>
      <c r="O117" s="47" t="n">
        <f aca="false">IF(ISBLANK(H117),"",IF(H117="ALI",IF(M117="L",7,IF(M117="A",10,15)),IF(H117="AIE",IF(M117="L",5,IF(M117="A",7,10)),IF(H117="SE",IF(M117="L",4,IF(M117="A",5,7)),IF(OR(H117="EE",H117="CE"),IF(M117="L",3,IF(M117="A",4,6)))))))</f>
        <v>3</v>
      </c>
      <c r="P117" s="48" t="n">
        <f aca="false">IF(I117="I",O117*Contagem!$W$15,IF(I117="E",O117*Contagem!$W$17,IF(I117="A",O117*Contagem!$W$16,IF(I117="T",O117*Contagem!$W$18,""))))</f>
        <v>3</v>
      </c>
      <c r="Q117" s="49" t="s">
        <v>221</v>
      </c>
    </row>
    <row r="118" customFormat="false" ht="12" hidden="false" customHeight="true" outlineLevel="0" collapsed="false">
      <c r="A118" s="40" t="n">
        <f aca="false">IF(H118="",IF(C118="",A117,A117+1),A117)</f>
        <v>17</v>
      </c>
      <c r="B118" s="41" t="str">
        <f aca="false">IF(A118=A117,"",CONCATENATE("F",A118))</f>
        <v/>
      </c>
      <c r="C118" s="42" t="s">
        <v>222</v>
      </c>
      <c r="D118" s="42"/>
      <c r="E118" s="42"/>
      <c r="F118" s="42"/>
      <c r="G118" s="42"/>
      <c r="H118" s="44" t="s">
        <v>62</v>
      </c>
      <c r="I118" s="50" t="s">
        <v>56</v>
      </c>
      <c r="J118" s="44" t="n">
        <v>5</v>
      </c>
      <c r="K118" s="44" t="n">
        <v>1</v>
      </c>
      <c r="L118" s="44" t="str">
        <f aca="false">CONCATENATE(H118,M118)</f>
        <v>EEL</v>
      </c>
      <c r="M118" s="45" t="str">
        <f aca="false">IF(OR(ISBLANK(J118),ISBLANK(K118)),IF(OR(H118="ALI",H118="AIE"),"L",IF(ISBLANK(H118),"","A")),IF(H118="EE",IF(K118&gt;=3,IF(J118&gt;=5,"H","A"),IF(K118&gt;=2,IF(J118&gt;=16,"H",IF(J118&lt;=4,"L","A")),IF(J118&lt;=15,"L","A"))),IF(OR(H118="SE",H118="CE"),IF(K118&gt;=4,IF(J118&gt;=6,"H","A"),IF(K118&gt;=2,IF(J118&gt;=20,"H",IF(J118&lt;=5,"L","A")),IF(J118&lt;=19,"L","A"))),IF(OR(H118="ALI",H118="AIE"),IF(K118&gt;=6,IF(J118&gt;=20,"H","A"),IF(K118&gt;=2,IF(J118&gt;=51,"H",IF(J118&lt;=19,"L","A")),IF(J118&lt;=50,"L","A")))))))</f>
        <v>L</v>
      </c>
      <c r="N118" s="46" t="str">
        <f aca="false">IF(M118="L","Baixa",IF(M118="A","Média",IF(M118="","","Alta")))</f>
        <v>Baixa</v>
      </c>
      <c r="O118" s="47" t="n">
        <f aca="false">IF(ISBLANK(H118),"",IF(H118="ALI",IF(M118="L",7,IF(M118="A",10,15)),IF(H118="AIE",IF(M118="L",5,IF(M118="A",7,10)),IF(H118="SE",IF(M118="L",4,IF(M118="A",5,7)),IF(OR(H118="EE",H118="CE"),IF(M118="L",3,IF(M118="A",4,6)))))))</f>
        <v>3</v>
      </c>
      <c r="P118" s="48" t="n">
        <f aca="false">IF(I118="I",O118*Contagem!$W$15,IF(I118="E",O118*Contagem!$W$17,IF(I118="A",O118*Contagem!$W$16,IF(I118="T",O118*Contagem!$W$18,""))))</f>
        <v>3</v>
      </c>
      <c r="Q118" s="49" t="s">
        <v>223</v>
      </c>
    </row>
    <row r="119" customFormat="false" ht="12" hidden="false" customHeight="true" outlineLevel="0" collapsed="false">
      <c r="A119" s="40" t="n">
        <f aca="false">IF(H119="",IF(C119="",A118,A118+1),A118)</f>
        <v>17</v>
      </c>
      <c r="B119" s="41" t="str">
        <f aca="false">IF(A119=A118,"",CONCATENATE("F",A119))</f>
        <v/>
      </c>
      <c r="C119" s="42" t="s">
        <v>224</v>
      </c>
      <c r="D119" s="42"/>
      <c r="E119" s="42"/>
      <c r="F119" s="42"/>
      <c r="G119" s="42"/>
      <c r="H119" s="44" t="s">
        <v>80</v>
      </c>
      <c r="I119" s="50" t="s">
        <v>56</v>
      </c>
      <c r="J119" s="44" t="n">
        <v>5</v>
      </c>
      <c r="K119" s="44" t="n">
        <v>1</v>
      </c>
      <c r="L119" s="44" t="str">
        <f aca="false">CONCATENATE(H119,M119)</f>
        <v>CEL</v>
      </c>
      <c r="M119" s="45" t="str">
        <f aca="false">IF(OR(ISBLANK(J119),ISBLANK(K119)),IF(OR(H119="ALI",H119="AIE"),"L",IF(ISBLANK(H119),"","A")),IF(H119="EE",IF(K119&gt;=3,IF(J119&gt;=5,"H","A"),IF(K119&gt;=2,IF(J119&gt;=16,"H",IF(J119&lt;=4,"L","A")),IF(J119&lt;=15,"L","A"))),IF(OR(H119="SE",H119="CE"),IF(K119&gt;=4,IF(J119&gt;=6,"H","A"),IF(K119&gt;=2,IF(J119&gt;=20,"H",IF(J119&lt;=5,"L","A")),IF(J119&lt;=19,"L","A"))),IF(OR(H119="ALI",H119="AIE"),IF(K119&gt;=6,IF(J119&gt;=20,"H","A"),IF(K119&gt;=2,IF(J119&gt;=51,"H",IF(J119&lt;=19,"L","A")),IF(J119&lt;=50,"L","A")))))))</f>
        <v>L</v>
      </c>
      <c r="N119" s="46" t="str">
        <f aca="false">IF(M119="L","Baixa",IF(M119="A","Média",IF(M119="","","Alta")))</f>
        <v>Baixa</v>
      </c>
      <c r="O119" s="47" t="n">
        <f aca="false">IF(ISBLANK(H119),"",IF(H119="ALI",IF(M119="L",7,IF(M119="A",10,15)),IF(H119="AIE",IF(M119="L",5,IF(M119="A",7,10)),IF(H119="SE",IF(M119="L",4,IF(M119="A",5,7)),IF(OR(H119="EE",H119="CE"),IF(M119="L",3,IF(M119="A",4,6)))))))</f>
        <v>3</v>
      </c>
      <c r="P119" s="48" t="n">
        <f aca="false">IF(I119="I",O119*Contagem!$W$15,IF(I119="E",O119*Contagem!$W$17,IF(I119="A",O119*Contagem!$W$16,IF(I119="T",O119*Contagem!$W$18,""))))</f>
        <v>3</v>
      </c>
      <c r="Q119" s="49" t="s">
        <v>225</v>
      </c>
    </row>
    <row r="120" customFormat="false" ht="12" hidden="false" customHeight="true" outlineLevel="0" collapsed="false">
      <c r="A120" s="40" t="n">
        <f aca="false">IF(H120="",IF(C120="",A119,A119+1),A119)</f>
        <v>17</v>
      </c>
      <c r="B120" s="41" t="str">
        <f aca="false">IF(A120=A119,"",CONCATENATE("F",A120))</f>
        <v/>
      </c>
      <c r="C120" s="42" t="s">
        <v>226</v>
      </c>
      <c r="D120" s="42"/>
      <c r="E120" s="42"/>
      <c r="F120" s="42"/>
      <c r="G120" s="42"/>
      <c r="H120" s="44" t="s">
        <v>62</v>
      </c>
      <c r="I120" s="50" t="s">
        <v>56</v>
      </c>
      <c r="J120" s="44" t="n">
        <v>5</v>
      </c>
      <c r="K120" s="44" t="n">
        <v>1</v>
      </c>
      <c r="L120" s="44" t="str">
        <f aca="false">CONCATENATE(H120,M120)</f>
        <v>EEL</v>
      </c>
      <c r="M120" s="45" t="str">
        <f aca="false">IF(OR(ISBLANK(J120),ISBLANK(K120)),IF(OR(H120="ALI",H120="AIE"),"L",IF(ISBLANK(H120),"","A")),IF(H120="EE",IF(K120&gt;=3,IF(J120&gt;=5,"H","A"),IF(K120&gt;=2,IF(J120&gt;=16,"H",IF(J120&lt;=4,"L","A")),IF(J120&lt;=15,"L","A"))),IF(OR(H120="SE",H120="CE"),IF(K120&gt;=4,IF(J120&gt;=6,"H","A"),IF(K120&gt;=2,IF(J120&gt;=20,"H",IF(J120&lt;=5,"L","A")),IF(J120&lt;=19,"L","A"))),IF(OR(H120="ALI",H120="AIE"),IF(K120&gt;=6,IF(J120&gt;=20,"H","A"),IF(K120&gt;=2,IF(J120&gt;=51,"H",IF(J120&lt;=19,"L","A")),IF(J120&lt;=50,"L","A")))))))</f>
        <v>L</v>
      </c>
      <c r="N120" s="46" t="str">
        <f aca="false">IF(M120="L","Baixa",IF(M120="A","Média",IF(M120="","","Alta")))</f>
        <v>Baixa</v>
      </c>
      <c r="O120" s="47" t="n">
        <f aca="false">IF(ISBLANK(H120),"",IF(H120="ALI",IF(M120="L",7,IF(M120="A",10,15)),IF(H120="AIE",IF(M120="L",5,IF(M120="A",7,10)),IF(H120="SE",IF(M120="L",4,IF(M120="A",5,7)),IF(OR(H120="EE",H120="CE"),IF(M120="L",3,IF(M120="A",4,6)))))))</f>
        <v>3</v>
      </c>
      <c r="P120" s="48" t="n">
        <f aca="false">IF(I120="I",O120*Contagem!$W$15,IF(I120="E",O120*Contagem!$W$17,IF(I120="A",O120*Contagem!$W$16,IF(I120="T",O120*Contagem!$W$18,""))))</f>
        <v>3</v>
      </c>
      <c r="Q120" s="49" t="s">
        <v>227</v>
      </c>
    </row>
    <row r="121" customFormat="false" ht="12" hidden="false" customHeight="true" outlineLevel="0" collapsed="false">
      <c r="A121" s="40" t="n">
        <f aca="false">IF(H121="",IF(C121="",A120,A120+1),A120)</f>
        <v>17</v>
      </c>
      <c r="B121" s="41" t="str">
        <f aca="false">IF(A121=A120,"",CONCATENATE("F",A121))</f>
        <v/>
      </c>
      <c r="C121" s="42" t="s">
        <v>228</v>
      </c>
      <c r="D121" s="42"/>
      <c r="E121" s="42"/>
      <c r="F121" s="42"/>
      <c r="G121" s="42"/>
      <c r="H121" s="44" t="s">
        <v>80</v>
      </c>
      <c r="I121" s="50" t="s">
        <v>56</v>
      </c>
      <c r="J121" s="44" t="n">
        <v>8</v>
      </c>
      <c r="K121" s="44" t="n">
        <v>1</v>
      </c>
      <c r="L121" s="44" t="str">
        <f aca="false">CONCATENATE(H121,M121)</f>
        <v>CEL</v>
      </c>
      <c r="M121" s="45" t="str">
        <f aca="false">IF(OR(ISBLANK(J121),ISBLANK(K121)),IF(OR(H121="ALI",H121="AIE"),"L",IF(ISBLANK(H121),"","A")),IF(H121="EE",IF(K121&gt;=3,IF(J121&gt;=5,"H","A"),IF(K121&gt;=2,IF(J121&gt;=16,"H",IF(J121&lt;=4,"L","A")),IF(J121&lt;=15,"L","A"))),IF(OR(H121="SE",H121="CE"),IF(K121&gt;=4,IF(J121&gt;=6,"H","A"),IF(K121&gt;=2,IF(J121&gt;=20,"H",IF(J121&lt;=5,"L","A")),IF(J121&lt;=19,"L","A"))),IF(OR(H121="ALI",H121="AIE"),IF(K121&gt;=6,IF(J121&gt;=20,"H","A"),IF(K121&gt;=2,IF(J121&gt;=51,"H",IF(J121&lt;=19,"L","A")),IF(J121&lt;=50,"L","A")))))))</f>
        <v>L</v>
      </c>
      <c r="N121" s="46" t="str">
        <f aca="false">IF(M121="L","Baixa",IF(M121="A","Média",IF(M121="","","Alta")))</f>
        <v>Baixa</v>
      </c>
      <c r="O121" s="47" t="n">
        <f aca="false">IF(ISBLANK(H121),"",IF(H121="ALI",IF(M121="L",7,IF(M121="A",10,15)),IF(H121="AIE",IF(M121="L",5,IF(M121="A",7,10)),IF(H121="SE",IF(M121="L",4,IF(M121="A",5,7)),IF(OR(H121="EE",H121="CE"),IF(M121="L",3,IF(M121="A",4,6)))))))</f>
        <v>3</v>
      </c>
      <c r="P121" s="48" t="n">
        <f aca="false">IF(I121="I",O121*Contagem!$W$15,IF(I121="E",O121*Contagem!$W$17,IF(I121="A",O121*Contagem!$W$16,IF(I121="T",O121*Contagem!$W$18,""))))</f>
        <v>3</v>
      </c>
      <c r="Q121" s="49" t="s">
        <v>229</v>
      </c>
    </row>
    <row r="122" customFormat="false" ht="12" hidden="false" customHeight="true" outlineLevel="0" collapsed="false">
      <c r="A122" s="40" t="n">
        <f aca="false">IF(H122="",IF(C122="",A121,A121+1),A121)</f>
        <v>17</v>
      </c>
      <c r="B122" s="41" t="str">
        <f aca="false">IF(A122=A121,"",CONCATENATE("F",A122))</f>
        <v/>
      </c>
      <c r="C122" s="42" t="s">
        <v>230</v>
      </c>
      <c r="D122" s="42"/>
      <c r="E122" s="42"/>
      <c r="F122" s="42"/>
      <c r="G122" s="42"/>
      <c r="H122" s="44" t="s">
        <v>62</v>
      </c>
      <c r="I122" s="50" t="s">
        <v>56</v>
      </c>
      <c r="J122" s="44" t="n">
        <v>8</v>
      </c>
      <c r="K122" s="44" t="n">
        <v>1</v>
      </c>
      <c r="L122" s="44" t="str">
        <f aca="false">CONCATENATE(H122,M122)</f>
        <v>EEL</v>
      </c>
      <c r="M122" s="45" t="str">
        <f aca="false">IF(OR(ISBLANK(J122),ISBLANK(K122)),IF(OR(H122="ALI",H122="AIE"),"L",IF(ISBLANK(H122),"","A")),IF(H122="EE",IF(K122&gt;=3,IF(J122&gt;=5,"H","A"),IF(K122&gt;=2,IF(J122&gt;=16,"H",IF(J122&lt;=4,"L","A")),IF(J122&lt;=15,"L","A"))),IF(OR(H122="SE",H122="CE"),IF(K122&gt;=4,IF(J122&gt;=6,"H","A"),IF(K122&gt;=2,IF(J122&gt;=20,"H",IF(J122&lt;=5,"L","A")),IF(J122&lt;=19,"L","A"))),IF(OR(H122="ALI",H122="AIE"),IF(K122&gt;=6,IF(J122&gt;=20,"H","A"),IF(K122&gt;=2,IF(J122&gt;=51,"H",IF(J122&lt;=19,"L","A")),IF(J122&lt;=50,"L","A")))))))</f>
        <v>L</v>
      </c>
      <c r="N122" s="46" t="str">
        <f aca="false">IF(M122="L","Baixa",IF(M122="A","Média",IF(M122="","","Alta")))</f>
        <v>Baixa</v>
      </c>
      <c r="O122" s="47" t="n">
        <f aca="false">IF(ISBLANK(H122),"",IF(H122="ALI",IF(M122="L",7,IF(M122="A",10,15)),IF(H122="AIE",IF(M122="L",5,IF(M122="A",7,10)),IF(H122="SE",IF(M122="L",4,IF(M122="A",5,7)),IF(OR(H122="EE",H122="CE"),IF(M122="L",3,IF(M122="A",4,6)))))))</f>
        <v>3</v>
      </c>
      <c r="P122" s="48" t="n">
        <f aca="false">IF(I122="I",O122*Contagem!$W$15,IF(I122="E",O122*Contagem!$W$17,IF(I122="A",O122*Contagem!$W$16,IF(I122="T",O122*Contagem!$W$18,""))))</f>
        <v>3</v>
      </c>
      <c r="Q122" s="49" t="s">
        <v>231</v>
      </c>
    </row>
    <row r="123" customFormat="false" ht="12" hidden="false" customHeight="true" outlineLevel="0" collapsed="false">
      <c r="A123" s="40" t="n">
        <f aca="false">IF(H123="",IF(C123="",A122,A122+1),A122)</f>
        <v>17</v>
      </c>
      <c r="B123" s="41" t="str">
        <f aca="false">IF(A123=A122,"",CONCATENATE("F",A123))</f>
        <v/>
      </c>
      <c r="C123" s="42" t="s">
        <v>232</v>
      </c>
      <c r="D123" s="42"/>
      <c r="E123" s="42"/>
      <c r="F123" s="42"/>
      <c r="G123" s="42"/>
      <c r="H123" s="44" t="s">
        <v>80</v>
      </c>
      <c r="I123" s="50" t="s">
        <v>56</v>
      </c>
      <c r="J123" s="44" t="n">
        <v>5</v>
      </c>
      <c r="K123" s="44" t="n">
        <v>1</v>
      </c>
      <c r="L123" s="44" t="str">
        <f aca="false">CONCATENATE(H123,M123)</f>
        <v>CEL</v>
      </c>
      <c r="M123" s="45" t="str">
        <f aca="false">IF(OR(ISBLANK(J123),ISBLANK(K123)),IF(OR(H123="ALI",H123="AIE"),"L",IF(ISBLANK(H123),"","A")),IF(H123="EE",IF(K123&gt;=3,IF(J123&gt;=5,"H","A"),IF(K123&gt;=2,IF(J123&gt;=16,"H",IF(J123&lt;=4,"L","A")),IF(J123&lt;=15,"L","A"))),IF(OR(H123="SE",H123="CE"),IF(K123&gt;=4,IF(J123&gt;=6,"H","A"),IF(K123&gt;=2,IF(J123&gt;=20,"H",IF(J123&lt;=5,"L","A")),IF(J123&lt;=19,"L","A"))),IF(OR(H123="ALI",H123="AIE"),IF(K123&gt;=6,IF(J123&gt;=20,"H","A"),IF(K123&gt;=2,IF(J123&gt;=51,"H",IF(J123&lt;=19,"L","A")),IF(J123&lt;=50,"L","A")))))))</f>
        <v>L</v>
      </c>
      <c r="N123" s="46" t="str">
        <f aca="false">IF(M123="L","Baixa",IF(M123="A","Média",IF(M123="","","Alta")))</f>
        <v>Baixa</v>
      </c>
      <c r="O123" s="47" t="n">
        <f aca="false">IF(ISBLANK(H123),"",IF(H123="ALI",IF(M123="L",7,IF(M123="A",10,15)),IF(H123="AIE",IF(M123="L",5,IF(M123="A",7,10)),IF(H123="SE",IF(M123="L",4,IF(M123="A",5,7)),IF(OR(H123="EE",H123="CE"),IF(M123="L",3,IF(M123="A",4,6)))))))</f>
        <v>3</v>
      </c>
      <c r="P123" s="48" t="n">
        <f aca="false">IF(I123="I",O123*Contagem!$W$15,IF(I123="E",O123*Contagem!$W$17,IF(I123="A",O123*Contagem!$W$16,IF(I123="T",O123*Contagem!$W$18,""))))</f>
        <v>3</v>
      </c>
      <c r="Q123" s="49" t="s">
        <v>233</v>
      </c>
    </row>
    <row r="124" customFormat="false" ht="12" hidden="false" customHeight="true" outlineLevel="0" collapsed="false">
      <c r="A124" s="40" t="n">
        <f aca="false">IF(H124="",IF(C124="",A123,A123+1),A123)</f>
        <v>17</v>
      </c>
      <c r="B124" s="41" t="str">
        <f aca="false">IF(A124=A123,"",CONCATENATE("F",A124))</f>
        <v/>
      </c>
      <c r="C124" s="42" t="s">
        <v>234</v>
      </c>
      <c r="D124" s="42"/>
      <c r="E124" s="42"/>
      <c r="F124" s="42"/>
      <c r="G124" s="42"/>
      <c r="H124" s="44" t="s">
        <v>62</v>
      </c>
      <c r="I124" s="50" t="s">
        <v>56</v>
      </c>
      <c r="J124" s="44" t="n">
        <v>5</v>
      </c>
      <c r="K124" s="44" t="n">
        <v>1</v>
      </c>
      <c r="L124" s="44" t="str">
        <f aca="false">CONCATENATE(H124,M124)</f>
        <v>EEL</v>
      </c>
      <c r="M124" s="45" t="str">
        <f aca="false">IF(OR(ISBLANK(J124),ISBLANK(K124)),IF(OR(H124="ALI",H124="AIE"),"L",IF(ISBLANK(H124),"","A")),IF(H124="EE",IF(K124&gt;=3,IF(J124&gt;=5,"H","A"),IF(K124&gt;=2,IF(J124&gt;=16,"H",IF(J124&lt;=4,"L","A")),IF(J124&lt;=15,"L","A"))),IF(OR(H124="SE",H124="CE"),IF(K124&gt;=4,IF(J124&gt;=6,"H","A"),IF(K124&gt;=2,IF(J124&gt;=20,"H",IF(J124&lt;=5,"L","A")),IF(J124&lt;=19,"L","A"))),IF(OR(H124="ALI",H124="AIE"),IF(K124&gt;=6,IF(J124&gt;=20,"H","A"),IF(K124&gt;=2,IF(J124&gt;=51,"H",IF(J124&lt;=19,"L","A")),IF(J124&lt;=50,"L","A")))))))</f>
        <v>L</v>
      </c>
      <c r="N124" s="46" t="str">
        <f aca="false">IF(M124="L","Baixa",IF(M124="A","Média",IF(M124="","","Alta")))</f>
        <v>Baixa</v>
      </c>
      <c r="O124" s="47" t="n">
        <f aca="false">IF(ISBLANK(H124),"",IF(H124="ALI",IF(M124="L",7,IF(M124="A",10,15)),IF(H124="AIE",IF(M124="L",5,IF(M124="A",7,10)),IF(H124="SE",IF(M124="L",4,IF(M124="A",5,7)),IF(OR(H124="EE",H124="CE"),IF(M124="L",3,IF(M124="A",4,6)))))))</f>
        <v>3</v>
      </c>
      <c r="P124" s="48" t="n">
        <f aca="false">IF(I124="I",O124*Contagem!$W$15,IF(I124="E",O124*Contagem!$W$17,IF(I124="A",O124*Contagem!$W$16,IF(I124="T",O124*Contagem!$W$18,""))))</f>
        <v>3</v>
      </c>
      <c r="Q124" s="49" t="s">
        <v>235</v>
      </c>
    </row>
    <row r="125" customFormat="false" ht="12" hidden="false" customHeight="true" outlineLevel="0" collapsed="false">
      <c r="A125" s="40" t="n">
        <f aca="false">IF(H125="",IF(C125="",A124,A124+1),A124)</f>
        <v>17</v>
      </c>
      <c r="B125" s="41" t="str">
        <f aca="false">IF(A125=A124,"",CONCATENATE("F",A125))</f>
        <v/>
      </c>
      <c r="C125" s="42" t="s">
        <v>236</v>
      </c>
      <c r="D125" s="42"/>
      <c r="E125" s="42"/>
      <c r="F125" s="42"/>
      <c r="G125" s="42"/>
      <c r="H125" s="44" t="s">
        <v>80</v>
      </c>
      <c r="I125" s="50" t="s">
        <v>56</v>
      </c>
      <c r="J125" s="44" t="n">
        <v>8</v>
      </c>
      <c r="K125" s="44" t="n">
        <v>1</v>
      </c>
      <c r="L125" s="44" t="str">
        <f aca="false">CONCATENATE(H125,M125)</f>
        <v>CEL</v>
      </c>
      <c r="M125" s="45" t="str">
        <f aca="false">IF(OR(ISBLANK(J125),ISBLANK(K125)),IF(OR(H125="ALI",H125="AIE"),"L",IF(ISBLANK(H125),"","A")),IF(H125="EE",IF(K125&gt;=3,IF(J125&gt;=5,"H","A"),IF(K125&gt;=2,IF(J125&gt;=16,"H",IF(J125&lt;=4,"L","A")),IF(J125&lt;=15,"L","A"))),IF(OR(H125="SE",H125="CE"),IF(K125&gt;=4,IF(J125&gt;=6,"H","A"),IF(K125&gt;=2,IF(J125&gt;=20,"H",IF(J125&lt;=5,"L","A")),IF(J125&lt;=19,"L","A"))),IF(OR(H125="ALI",H125="AIE"),IF(K125&gt;=6,IF(J125&gt;=20,"H","A"),IF(K125&gt;=2,IF(J125&gt;=51,"H",IF(J125&lt;=19,"L","A")),IF(J125&lt;=50,"L","A")))))))</f>
        <v>L</v>
      </c>
      <c r="N125" s="46" t="str">
        <f aca="false">IF(M125="L","Baixa",IF(M125="A","Média",IF(M125="","","Alta")))</f>
        <v>Baixa</v>
      </c>
      <c r="O125" s="47" t="n">
        <f aca="false">IF(ISBLANK(H125),"",IF(H125="ALI",IF(M125="L",7,IF(M125="A",10,15)),IF(H125="AIE",IF(M125="L",5,IF(M125="A",7,10)),IF(H125="SE",IF(M125="L",4,IF(M125="A",5,7)),IF(OR(H125="EE",H125="CE"),IF(M125="L",3,IF(M125="A",4,6)))))))</f>
        <v>3</v>
      </c>
      <c r="P125" s="48" t="n">
        <f aca="false">IF(I125="I",O125*Contagem!$W$15,IF(I125="E",O125*Contagem!$W$17,IF(I125="A",O125*Contagem!$W$16,IF(I125="T",O125*Contagem!$W$18,""))))</f>
        <v>3</v>
      </c>
      <c r="Q125" s="49" t="s">
        <v>237</v>
      </c>
    </row>
    <row r="126" customFormat="false" ht="12" hidden="false" customHeight="true" outlineLevel="0" collapsed="false">
      <c r="A126" s="40" t="n">
        <f aca="false">IF(H126="",IF(C126="",A125,A125+1),A125)</f>
        <v>17</v>
      </c>
      <c r="B126" s="41" t="str">
        <f aca="false">IF(A126=A125,"",CONCATENATE("F",A126))</f>
        <v/>
      </c>
      <c r="C126" s="42" t="s">
        <v>238</v>
      </c>
      <c r="D126" s="42"/>
      <c r="E126" s="42"/>
      <c r="F126" s="42"/>
      <c r="G126" s="42"/>
      <c r="H126" s="44" t="s">
        <v>62</v>
      </c>
      <c r="I126" s="50" t="s">
        <v>56</v>
      </c>
      <c r="J126" s="44" t="n">
        <v>8</v>
      </c>
      <c r="K126" s="44" t="n">
        <v>1</v>
      </c>
      <c r="L126" s="44" t="str">
        <f aca="false">CONCATENATE(H126,M126)</f>
        <v>EEL</v>
      </c>
      <c r="M126" s="45" t="str">
        <f aca="false">IF(OR(ISBLANK(J126),ISBLANK(K126)),IF(OR(H126="ALI",H126="AIE"),"L",IF(ISBLANK(H126),"","A")),IF(H126="EE",IF(K126&gt;=3,IF(J126&gt;=5,"H","A"),IF(K126&gt;=2,IF(J126&gt;=16,"H",IF(J126&lt;=4,"L","A")),IF(J126&lt;=15,"L","A"))),IF(OR(H126="SE",H126="CE"),IF(K126&gt;=4,IF(J126&gt;=6,"H","A"),IF(K126&gt;=2,IF(J126&gt;=20,"H",IF(J126&lt;=5,"L","A")),IF(J126&lt;=19,"L","A"))),IF(OR(H126="ALI",H126="AIE"),IF(K126&gt;=6,IF(J126&gt;=20,"H","A"),IF(K126&gt;=2,IF(J126&gt;=51,"H",IF(J126&lt;=19,"L","A")),IF(J126&lt;=50,"L","A")))))))</f>
        <v>L</v>
      </c>
      <c r="N126" s="46" t="str">
        <f aca="false">IF(M126="L","Baixa",IF(M126="A","Média",IF(M126="","","Alta")))</f>
        <v>Baixa</v>
      </c>
      <c r="O126" s="47" t="n">
        <f aca="false">IF(ISBLANK(H126),"",IF(H126="ALI",IF(M126="L",7,IF(M126="A",10,15)),IF(H126="AIE",IF(M126="L",5,IF(M126="A",7,10)),IF(H126="SE",IF(M126="L",4,IF(M126="A",5,7)),IF(OR(H126="EE",H126="CE"),IF(M126="L",3,IF(M126="A",4,6)))))))</f>
        <v>3</v>
      </c>
      <c r="P126" s="48" t="n">
        <f aca="false">IF(I126="I",O126*Contagem!$W$15,IF(I126="E",O126*Contagem!$W$17,IF(I126="A",O126*Contagem!$W$16,IF(I126="T",O126*Contagem!$W$18,""))))</f>
        <v>3</v>
      </c>
      <c r="Q126" s="49" t="s">
        <v>239</v>
      </c>
    </row>
    <row r="127" customFormat="false" ht="12" hidden="false" customHeight="true" outlineLevel="0" collapsed="false">
      <c r="A127" s="40" t="n">
        <f aca="false">IF(H127="",IF(C127="",A126,A126+1),A126)</f>
        <v>17</v>
      </c>
      <c r="B127" s="41" t="str">
        <f aca="false">IF(A127=A126,"",CONCATENATE("F",A127))</f>
        <v/>
      </c>
      <c r="C127" s="42"/>
      <c r="D127" s="42"/>
      <c r="E127" s="42"/>
      <c r="F127" s="42"/>
      <c r="G127" s="42"/>
      <c r="H127" s="44"/>
      <c r="I127" s="50"/>
      <c r="J127" s="44"/>
      <c r="K127" s="44"/>
      <c r="L127" s="44" t="str">
        <f aca="false">CONCATENATE(H127,M127)</f>
        <v/>
      </c>
      <c r="M127" s="45" t="str">
        <f aca="false">IF(OR(ISBLANK(J127),ISBLANK(K127)),IF(OR(H127="ALI",H127="AIE"),"L",IF(ISBLANK(H127),"","A")),IF(H127="EE",IF(K127&gt;=3,IF(J127&gt;=5,"H","A"),IF(K127&gt;=2,IF(J127&gt;=16,"H",IF(J127&lt;=4,"L","A")),IF(J127&lt;=15,"L","A"))),IF(OR(H127="SE",H127="CE"),IF(K127&gt;=4,IF(J127&gt;=6,"H","A"),IF(K127&gt;=2,IF(J127&gt;=20,"H",IF(J127&lt;=5,"L","A")),IF(J127&lt;=19,"L","A"))),IF(OR(H127="ALI",H127="AIE"),IF(K127&gt;=6,IF(J127&gt;=20,"H","A"),IF(K127&gt;=2,IF(J127&gt;=51,"H",IF(J127&lt;=19,"L","A")),IF(J127&lt;=50,"L","A")))))))</f>
        <v/>
      </c>
      <c r="N127" s="46" t="str">
        <f aca="false">IF(M127="L","Baixa",IF(M127="A","Média",IF(M127="","","Alta")))</f>
        <v/>
      </c>
      <c r="O127" s="47" t="str">
        <f aca="false">IF(ISBLANK(H127),"",IF(H127="ALI",IF(M127="L",7,IF(M127="A",10,15)),IF(H127="AIE",IF(M127="L",5,IF(M127="A",7,10)),IF(H127="SE",IF(M127="L",4,IF(M127="A",5,7)),IF(OR(H127="EE",H127="CE"),IF(M127="L",3,IF(M127="A",4,6)))))))</f>
        <v/>
      </c>
      <c r="P127" s="48" t="str">
        <f aca="false">IF(I127="I",O127*Contagem!$W$15,IF(I127="E",O127*Contagem!$W$17,IF(I127="A",O127*Contagem!$W$16,IF(I127="T",O127*Contagem!$W$18,""))))</f>
        <v/>
      </c>
      <c r="Q127" s="49"/>
    </row>
    <row r="128" customFormat="false" ht="12" hidden="false" customHeight="true" outlineLevel="0" collapsed="false">
      <c r="A128" s="40" t="n">
        <f aca="false">IF(H128="",IF(C128="",A127,A127+1),A127)</f>
        <v>18</v>
      </c>
      <c r="B128" s="41" t="str">
        <f aca="false">IF(A128=A127,"",CONCATENATE("F",A128))</f>
        <v>F18</v>
      </c>
      <c r="C128" s="42" t="s">
        <v>240</v>
      </c>
      <c r="D128" s="42"/>
      <c r="E128" s="42"/>
      <c r="F128" s="42"/>
      <c r="G128" s="42"/>
      <c r="H128" s="44"/>
      <c r="I128" s="50"/>
      <c r="J128" s="44"/>
      <c r="K128" s="44"/>
      <c r="L128" s="44" t="str">
        <f aca="false">CONCATENATE(H128,M128)</f>
        <v/>
      </c>
      <c r="M128" s="45" t="str">
        <f aca="false">IF(OR(ISBLANK(J128),ISBLANK(K128)),IF(OR(H128="ALI",H128="AIE"),"L",IF(ISBLANK(H128),"","A")),IF(H128="EE",IF(K128&gt;=3,IF(J128&gt;=5,"H","A"),IF(K128&gt;=2,IF(J128&gt;=16,"H",IF(J128&lt;=4,"L","A")),IF(J128&lt;=15,"L","A"))),IF(OR(H128="SE",H128="CE"),IF(K128&gt;=4,IF(J128&gt;=6,"H","A"),IF(K128&gt;=2,IF(J128&gt;=20,"H",IF(J128&lt;=5,"L","A")),IF(J128&lt;=19,"L","A"))),IF(OR(H128="ALI",H128="AIE"),IF(K128&gt;=6,IF(J128&gt;=20,"H","A"),IF(K128&gt;=2,IF(J128&gt;=51,"H",IF(J128&lt;=19,"L","A")),IF(J128&lt;=50,"L","A")))))))</f>
        <v/>
      </c>
      <c r="N128" s="46" t="str">
        <f aca="false">IF(M128="L","Baixa",IF(M128="A","Média",IF(M128="","","Alta")))</f>
        <v/>
      </c>
      <c r="O128" s="47" t="str">
        <f aca="false">IF(ISBLANK(H128),"",IF(H128="ALI",IF(M128="L",7,IF(M128="A",10,15)),IF(H128="AIE",IF(M128="L",5,IF(M128="A",7,10)),IF(H128="SE",IF(M128="L",4,IF(M128="A",5,7)),IF(OR(H128="EE",H128="CE"),IF(M128="L",3,IF(M128="A",4,6)))))))</f>
        <v/>
      </c>
      <c r="P128" s="48" t="str">
        <f aca="false">IF(I128="I",O128*Contagem!$W$15,IF(I128="E",O128*Contagem!$W$17,IF(I128="A",O128*Contagem!$W$16,IF(I128="T",O128*Contagem!$W$18,""))))</f>
        <v/>
      </c>
      <c r="Q128" s="49"/>
    </row>
    <row r="129" customFormat="false" ht="12" hidden="false" customHeight="true" outlineLevel="0" collapsed="false">
      <c r="A129" s="40" t="n">
        <f aca="false">IF(H129="",IF(C129="",A128,A128+1),A128)</f>
        <v>18</v>
      </c>
      <c r="B129" s="41" t="str">
        <f aca="false">IF(A129=A128,"",CONCATENATE("F",A129))</f>
        <v/>
      </c>
      <c r="C129" s="42" t="s">
        <v>241</v>
      </c>
      <c r="D129" s="42"/>
      <c r="E129" s="42"/>
      <c r="F129" s="42"/>
      <c r="G129" s="42"/>
      <c r="H129" s="44" t="s">
        <v>55</v>
      </c>
      <c r="I129" s="50" t="s">
        <v>56</v>
      </c>
      <c r="J129" s="44" t="n">
        <v>8</v>
      </c>
      <c r="K129" s="44" t="n">
        <v>1</v>
      </c>
      <c r="L129" s="44" t="str">
        <f aca="false">CONCATENATE(H129,M129)</f>
        <v>ALIL</v>
      </c>
      <c r="M129" s="45" t="str">
        <f aca="false">IF(OR(ISBLANK(J129),ISBLANK(K129)),IF(OR(H129="ALI",H129="AIE"),"L",IF(ISBLANK(H129),"","A")),IF(H129="EE",IF(K129&gt;=3,IF(J129&gt;=5,"H","A"),IF(K129&gt;=2,IF(J129&gt;=16,"H",IF(J129&lt;=4,"L","A")),IF(J129&lt;=15,"L","A"))),IF(OR(H129="SE",H129="CE"),IF(K129&gt;=4,IF(J129&gt;=6,"H","A"),IF(K129&gt;=2,IF(J129&gt;=20,"H",IF(J129&lt;=5,"L","A")),IF(J129&lt;=19,"L","A"))),IF(OR(H129="ALI",H129="AIE"),IF(K129&gt;=6,IF(J129&gt;=20,"H","A"),IF(K129&gt;=2,IF(J129&gt;=51,"H",IF(J129&lt;=19,"L","A")),IF(J129&lt;=50,"L","A")))))))</f>
        <v>L</v>
      </c>
      <c r="N129" s="46" t="str">
        <f aca="false">IF(M129="L","Baixa",IF(M129="A","Média",IF(M129="","","Alta")))</f>
        <v>Baixa</v>
      </c>
      <c r="O129" s="47" t="n">
        <f aca="false">IF(ISBLANK(H129),"",IF(H129="ALI",IF(M129="L",7,IF(M129="A",10,15)),IF(H129="AIE",IF(M129="L",5,IF(M129="A",7,10)),IF(H129="SE",IF(M129="L",4,IF(M129="A",5,7)),IF(OR(H129="EE",H129="CE"),IF(M129="L",3,IF(M129="A",4,6)))))))</f>
        <v>7</v>
      </c>
      <c r="P129" s="48" t="n">
        <f aca="false">IF(I129="I",O129*Contagem!$W$15,IF(I129="E",O129*Contagem!$W$17,IF(I129="A",O129*Contagem!$W$16,IF(I129="T",O129*Contagem!$W$18,""))))</f>
        <v>7</v>
      </c>
      <c r="Q129" s="49" t="s">
        <v>242</v>
      </c>
    </row>
    <row r="130" customFormat="false" ht="12" hidden="false" customHeight="true" outlineLevel="0" collapsed="false">
      <c r="A130" s="40" t="n">
        <f aca="false">IF(H130="",IF(C130="",A129,A129+1),A129)</f>
        <v>18</v>
      </c>
      <c r="B130" s="41" t="str">
        <f aca="false">IF(A130=A129,"",CONCATENATE("F",A130))</f>
        <v/>
      </c>
      <c r="C130" s="42" t="s">
        <v>243</v>
      </c>
      <c r="D130" s="42"/>
      <c r="E130" s="42"/>
      <c r="F130" s="42"/>
      <c r="G130" s="42"/>
      <c r="H130" s="44" t="s">
        <v>80</v>
      </c>
      <c r="I130" s="50" t="s">
        <v>56</v>
      </c>
      <c r="J130" s="44" t="n">
        <v>12</v>
      </c>
      <c r="K130" s="44" t="n">
        <v>1</v>
      </c>
      <c r="L130" s="44" t="str">
        <f aca="false">CONCATENATE(H130,M130)</f>
        <v>CEL</v>
      </c>
      <c r="M130" s="45" t="str">
        <f aca="false">IF(OR(ISBLANK(J130),ISBLANK(K130)),IF(OR(H130="ALI",H130="AIE"),"L",IF(ISBLANK(H130),"","A")),IF(H130="EE",IF(K130&gt;=3,IF(J130&gt;=5,"H","A"),IF(K130&gt;=2,IF(J130&gt;=16,"H",IF(J130&lt;=4,"L","A")),IF(J130&lt;=15,"L","A"))),IF(OR(H130="SE",H130="CE"),IF(K130&gt;=4,IF(J130&gt;=6,"H","A"),IF(K130&gt;=2,IF(J130&gt;=20,"H",IF(J130&lt;=5,"L","A")),IF(J130&lt;=19,"L","A"))),IF(OR(H130="ALI",H130="AIE"),IF(K130&gt;=6,IF(J130&gt;=20,"H","A"),IF(K130&gt;=2,IF(J130&gt;=51,"H",IF(J130&lt;=19,"L","A")),IF(J130&lt;=50,"L","A")))))))</f>
        <v>L</v>
      </c>
      <c r="N130" s="46" t="str">
        <f aca="false">IF(M130="L","Baixa",IF(M130="A","Média",IF(M130="","","Alta")))</f>
        <v>Baixa</v>
      </c>
      <c r="O130" s="47" t="n">
        <f aca="false">IF(ISBLANK(H130),"",IF(H130="ALI",IF(M130="L",7,IF(M130="A",10,15)),IF(H130="AIE",IF(M130="L",5,IF(M130="A",7,10)),IF(H130="SE",IF(M130="L",4,IF(M130="A",5,7)),IF(OR(H130="EE",H130="CE"),IF(M130="L",3,IF(M130="A",4,6)))))))</f>
        <v>3</v>
      </c>
      <c r="P130" s="48" t="n">
        <f aca="false">IF(I130="I",O130*Contagem!$W$15,IF(I130="E",O130*Contagem!$W$17,IF(I130="A",O130*Contagem!$W$16,IF(I130="T",O130*Contagem!$W$18,""))))</f>
        <v>3</v>
      </c>
      <c r="Q130" s="49" t="s">
        <v>244</v>
      </c>
    </row>
    <row r="131" customFormat="false" ht="12" hidden="false" customHeight="true" outlineLevel="0" collapsed="false">
      <c r="A131" s="40" t="n">
        <f aca="false">IF(H131="",IF(C131="",A130,A130+1),A130)</f>
        <v>18</v>
      </c>
      <c r="B131" s="41" t="str">
        <f aca="false">IF(A131=A130,"",CONCATENATE("F",A131))</f>
        <v/>
      </c>
      <c r="C131" s="42"/>
      <c r="D131" s="42"/>
      <c r="E131" s="42"/>
      <c r="F131" s="42"/>
      <c r="G131" s="42"/>
      <c r="H131" s="44"/>
      <c r="I131" s="50"/>
      <c r="J131" s="44"/>
      <c r="K131" s="44"/>
      <c r="L131" s="44" t="str">
        <f aca="false">CONCATENATE(H131,M131)</f>
        <v/>
      </c>
      <c r="M131" s="45" t="str">
        <f aca="false">IF(OR(ISBLANK(J131),ISBLANK(K131)),IF(OR(H131="ALI",H131="AIE"),"L",IF(ISBLANK(H131),"","A")),IF(H131="EE",IF(K131&gt;=3,IF(J131&gt;=5,"H","A"),IF(K131&gt;=2,IF(J131&gt;=16,"H",IF(J131&lt;=4,"L","A")),IF(J131&lt;=15,"L","A"))),IF(OR(H131="SE",H131="CE"),IF(K131&gt;=4,IF(J131&gt;=6,"H","A"),IF(K131&gt;=2,IF(J131&gt;=20,"H",IF(J131&lt;=5,"L","A")),IF(J131&lt;=19,"L","A"))),IF(OR(H131="ALI",H131="AIE"),IF(K131&gt;=6,IF(J131&gt;=20,"H","A"),IF(K131&gt;=2,IF(J131&gt;=51,"H",IF(J131&lt;=19,"L","A")),IF(J131&lt;=50,"L","A")))))))</f>
        <v/>
      </c>
      <c r="N131" s="46" t="str">
        <f aca="false">IF(M131="L","Baixa",IF(M131="A","Média",IF(M131="","","Alta")))</f>
        <v/>
      </c>
      <c r="O131" s="47" t="str">
        <f aca="false">IF(ISBLANK(H131),"",IF(H131="ALI",IF(M131="L",7,IF(M131="A",10,15)),IF(H131="AIE",IF(M131="L",5,IF(M131="A",7,10)),IF(H131="SE",IF(M131="L",4,IF(M131="A",5,7)),IF(OR(H131="EE",H131="CE"),IF(M131="L",3,IF(M131="A",4,6)))))))</f>
        <v/>
      </c>
      <c r="P131" s="48" t="str">
        <f aca="false">IF(I131="I",O131*Contagem!$W$15,IF(I131="E",O131*Contagem!$W$17,IF(I131="A",O131*Contagem!$W$16,IF(I131="T",O131*Contagem!$W$18,""))))</f>
        <v/>
      </c>
      <c r="Q131" s="49"/>
    </row>
    <row r="132" customFormat="false" ht="12" hidden="false" customHeight="true" outlineLevel="0" collapsed="false">
      <c r="A132" s="40" t="n">
        <f aca="false">IF(H132="",IF(C132="",A131,A131+1),A131)</f>
        <v>19</v>
      </c>
      <c r="B132" s="41" t="str">
        <f aca="false">IF(A132=A131,"",CONCATENATE("F",A132))</f>
        <v>F19</v>
      </c>
      <c r="C132" s="42" t="s">
        <v>245</v>
      </c>
      <c r="D132" s="42"/>
      <c r="E132" s="42"/>
      <c r="F132" s="42"/>
      <c r="G132" s="42"/>
      <c r="H132" s="44"/>
      <c r="I132" s="50"/>
      <c r="J132" s="44"/>
      <c r="K132" s="44"/>
      <c r="L132" s="44" t="str">
        <f aca="false">CONCATENATE(H132,M132)</f>
        <v/>
      </c>
      <c r="M132" s="45" t="str">
        <f aca="false">IF(OR(ISBLANK(J132),ISBLANK(K132)),IF(OR(H132="ALI",H132="AIE"),"L",IF(ISBLANK(H132),"","A")),IF(H132="EE",IF(K132&gt;=3,IF(J132&gt;=5,"H","A"),IF(K132&gt;=2,IF(J132&gt;=16,"H",IF(J132&lt;=4,"L","A")),IF(J132&lt;=15,"L","A"))),IF(OR(H132="SE",H132="CE"),IF(K132&gt;=4,IF(J132&gt;=6,"H","A"),IF(K132&gt;=2,IF(J132&gt;=20,"H",IF(J132&lt;=5,"L","A")),IF(J132&lt;=19,"L","A"))),IF(OR(H132="ALI",H132="AIE"),IF(K132&gt;=6,IF(J132&gt;=20,"H","A"),IF(K132&gt;=2,IF(J132&gt;=51,"H",IF(J132&lt;=19,"L","A")),IF(J132&lt;=50,"L","A")))))))</f>
        <v/>
      </c>
      <c r="N132" s="46" t="str">
        <f aca="false">IF(M132="L","Baixa",IF(M132="A","Média",IF(M132="","","Alta")))</f>
        <v/>
      </c>
      <c r="O132" s="47" t="str">
        <f aca="false">IF(ISBLANK(H132),"",IF(H132="ALI",IF(M132="L",7,IF(M132="A",10,15)),IF(H132="AIE",IF(M132="L",5,IF(M132="A",7,10)),IF(H132="SE",IF(M132="L",4,IF(M132="A",5,7)),IF(OR(H132="EE",H132="CE"),IF(M132="L",3,IF(M132="A",4,6)))))))</f>
        <v/>
      </c>
      <c r="P132" s="48" t="str">
        <f aca="false">IF(I132="I",O132*Contagem!$W$15,IF(I132="E",O132*Contagem!$W$17,IF(I132="A",O132*Contagem!$W$16,IF(I132="T",O132*Contagem!$W$18,""))))</f>
        <v/>
      </c>
      <c r="Q132" s="49"/>
    </row>
    <row r="133" customFormat="false" ht="12" hidden="false" customHeight="true" outlineLevel="0" collapsed="false">
      <c r="A133" s="40" t="n">
        <f aca="false">IF(H133="",IF(C133="",A132,A132+1),A132)</f>
        <v>19</v>
      </c>
      <c r="B133" s="41" t="str">
        <f aca="false">IF(A133=A132,"",CONCATENATE("F",A133))</f>
        <v/>
      </c>
      <c r="C133" s="42" t="s">
        <v>246</v>
      </c>
      <c r="D133" s="42"/>
      <c r="E133" s="42"/>
      <c r="F133" s="42"/>
      <c r="G133" s="42"/>
      <c r="H133" s="44" t="s">
        <v>55</v>
      </c>
      <c r="I133" s="50" t="s">
        <v>56</v>
      </c>
      <c r="J133" s="44" t="n">
        <v>4</v>
      </c>
      <c r="K133" s="44" t="n">
        <v>1</v>
      </c>
      <c r="L133" s="44" t="str">
        <f aca="false">CONCATENATE(H133,M133)</f>
        <v>ALIL</v>
      </c>
      <c r="M133" s="45" t="str">
        <f aca="false">IF(OR(ISBLANK(J133),ISBLANK(K133)),IF(OR(H133="ALI",H133="AIE"),"L",IF(ISBLANK(H133),"","A")),IF(H133="EE",IF(K133&gt;=3,IF(J133&gt;=5,"H","A"),IF(K133&gt;=2,IF(J133&gt;=16,"H",IF(J133&lt;=4,"L","A")),IF(J133&lt;=15,"L","A"))),IF(OR(H133="SE",H133="CE"),IF(K133&gt;=4,IF(J133&gt;=6,"H","A"),IF(K133&gt;=2,IF(J133&gt;=20,"H",IF(J133&lt;=5,"L","A")),IF(J133&lt;=19,"L","A"))),IF(OR(H133="ALI",H133="AIE"),IF(K133&gt;=6,IF(J133&gt;=20,"H","A"),IF(K133&gt;=2,IF(J133&gt;=51,"H",IF(J133&lt;=19,"L","A")),IF(J133&lt;=50,"L","A")))))))</f>
        <v>L</v>
      </c>
      <c r="N133" s="46" t="str">
        <f aca="false">IF(M133="L","Baixa",IF(M133="A","Média",IF(M133="","","Alta")))</f>
        <v>Baixa</v>
      </c>
      <c r="O133" s="47" t="n">
        <f aca="false">IF(ISBLANK(H133),"",IF(H133="ALI",IF(M133="L",7,IF(M133="A",10,15)),IF(H133="AIE",IF(M133="L",5,IF(M133="A",7,10)),IF(H133="SE",IF(M133="L",4,IF(M133="A",5,7)),IF(OR(H133="EE",H133="CE"),IF(M133="L",3,IF(M133="A",4,6)))))))</f>
        <v>7</v>
      </c>
      <c r="P133" s="48" t="n">
        <f aca="false">IF(I133="I",O133*Contagem!$W$15,IF(I133="E",O133*Contagem!$W$17,IF(I133="A",O133*Contagem!$W$16,IF(I133="T",O133*Contagem!$W$18,""))))</f>
        <v>7</v>
      </c>
      <c r="Q133" s="49" t="s">
        <v>247</v>
      </c>
    </row>
    <row r="134" customFormat="false" ht="12" hidden="false" customHeight="true" outlineLevel="0" collapsed="false">
      <c r="A134" s="40" t="n">
        <f aca="false">IF(H134="",IF(C134="",A133,A133+1),A133)</f>
        <v>19</v>
      </c>
      <c r="B134" s="41" t="str">
        <f aca="false">IF(A134=A133,"",CONCATENATE("F",A134))</f>
        <v/>
      </c>
      <c r="C134" s="42" t="s">
        <v>248</v>
      </c>
      <c r="D134" s="42"/>
      <c r="E134" s="42"/>
      <c r="F134" s="42"/>
      <c r="G134" s="42"/>
      <c r="H134" s="44" t="s">
        <v>80</v>
      </c>
      <c r="I134" s="50" t="s">
        <v>56</v>
      </c>
      <c r="J134" s="44" t="n">
        <v>8</v>
      </c>
      <c r="K134" s="44" t="n">
        <v>1</v>
      </c>
      <c r="L134" s="44" t="str">
        <f aca="false">CONCATENATE(H134,M134)</f>
        <v>CEL</v>
      </c>
      <c r="M134" s="45" t="str">
        <f aca="false">IF(OR(ISBLANK(J134),ISBLANK(K134)),IF(OR(H134="ALI",H134="AIE"),"L",IF(ISBLANK(H134),"","A")),IF(H134="EE",IF(K134&gt;=3,IF(J134&gt;=5,"H","A"),IF(K134&gt;=2,IF(J134&gt;=16,"H",IF(J134&lt;=4,"L","A")),IF(J134&lt;=15,"L","A"))),IF(OR(H134="SE",H134="CE"),IF(K134&gt;=4,IF(J134&gt;=6,"H","A"),IF(K134&gt;=2,IF(J134&gt;=20,"H",IF(J134&lt;=5,"L","A")),IF(J134&lt;=19,"L","A"))),IF(OR(H134="ALI",H134="AIE"),IF(K134&gt;=6,IF(J134&gt;=20,"H","A"),IF(K134&gt;=2,IF(J134&gt;=51,"H",IF(J134&lt;=19,"L","A")),IF(J134&lt;=50,"L","A")))))))</f>
        <v>L</v>
      </c>
      <c r="N134" s="46" t="str">
        <f aca="false">IF(M134="L","Baixa",IF(M134="A","Média",IF(M134="","","Alta")))</f>
        <v>Baixa</v>
      </c>
      <c r="O134" s="47" t="n">
        <f aca="false">IF(ISBLANK(H134),"",IF(H134="ALI",IF(M134="L",7,IF(M134="A",10,15)),IF(H134="AIE",IF(M134="L",5,IF(M134="A",7,10)),IF(H134="SE",IF(M134="L",4,IF(M134="A",5,7)),IF(OR(H134="EE",H134="CE"),IF(M134="L",3,IF(M134="A",4,6)))))))</f>
        <v>3</v>
      </c>
      <c r="P134" s="48" t="n">
        <f aca="false">IF(I134="I",O134*Contagem!$W$15,IF(I134="E",O134*Contagem!$W$17,IF(I134="A",O134*Contagem!$W$16,IF(I134="T",O134*Contagem!$W$18,""))))</f>
        <v>3</v>
      </c>
      <c r="Q134" s="49" t="s">
        <v>249</v>
      </c>
    </row>
    <row r="135" customFormat="false" ht="12" hidden="false" customHeight="true" outlineLevel="0" collapsed="false">
      <c r="A135" s="40" t="n">
        <f aca="false">IF(H135="",IF(C135="",A134,A134+1),A134)</f>
        <v>19</v>
      </c>
      <c r="B135" s="41" t="str">
        <f aca="false">IF(A135=A134,"",CONCATENATE("F",A135))</f>
        <v/>
      </c>
      <c r="C135" s="42" t="s">
        <v>250</v>
      </c>
      <c r="D135" s="42"/>
      <c r="E135" s="42"/>
      <c r="F135" s="42"/>
      <c r="G135" s="42"/>
      <c r="H135" s="44" t="s">
        <v>62</v>
      </c>
      <c r="I135" s="50" t="s">
        <v>56</v>
      </c>
      <c r="J135" s="44" t="n">
        <v>5</v>
      </c>
      <c r="K135" s="44" t="n">
        <v>1</v>
      </c>
      <c r="L135" s="44" t="str">
        <f aca="false">CONCATENATE(H135,M135)</f>
        <v>EEL</v>
      </c>
      <c r="M135" s="45" t="str">
        <f aca="false">IF(OR(ISBLANK(J135),ISBLANK(K135)),IF(OR(H135="ALI",H135="AIE"),"L",IF(ISBLANK(H135),"","A")),IF(H135="EE",IF(K135&gt;=3,IF(J135&gt;=5,"H","A"),IF(K135&gt;=2,IF(J135&gt;=16,"H",IF(J135&lt;=4,"L","A")),IF(J135&lt;=15,"L","A"))),IF(OR(H135="SE",H135="CE"),IF(K135&gt;=4,IF(J135&gt;=6,"H","A"),IF(K135&gt;=2,IF(J135&gt;=20,"H",IF(J135&lt;=5,"L","A")),IF(J135&lt;=19,"L","A"))),IF(OR(H135="ALI",H135="AIE"),IF(K135&gt;=6,IF(J135&gt;=20,"H","A"),IF(K135&gt;=2,IF(J135&gt;=51,"H",IF(J135&lt;=19,"L","A")),IF(J135&lt;=50,"L","A")))))))</f>
        <v>L</v>
      </c>
      <c r="N135" s="46" t="str">
        <f aca="false">IF(M135="L","Baixa",IF(M135="A","Média",IF(M135="","","Alta")))</f>
        <v>Baixa</v>
      </c>
      <c r="O135" s="47" t="n">
        <f aca="false">IF(ISBLANK(H135),"",IF(H135="ALI",IF(M135="L",7,IF(M135="A",10,15)),IF(H135="AIE",IF(M135="L",5,IF(M135="A",7,10)),IF(H135="SE",IF(M135="L",4,IF(M135="A",5,7)),IF(OR(H135="EE",H135="CE"),IF(M135="L",3,IF(M135="A",4,6)))))))</f>
        <v>3</v>
      </c>
      <c r="P135" s="48" t="n">
        <f aca="false">IF(I135="I",O135*Contagem!$W$15,IF(I135="E",O135*Contagem!$W$17,IF(I135="A",O135*Contagem!$W$16,IF(I135="T",O135*Contagem!$W$18,""))))</f>
        <v>3</v>
      </c>
      <c r="Q135" s="49" t="s">
        <v>251</v>
      </c>
    </row>
    <row r="136" customFormat="false" ht="12" hidden="false" customHeight="true" outlineLevel="0" collapsed="false">
      <c r="A136" s="40" t="n">
        <f aca="false">IF(H136="",IF(C136="",A135,A135+1),A135)</f>
        <v>19</v>
      </c>
      <c r="B136" s="41" t="str">
        <f aca="false">IF(A136=A135,"",CONCATENATE("F",A136))</f>
        <v/>
      </c>
      <c r="C136" s="42" t="s">
        <v>252</v>
      </c>
      <c r="D136" s="42"/>
      <c r="E136" s="42"/>
      <c r="F136" s="42"/>
      <c r="G136" s="42"/>
      <c r="H136" s="44" t="s">
        <v>62</v>
      </c>
      <c r="I136" s="50" t="s">
        <v>56</v>
      </c>
      <c r="J136" s="44" t="n">
        <v>6</v>
      </c>
      <c r="K136" s="44" t="n">
        <v>1</v>
      </c>
      <c r="L136" s="44" t="str">
        <f aca="false">CONCATENATE(H136,M136)</f>
        <v>EEL</v>
      </c>
      <c r="M136" s="45" t="str">
        <f aca="false">IF(OR(ISBLANK(J136),ISBLANK(K136)),IF(OR(H136="ALI",H136="AIE"),"L",IF(ISBLANK(H136),"","A")),IF(H136="EE",IF(K136&gt;=3,IF(J136&gt;=5,"H","A"),IF(K136&gt;=2,IF(J136&gt;=16,"H",IF(J136&lt;=4,"L","A")),IF(J136&lt;=15,"L","A"))),IF(OR(H136="SE",H136="CE"),IF(K136&gt;=4,IF(J136&gt;=6,"H","A"),IF(K136&gt;=2,IF(J136&gt;=20,"H",IF(J136&lt;=5,"L","A")),IF(J136&lt;=19,"L","A"))),IF(OR(H136="ALI",H136="AIE"),IF(K136&gt;=6,IF(J136&gt;=20,"H","A"),IF(K136&gt;=2,IF(J136&gt;=51,"H",IF(J136&lt;=19,"L","A")),IF(J136&lt;=50,"L","A")))))))</f>
        <v>L</v>
      </c>
      <c r="N136" s="46" t="str">
        <f aca="false">IF(M136="L","Baixa",IF(M136="A","Média",IF(M136="","","Alta")))</f>
        <v>Baixa</v>
      </c>
      <c r="O136" s="47" t="n">
        <f aca="false">IF(ISBLANK(H136),"",IF(H136="ALI",IF(M136="L",7,IF(M136="A",10,15)),IF(H136="AIE",IF(M136="L",5,IF(M136="A",7,10)),IF(H136="SE",IF(M136="L",4,IF(M136="A",5,7)),IF(OR(H136="EE",H136="CE"),IF(M136="L",3,IF(M136="A",4,6)))))))</f>
        <v>3</v>
      </c>
      <c r="P136" s="48" t="n">
        <f aca="false">IF(I136="I",O136*Contagem!$W$15,IF(I136="E",O136*Contagem!$W$17,IF(I136="A",O136*Contagem!$W$16,IF(I136="T",O136*Contagem!$W$18,""))))</f>
        <v>3</v>
      </c>
      <c r="Q136" s="49" t="s">
        <v>253</v>
      </c>
    </row>
    <row r="137" customFormat="false" ht="12" hidden="false" customHeight="true" outlineLevel="0" collapsed="false">
      <c r="A137" s="40" t="n">
        <f aca="false">IF(H137="",IF(C137="",A136,A136+1),A136)</f>
        <v>19</v>
      </c>
      <c r="B137" s="41" t="str">
        <f aca="false">IF(A137=A136,"",CONCATENATE("F",A137))</f>
        <v/>
      </c>
      <c r="C137" s="42" t="s">
        <v>254</v>
      </c>
      <c r="D137" s="42"/>
      <c r="E137" s="42"/>
      <c r="F137" s="42"/>
      <c r="G137" s="42"/>
      <c r="H137" s="44" t="s">
        <v>62</v>
      </c>
      <c r="I137" s="50" t="s">
        <v>56</v>
      </c>
      <c r="J137" s="44" t="n">
        <v>3</v>
      </c>
      <c r="K137" s="44" t="n">
        <v>1</v>
      </c>
      <c r="L137" s="44" t="str">
        <f aca="false">CONCATENATE(H137,M137)</f>
        <v>EEL</v>
      </c>
      <c r="M137" s="45" t="str">
        <f aca="false">IF(OR(ISBLANK(J137),ISBLANK(K137)),IF(OR(H137="ALI",H137="AIE"),"L",IF(ISBLANK(H137),"","A")),IF(H137="EE",IF(K137&gt;=3,IF(J137&gt;=5,"H","A"),IF(K137&gt;=2,IF(J137&gt;=16,"H",IF(J137&lt;=4,"L","A")),IF(J137&lt;=15,"L","A"))),IF(OR(H137="SE",H137="CE"),IF(K137&gt;=4,IF(J137&gt;=6,"H","A"),IF(K137&gt;=2,IF(J137&gt;=20,"H",IF(J137&lt;=5,"L","A")),IF(J137&lt;=19,"L","A"))),IF(OR(H137="ALI",H137="AIE"),IF(K137&gt;=6,IF(J137&gt;=20,"H","A"),IF(K137&gt;=2,IF(J137&gt;=51,"H",IF(J137&lt;=19,"L","A")),IF(J137&lt;=50,"L","A")))))))</f>
        <v>L</v>
      </c>
      <c r="N137" s="46" t="str">
        <f aca="false">IF(M137="L","Baixa",IF(M137="A","Média",IF(M137="","","Alta")))</f>
        <v>Baixa</v>
      </c>
      <c r="O137" s="47" t="n">
        <f aca="false">IF(ISBLANK(H137),"",IF(H137="ALI",IF(M137="L",7,IF(M137="A",10,15)),IF(H137="AIE",IF(M137="L",5,IF(M137="A",7,10)),IF(H137="SE",IF(M137="L",4,IF(M137="A",5,7)),IF(OR(H137="EE",H137="CE"),IF(M137="L",3,IF(M137="A",4,6)))))))</f>
        <v>3</v>
      </c>
      <c r="P137" s="48" t="n">
        <f aca="false">IF(I137="I",O137*Contagem!$W$15,IF(I137="E",O137*Contagem!$W$17,IF(I137="A",O137*Contagem!$W$16,IF(I137="T",O137*Contagem!$W$18,""))))</f>
        <v>3</v>
      </c>
      <c r="Q137" s="49" t="s">
        <v>255</v>
      </c>
    </row>
    <row r="138" customFormat="false" ht="12" hidden="false" customHeight="true" outlineLevel="0" collapsed="false">
      <c r="A138" s="40" t="n">
        <f aca="false">IF(H138="",IF(C138="",A137,A137+1),A137)</f>
        <v>19</v>
      </c>
      <c r="B138" s="41" t="str">
        <f aca="false">IF(A138=A137,"",CONCATENATE("F",A138))</f>
        <v/>
      </c>
      <c r="C138" s="42"/>
      <c r="D138" s="42"/>
      <c r="E138" s="42"/>
      <c r="F138" s="42"/>
      <c r="G138" s="42"/>
      <c r="H138" s="44"/>
      <c r="I138" s="50"/>
      <c r="J138" s="44"/>
      <c r="K138" s="44"/>
      <c r="L138" s="44" t="str">
        <f aca="false">CONCATENATE(H138,M138)</f>
        <v/>
      </c>
      <c r="M138" s="45" t="str">
        <f aca="false">IF(OR(ISBLANK(J138),ISBLANK(K138)),IF(OR(H138="ALI",H138="AIE"),"L",IF(ISBLANK(H138),"","A")),IF(H138="EE",IF(K138&gt;=3,IF(J138&gt;=5,"H","A"),IF(K138&gt;=2,IF(J138&gt;=16,"H",IF(J138&lt;=4,"L","A")),IF(J138&lt;=15,"L","A"))),IF(OR(H138="SE",H138="CE"),IF(K138&gt;=4,IF(J138&gt;=6,"H","A"),IF(K138&gt;=2,IF(J138&gt;=20,"H",IF(J138&lt;=5,"L","A")),IF(J138&lt;=19,"L","A"))),IF(OR(H138="ALI",H138="AIE"),IF(K138&gt;=6,IF(J138&gt;=20,"H","A"),IF(K138&gt;=2,IF(J138&gt;=51,"H",IF(J138&lt;=19,"L","A")),IF(J138&lt;=50,"L","A")))))))</f>
        <v/>
      </c>
      <c r="N138" s="46" t="str">
        <f aca="false">IF(M138="L","Baixa",IF(M138="A","Média",IF(M138="","","Alta")))</f>
        <v/>
      </c>
      <c r="O138" s="47" t="str">
        <f aca="false">IF(ISBLANK(H138),"",IF(H138="ALI",IF(M138="L",7,IF(M138="A",10,15)),IF(H138="AIE",IF(M138="L",5,IF(M138="A",7,10)),IF(H138="SE",IF(M138="L",4,IF(M138="A",5,7)),IF(OR(H138="EE",H138="CE"),IF(M138="L",3,IF(M138="A",4,6)))))))</f>
        <v/>
      </c>
      <c r="P138" s="48" t="str">
        <f aca="false">IF(I138="I",O138*Contagem!$W$15,IF(I138="E",O138*Contagem!$W$17,IF(I138="A",O138*Contagem!$W$16,IF(I138="T",O138*Contagem!$W$18,""))))</f>
        <v/>
      </c>
      <c r="Q138" s="49"/>
    </row>
    <row r="139" customFormat="false" ht="12" hidden="false" customHeight="true" outlineLevel="0" collapsed="false">
      <c r="A139" s="40" t="n">
        <f aca="false">IF(H139="",IF(C139="",A138,A138+1),A138)</f>
        <v>20</v>
      </c>
      <c r="B139" s="41" t="str">
        <f aca="false">IF(A139=A138,"",CONCATENATE("F",A139))</f>
        <v>F20</v>
      </c>
      <c r="C139" s="42" t="s">
        <v>256</v>
      </c>
      <c r="D139" s="42"/>
      <c r="E139" s="42"/>
      <c r="F139" s="42"/>
      <c r="G139" s="42"/>
      <c r="H139" s="44"/>
      <c r="I139" s="50"/>
      <c r="J139" s="44"/>
      <c r="K139" s="44"/>
      <c r="L139" s="44" t="str">
        <f aca="false">CONCATENATE(H139,M139)</f>
        <v/>
      </c>
      <c r="M139" s="45" t="str">
        <f aca="false">IF(OR(ISBLANK(J139),ISBLANK(K139)),IF(OR(H139="ALI",H139="AIE"),"L",IF(ISBLANK(H139),"","A")),IF(H139="EE",IF(K139&gt;=3,IF(J139&gt;=5,"H","A"),IF(K139&gt;=2,IF(J139&gt;=16,"H",IF(J139&lt;=4,"L","A")),IF(J139&lt;=15,"L","A"))),IF(OR(H139="SE",H139="CE"),IF(K139&gt;=4,IF(J139&gt;=6,"H","A"),IF(K139&gt;=2,IF(J139&gt;=20,"H",IF(J139&lt;=5,"L","A")),IF(J139&lt;=19,"L","A"))),IF(OR(H139="ALI",H139="AIE"),IF(K139&gt;=6,IF(J139&gt;=20,"H","A"),IF(K139&gt;=2,IF(J139&gt;=51,"H",IF(J139&lt;=19,"L","A")),IF(J139&lt;=50,"L","A")))))))</f>
        <v/>
      </c>
      <c r="N139" s="46" t="str">
        <f aca="false">IF(M139="L","Baixa",IF(M139="A","Média",IF(M139="","","Alta")))</f>
        <v/>
      </c>
      <c r="O139" s="47" t="str">
        <f aca="false">IF(ISBLANK(H139),"",IF(H139="ALI",IF(M139="L",7,IF(M139="A",10,15)),IF(H139="AIE",IF(M139="L",5,IF(M139="A",7,10)),IF(H139="SE",IF(M139="L",4,IF(M139="A",5,7)),IF(OR(H139="EE",H139="CE"),IF(M139="L",3,IF(M139="A",4,6)))))))</f>
        <v/>
      </c>
      <c r="P139" s="48" t="str">
        <f aca="false">IF(I139="I",O139*Contagem!$W$15,IF(I139="E",O139*Contagem!$W$17,IF(I139="A",O139*Contagem!$W$16,IF(I139="T",O139*Contagem!$W$18,""))))</f>
        <v/>
      </c>
      <c r="Q139" s="49"/>
    </row>
    <row r="140" customFormat="false" ht="12" hidden="false" customHeight="true" outlineLevel="0" collapsed="false">
      <c r="A140" s="40" t="n">
        <f aca="false">IF(H140="",IF(C140="",A139,A139+1),A139)</f>
        <v>20</v>
      </c>
      <c r="B140" s="41" t="str">
        <f aca="false">IF(A140=A139,"",CONCATENATE("F",A140))</f>
        <v/>
      </c>
      <c r="C140" s="42" t="s">
        <v>257</v>
      </c>
      <c r="D140" s="42"/>
      <c r="E140" s="42"/>
      <c r="F140" s="42"/>
      <c r="G140" s="42"/>
      <c r="H140" s="44" t="s">
        <v>55</v>
      </c>
      <c r="I140" s="50" t="s">
        <v>56</v>
      </c>
      <c r="J140" s="44" t="n">
        <v>3</v>
      </c>
      <c r="K140" s="44" t="n">
        <v>1</v>
      </c>
      <c r="L140" s="44" t="str">
        <f aca="false">CONCATENATE(H140,M140)</f>
        <v>ALIL</v>
      </c>
      <c r="M140" s="45" t="str">
        <f aca="false">IF(OR(ISBLANK(J140),ISBLANK(K140)),IF(OR(H140="ALI",H140="AIE"),"L",IF(ISBLANK(H140),"","A")),IF(H140="EE",IF(K140&gt;=3,IF(J140&gt;=5,"H","A"),IF(K140&gt;=2,IF(J140&gt;=16,"H",IF(J140&lt;=4,"L","A")),IF(J140&lt;=15,"L","A"))),IF(OR(H140="SE",H140="CE"),IF(K140&gt;=4,IF(J140&gt;=6,"H","A"),IF(K140&gt;=2,IF(J140&gt;=20,"H",IF(J140&lt;=5,"L","A")),IF(J140&lt;=19,"L","A"))),IF(OR(H140="ALI",H140="AIE"),IF(K140&gt;=6,IF(J140&gt;=20,"H","A"),IF(K140&gt;=2,IF(J140&gt;=51,"H",IF(J140&lt;=19,"L","A")),IF(J140&lt;=50,"L","A")))))))</f>
        <v>L</v>
      </c>
      <c r="N140" s="46" t="str">
        <f aca="false">IF(M140="L","Baixa",IF(M140="A","Média",IF(M140="","","Alta")))</f>
        <v>Baixa</v>
      </c>
      <c r="O140" s="47" t="n">
        <f aca="false">IF(ISBLANK(H140),"",IF(H140="ALI",IF(M140="L",7,IF(M140="A",10,15)),IF(H140="AIE",IF(M140="L",5,IF(M140="A",7,10)),IF(H140="SE",IF(M140="L",4,IF(M140="A",5,7)),IF(OR(H140="EE",H140="CE"),IF(M140="L",3,IF(M140="A",4,6)))))))</f>
        <v>7</v>
      </c>
      <c r="P140" s="48" t="n">
        <f aca="false">IF(I140="I",O140*Contagem!$W$15,IF(I140="E",O140*Contagem!$W$17,IF(I140="A",O140*Contagem!$W$16,IF(I140="T",O140*Contagem!$W$18,""))))</f>
        <v>7</v>
      </c>
      <c r="Q140" s="49" t="s">
        <v>258</v>
      </c>
    </row>
    <row r="141" customFormat="false" ht="12" hidden="false" customHeight="true" outlineLevel="0" collapsed="false">
      <c r="A141" s="40" t="n">
        <f aca="false">IF(H141="",IF(C141="",A140,A140+1),A140)</f>
        <v>20</v>
      </c>
      <c r="B141" s="41" t="str">
        <f aca="false">IF(A141=A140,"",CONCATENATE("F",A141))</f>
        <v/>
      </c>
      <c r="C141" s="42" t="s">
        <v>259</v>
      </c>
      <c r="D141" s="42"/>
      <c r="E141" s="42"/>
      <c r="F141" s="42"/>
      <c r="G141" s="42"/>
      <c r="H141" s="44" t="s">
        <v>80</v>
      </c>
      <c r="I141" s="50" t="s">
        <v>56</v>
      </c>
      <c r="J141" s="44" t="n">
        <v>4</v>
      </c>
      <c r="K141" s="44" t="n">
        <v>1</v>
      </c>
      <c r="L141" s="44" t="str">
        <f aca="false">CONCATENATE(H141,M141)</f>
        <v>CEL</v>
      </c>
      <c r="M141" s="45" t="str">
        <f aca="false">IF(OR(ISBLANK(J141),ISBLANK(K141)),IF(OR(H141="ALI",H141="AIE"),"L",IF(ISBLANK(H141),"","A")),IF(H141="EE",IF(K141&gt;=3,IF(J141&gt;=5,"H","A"),IF(K141&gt;=2,IF(J141&gt;=16,"H",IF(J141&lt;=4,"L","A")),IF(J141&lt;=15,"L","A"))),IF(OR(H141="SE",H141="CE"),IF(K141&gt;=4,IF(J141&gt;=6,"H","A"),IF(K141&gt;=2,IF(J141&gt;=20,"H",IF(J141&lt;=5,"L","A")),IF(J141&lt;=19,"L","A"))),IF(OR(H141="ALI",H141="AIE"),IF(K141&gt;=6,IF(J141&gt;=20,"H","A"),IF(K141&gt;=2,IF(J141&gt;=51,"H",IF(J141&lt;=19,"L","A")),IF(J141&lt;=50,"L","A")))))))</f>
        <v>L</v>
      </c>
      <c r="N141" s="46" t="str">
        <f aca="false">IF(M141="L","Baixa",IF(M141="A","Média",IF(M141="","","Alta")))</f>
        <v>Baixa</v>
      </c>
      <c r="O141" s="47" t="n">
        <f aca="false">IF(ISBLANK(H141),"",IF(H141="ALI",IF(M141="L",7,IF(M141="A",10,15)),IF(H141="AIE",IF(M141="L",5,IF(M141="A",7,10)),IF(H141="SE",IF(M141="L",4,IF(M141="A",5,7)),IF(OR(H141="EE",H141="CE"),IF(M141="L",3,IF(M141="A",4,6)))))))</f>
        <v>3</v>
      </c>
      <c r="P141" s="48" t="n">
        <f aca="false">IF(I141="I",O141*Contagem!$W$15,IF(I141="E",O141*Contagem!$W$17,IF(I141="A",O141*Contagem!$W$16,IF(I141="T",O141*Contagem!$W$18,""))))</f>
        <v>3</v>
      </c>
      <c r="Q141" s="49" t="s">
        <v>260</v>
      </c>
    </row>
    <row r="142" customFormat="false" ht="12" hidden="false" customHeight="true" outlineLevel="0" collapsed="false">
      <c r="A142" s="40" t="n">
        <f aca="false">IF(H142="",IF(C142="",A141,A141+1),A141)</f>
        <v>20</v>
      </c>
      <c r="B142" s="41" t="str">
        <f aca="false">IF(A142=A141,"",CONCATENATE("F",A142))</f>
        <v/>
      </c>
      <c r="C142" s="42" t="s">
        <v>261</v>
      </c>
      <c r="D142" s="42"/>
      <c r="E142" s="42"/>
      <c r="F142" s="42"/>
      <c r="G142" s="42"/>
      <c r="H142" s="44" t="s">
        <v>62</v>
      </c>
      <c r="I142" s="50" t="s">
        <v>56</v>
      </c>
      <c r="J142" s="44" t="n">
        <v>4</v>
      </c>
      <c r="K142" s="44" t="n">
        <v>1</v>
      </c>
      <c r="L142" s="44" t="str">
        <f aca="false">CONCATENATE(H142,M142)</f>
        <v>EEL</v>
      </c>
      <c r="M142" s="45" t="str">
        <f aca="false">IF(OR(ISBLANK(J142),ISBLANK(K142)),IF(OR(H142="ALI",H142="AIE"),"L",IF(ISBLANK(H142),"","A")),IF(H142="EE",IF(K142&gt;=3,IF(J142&gt;=5,"H","A"),IF(K142&gt;=2,IF(J142&gt;=16,"H",IF(J142&lt;=4,"L","A")),IF(J142&lt;=15,"L","A"))),IF(OR(H142="SE",H142="CE"),IF(K142&gt;=4,IF(J142&gt;=6,"H","A"),IF(K142&gt;=2,IF(J142&gt;=20,"H",IF(J142&lt;=5,"L","A")),IF(J142&lt;=19,"L","A"))),IF(OR(H142="ALI",H142="AIE"),IF(K142&gt;=6,IF(J142&gt;=20,"H","A"),IF(K142&gt;=2,IF(J142&gt;=51,"H",IF(J142&lt;=19,"L","A")),IF(J142&lt;=50,"L","A")))))))</f>
        <v>L</v>
      </c>
      <c r="N142" s="46" t="str">
        <f aca="false">IF(M142="L","Baixa",IF(M142="A","Média",IF(M142="","","Alta")))</f>
        <v>Baixa</v>
      </c>
      <c r="O142" s="47" t="n">
        <f aca="false">IF(ISBLANK(H142),"",IF(H142="ALI",IF(M142="L",7,IF(M142="A",10,15)),IF(H142="AIE",IF(M142="L",5,IF(M142="A",7,10)),IF(H142="SE",IF(M142="L",4,IF(M142="A",5,7)),IF(OR(H142="EE",H142="CE"),IF(M142="L",3,IF(M142="A",4,6)))))))</f>
        <v>3</v>
      </c>
      <c r="P142" s="48" t="n">
        <f aca="false">IF(I142="I",O142*Contagem!$W$15,IF(I142="E",O142*Contagem!$W$17,IF(I142="A",O142*Contagem!$W$16,IF(I142="T",O142*Contagem!$W$18,""))))</f>
        <v>3</v>
      </c>
      <c r="Q142" s="49" t="s">
        <v>262</v>
      </c>
    </row>
    <row r="143" customFormat="false" ht="12" hidden="false" customHeight="true" outlineLevel="0" collapsed="false">
      <c r="A143" s="40" t="n">
        <f aca="false">IF(H143="",IF(C143="",A142,A142+1),A142)</f>
        <v>20</v>
      </c>
      <c r="B143" s="41" t="str">
        <f aca="false">IF(A143=A142,"",CONCATENATE("F",A143))</f>
        <v/>
      </c>
      <c r="C143" s="42"/>
      <c r="D143" s="42"/>
      <c r="E143" s="42"/>
      <c r="F143" s="42"/>
      <c r="G143" s="42"/>
      <c r="H143" s="44"/>
      <c r="I143" s="50"/>
      <c r="J143" s="44"/>
      <c r="K143" s="44"/>
      <c r="L143" s="44" t="str">
        <f aca="false">CONCATENATE(H143,M143)</f>
        <v/>
      </c>
      <c r="M143" s="45" t="str">
        <f aca="false">IF(OR(ISBLANK(J143),ISBLANK(K143)),IF(OR(H143="ALI",H143="AIE"),"L",IF(ISBLANK(H143),"","A")),IF(H143="EE",IF(K143&gt;=3,IF(J143&gt;=5,"H","A"),IF(K143&gt;=2,IF(J143&gt;=16,"H",IF(J143&lt;=4,"L","A")),IF(J143&lt;=15,"L","A"))),IF(OR(H143="SE",H143="CE"),IF(K143&gt;=4,IF(J143&gt;=6,"H","A"),IF(K143&gt;=2,IF(J143&gt;=20,"H",IF(J143&lt;=5,"L","A")),IF(J143&lt;=19,"L","A"))),IF(OR(H143="ALI",H143="AIE"),IF(K143&gt;=6,IF(J143&gt;=20,"H","A"),IF(K143&gt;=2,IF(J143&gt;=51,"H",IF(J143&lt;=19,"L","A")),IF(J143&lt;=50,"L","A")))))))</f>
        <v/>
      </c>
      <c r="N143" s="46" t="str">
        <f aca="false">IF(M143="L","Baixa",IF(M143="A","Média",IF(M143="","","Alta")))</f>
        <v/>
      </c>
      <c r="O143" s="47" t="str">
        <f aca="false">IF(ISBLANK(H143),"",IF(H143="ALI",IF(M143="L",7,IF(M143="A",10,15)),IF(H143="AIE",IF(M143="L",5,IF(M143="A",7,10)),IF(H143="SE",IF(M143="L",4,IF(M143="A",5,7)),IF(OR(H143="EE",H143="CE"),IF(M143="L",3,IF(M143="A",4,6)))))))</f>
        <v/>
      </c>
      <c r="P143" s="48" t="str">
        <f aca="false">IF(I143="I",O143*Contagem!$W$15,IF(I143="E",O143*Contagem!$W$17,IF(I143="A",O143*Contagem!$W$16,IF(I143="T",O143*Contagem!$W$18,""))))</f>
        <v/>
      </c>
      <c r="Q143" s="49"/>
    </row>
    <row r="144" customFormat="false" ht="12" hidden="false" customHeight="true" outlineLevel="0" collapsed="false">
      <c r="A144" s="40" t="n">
        <f aca="false">IF(H144="",IF(C144="",A143,A143+1),A143)</f>
        <v>21</v>
      </c>
      <c r="B144" s="41" t="str">
        <f aca="false">IF(A144=A143,"",CONCATENATE("F",A144))</f>
        <v>F21</v>
      </c>
      <c r="C144" s="42" t="s">
        <v>263</v>
      </c>
      <c r="D144" s="42"/>
      <c r="E144" s="42"/>
      <c r="F144" s="42"/>
      <c r="G144" s="42"/>
      <c r="H144" s="44"/>
      <c r="I144" s="50"/>
      <c r="J144" s="44"/>
      <c r="K144" s="44"/>
      <c r="L144" s="44" t="str">
        <f aca="false">CONCATENATE(H144,M144)</f>
        <v/>
      </c>
      <c r="M144" s="45" t="str">
        <f aca="false">IF(OR(ISBLANK(J144),ISBLANK(K144)),IF(OR(H144="ALI",H144="AIE"),"L",IF(ISBLANK(H144),"","A")),IF(H144="EE",IF(K144&gt;=3,IF(J144&gt;=5,"H","A"),IF(K144&gt;=2,IF(J144&gt;=16,"H",IF(J144&lt;=4,"L","A")),IF(J144&lt;=15,"L","A"))),IF(OR(H144="SE",H144="CE"),IF(K144&gt;=4,IF(J144&gt;=6,"H","A"),IF(K144&gt;=2,IF(J144&gt;=20,"H",IF(J144&lt;=5,"L","A")),IF(J144&lt;=19,"L","A"))),IF(OR(H144="ALI",H144="AIE"),IF(K144&gt;=6,IF(J144&gt;=20,"H","A"),IF(K144&gt;=2,IF(J144&gt;=51,"H",IF(J144&lt;=19,"L","A")),IF(J144&lt;=50,"L","A")))))))</f>
        <v/>
      </c>
      <c r="N144" s="46" t="str">
        <f aca="false">IF(M144="L","Baixa",IF(M144="A","Média",IF(M144="","","Alta")))</f>
        <v/>
      </c>
      <c r="O144" s="47" t="str">
        <f aca="false">IF(ISBLANK(H144),"",IF(H144="ALI",IF(M144="L",7,IF(M144="A",10,15)),IF(H144="AIE",IF(M144="L",5,IF(M144="A",7,10)),IF(H144="SE",IF(M144="L",4,IF(M144="A",5,7)),IF(OR(H144="EE",H144="CE"),IF(M144="L",3,IF(M144="A",4,6)))))))</f>
        <v/>
      </c>
      <c r="P144" s="48" t="str">
        <f aca="false">IF(I144="I",O144*Contagem!$W$15,IF(I144="E",O144*Contagem!$W$17,IF(I144="A",O144*Contagem!$W$16,IF(I144="T",O144*Contagem!$W$18,""))))</f>
        <v/>
      </c>
      <c r="Q144" s="49"/>
    </row>
    <row r="145" customFormat="false" ht="12" hidden="false" customHeight="true" outlineLevel="0" collapsed="false">
      <c r="A145" s="40" t="n">
        <f aca="false">IF(H145="",IF(C145="",A144,A144+1),A144)</f>
        <v>21</v>
      </c>
      <c r="B145" s="41" t="str">
        <f aca="false">IF(A145=A144,"",CONCATENATE("F",A145))</f>
        <v/>
      </c>
      <c r="C145" s="42" t="s">
        <v>264</v>
      </c>
      <c r="D145" s="42"/>
      <c r="E145" s="42"/>
      <c r="F145" s="42"/>
      <c r="G145" s="42"/>
      <c r="H145" s="44" t="s">
        <v>55</v>
      </c>
      <c r="I145" s="50" t="s">
        <v>56</v>
      </c>
      <c r="J145" s="44" t="n">
        <v>5</v>
      </c>
      <c r="K145" s="44" t="n">
        <v>1</v>
      </c>
      <c r="L145" s="44" t="str">
        <f aca="false">CONCATENATE(H145,M145)</f>
        <v>ALIL</v>
      </c>
      <c r="M145" s="45" t="str">
        <f aca="false">IF(OR(ISBLANK(J145),ISBLANK(K145)),IF(OR(H145="ALI",H145="AIE"),"L",IF(ISBLANK(H145),"","A")),IF(H145="EE",IF(K145&gt;=3,IF(J145&gt;=5,"H","A"),IF(K145&gt;=2,IF(J145&gt;=16,"H",IF(J145&lt;=4,"L","A")),IF(J145&lt;=15,"L","A"))),IF(OR(H145="SE",H145="CE"),IF(K145&gt;=4,IF(J145&gt;=6,"H","A"),IF(K145&gt;=2,IF(J145&gt;=20,"H",IF(J145&lt;=5,"L","A")),IF(J145&lt;=19,"L","A"))),IF(OR(H145="ALI",H145="AIE"),IF(K145&gt;=6,IF(J145&gt;=20,"H","A"),IF(K145&gt;=2,IF(J145&gt;=51,"H",IF(J145&lt;=19,"L","A")),IF(J145&lt;=50,"L","A")))))))</f>
        <v>L</v>
      </c>
      <c r="N145" s="46" t="str">
        <f aca="false">IF(M145="L","Baixa",IF(M145="A","Média",IF(M145="","","Alta")))</f>
        <v>Baixa</v>
      </c>
      <c r="O145" s="47" t="n">
        <f aca="false">IF(ISBLANK(H145),"",IF(H145="ALI",IF(M145="L",7,IF(M145="A",10,15)),IF(H145="AIE",IF(M145="L",5,IF(M145="A",7,10)),IF(H145="SE",IF(M145="L",4,IF(M145="A",5,7)),IF(OR(H145="EE",H145="CE"),IF(M145="L",3,IF(M145="A",4,6)))))))</f>
        <v>7</v>
      </c>
      <c r="P145" s="48" t="n">
        <f aca="false">IF(I145="I",O145*Contagem!$W$15,IF(I145="E",O145*Contagem!$W$17,IF(I145="A",O145*Contagem!$W$16,IF(I145="T",O145*Contagem!$W$18,""))))</f>
        <v>7</v>
      </c>
      <c r="Q145" s="49" t="s">
        <v>265</v>
      </c>
    </row>
    <row r="146" customFormat="false" ht="12" hidden="false" customHeight="true" outlineLevel="0" collapsed="false">
      <c r="A146" s="40" t="n">
        <f aca="false">IF(H146="",IF(C146="",A145,A145+1),A145)</f>
        <v>21</v>
      </c>
      <c r="B146" s="41" t="str">
        <f aca="false">IF(A146=A145,"",CONCATENATE("F",A146))</f>
        <v/>
      </c>
      <c r="C146" s="42" t="s">
        <v>266</v>
      </c>
      <c r="D146" s="42"/>
      <c r="E146" s="42"/>
      <c r="F146" s="42"/>
      <c r="G146" s="42"/>
      <c r="H146" s="44" t="s">
        <v>80</v>
      </c>
      <c r="I146" s="50" t="s">
        <v>56</v>
      </c>
      <c r="J146" s="44" t="n">
        <v>6</v>
      </c>
      <c r="K146" s="44" t="n">
        <v>1</v>
      </c>
      <c r="L146" s="44" t="str">
        <f aca="false">CONCATENATE(H146,M146)</f>
        <v>CEL</v>
      </c>
      <c r="M146" s="45" t="str">
        <f aca="false">IF(OR(ISBLANK(J146),ISBLANK(K146)),IF(OR(H146="ALI",H146="AIE"),"L",IF(ISBLANK(H146),"","A")),IF(H146="EE",IF(K146&gt;=3,IF(J146&gt;=5,"H","A"),IF(K146&gt;=2,IF(J146&gt;=16,"H",IF(J146&lt;=4,"L","A")),IF(J146&lt;=15,"L","A"))),IF(OR(H146="SE",H146="CE"),IF(K146&gt;=4,IF(J146&gt;=6,"H","A"),IF(K146&gt;=2,IF(J146&gt;=20,"H",IF(J146&lt;=5,"L","A")),IF(J146&lt;=19,"L","A"))),IF(OR(H146="ALI",H146="AIE"),IF(K146&gt;=6,IF(J146&gt;=20,"H","A"),IF(K146&gt;=2,IF(J146&gt;=51,"H",IF(J146&lt;=19,"L","A")),IF(J146&lt;=50,"L","A")))))))</f>
        <v>L</v>
      </c>
      <c r="N146" s="46" t="str">
        <f aca="false">IF(M146="L","Baixa",IF(M146="A","Média",IF(M146="","","Alta")))</f>
        <v>Baixa</v>
      </c>
      <c r="O146" s="47" t="n">
        <f aca="false">IF(ISBLANK(H146),"",IF(H146="ALI",IF(M146="L",7,IF(M146="A",10,15)),IF(H146="AIE",IF(M146="L",5,IF(M146="A",7,10)),IF(H146="SE",IF(M146="L",4,IF(M146="A",5,7)),IF(OR(H146="EE",H146="CE"),IF(M146="L",3,IF(M146="A",4,6)))))))</f>
        <v>3</v>
      </c>
      <c r="P146" s="48" t="n">
        <f aca="false">IF(I146="I",O146*Contagem!$W$15,IF(I146="E",O146*Contagem!$W$17,IF(I146="A",O146*Contagem!$W$16,IF(I146="T",O146*Contagem!$W$18,""))))</f>
        <v>3</v>
      </c>
      <c r="Q146" s="49" t="s">
        <v>267</v>
      </c>
    </row>
    <row r="147" customFormat="false" ht="12" hidden="false" customHeight="true" outlineLevel="0" collapsed="false">
      <c r="A147" s="40" t="n">
        <f aca="false">IF(H147="",IF(C147="",A146,A146+1),A146)</f>
        <v>21</v>
      </c>
      <c r="B147" s="41" t="str">
        <f aca="false">IF(A147=A146,"",CONCATENATE("F",A147))</f>
        <v/>
      </c>
      <c r="C147" s="42" t="s">
        <v>268</v>
      </c>
      <c r="D147" s="42"/>
      <c r="E147" s="42"/>
      <c r="F147" s="42"/>
      <c r="G147" s="42"/>
      <c r="H147" s="44" t="s">
        <v>62</v>
      </c>
      <c r="I147" s="50" t="s">
        <v>56</v>
      </c>
      <c r="J147" s="44" t="n">
        <v>5</v>
      </c>
      <c r="K147" s="44" t="n">
        <v>1</v>
      </c>
      <c r="L147" s="44" t="str">
        <f aca="false">CONCATENATE(H147,M147)</f>
        <v>EEL</v>
      </c>
      <c r="M147" s="45" t="str">
        <f aca="false">IF(OR(ISBLANK(J147),ISBLANK(K147)),IF(OR(H147="ALI",H147="AIE"),"L",IF(ISBLANK(H147),"","A")),IF(H147="EE",IF(K147&gt;=3,IF(J147&gt;=5,"H","A"),IF(K147&gt;=2,IF(J147&gt;=16,"H",IF(J147&lt;=4,"L","A")),IF(J147&lt;=15,"L","A"))),IF(OR(H147="SE",H147="CE"),IF(K147&gt;=4,IF(J147&gt;=6,"H","A"),IF(K147&gt;=2,IF(J147&gt;=20,"H",IF(J147&lt;=5,"L","A")),IF(J147&lt;=19,"L","A"))),IF(OR(H147="ALI",H147="AIE"),IF(K147&gt;=6,IF(J147&gt;=20,"H","A"),IF(K147&gt;=2,IF(J147&gt;=51,"H",IF(J147&lt;=19,"L","A")),IF(J147&lt;=50,"L","A")))))))</f>
        <v>L</v>
      </c>
      <c r="N147" s="46" t="str">
        <f aca="false">IF(M147="L","Baixa",IF(M147="A","Média",IF(M147="","","Alta")))</f>
        <v>Baixa</v>
      </c>
      <c r="O147" s="47" t="n">
        <f aca="false">IF(ISBLANK(H147),"",IF(H147="ALI",IF(M147="L",7,IF(M147="A",10,15)),IF(H147="AIE",IF(M147="L",5,IF(M147="A",7,10)),IF(H147="SE",IF(M147="L",4,IF(M147="A",5,7)),IF(OR(H147="EE",H147="CE"),IF(M147="L",3,IF(M147="A",4,6)))))))</f>
        <v>3</v>
      </c>
      <c r="P147" s="48" t="n">
        <f aca="false">IF(I147="I",O147*Contagem!$W$15,IF(I147="E",O147*Contagem!$W$17,IF(I147="A",O147*Contagem!$W$16,IF(I147="T",O147*Contagem!$W$18,""))))</f>
        <v>3</v>
      </c>
      <c r="Q147" s="49" t="s">
        <v>269</v>
      </c>
    </row>
    <row r="148" customFormat="false" ht="12" hidden="false" customHeight="true" outlineLevel="0" collapsed="false">
      <c r="A148" s="40" t="n">
        <f aca="false">IF(H148="",IF(C148="",A147,A147+1),A147)</f>
        <v>21</v>
      </c>
      <c r="B148" s="41" t="str">
        <f aca="false">IF(A148=A147,"",CONCATENATE("F",A148))</f>
        <v/>
      </c>
      <c r="C148" s="42" t="s">
        <v>270</v>
      </c>
      <c r="D148" s="42"/>
      <c r="E148" s="42"/>
      <c r="F148" s="42"/>
      <c r="G148" s="42"/>
      <c r="H148" s="44" t="s">
        <v>62</v>
      </c>
      <c r="I148" s="50" t="s">
        <v>56</v>
      </c>
      <c r="J148" s="44" t="n">
        <v>4</v>
      </c>
      <c r="K148" s="44" t="n">
        <v>1</v>
      </c>
      <c r="L148" s="44" t="str">
        <f aca="false">CONCATENATE(H148,M148)</f>
        <v>EEL</v>
      </c>
      <c r="M148" s="45" t="str">
        <f aca="false">IF(OR(ISBLANK(J148),ISBLANK(K148)),IF(OR(H148="ALI",H148="AIE"),"L",IF(ISBLANK(H148),"","A")),IF(H148="EE",IF(K148&gt;=3,IF(J148&gt;=5,"H","A"),IF(K148&gt;=2,IF(J148&gt;=16,"H",IF(J148&lt;=4,"L","A")),IF(J148&lt;=15,"L","A"))),IF(OR(H148="SE",H148="CE"),IF(K148&gt;=4,IF(J148&gt;=6,"H","A"),IF(K148&gt;=2,IF(J148&gt;=20,"H",IF(J148&lt;=5,"L","A")),IF(J148&lt;=19,"L","A"))),IF(OR(H148="ALI",H148="AIE"),IF(K148&gt;=6,IF(J148&gt;=20,"H","A"),IF(K148&gt;=2,IF(J148&gt;=51,"H",IF(J148&lt;=19,"L","A")),IF(J148&lt;=50,"L","A")))))))</f>
        <v>L</v>
      </c>
      <c r="N148" s="46" t="str">
        <f aca="false">IF(M148="L","Baixa",IF(M148="A","Média",IF(M148="","","Alta")))</f>
        <v>Baixa</v>
      </c>
      <c r="O148" s="47" t="n">
        <f aca="false">IF(ISBLANK(H148),"",IF(H148="ALI",IF(M148="L",7,IF(M148="A",10,15)),IF(H148="AIE",IF(M148="L",5,IF(M148="A",7,10)),IF(H148="SE",IF(M148="L",4,IF(M148="A",5,7)),IF(OR(H148="EE",H148="CE"),IF(M148="L",3,IF(M148="A",4,6)))))))</f>
        <v>3</v>
      </c>
      <c r="P148" s="48" t="n">
        <f aca="false">IF(I148="I",O148*Contagem!$W$15,IF(I148="E",O148*Contagem!$W$17,IF(I148="A",O148*Contagem!$W$16,IF(I148="T",O148*Contagem!$W$18,""))))</f>
        <v>3</v>
      </c>
      <c r="Q148" s="49" t="s">
        <v>271</v>
      </c>
    </row>
    <row r="149" customFormat="false" ht="12" hidden="false" customHeight="true" outlineLevel="0" collapsed="false">
      <c r="A149" s="40" t="n">
        <f aca="false">IF(H149="",IF(C149="",A148,A148+1),A148)</f>
        <v>21</v>
      </c>
      <c r="B149" s="41" t="str">
        <f aca="false">IF(A149=A148,"",CONCATENATE("F",A149))</f>
        <v/>
      </c>
      <c r="C149" s="42" t="s">
        <v>272</v>
      </c>
      <c r="D149" s="42"/>
      <c r="E149" s="42"/>
      <c r="F149" s="42"/>
      <c r="G149" s="42"/>
      <c r="H149" s="44" t="s">
        <v>62</v>
      </c>
      <c r="I149" s="50" t="s">
        <v>56</v>
      </c>
      <c r="J149" s="44" t="n">
        <v>4</v>
      </c>
      <c r="K149" s="44" t="n">
        <v>1</v>
      </c>
      <c r="L149" s="44" t="str">
        <f aca="false">CONCATENATE(H149,M149)</f>
        <v>EEL</v>
      </c>
      <c r="M149" s="45" t="str">
        <f aca="false">IF(OR(ISBLANK(J149),ISBLANK(K149)),IF(OR(H149="ALI",H149="AIE"),"L",IF(ISBLANK(H149),"","A")),IF(H149="EE",IF(K149&gt;=3,IF(J149&gt;=5,"H","A"),IF(K149&gt;=2,IF(J149&gt;=16,"H",IF(J149&lt;=4,"L","A")),IF(J149&lt;=15,"L","A"))),IF(OR(H149="SE",H149="CE"),IF(K149&gt;=4,IF(J149&gt;=6,"H","A"),IF(K149&gt;=2,IF(J149&gt;=20,"H",IF(J149&lt;=5,"L","A")),IF(J149&lt;=19,"L","A"))),IF(OR(H149="ALI",H149="AIE"),IF(K149&gt;=6,IF(J149&gt;=20,"H","A"),IF(K149&gt;=2,IF(J149&gt;=51,"H",IF(J149&lt;=19,"L","A")),IF(J149&lt;=50,"L","A")))))))</f>
        <v>L</v>
      </c>
      <c r="N149" s="46" t="str">
        <f aca="false">IF(M149="L","Baixa",IF(M149="A","Média",IF(M149="","","Alta")))</f>
        <v>Baixa</v>
      </c>
      <c r="O149" s="47" t="n">
        <f aca="false">IF(ISBLANK(H149),"",IF(H149="ALI",IF(M149="L",7,IF(M149="A",10,15)),IF(H149="AIE",IF(M149="L",5,IF(M149="A",7,10)),IF(H149="SE",IF(M149="L",4,IF(M149="A",5,7)),IF(OR(H149="EE",H149="CE"),IF(M149="L",3,IF(M149="A",4,6)))))))</f>
        <v>3</v>
      </c>
      <c r="P149" s="48" t="n">
        <f aca="false">IF(I149="I",O149*Contagem!$W$15,IF(I149="E",O149*Contagem!$W$17,IF(I149="A",O149*Contagem!$W$16,IF(I149="T",O149*Contagem!$W$18,""))))</f>
        <v>3</v>
      </c>
      <c r="Q149" s="49" t="s">
        <v>273</v>
      </c>
    </row>
    <row r="150" customFormat="false" ht="12" hidden="false" customHeight="true" outlineLevel="0" collapsed="false">
      <c r="A150" s="40" t="n">
        <f aca="false">IF(H150="",IF(C150="",A149,A149+1),A149)</f>
        <v>21</v>
      </c>
      <c r="B150" s="41" t="str">
        <f aca="false">IF(A150=A149,"",CONCATENATE("F",A150))</f>
        <v/>
      </c>
      <c r="C150" s="42" t="s">
        <v>274</v>
      </c>
      <c r="D150" s="42"/>
      <c r="E150" s="42"/>
      <c r="F150" s="42"/>
      <c r="G150" s="42"/>
      <c r="H150" s="44" t="s">
        <v>62</v>
      </c>
      <c r="I150" s="50" t="s">
        <v>56</v>
      </c>
      <c r="J150" s="44" t="n">
        <v>2</v>
      </c>
      <c r="K150" s="44" t="n">
        <v>1</v>
      </c>
      <c r="L150" s="44" t="str">
        <f aca="false">CONCATENATE(H150,M150)</f>
        <v>EEL</v>
      </c>
      <c r="M150" s="45" t="str">
        <f aca="false">IF(OR(ISBLANK(J150),ISBLANK(K150)),IF(OR(H150="ALI",H150="AIE"),"L",IF(ISBLANK(H150),"","A")),IF(H150="EE",IF(K150&gt;=3,IF(J150&gt;=5,"H","A"),IF(K150&gt;=2,IF(J150&gt;=16,"H",IF(J150&lt;=4,"L","A")),IF(J150&lt;=15,"L","A"))),IF(OR(H150="SE",H150="CE"),IF(K150&gt;=4,IF(J150&gt;=6,"H","A"),IF(K150&gt;=2,IF(J150&gt;=20,"H",IF(J150&lt;=5,"L","A")),IF(J150&lt;=19,"L","A"))),IF(OR(H150="ALI",H150="AIE"),IF(K150&gt;=6,IF(J150&gt;=20,"H","A"),IF(K150&gt;=2,IF(J150&gt;=51,"H",IF(J150&lt;=19,"L","A")),IF(J150&lt;=50,"L","A")))))))</f>
        <v>L</v>
      </c>
      <c r="N150" s="46" t="str">
        <f aca="false">IF(M150="L","Baixa",IF(M150="A","Média",IF(M150="","","Alta")))</f>
        <v>Baixa</v>
      </c>
      <c r="O150" s="47" t="n">
        <f aca="false">IF(ISBLANK(H150),"",IF(H150="ALI",IF(M150="L",7,IF(M150="A",10,15)),IF(H150="AIE",IF(M150="L",5,IF(M150="A",7,10)),IF(H150="SE",IF(M150="L",4,IF(M150="A",5,7)),IF(OR(H150="EE",H150="CE"),IF(M150="L",3,IF(M150="A",4,6)))))))</f>
        <v>3</v>
      </c>
      <c r="P150" s="48" t="n">
        <f aca="false">IF(I150="I",O150*Contagem!$W$15,IF(I150="E",O150*Contagem!$W$17,IF(I150="A",O150*Contagem!$W$16,IF(I150="T",O150*Contagem!$W$18,""))))</f>
        <v>3</v>
      </c>
      <c r="Q150" s="49" t="s">
        <v>275</v>
      </c>
    </row>
    <row r="151" customFormat="false" ht="12" hidden="false" customHeight="true" outlineLevel="0" collapsed="false">
      <c r="A151" s="40" t="n">
        <f aca="false">IF(H151="",IF(C151="",A150,A150+1),A150)</f>
        <v>21</v>
      </c>
      <c r="B151" s="41" t="str">
        <f aca="false">IF(A151=A150,"",CONCATENATE("F",A151))</f>
        <v/>
      </c>
      <c r="C151" s="42"/>
      <c r="D151" s="42"/>
      <c r="E151" s="42"/>
      <c r="F151" s="42"/>
      <c r="G151" s="42"/>
      <c r="H151" s="44"/>
      <c r="I151" s="50"/>
      <c r="J151" s="44"/>
      <c r="K151" s="44"/>
      <c r="L151" s="44" t="str">
        <f aca="false">CONCATENATE(H151,M151)</f>
        <v/>
      </c>
      <c r="M151" s="45" t="str">
        <f aca="false">IF(OR(ISBLANK(J151),ISBLANK(K151)),IF(OR(H151="ALI",H151="AIE"),"L",IF(ISBLANK(H151),"","A")),IF(H151="EE",IF(K151&gt;=3,IF(J151&gt;=5,"H","A"),IF(K151&gt;=2,IF(J151&gt;=16,"H",IF(J151&lt;=4,"L","A")),IF(J151&lt;=15,"L","A"))),IF(OR(H151="SE",H151="CE"),IF(K151&gt;=4,IF(J151&gt;=6,"H","A"),IF(K151&gt;=2,IF(J151&gt;=20,"H",IF(J151&lt;=5,"L","A")),IF(J151&lt;=19,"L","A"))),IF(OR(H151="ALI",H151="AIE"),IF(K151&gt;=6,IF(J151&gt;=20,"H","A"),IF(K151&gt;=2,IF(J151&gt;=51,"H",IF(J151&lt;=19,"L","A")),IF(J151&lt;=50,"L","A")))))))</f>
        <v/>
      </c>
      <c r="N151" s="46" t="str">
        <f aca="false">IF(M151="L","Baixa",IF(M151="A","Média",IF(M151="","","Alta")))</f>
        <v/>
      </c>
      <c r="O151" s="47" t="str">
        <f aca="false">IF(ISBLANK(H151),"",IF(H151="ALI",IF(M151="L",7,IF(M151="A",10,15)),IF(H151="AIE",IF(M151="L",5,IF(M151="A",7,10)),IF(H151="SE",IF(M151="L",4,IF(M151="A",5,7)),IF(OR(H151="EE",H151="CE"),IF(M151="L",3,IF(M151="A",4,6)))))))</f>
        <v/>
      </c>
      <c r="P151" s="48" t="str">
        <f aca="false">IF(I151="I",O151*Contagem!$W$15,IF(I151="E",O151*Contagem!$W$17,IF(I151="A",O151*Contagem!$W$16,IF(I151="T",O151*Contagem!$W$18,""))))</f>
        <v/>
      </c>
      <c r="Q151" s="49"/>
    </row>
    <row r="152" customFormat="false" ht="12" hidden="false" customHeight="true" outlineLevel="0" collapsed="false">
      <c r="A152" s="40" t="n">
        <f aca="false">IF(H152="",IF(C152="",A151,A151+1),A151)</f>
        <v>22</v>
      </c>
      <c r="B152" s="41" t="str">
        <f aca="false">IF(A152=A151,"",CONCATENATE("F",A152))</f>
        <v>F22</v>
      </c>
      <c r="C152" s="42" t="s">
        <v>276</v>
      </c>
      <c r="D152" s="42"/>
      <c r="E152" s="42"/>
      <c r="F152" s="42"/>
      <c r="G152" s="42"/>
      <c r="H152" s="44"/>
      <c r="I152" s="50"/>
      <c r="J152" s="44"/>
      <c r="K152" s="44"/>
      <c r="L152" s="44" t="str">
        <f aca="false">CONCATENATE(H152,M152)</f>
        <v/>
      </c>
      <c r="M152" s="45" t="str">
        <f aca="false">IF(OR(ISBLANK(J152),ISBLANK(K152)),IF(OR(H152="ALI",H152="AIE"),"L",IF(ISBLANK(H152),"","A")),IF(H152="EE",IF(K152&gt;=3,IF(J152&gt;=5,"H","A"),IF(K152&gt;=2,IF(J152&gt;=16,"H",IF(J152&lt;=4,"L","A")),IF(J152&lt;=15,"L","A"))),IF(OR(H152="SE",H152="CE"),IF(K152&gt;=4,IF(J152&gt;=6,"H","A"),IF(K152&gt;=2,IF(J152&gt;=20,"H",IF(J152&lt;=5,"L","A")),IF(J152&lt;=19,"L","A"))),IF(OR(H152="ALI",H152="AIE"),IF(K152&gt;=6,IF(J152&gt;=20,"H","A"),IF(K152&gt;=2,IF(J152&gt;=51,"H",IF(J152&lt;=19,"L","A")),IF(J152&lt;=50,"L","A")))))))</f>
        <v/>
      </c>
      <c r="N152" s="46" t="str">
        <f aca="false">IF(M152="L","Baixa",IF(M152="A","Média",IF(M152="","","Alta")))</f>
        <v/>
      </c>
      <c r="O152" s="47" t="str">
        <f aca="false">IF(ISBLANK(H152),"",IF(H152="ALI",IF(M152="L",7,IF(M152="A",10,15)),IF(H152="AIE",IF(M152="L",5,IF(M152="A",7,10)),IF(H152="SE",IF(M152="L",4,IF(M152="A",5,7)),IF(OR(H152="EE",H152="CE"),IF(M152="L",3,IF(M152="A",4,6)))))))</f>
        <v/>
      </c>
      <c r="P152" s="48" t="str">
        <f aca="false">IF(I152="I",O152*Contagem!$W$15,IF(I152="E",O152*Contagem!$W$17,IF(I152="A",O152*Contagem!$W$16,IF(I152="T",O152*Contagem!$W$18,""))))</f>
        <v/>
      </c>
      <c r="Q152" s="49"/>
    </row>
    <row r="153" customFormat="false" ht="12" hidden="false" customHeight="true" outlineLevel="0" collapsed="false">
      <c r="A153" s="40" t="n">
        <f aca="false">IF(H153="",IF(C153="",A152,A152+1),A152)</f>
        <v>22</v>
      </c>
      <c r="B153" s="41" t="str">
        <f aca="false">IF(A153=A152,"",CONCATENATE("F",A153))</f>
        <v/>
      </c>
      <c r="C153" s="42" t="s">
        <v>277</v>
      </c>
      <c r="D153" s="42"/>
      <c r="E153" s="42"/>
      <c r="F153" s="42"/>
      <c r="G153" s="42"/>
      <c r="H153" s="44" t="s">
        <v>55</v>
      </c>
      <c r="I153" s="50" t="s">
        <v>56</v>
      </c>
      <c r="J153" s="44" t="n">
        <v>4</v>
      </c>
      <c r="K153" s="44" t="n">
        <v>1</v>
      </c>
      <c r="L153" s="44" t="str">
        <f aca="false">CONCATENATE(H153,M153)</f>
        <v>ALIL</v>
      </c>
      <c r="M153" s="45" t="str">
        <f aca="false">IF(OR(ISBLANK(J153),ISBLANK(K153)),IF(OR(H153="ALI",H153="AIE"),"L",IF(ISBLANK(H153),"","A")),IF(H153="EE",IF(K153&gt;=3,IF(J153&gt;=5,"H","A"),IF(K153&gt;=2,IF(J153&gt;=16,"H",IF(J153&lt;=4,"L","A")),IF(J153&lt;=15,"L","A"))),IF(OR(H153="SE",H153="CE"),IF(K153&gt;=4,IF(J153&gt;=6,"H","A"),IF(K153&gt;=2,IF(J153&gt;=20,"H",IF(J153&lt;=5,"L","A")),IF(J153&lt;=19,"L","A"))),IF(OR(H153="ALI",H153="AIE"),IF(K153&gt;=6,IF(J153&gt;=20,"H","A"),IF(K153&gt;=2,IF(J153&gt;=51,"H",IF(J153&lt;=19,"L","A")),IF(J153&lt;=50,"L","A")))))))</f>
        <v>L</v>
      </c>
      <c r="N153" s="46" t="str">
        <f aca="false">IF(M153="L","Baixa",IF(M153="A","Média",IF(M153="","","Alta")))</f>
        <v>Baixa</v>
      </c>
      <c r="O153" s="47" t="n">
        <f aca="false">IF(ISBLANK(H153),"",IF(H153="ALI",IF(M153="L",7,IF(M153="A",10,15)),IF(H153="AIE",IF(M153="L",5,IF(M153="A",7,10)),IF(H153="SE",IF(M153="L",4,IF(M153="A",5,7)),IF(OR(H153="EE",H153="CE"),IF(M153="L",3,IF(M153="A",4,6)))))))</f>
        <v>7</v>
      </c>
      <c r="P153" s="48" t="n">
        <f aca="false">IF(I153="I",O153*Contagem!$W$15,IF(I153="E",O153*Contagem!$W$17,IF(I153="A",O153*Contagem!$W$16,IF(I153="T",O153*Contagem!$W$18,""))))</f>
        <v>7</v>
      </c>
      <c r="Q153" s="49" t="s">
        <v>278</v>
      </c>
    </row>
    <row r="154" customFormat="false" ht="12" hidden="false" customHeight="true" outlineLevel="0" collapsed="false">
      <c r="A154" s="40" t="n">
        <f aca="false">IF(H154="",IF(C154="",A153,A153+1),A153)</f>
        <v>22</v>
      </c>
      <c r="B154" s="41" t="str">
        <f aca="false">IF(A154=A153,"",CONCATENATE("F",A154))</f>
        <v/>
      </c>
      <c r="C154" s="42" t="s">
        <v>279</v>
      </c>
      <c r="D154" s="42"/>
      <c r="E154" s="42"/>
      <c r="F154" s="42"/>
      <c r="G154" s="42"/>
      <c r="H154" s="44" t="s">
        <v>80</v>
      </c>
      <c r="I154" s="50" t="s">
        <v>56</v>
      </c>
      <c r="J154" s="44" t="n">
        <v>6</v>
      </c>
      <c r="K154" s="44" t="n">
        <v>1</v>
      </c>
      <c r="L154" s="44" t="str">
        <f aca="false">CONCATENATE(H154,M154)</f>
        <v>CEL</v>
      </c>
      <c r="M154" s="45" t="str">
        <f aca="false">IF(OR(ISBLANK(J154),ISBLANK(K154)),IF(OR(H154="ALI",H154="AIE"),"L",IF(ISBLANK(H154),"","A")),IF(H154="EE",IF(K154&gt;=3,IF(J154&gt;=5,"H","A"),IF(K154&gt;=2,IF(J154&gt;=16,"H",IF(J154&lt;=4,"L","A")),IF(J154&lt;=15,"L","A"))),IF(OR(H154="SE",H154="CE"),IF(K154&gt;=4,IF(J154&gt;=6,"H","A"),IF(K154&gt;=2,IF(J154&gt;=20,"H",IF(J154&lt;=5,"L","A")),IF(J154&lt;=19,"L","A"))),IF(OR(H154="ALI",H154="AIE"),IF(K154&gt;=6,IF(J154&gt;=20,"H","A"),IF(K154&gt;=2,IF(J154&gt;=51,"H",IF(J154&lt;=19,"L","A")),IF(J154&lt;=50,"L","A")))))))</f>
        <v>L</v>
      </c>
      <c r="N154" s="46" t="str">
        <f aca="false">IF(M154="L","Baixa",IF(M154="A","Média",IF(M154="","","Alta")))</f>
        <v>Baixa</v>
      </c>
      <c r="O154" s="47" t="n">
        <f aca="false">IF(ISBLANK(H154),"",IF(H154="ALI",IF(M154="L",7,IF(M154="A",10,15)),IF(H154="AIE",IF(M154="L",5,IF(M154="A",7,10)),IF(H154="SE",IF(M154="L",4,IF(M154="A",5,7)),IF(OR(H154="EE",H154="CE"),IF(M154="L",3,IF(M154="A",4,6)))))))</f>
        <v>3</v>
      </c>
      <c r="P154" s="48" t="n">
        <f aca="false">IF(I154="I",O154*Contagem!$W$15,IF(I154="E",O154*Contagem!$W$17,IF(I154="A",O154*Contagem!$W$16,IF(I154="T",O154*Contagem!$W$18,""))))</f>
        <v>3</v>
      </c>
      <c r="Q154" s="49" t="s">
        <v>280</v>
      </c>
    </row>
    <row r="155" customFormat="false" ht="12" hidden="false" customHeight="true" outlineLevel="0" collapsed="false">
      <c r="A155" s="40" t="n">
        <f aca="false">IF(H155="",IF(C155="",A154,A154+1),A154)</f>
        <v>22</v>
      </c>
      <c r="B155" s="41" t="str">
        <f aca="false">IF(A155=A154,"",CONCATENATE("F",A155))</f>
        <v/>
      </c>
      <c r="C155" s="42" t="s">
        <v>281</v>
      </c>
      <c r="D155" s="42"/>
      <c r="E155" s="42"/>
      <c r="F155" s="42"/>
      <c r="G155" s="42"/>
      <c r="H155" s="44" t="s">
        <v>62</v>
      </c>
      <c r="I155" s="50" t="s">
        <v>56</v>
      </c>
      <c r="J155" s="44" t="n">
        <v>5</v>
      </c>
      <c r="K155" s="44" t="n">
        <v>1</v>
      </c>
      <c r="L155" s="44" t="str">
        <f aca="false">CONCATENATE(H155,M155)</f>
        <v>EEL</v>
      </c>
      <c r="M155" s="45" t="str">
        <f aca="false">IF(OR(ISBLANK(J155),ISBLANK(K155)),IF(OR(H155="ALI",H155="AIE"),"L",IF(ISBLANK(H155),"","A")),IF(H155="EE",IF(K155&gt;=3,IF(J155&gt;=5,"H","A"),IF(K155&gt;=2,IF(J155&gt;=16,"H",IF(J155&lt;=4,"L","A")),IF(J155&lt;=15,"L","A"))),IF(OR(H155="SE",H155="CE"),IF(K155&gt;=4,IF(J155&gt;=6,"H","A"),IF(K155&gt;=2,IF(J155&gt;=20,"H",IF(J155&lt;=5,"L","A")),IF(J155&lt;=19,"L","A"))),IF(OR(H155="ALI",H155="AIE"),IF(K155&gt;=6,IF(J155&gt;=20,"H","A"),IF(K155&gt;=2,IF(J155&gt;=51,"H",IF(J155&lt;=19,"L","A")),IF(J155&lt;=50,"L","A")))))))</f>
        <v>L</v>
      </c>
      <c r="N155" s="46" t="str">
        <f aca="false">IF(M155="L","Baixa",IF(M155="A","Média",IF(M155="","","Alta")))</f>
        <v>Baixa</v>
      </c>
      <c r="O155" s="47" t="n">
        <f aca="false">IF(ISBLANK(H155),"",IF(H155="ALI",IF(M155="L",7,IF(M155="A",10,15)),IF(H155="AIE",IF(M155="L",5,IF(M155="A",7,10)),IF(H155="SE",IF(M155="L",4,IF(M155="A",5,7)),IF(OR(H155="EE",H155="CE"),IF(M155="L",3,IF(M155="A",4,6)))))))</f>
        <v>3</v>
      </c>
      <c r="P155" s="48" t="n">
        <f aca="false">IF(I155="I",O155*Contagem!$W$15,IF(I155="E",O155*Contagem!$W$17,IF(I155="A",O155*Contagem!$W$16,IF(I155="T",O155*Contagem!$W$18,""))))</f>
        <v>3</v>
      </c>
      <c r="Q155" s="49" t="s">
        <v>282</v>
      </c>
    </row>
    <row r="156" customFormat="false" ht="12" hidden="false" customHeight="true" outlineLevel="0" collapsed="false">
      <c r="A156" s="40" t="n">
        <f aca="false">IF(H156="",IF(C156="",A155,A155+1),A155)</f>
        <v>22</v>
      </c>
      <c r="B156" s="41" t="str">
        <f aca="false">IF(A156=A155,"",CONCATENATE("F",A156))</f>
        <v/>
      </c>
      <c r="C156" s="42" t="s">
        <v>283</v>
      </c>
      <c r="D156" s="42"/>
      <c r="E156" s="42"/>
      <c r="F156" s="42"/>
      <c r="G156" s="42"/>
      <c r="H156" s="44" t="s">
        <v>62</v>
      </c>
      <c r="I156" s="50" t="s">
        <v>56</v>
      </c>
      <c r="J156" s="44" t="n">
        <v>6</v>
      </c>
      <c r="K156" s="44" t="n">
        <v>1</v>
      </c>
      <c r="L156" s="44" t="str">
        <f aca="false">CONCATENATE(H156,M156)</f>
        <v>EEL</v>
      </c>
      <c r="M156" s="45" t="str">
        <f aca="false">IF(OR(ISBLANK(J156),ISBLANK(K156)),IF(OR(H156="ALI",H156="AIE"),"L",IF(ISBLANK(H156),"","A")),IF(H156="EE",IF(K156&gt;=3,IF(J156&gt;=5,"H","A"),IF(K156&gt;=2,IF(J156&gt;=16,"H",IF(J156&lt;=4,"L","A")),IF(J156&lt;=15,"L","A"))),IF(OR(H156="SE",H156="CE"),IF(K156&gt;=4,IF(J156&gt;=6,"H","A"),IF(K156&gt;=2,IF(J156&gt;=20,"H",IF(J156&lt;=5,"L","A")),IF(J156&lt;=19,"L","A"))),IF(OR(H156="ALI",H156="AIE"),IF(K156&gt;=6,IF(J156&gt;=20,"H","A"),IF(K156&gt;=2,IF(J156&gt;=51,"H",IF(J156&lt;=19,"L","A")),IF(J156&lt;=50,"L","A")))))))</f>
        <v>L</v>
      </c>
      <c r="N156" s="46" t="str">
        <f aca="false">IF(M156="L","Baixa",IF(M156="A","Média",IF(M156="","","Alta")))</f>
        <v>Baixa</v>
      </c>
      <c r="O156" s="47" t="n">
        <f aca="false">IF(ISBLANK(H156),"",IF(H156="ALI",IF(M156="L",7,IF(M156="A",10,15)),IF(H156="AIE",IF(M156="L",5,IF(M156="A",7,10)),IF(H156="SE",IF(M156="L",4,IF(M156="A",5,7)),IF(OR(H156="EE",H156="CE"),IF(M156="L",3,IF(M156="A",4,6)))))))</f>
        <v>3</v>
      </c>
      <c r="P156" s="48" t="n">
        <f aca="false">IF(I156="I",O156*Contagem!$W$15,IF(I156="E",O156*Contagem!$W$17,IF(I156="A",O156*Contagem!$W$16,IF(I156="T",O156*Contagem!$W$18,""))))</f>
        <v>3</v>
      </c>
      <c r="Q156" s="49" t="s">
        <v>284</v>
      </c>
    </row>
    <row r="157" customFormat="false" ht="12" hidden="false" customHeight="true" outlineLevel="0" collapsed="false">
      <c r="A157" s="40" t="n">
        <f aca="false">IF(H157="",IF(C157="",A156,A156+1),A156)</f>
        <v>22</v>
      </c>
      <c r="B157" s="41" t="str">
        <f aca="false">IF(A157=A156,"",CONCATENATE("F",A157))</f>
        <v/>
      </c>
      <c r="C157" s="42" t="s">
        <v>285</v>
      </c>
      <c r="D157" s="42"/>
      <c r="E157" s="42"/>
      <c r="F157" s="42"/>
      <c r="G157" s="42"/>
      <c r="H157" s="44" t="s">
        <v>62</v>
      </c>
      <c r="I157" s="50" t="s">
        <v>56</v>
      </c>
      <c r="J157" s="44" t="n">
        <v>3</v>
      </c>
      <c r="K157" s="44" t="n">
        <v>1</v>
      </c>
      <c r="L157" s="44" t="str">
        <f aca="false">CONCATENATE(H157,M157)</f>
        <v>EEL</v>
      </c>
      <c r="M157" s="45" t="str">
        <f aca="false">IF(OR(ISBLANK(J157),ISBLANK(K157)),IF(OR(H157="ALI",H157="AIE"),"L",IF(ISBLANK(H157),"","A")),IF(H157="EE",IF(K157&gt;=3,IF(J157&gt;=5,"H","A"),IF(K157&gt;=2,IF(J157&gt;=16,"H",IF(J157&lt;=4,"L","A")),IF(J157&lt;=15,"L","A"))),IF(OR(H157="SE",H157="CE"),IF(K157&gt;=4,IF(J157&gt;=6,"H","A"),IF(K157&gt;=2,IF(J157&gt;=20,"H",IF(J157&lt;=5,"L","A")),IF(J157&lt;=19,"L","A"))),IF(OR(H157="ALI",H157="AIE"),IF(K157&gt;=6,IF(J157&gt;=20,"H","A"),IF(K157&gt;=2,IF(J157&gt;=51,"H",IF(J157&lt;=19,"L","A")),IF(J157&lt;=50,"L","A")))))))</f>
        <v>L</v>
      </c>
      <c r="N157" s="46" t="str">
        <f aca="false">IF(M157="L","Baixa",IF(M157="A","Média",IF(M157="","","Alta")))</f>
        <v>Baixa</v>
      </c>
      <c r="O157" s="47" t="n">
        <f aca="false">IF(ISBLANK(H157),"",IF(H157="ALI",IF(M157="L",7,IF(M157="A",10,15)),IF(H157="AIE",IF(M157="L",5,IF(M157="A",7,10)),IF(H157="SE",IF(M157="L",4,IF(M157="A",5,7)),IF(OR(H157="EE",H157="CE"),IF(M157="L",3,IF(M157="A",4,6)))))))</f>
        <v>3</v>
      </c>
      <c r="P157" s="48" t="n">
        <f aca="false">IF(I157="I",O157*Contagem!$W$15,IF(I157="E",O157*Contagem!$W$17,IF(I157="A",O157*Contagem!$W$16,IF(I157="T",O157*Contagem!$W$18,""))))</f>
        <v>3</v>
      </c>
      <c r="Q157" s="49" t="s">
        <v>286</v>
      </c>
    </row>
    <row r="158" customFormat="false" ht="12" hidden="false" customHeight="true" outlineLevel="0" collapsed="false">
      <c r="A158" s="40" t="n">
        <f aca="false">IF(H158="",IF(C158="",A157,A157+1),A157)</f>
        <v>22</v>
      </c>
      <c r="B158" s="41" t="str">
        <f aca="false">IF(A158=A157,"",CONCATENATE("F",A158))</f>
        <v/>
      </c>
      <c r="C158" s="42"/>
      <c r="D158" s="42"/>
      <c r="E158" s="42"/>
      <c r="F158" s="42"/>
      <c r="G158" s="42"/>
      <c r="H158" s="44"/>
      <c r="I158" s="50"/>
      <c r="J158" s="44"/>
      <c r="K158" s="44"/>
      <c r="L158" s="44" t="str">
        <f aca="false">CONCATENATE(H158,M158)</f>
        <v/>
      </c>
      <c r="M158" s="45" t="str">
        <f aca="false">IF(OR(ISBLANK(J158),ISBLANK(K158)),IF(OR(H158="ALI",H158="AIE"),"L",IF(ISBLANK(H158),"","A")),IF(H158="EE",IF(K158&gt;=3,IF(J158&gt;=5,"H","A"),IF(K158&gt;=2,IF(J158&gt;=16,"H",IF(J158&lt;=4,"L","A")),IF(J158&lt;=15,"L","A"))),IF(OR(H158="SE",H158="CE"),IF(K158&gt;=4,IF(J158&gt;=6,"H","A"),IF(K158&gt;=2,IF(J158&gt;=20,"H",IF(J158&lt;=5,"L","A")),IF(J158&lt;=19,"L","A"))),IF(OR(H158="ALI",H158="AIE"),IF(K158&gt;=6,IF(J158&gt;=20,"H","A"),IF(K158&gt;=2,IF(J158&gt;=51,"H",IF(J158&lt;=19,"L","A")),IF(J158&lt;=50,"L","A")))))))</f>
        <v/>
      </c>
      <c r="N158" s="46" t="str">
        <f aca="false">IF(M158="L","Baixa",IF(M158="A","Média",IF(M158="","","Alta")))</f>
        <v/>
      </c>
      <c r="O158" s="47" t="str">
        <f aca="false">IF(ISBLANK(H158),"",IF(H158="ALI",IF(M158="L",7,IF(M158="A",10,15)),IF(H158="AIE",IF(M158="L",5,IF(M158="A",7,10)),IF(H158="SE",IF(M158="L",4,IF(M158="A",5,7)),IF(OR(H158="EE",H158="CE"),IF(M158="L",3,IF(M158="A",4,6)))))))</f>
        <v/>
      </c>
      <c r="P158" s="48" t="str">
        <f aca="false">IF(I158="I",O158*Contagem!$W$15,IF(I158="E",O158*Contagem!$W$17,IF(I158="A",O158*Contagem!$W$16,IF(I158="T",O158*Contagem!$W$18,""))))</f>
        <v/>
      </c>
      <c r="Q158" s="49"/>
    </row>
    <row r="159" customFormat="false" ht="12" hidden="false" customHeight="true" outlineLevel="0" collapsed="false">
      <c r="A159" s="40" t="n">
        <f aca="false">IF(H159="",IF(C159="",A158,A158+1),A158)</f>
        <v>23</v>
      </c>
      <c r="B159" s="41" t="str">
        <f aca="false">IF(A159=A158,"",CONCATENATE("F",A159))</f>
        <v>F23</v>
      </c>
      <c r="C159" s="42" t="s">
        <v>287</v>
      </c>
      <c r="D159" s="42"/>
      <c r="E159" s="42"/>
      <c r="F159" s="42"/>
      <c r="G159" s="42"/>
      <c r="H159" s="44"/>
      <c r="I159" s="50"/>
      <c r="J159" s="44"/>
      <c r="K159" s="44"/>
      <c r="L159" s="44" t="str">
        <f aca="false">CONCATENATE(H159,M159)</f>
        <v/>
      </c>
      <c r="M159" s="45" t="str">
        <f aca="false">IF(OR(ISBLANK(J159),ISBLANK(K159)),IF(OR(H159="ALI",H159="AIE"),"L",IF(ISBLANK(H159),"","A")),IF(H159="EE",IF(K159&gt;=3,IF(J159&gt;=5,"H","A"),IF(K159&gt;=2,IF(J159&gt;=16,"H",IF(J159&lt;=4,"L","A")),IF(J159&lt;=15,"L","A"))),IF(OR(H159="SE",H159="CE"),IF(K159&gt;=4,IF(J159&gt;=6,"H","A"),IF(K159&gt;=2,IF(J159&gt;=20,"H",IF(J159&lt;=5,"L","A")),IF(J159&lt;=19,"L","A"))),IF(OR(H159="ALI",H159="AIE"),IF(K159&gt;=6,IF(J159&gt;=20,"H","A"),IF(K159&gt;=2,IF(J159&gt;=51,"H",IF(J159&lt;=19,"L","A")),IF(J159&lt;=50,"L","A")))))))</f>
        <v/>
      </c>
      <c r="N159" s="46" t="str">
        <f aca="false">IF(M159="L","Baixa",IF(M159="A","Média",IF(M159="","","Alta")))</f>
        <v/>
      </c>
      <c r="O159" s="47" t="str">
        <f aca="false">IF(ISBLANK(H159),"",IF(H159="ALI",IF(M159="L",7,IF(M159="A",10,15)),IF(H159="AIE",IF(M159="L",5,IF(M159="A",7,10)),IF(H159="SE",IF(M159="L",4,IF(M159="A",5,7)),IF(OR(H159="EE",H159="CE"),IF(M159="L",3,IF(M159="A",4,6)))))))</f>
        <v/>
      </c>
      <c r="P159" s="48" t="str">
        <f aca="false">IF(I159="I",O159*Contagem!$W$15,IF(I159="E",O159*Contagem!$W$17,IF(I159="A",O159*Contagem!$W$16,IF(I159="T",O159*Contagem!$W$18,""))))</f>
        <v/>
      </c>
      <c r="Q159" s="49"/>
    </row>
    <row r="160" customFormat="false" ht="12" hidden="false" customHeight="true" outlineLevel="0" collapsed="false">
      <c r="A160" s="40" t="n">
        <f aca="false">IF(H160="",IF(C160="",A159,A159+1),A159)</f>
        <v>23</v>
      </c>
      <c r="B160" s="41" t="str">
        <f aca="false">IF(A160=A159,"",CONCATENATE("F",A160))</f>
        <v/>
      </c>
      <c r="C160" s="42" t="s">
        <v>288</v>
      </c>
      <c r="D160" s="42"/>
      <c r="E160" s="42"/>
      <c r="F160" s="42"/>
      <c r="G160" s="42"/>
      <c r="H160" s="44" t="s">
        <v>55</v>
      </c>
      <c r="I160" s="50" t="s">
        <v>56</v>
      </c>
      <c r="J160" s="44" t="n">
        <v>9</v>
      </c>
      <c r="K160" s="44" t="n">
        <v>1</v>
      </c>
      <c r="L160" s="44" t="str">
        <f aca="false">CONCATENATE(H160,M160)</f>
        <v>ALIL</v>
      </c>
      <c r="M160" s="45" t="str">
        <f aca="false">IF(OR(ISBLANK(J160),ISBLANK(K160)),IF(OR(H160="ALI",H160="AIE"),"L",IF(ISBLANK(H160),"","A")),IF(H160="EE",IF(K160&gt;=3,IF(J160&gt;=5,"H","A"),IF(K160&gt;=2,IF(J160&gt;=16,"H",IF(J160&lt;=4,"L","A")),IF(J160&lt;=15,"L","A"))),IF(OR(H160="SE",H160="CE"),IF(K160&gt;=4,IF(J160&gt;=6,"H","A"),IF(K160&gt;=2,IF(J160&gt;=20,"H",IF(J160&lt;=5,"L","A")),IF(J160&lt;=19,"L","A"))),IF(OR(H160="ALI",H160="AIE"),IF(K160&gt;=6,IF(J160&gt;=20,"H","A"),IF(K160&gt;=2,IF(J160&gt;=51,"H",IF(J160&lt;=19,"L","A")),IF(J160&lt;=50,"L","A")))))))</f>
        <v>L</v>
      </c>
      <c r="N160" s="46" t="str">
        <f aca="false">IF(M160="L","Baixa",IF(M160="A","Média",IF(M160="","","Alta")))</f>
        <v>Baixa</v>
      </c>
      <c r="O160" s="47" t="n">
        <f aca="false">IF(ISBLANK(H160),"",IF(H160="ALI",IF(M160="L",7,IF(M160="A",10,15)),IF(H160="AIE",IF(M160="L",5,IF(M160="A",7,10)),IF(H160="SE",IF(M160="L",4,IF(M160="A",5,7)),IF(OR(H160="EE",H160="CE"),IF(M160="L",3,IF(M160="A",4,6)))))))</f>
        <v>7</v>
      </c>
      <c r="P160" s="48" t="n">
        <f aca="false">IF(I160="I",O160*Contagem!$W$15,IF(I160="E",O160*Contagem!$W$17,IF(I160="A",O160*Contagem!$W$16,IF(I160="T",O160*Contagem!$W$18,""))))</f>
        <v>7</v>
      </c>
      <c r="Q160" s="49" t="s">
        <v>289</v>
      </c>
    </row>
    <row r="161" customFormat="false" ht="12" hidden="false" customHeight="true" outlineLevel="0" collapsed="false">
      <c r="A161" s="40" t="n">
        <f aca="false">IF(H161="",IF(C161="",A160,A160+1),A160)</f>
        <v>23</v>
      </c>
      <c r="B161" s="41" t="str">
        <f aca="false">IF(A161=A160,"",CONCATENATE("F",A161))</f>
        <v/>
      </c>
      <c r="C161" s="42" t="s">
        <v>290</v>
      </c>
      <c r="D161" s="42"/>
      <c r="E161" s="42"/>
      <c r="F161" s="42"/>
      <c r="G161" s="42"/>
      <c r="H161" s="44" t="s">
        <v>80</v>
      </c>
      <c r="I161" s="50" t="s">
        <v>56</v>
      </c>
      <c r="J161" s="44" t="n">
        <v>16</v>
      </c>
      <c r="K161" s="44" t="n">
        <v>3</v>
      </c>
      <c r="L161" s="44" t="str">
        <f aca="false">CONCATENATE(H161,M161)</f>
        <v>CEA</v>
      </c>
      <c r="M161" s="45" t="str">
        <f aca="false">IF(OR(ISBLANK(J161),ISBLANK(K161)),IF(OR(H161="ALI",H161="AIE"),"L",IF(ISBLANK(H161),"","A")),IF(H161="EE",IF(K161&gt;=3,IF(J161&gt;=5,"H","A"),IF(K161&gt;=2,IF(J161&gt;=16,"H",IF(J161&lt;=4,"L","A")),IF(J161&lt;=15,"L","A"))),IF(OR(H161="SE",H161="CE"),IF(K161&gt;=4,IF(J161&gt;=6,"H","A"),IF(K161&gt;=2,IF(J161&gt;=20,"H",IF(J161&lt;=5,"L","A")),IF(J161&lt;=19,"L","A"))),IF(OR(H161="ALI",H161="AIE"),IF(K161&gt;=6,IF(J161&gt;=20,"H","A"),IF(K161&gt;=2,IF(J161&gt;=51,"H",IF(J161&lt;=19,"L","A")),IF(J161&lt;=50,"L","A")))))))</f>
        <v>A</v>
      </c>
      <c r="N161" s="46" t="str">
        <f aca="false">IF(M161="L","Baixa",IF(M161="A","Média",IF(M161="","","Alta")))</f>
        <v>Média</v>
      </c>
      <c r="O161" s="47" t="n">
        <f aca="false">IF(ISBLANK(H161),"",IF(H161="ALI",IF(M161="L",7,IF(M161="A",10,15)),IF(H161="AIE",IF(M161="L",5,IF(M161="A",7,10)),IF(H161="SE",IF(M161="L",4,IF(M161="A",5,7)),IF(OR(H161="EE",H161="CE"),IF(M161="L",3,IF(M161="A",4,6)))))))</f>
        <v>4</v>
      </c>
      <c r="P161" s="48" t="n">
        <f aca="false">IF(I161="I",O161*Contagem!$W$15,IF(I161="E",O161*Contagem!$W$17,IF(I161="A",O161*Contagem!$W$16,IF(I161="T",O161*Contagem!$W$18,""))))</f>
        <v>4</v>
      </c>
      <c r="Q161" s="49" t="s">
        <v>291</v>
      </c>
    </row>
    <row r="162" customFormat="false" ht="12" hidden="false" customHeight="true" outlineLevel="0" collapsed="false">
      <c r="A162" s="40" t="n">
        <f aca="false">IF(H162="",IF(C162="",A161,A161+1),A161)</f>
        <v>23</v>
      </c>
      <c r="B162" s="41" t="str">
        <f aca="false">IF(A162=A161,"",CONCATENATE("F",A162))</f>
        <v/>
      </c>
      <c r="C162" s="42" t="s">
        <v>292</v>
      </c>
      <c r="D162" s="42"/>
      <c r="E162" s="42"/>
      <c r="F162" s="42"/>
      <c r="G162" s="42"/>
      <c r="H162" s="44" t="s">
        <v>80</v>
      </c>
      <c r="I162" s="50" t="s">
        <v>56</v>
      </c>
      <c r="J162" s="44" t="n">
        <v>4</v>
      </c>
      <c r="K162" s="44" t="n">
        <v>2</v>
      </c>
      <c r="L162" s="44" t="str">
        <f aca="false">CONCATENATE(H162,M162)</f>
        <v>CEL</v>
      </c>
      <c r="M162" s="45" t="str">
        <f aca="false">IF(OR(ISBLANK(J162),ISBLANK(K162)),IF(OR(H162="ALI",H162="AIE"),"L",IF(ISBLANK(H162),"","A")),IF(H162="EE",IF(K162&gt;=3,IF(J162&gt;=5,"H","A"),IF(K162&gt;=2,IF(J162&gt;=16,"H",IF(J162&lt;=4,"L","A")),IF(J162&lt;=15,"L","A"))),IF(OR(H162="SE",H162="CE"),IF(K162&gt;=4,IF(J162&gt;=6,"H","A"),IF(K162&gt;=2,IF(J162&gt;=20,"H",IF(J162&lt;=5,"L","A")),IF(J162&lt;=19,"L","A"))),IF(OR(H162="ALI",H162="AIE"),IF(K162&gt;=6,IF(J162&gt;=20,"H","A"),IF(K162&gt;=2,IF(J162&gt;=51,"H",IF(J162&lt;=19,"L","A")),IF(J162&lt;=50,"L","A")))))))</f>
        <v>L</v>
      </c>
      <c r="N162" s="46" t="str">
        <f aca="false">IF(M162="L","Baixa",IF(M162="A","Média",IF(M162="","","Alta")))</f>
        <v>Baixa</v>
      </c>
      <c r="O162" s="47" t="n">
        <f aca="false">IF(ISBLANK(H162),"",IF(H162="ALI",IF(M162="L",7,IF(M162="A",10,15)),IF(H162="AIE",IF(M162="L",5,IF(M162="A",7,10)),IF(H162="SE",IF(M162="L",4,IF(M162="A",5,7)),IF(OR(H162="EE",H162="CE"),IF(M162="L",3,IF(M162="A",4,6)))))))</f>
        <v>3</v>
      </c>
      <c r="P162" s="48" t="n">
        <f aca="false">IF(I162="I",O162*Contagem!$W$15,IF(I162="E",O162*Contagem!$W$17,IF(I162="A",O162*Contagem!$W$16,IF(I162="T",O162*Contagem!$W$18,""))))</f>
        <v>3</v>
      </c>
      <c r="Q162" s="49" t="s">
        <v>293</v>
      </c>
    </row>
    <row r="163" customFormat="false" ht="12" hidden="false" customHeight="true" outlineLevel="0" collapsed="false">
      <c r="A163" s="40" t="n">
        <f aca="false">IF(H163="",IF(C163="",A162,A162+1),A162)</f>
        <v>23</v>
      </c>
      <c r="B163" s="41" t="str">
        <f aca="false">IF(A163=A162,"",CONCATENATE("F",A163))</f>
        <v/>
      </c>
      <c r="C163" s="42" t="s">
        <v>294</v>
      </c>
      <c r="D163" s="42"/>
      <c r="E163" s="42"/>
      <c r="F163" s="42"/>
      <c r="G163" s="42"/>
      <c r="H163" s="44" t="s">
        <v>62</v>
      </c>
      <c r="I163" s="50" t="s">
        <v>56</v>
      </c>
      <c r="J163" s="44" t="n">
        <v>10</v>
      </c>
      <c r="K163" s="44" t="n">
        <v>1</v>
      </c>
      <c r="L163" s="44" t="str">
        <f aca="false">CONCATENATE(H163,M163)</f>
        <v>EEL</v>
      </c>
      <c r="M163" s="45" t="str">
        <f aca="false">IF(OR(ISBLANK(J163),ISBLANK(K163)),IF(OR(H163="ALI",H163="AIE"),"L",IF(ISBLANK(H163),"","A")),IF(H163="EE",IF(K163&gt;=3,IF(J163&gt;=5,"H","A"),IF(K163&gt;=2,IF(J163&gt;=16,"H",IF(J163&lt;=4,"L","A")),IF(J163&lt;=15,"L","A"))),IF(OR(H163="SE",H163="CE"),IF(K163&gt;=4,IF(J163&gt;=6,"H","A"),IF(K163&gt;=2,IF(J163&gt;=20,"H",IF(J163&lt;=5,"L","A")),IF(J163&lt;=19,"L","A"))),IF(OR(H163="ALI",H163="AIE"),IF(K163&gt;=6,IF(J163&gt;=20,"H","A"),IF(K163&gt;=2,IF(J163&gt;=51,"H",IF(J163&lt;=19,"L","A")),IF(J163&lt;=50,"L","A")))))))</f>
        <v>L</v>
      </c>
      <c r="N163" s="46" t="str">
        <f aca="false">IF(M163="L","Baixa",IF(M163="A","Média",IF(M163="","","Alta")))</f>
        <v>Baixa</v>
      </c>
      <c r="O163" s="47" t="n">
        <f aca="false">IF(ISBLANK(H163),"",IF(H163="ALI",IF(M163="L",7,IF(M163="A",10,15)),IF(H163="AIE",IF(M163="L",5,IF(M163="A",7,10)),IF(H163="SE",IF(M163="L",4,IF(M163="A",5,7)),IF(OR(H163="EE",H163="CE"),IF(M163="L",3,IF(M163="A",4,6)))))))</f>
        <v>3</v>
      </c>
      <c r="P163" s="48" t="n">
        <f aca="false">IF(I163="I",O163*Contagem!$W$15,IF(I163="E",O163*Contagem!$W$17,IF(I163="A",O163*Contagem!$W$16,IF(I163="T",O163*Contagem!$W$18,""))))</f>
        <v>3</v>
      </c>
      <c r="Q163" s="49" t="s">
        <v>295</v>
      </c>
    </row>
    <row r="164" customFormat="false" ht="12" hidden="false" customHeight="true" outlineLevel="0" collapsed="false">
      <c r="A164" s="40" t="n">
        <f aca="false">IF(H164="",IF(C164="",A163,A163+1),A163)</f>
        <v>23</v>
      </c>
      <c r="B164" s="41" t="str">
        <f aca="false">IF(A164=A163,"",CONCATENATE("F",A164))</f>
        <v/>
      </c>
      <c r="C164" s="42" t="s">
        <v>296</v>
      </c>
      <c r="D164" s="42"/>
      <c r="E164" s="42"/>
      <c r="F164" s="42"/>
      <c r="G164" s="42"/>
      <c r="H164" s="44" t="s">
        <v>62</v>
      </c>
      <c r="I164" s="50" t="s">
        <v>56</v>
      </c>
      <c r="J164" s="44" t="n">
        <v>11</v>
      </c>
      <c r="K164" s="44" t="n">
        <v>1</v>
      </c>
      <c r="L164" s="44" t="str">
        <f aca="false">CONCATENATE(H164,M164)</f>
        <v>EEL</v>
      </c>
      <c r="M164" s="45" t="str">
        <f aca="false">IF(OR(ISBLANK(J164),ISBLANK(K164)),IF(OR(H164="ALI",H164="AIE"),"L",IF(ISBLANK(H164),"","A")),IF(H164="EE",IF(K164&gt;=3,IF(J164&gt;=5,"H","A"),IF(K164&gt;=2,IF(J164&gt;=16,"H",IF(J164&lt;=4,"L","A")),IF(J164&lt;=15,"L","A"))),IF(OR(H164="SE",H164="CE"),IF(K164&gt;=4,IF(J164&gt;=6,"H","A"),IF(K164&gt;=2,IF(J164&gt;=20,"H",IF(J164&lt;=5,"L","A")),IF(J164&lt;=19,"L","A"))),IF(OR(H164="ALI",H164="AIE"),IF(K164&gt;=6,IF(J164&gt;=20,"H","A"),IF(K164&gt;=2,IF(J164&gt;=51,"H",IF(J164&lt;=19,"L","A")),IF(J164&lt;=50,"L","A")))))))</f>
        <v>L</v>
      </c>
      <c r="N164" s="46" t="str">
        <f aca="false">IF(M164="L","Baixa",IF(M164="A","Média",IF(M164="","","Alta")))</f>
        <v>Baixa</v>
      </c>
      <c r="O164" s="47" t="n">
        <f aca="false">IF(ISBLANK(H164),"",IF(H164="ALI",IF(M164="L",7,IF(M164="A",10,15)),IF(H164="AIE",IF(M164="L",5,IF(M164="A",7,10)),IF(H164="SE",IF(M164="L",4,IF(M164="A",5,7)),IF(OR(H164="EE",H164="CE"),IF(M164="L",3,IF(M164="A",4,6)))))))</f>
        <v>3</v>
      </c>
      <c r="P164" s="48" t="n">
        <f aca="false">IF(I164="I",O164*Contagem!$W$15,IF(I164="E",O164*Contagem!$W$17,IF(I164="A",O164*Contagem!$W$16,IF(I164="T",O164*Contagem!$W$18,""))))</f>
        <v>3</v>
      </c>
      <c r="Q164" s="49" t="s">
        <v>297</v>
      </c>
    </row>
    <row r="165" customFormat="false" ht="12" hidden="false" customHeight="true" outlineLevel="0" collapsed="false">
      <c r="A165" s="40" t="n">
        <f aca="false">IF(H165="",IF(C165="",A164,A164+1),A164)</f>
        <v>23</v>
      </c>
      <c r="B165" s="41" t="str">
        <f aca="false">IF(A165=A164,"",CONCATENATE("F",A165))</f>
        <v/>
      </c>
      <c r="C165" s="42" t="s">
        <v>298</v>
      </c>
      <c r="D165" s="42"/>
      <c r="E165" s="42"/>
      <c r="F165" s="42"/>
      <c r="G165" s="42"/>
      <c r="H165" s="44" t="s">
        <v>62</v>
      </c>
      <c r="I165" s="50" t="s">
        <v>56</v>
      </c>
      <c r="J165" s="44" t="n">
        <v>3</v>
      </c>
      <c r="K165" s="44" t="n">
        <v>1</v>
      </c>
      <c r="L165" s="44" t="str">
        <f aca="false">CONCATENATE(H165,M165)</f>
        <v>EEL</v>
      </c>
      <c r="M165" s="45" t="str">
        <f aca="false">IF(OR(ISBLANK(J165),ISBLANK(K165)),IF(OR(H165="ALI",H165="AIE"),"L",IF(ISBLANK(H165),"","A")),IF(H165="EE",IF(K165&gt;=3,IF(J165&gt;=5,"H","A"),IF(K165&gt;=2,IF(J165&gt;=16,"H",IF(J165&lt;=4,"L","A")),IF(J165&lt;=15,"L","A"))),IF(OR(H165="SE",H165="CE"),IF(K165&gt;=4,IF(J165&gt;=6,"H","A"),IF(K165&gt;=2,IF(J165&gt;=20,"H",IF(J165&lt;=5,"L","A")),IF(J165&lt;=19,"L","A"))),IF(OR(H165="ALI",H165="AIE"),IF(K165&gt;=6,IF(J165&gt;=20,"H","A"),IF(K165&gt;=2,IF(J165&gt;=51,"H",IF(J165&lt;=19,"L","A")),IF(J165&lt;=50,"L","A")))))))</f>
        <v>L</v>
      </c>
      <c r="N165" s="46" t="str">
        <f aca="false">IF(M165="L","Baixa",IF(M165="A","Média",IF(M165="","","Alta")))</f>
        <v>Baixa</v>
      </c>
      <c r="O165" s="47" t="n">
        <f aca="false">IF(ISBLANK(H165),"",IF(H165="ALI",IF(M165="L",7,IF(M165="A",10,15)),IF(H165="AIE",IF(M165="L",5,IF(M165="A",7,10)),IF(H165="SE",IF(M165="L",4,IF(M165="A",5,7)),IF(OR(H165="EE",H165="CE"),IF(M165="L",3,IF(M165="A",4,6)))))))</f>
        <v>3</v>
      </c>
      <c r="P165" s="48" t="n">
        <f aca="false">IF(I165="I",O165*Contagem!$W$15,IF(I165="E",O165*Contagem!$W$17,IF(I165="A",O165*Contagem!$W$16,IF(I165="T",O165*Contagem!$W$18,""))))</f>
        <v>3</v>
      </c>
      <c r="Q165" s="49" t="s">
        <v>299</v>
      </c>
    </row>
    <row r="166" customFormat="false" ht="12" hidden="false" customHeight="true" outlineLevel="0" collapsed="false">
      <c r="A166" s="40" t="n">
        <f aca="false">IF(H166="",IF(C166="",A165,A165+1),A165)</f>
        <v>23</v>
      </c>
      <c r="B166" s="41" t="str">
        <f aca="false">IF(A166=A165,"",CONCATENATE("F",A166))</f>
        <v/>
      </c>
      <c r="C166" s="42" t="s">
        <v>300</v>
      </c>
      <c r="D166" s="42"/>
      <c r="E166" s="42"/>
      <c r="F166" s="42"/>
      <c r="G166" s="42"/>
      <c r="H166" s="44" t="s">
        <v>62</v>
      </c>
      <c r="I166" s="50" t="s">
        <v>56</v>
      </c>
      <c r="J166" s="44" t="n">
        <v>5</v>
      </c>
      <c r="K166" s="44" t="n">
        <v>2</v>
      </c>
      <c r="L166" s="44" t="str">
        <f aca="false">CONCATENATE(H166,M166)</f>
        <v>EEA</v>
      </c>
      <c r="M166" s="45" t="str">
        <f aca="false">IF(OR(ISBLANK(J166),ISBLANK(K166)),IF(OR(H166="ALI",H166="AIE"),"L",IF(ISBLANK(H166),"","A")),IF(H166="EE",IF(K166&gt;=3,IF(J166&gt;=5,"H","A"),IF(K166&gt;=2,IF(J166&gt;=16,"H",IF(J166&lt;=4,"L","A")),IF(J166&lt;=15,"L","A"))),IF(OR(H166="SE",H166="CE"),IF(K166&gt;=4,IF(J166&gt;=6,"H","A"),IF(K166&gt;=2,IF(J166&gt;=20,"H",IF(J166&lt;=5,"L","A")),IF(J166&lt;=19,"L","A"))),IF(OR(H166="ALI",H166="AIE"),IF(K166&gt;=6,IF(J166&gt;=20,"H","A"),IF(K166&gt;=2,IF(J166&gt;=51,"H",IF(J166&lt;=19,"L","A")),IF(J166&lt;=50,"L","A")))))))</f>
        <v>A</v>
      </c>
      <c r="N166" s="46" t="str">
        <f aca="false">IF(M166="L","Baixa",IF(M166="A","Média",IF(M166="","","Alta")))</f>
        <v>Média</v>
      </c>
      <c r="O166" s="47" t="n">
        <f aca="false">IF(ISBLANK(H166),"",IF(H166="ALI",IF(M166="L",7,IF(M166="A",10,15)),IF(H166="AIE",IF(M166="L",5,IF(M166="A",7,10)),IF(H166="SE",IF(M166="L",4,IF(M166="A",5,7)),IF(OR(H166="EE",H166="CE"),IF(M166="L",3,IF(M166="A",4,6)))))))</f>
        <v>4</v>
      </c>
      <c r="P166" s="48" t="n">
        <f aca="false">IF(I166="I",O166*Contagem!$W$15,IF(I166="E",O166*Contagem!$W$17,IF(I166="A",O166*Contagem!$W$16,IF(I166="T",O166*Contagem!$W$18,""))))</f>
        <v>4</v>
      </c>
      <c r="Q166" s="49" t="s">
        <v>301</v>
      </c>
    </row>
    <row r="167" customFormat="false" ht="12" hidden="false" customHeight="true" outlineLevel="0" collapsed="false">
      <c r="A167" s="40" t="n">
        <f aca="false">IF(H167="",IF(C167="",A166,A166+1),A166)</f>
        <v>23</v>
      </c>
      <c r="B167" s="41" t="str">
        <f aca="false">IF(A167=A166,"",CONCATENATE("F",A167))</f>
        <v/>
      </c>
      <c r="C167" s="42" t="s">
        <v>302</v>
      </c>
      <c r="D167" s="42"/>
      <c r="E167" s="42"/>
      <c r="F167" s="42"/>
      <c r="G167" s="42"/>
      <c r="H167" s="44" t="s">
        <v>62</v>
      </c>
      <c r="I167" s="50" t="s">
        <v>56</v>
      </c>
      <c r="J167" s="44" t="n">
        <v>4</v>
      </c>
      <c r="K167" s="44" t="n">
        <v>2</v>
      </c>
      <c r="L167" s="44" t="str">
        <f aca="false">CONCATENATE(H167,M167)</f>
        <v>EEL</v>
      </c>
      <c r="M167" s="45" t="str">
        <f aca="false">IF(OR(ISBLANK(J167),ISBLANK(K167)),IF(OR(H167="ALI",H167="AIE"),"L",IF(ISBLANK(H167),"","A")),IF(H167="EE",IF(K167&gt;=3,IF(J167&gt;=5,"H","A"),IF(K167&gt;=2,IF(J167&gt;=16,"H",IF(J167&lt;=4,"L","A")),IF(J167&lt;=15,"L","A"))),IF(OR(H167="SE",H167="CE"),IF(K167&gt;=4,IF(J167&gt;=6,"H","A"),IF(K167&gt;=2,IF(J167&gt;=20,"H",IF(J167&lt;=5,"L","A")),IF(J167&lt;=19,"L","A"))),IF(OR(H167="ALI",H167="AIE"),IF(K167&gt;=6,IF(J167&gt;=20,"H","A"),IF(K167&gt;=2,IF(J167&gt;=51,"H",IF(J167&lt;=19,"L","A")),IF(J167&lt;=50,"L","A")))))))</f>
        <v>L</v>
      </c>
      <c r="N167" s="46" t="str">
        <f aca="false">IF(M167="L","Baixa",IF(M167="A","Média",IF(M167="","","Alta")))</f>
        <v>Baixa</v>
      </c>
      <c r="O167" s="47" t="n">
        <f aca="false">IF(ISBLANK(H167),"",IF(H167="ALI",IF(M167="L",7,IF(M167="A",10,15)),IF(H167="AIE",IF(M167="L",5,IF(M167="A",7,10)),IF(H167="SE",IF(M167="L",4,IF(M167="A",5,7)),IF(OR(H167="EE",H167="CE"),IF(M167="L",3,IF(M167="A",4,6)))))))</f>
        <v>3</v>
      </c>
      <c r="P167" s="48" t="n">
        <f aca="false">IF(I167="I",O167*Contagem!$W$15,IF(I167="E",O167*Contagem!$W$17,IF(I167="A",O167*Contagem!$W$16,IF(I167="T",O167*Contagem!$W$18,""))))</f>
        <v>3</v>
      </c>
      <c r="Q167" s="49" t="s">
        <v>303</v>
      </c>
    </row>
    <row r="168" customFormat="false" ht="12" hidden="false" customHeight="true" outlineLevel="0" collapsed="false">
      <c r="A168" s="40" t="n">
        <f aca="false">IF(H168="",IF(C168="",A167,A167+1),A167)</f>
        <v>23</v>
      </c>
      <c r="B168" s="41" t="str">
        <f aca="false">IF(A168=A167,"",CONCATENATE("F",A168))</f>
        <v/>
      </c>
      <c r="C168" s="42" t="s">
        <v>304</v>
      </c>
      <c r="D168" s="42"/>
      <c r="E168" s="42"/>
      <c r="F168" s="42"/>
      <c r="G168" s="42"/>
      <c r="H168" s="44" t="s">
        <v>99</v>
      </c>
      <c r="I168" s="50" t="s">
        <v>56</v>
      </c>
      <c r="J168" s="44" t="n">
        <v>8</v>
      </c>
      <c r="K168" s="44" t="n">
        <v>3</v>
      </c>
      <c r="L168" s="44" t="str">
        <f aca="false">CONCATENATE(H168,M168)</f>
        <v>SEA</v>
      </c>
      <c r="M168" s="45" t="str">
        <f aca="false">IF(OR(ISBLANK(J168),ISBLANK(K168)),IF(OR(H168="ALI",H168="AIE"),"L",IF(ISBLANK(H168),"","A")),IF(H168="EE",IF(K168&gt;=3,IF(J168&gt;=5,"H","A"),IF(K168&gt;=2,IF(J168&gt;=16,"H",IF(J168&lt;=4,"L","A")),IF(J168&lt;=15,"L","A"))),IF(OR(H168="SE",H168="CE"),IF(K168&gt;=4,IF(J168&gt;=6,"H","A"),IF(K168&gt;=2,IF(J168&gt;=20,"H",IF(J168&lt;=5,"L","A")),IF(J168&lt;=19,"L","A"))),IF(OR(H168="ALI",H168="AIE"),IF(K168&gt;=6,IF(J168&gt;=20,"H","A"),IF(K168&gt;=2,IF(J168&gt;=51,"H",IF(J168&lt;=19,"L","A")),IF(J168&lt;=50,"L","A")))))))</f>
        <v>A</v>
      </c>
      <c r="N168" s="46" t="str">
        <f aca="false">IF(M168="L","Baixa",IF(M168="A","Média",IF(M168="","","Alta")))</f>
        <v>Média</v>
      </c>
      <c r="O168" s="47" t="n">
        <f aca="false">IF(ISBLANK(H168),"",IF(H168="ALI",IF(M168="L",7,IF(M168="A",10,15)),IF(H168="AIE",IF(M168="L",5,IF(M168="A",7,10)),IF(H168="SE",IF(M168="L",4,IF(M168="A",5,7)),IF(OR(H168="EE",H168="CE"),IF(M168="L",3,IF(M168="A",4,6)))))))</f>
        <v>5</v>
      </c>
      <c r="P168" s="48" t="n">
        <f aca="false">IF(I168="I",O168*Contagem!$W$15,IF(I168="E",O168*Contagem!$W$17,IF(I168="A",O168*Contagem!$W$16,IF(I168="T",O168*Contagem!$W$18,""))))</f>
        <v>5</v>
      </c>
      <c r="Q168" s="49" t="s">
        <v>305</v>
      </c>
    </row>
    <row r="169" customFormat="false" ht="12" hidden="false" customHeight="true" outlineLevel="0" collapsed="false">
      <c r="A169" s="40" t="n">
        <f aca="false">IF(H169="",IF(C169="",A168,A168+1),A168)</f>
        <v>23</v>
      </c>
      <c r="B169" s="41" t="str">
        <f aca="false">IF(A169=A168,"",CONCATENATE("F",A169))</f>
        <v/>
      </c>
      <c r="C169" s="42"/>
      <c r="D169" s="42"/>
      <c r="E169" s="42"/>
      <c r="F169" s="42"/>
      <c r="G169" s="42"/>
      <c r="H169" s="44"/>
      <c r="I169" s="50"/>
      <c r="J169" s="44"/>
      <c r="K169" s="44"/>
      <c r="L169" s="44" t="str">
        <f aca="false">CONCATENATE(H169,M169)</f>
        <v/>
      </c>
      <c r="M169" s="45" t="str">
        <f aca="false">IF(OR(ISBLANK(J169),ISBLANK(K169)),IF(OR(H169="ALI",H169="AIE"),"L",IF(ISBLANK(H169),"","A")),IF(H169="EE",IF(K169&gt;=3,IF(J169&gt;=5,"H","A"),IF(K169&gt;=2,IF(J169&gt;=16,"H",IF(J169&lt;=4,"L","A")),IF(J169&lt;=15,"L","A"))),IF(OR(H169="SE",H169="CE"),IF(K169&gt;=4,IF(J169&gt;=6,"H","A"),IF(K169&gt;=2,IF(J169&gt;=20,"H",IF(J169&lt;=5,"L","A")),IF(J169&lt;=19,"L","A"))),IF(OR(H169="ALI",H169="AIE"),IF(K169&gt;=6,IF(J169&gt;=20,"H","A"),IF(K169&gt;=2,IF(J169&gt;=51,"H",IF(J169&lt;=19,"L","A")),IF(J169&lt;=50,"L","A")))))))</f>
        <v/>
      </c>
      <c r="N169" s="46" t="str">
        <f aca="false">IF(M169="L","Baixa",IF(M169="A","Média",IF(M169="","","Alta")))</f>
        <v/>
      </c>
      <c r="O169" s="47" t="str">
        <f aca="false">IF(ISBLANK(H169),"",IF(H169="ALI",IF(M169="L",7,IF(M169="A",10,15)),IF(H169="AIE",IF(M169="L",5,IF(M169="A",7,10)),IF(H169="SE",IF(M169="L",4,IF(M169="A",5,7)),IF(OR(H169="EE",H169="CE"),IF(M169="L",3,IF(M169="A",4,6)))))))</f>
        <v/>
      </c>
      <c r="P169" s="48" t="str">
        <f aca="false">IF(I169="I",O169*Contagem!$W$15,IF(I169="E",O169*Contagem!$W$17,IF(I169="A",O169*Contagem!$W$16,IF(I169="T",O169*Contagem!$W$18,""))))</f>
        <v/>
      </c>
      <c r="Q169" s="49"/>
    </row>
    <row r="170" customFormat="false" ht="12" hidden="false" customHeight="true" outlineLevel="0" collapsed="false">
      <c r="A170" s="40" t="n">
        <f aca="false">IF(H170="",IF(C170="",A169,A169+1),A169)</f>
        <v>24</v>
      </c>
      <c r="B170" s="41" t="str">
        <f aca="false">IF(A170=A169,"",CONCATENATE("F",A170))</f>
        <v>F24</v>
      </c>
      <c r="C170" s="42" t="s">
        <v>306</v>
      </c>
      <c r="D170" s="42"/>
      <c r="E170" s="42"/>
      <c r="F170" s="42"/>
      <c r="G170" s="42"/>
      <c r="H170" s="44"/>
      <c r="I170" s="50"/>
      <c r="J170" s="44"/>
      <c r="K170" s="44"/>
      <c r="L170" s="44" t="str">
        <f aca="false">CONCATENATE(H170,M170)</f>
        <v/>
      </c>
      <c r="M170" s="45" t="str">
        <f aca="false">IF(OR(ISBLANK(J170),ISBLANK(K170)),IF(OR(H170="ALI",H170="AIE"),"L",IF(ISBLANK(H170),"","A")),IF(H170="EE",IF(K170&gt;=3,IF(J170&gt;=5,"H","A"),IF(K170&gt;=2,IF(J170&gt;=16,"H",IF(J170&lt;=4,"L","A")),IF(J170&lt;=15,"L","A"))),IF(OR(H170="SE",H170="CE"),IF(K170&gt;=4,IF(J170&gt;=6,"H","A"),IF(K170&gt;=2,IF(J170&gt;=20,"H",IF(J170&lt;=5,"L","A")),IF(J170&lt;=19,"L","A"))),IF(OR(H170="ALI",H170="AIE"),IF(K170&gt;=6,IF(J170&gt;=20,"H","A"),IF(K170&gt;=2,IF(J170&gt;=51,"H",IF(J170&lt;=19,"L","A")),IF(J170&lt;=50,"L","A")))))))</f>
        <v/>
      </c>
      <c r="N170" s="46" t="str">
        <f aca="false">IF(M170="L","Baixa",IF(M170="A","Média",IF(M170="","","Alta")))</f>
        <v/>
      </c>
      <c r="O170" s="47" t="str">
        <f aca="false">IF(ISBLANK(H170),"",IF(H170="ALI",IF(M170="L",7,IF(M170="A",10,15)),IF(H170="AIE",IF(M170="L",5,IF(M170="A",7,10)),IF(H170="SE",IF(M170="L",4,IF(M170="A",5,7)),IF(OR(H170="EE",H170="CE"),IF(M170="L",3,IF(M170="A",4,6)))))))</f>
        <v/>
      </c>
      <c r="P170" s="48" t="str">
        <f aca="false">IF(I170="I",O170*Contagem!$W$15,IF(I170="E",O170*Contagem!$W$17,IF(I170="A",O170*Contagem!$W$16,IF(I170="T",O170*Contagem!$W$18,""))))</f>
        <v/>
      </c>
      <c r="Q170" s="49"/>
    </row>
    <row r="171" customFormat="false" ht="12" hidden="false" customHeight="true" outlineLevel="0" collapsed="false">
      <c r="A171" s="40" t="n">
        <f aca="false">IF(H171="",IF(C171="",A170,A170+1),A170)</f>
        <v>24</v>
      </c>
      <c r="B171" s="41" t="str">
        <f aca="false">IF(A171=A170,"",CONCATENATE("F",A171))</f>
        <v/>
      </c>
      <c r="C171" s="42" t="s">
        <v>307</v>
      </c>
      <c r="D171" s="42"/>
      <c r="E171" s="42"/>
      <c r="F171" s="42"/>
      <c r="G171" s="42"/>
      <c r="H171" s="44" t="s">
        <v>55</v>
      </c>
      <c r="I171" s="50" t="s">
        <v>56</v>
      </c>
      <c r="J171" s="44" t="n">
        <v>4</v>
      </c>
      <c r="K171" s="44" t="n">
        <v>1</v>
      </c>
      <c r="L171" s="44" t="str">
        <f aca="false">CONCATENATE(H171,M171)</f>
        <v>ALIL</v>
      </c>
      <c r="M171" s="45" t="str">
        <f aca="false">IF(OR(ISBLANK(J171),ISBLANK(K171)),IF(OR(H171="ALI",H171="AIE"),"L",IF(ISBLANK(H171),"","A")),IF(H171="EE",IF(K171&gt;=3,IF(J171&gt;=5,"H","A"),IF(K171&gt;=2,IF(J171&gt;=16,"H",IF(J171&lt;=4,"L","A")),IF(J171&lt;=15,"L","A"))),IF(OR(H171="SE",H171="CE"),IF(K171&gt;=4,IF(J171&gt;=6,"H","A"),IF(K171&gt;=2,IF(J171&gt;=20,"H",IF(J171&lt;=5,"L","A")),IF(J171&lt;=19,"L","A"))),IF(OR(H171="ALI",H171="AIE"),IF(K171&gt;=6,IF(J171&gt;=20,"H","A"),IF(K171&gt;=2,IF(J171&gt;=51,"H",IF(J171&lt;=19,"L","A")),IF(J171&lt;=50,"L","A")))))))</f>
        <v>L</v>
      </c>
      <c r="N171" s="46" t="str">
        <f aca="false">IF(M171="L","Baixa",IF(M171="A","Média",IF(M171="","","Alta")))</f>
        <v>Baixa</v>
      </c>
      <c r="O171" s="47" t="n">
        <f aca="false">IF(ISBLANK(H171),"",IF(H171="ALI",IF(M171="L",7,IF(M171="A",10,15)),IF(H171="AIE",IF(M171="L",5,IF(M171="A",7,10)),IF(H171="SE",IF(M171="L",4,IF(M171="A",5,7)),IF(OR(H171="EE",H171="CE"),IF(M171="L",3,IF(M171="A",4,6)))))))</f>
        <v>7</v>
      </c>
      <c r="P171" s="48" t="n">
        <f aca="false">IF(I171="I",O171*Contagem!$W$15,IF(I171="E",O171*Contagem!$W$17,IF(I171="A",O171*Contagem!$W$16,IF(I171="T",O171*Contagem!$W$18,""))))</f>
        <v>7</v>
      </c>
      <c r="Q171" s="49" t="s">
        <v>308</v>
      </c>
    </row>
    <row r="172" customFormat="false" ht="12" hidden="false" customHeight="true" outlineLevel="0" collapsed="false">
      <c r="A172" s="40" t="n">
        <f aca="false">IF(H172="",IF(C172="",A171,A171+1),A171)</f>
        <v>24</v>
      </c>
      <c r="B172" s="41" t="str">
        <f aca="false">IF(A172=A171,"",CONCATENATE("F",A172))</f>
        <v/>
      </c>
      <c r="C172" s="42" t="s">
        <v>309</v>
      </c>
      <c r="D172" s="42"/>
      <c r="E172" s="42"/>
      <c r="F172" s="42"/>
      <c r="G172" s="42"/>
      <c r="H172" s="44" t="s">
        <v>80</v>
      </c>
      <c r="I172" s="50" t="s">
        <v>56</v>
      </c>
      <c r="J172" s="44" t="n">
        <v>6</v>
      </c>
      <c r="K172" s="44" t="n">
        <v>1</v>
      </c>
      <c r="L172" s="44" t="str">
        <f aca="false">CONCATENATE(H172,M172)</f>
        <v>CEL</v>
      </c>
      <c r="M172" s="45" t="str">
        <f aca="false">IF(OR(ISBLANK(J172),ISBLANK(K172)),IF(OR(H172="ALI",H172="AIE"),"L",IF(ISBLANK(H172),"","A")),IF(H172="EE",IF(K172&gt;=3,IF(J172&gt;=5,"H","A"),IF(K172&gt;=2,IF(J172&gt;=16,"H",IF(J172&lt;=4,"L","A")),IF(J172&lt;=15,"L","A"))),IF(OR(H172="SE",H172="CE"),IF(K172&gt;=4,IF(J172&gt;=6,"H","A"),IF(K172&gt;=2,IF(J172&gt;=20,"H",IF(J172&lt;=5,"L","A")),IF(J172&lt;=19,"L","A"))),IF(OR(H172="ALI",H172="AIE"),IF(K172&gt;=6,IF(J172&gt;=20,"H","A"),IF(K172&gt;=2,IF(J172&gt;=51,"H",IF(J172&lt;=19,"L","A")),IF(J172&lt;=50,"L","A")))))))</f>
        <v>L</v>
      </c>
      <c r="N172" s="46" t="str">
        <f aca="false">IF(M172="L","Baixa",IF(M172="A","Média",IF(M172="","","Alta")))</f>
        <v>Baixa</v>
      </c>
      <c r="O172" s="47" t="n">
        <f aca="false">IF(ISBLANK(H172),"",IF(H172="ALI",IF(M172="L",7,IF(M172="A",10,15)),IF(H172="AIE",IF(M172="L",5,IF(M172="A",7,10)),IF(H172="SE",IF(M172="L",4,IF(M172="A",5,7)),IF(OR(H172="EE",H172="CE"),IF(M172="L",3,IF(M172="A",4,6)))))))</f>
        <v>3</v>
      </c>
      <c r="P172" s="48" t="n">
        <f aca="false">IF(I172="I",O172*Contagem!$W$15,IF(I172="E",O172*Contagem!$W$17,IF(I172="A",O172*Contagem!$W$16,IF(I172="T",O172*Contagem!$W$18,""))))</f>
        <v>3</v>
      </c>
      <c r="Q172" s="49" t="s">
        <v>310</v>
      </c>
    </row>
    <row r="173" customFormat="false" ht="12" hidden="false" customHeight="true" outlineLevel="0" collapsed="false">
      <c r="A173" s="40" t="n">
        <f aca="false">IF(H173="",IF(C173="",A172,A172+1),A172)</f>
        <v>24</v>
      </c>
      <c r="B173" s="41" t="str">
        <f aca="false">IF(A173=A172,"",CONCATENATE("F",A173))</f>
        <v/>
      </c>
      <c r="C173" s="42" t="s">
        <v>311</v>
      </c>
      <c r="D173" s="42"/>
      <c r="E173" s="42"/>
      <c r="F173" s="42"/>
      <c r="G173" s="42"/>
      <c r="H173" s="44" t="s">
        <v>62</v>
      </c>
      <c r="I173" s="50" t="s">
        <v>56</v>
      </c>
      <c r="J173" s="44" t="n">
        <v>5</v>
      </c>
      <c r="K173" s="44" t="n">
        <v>1</v>
      </c>
      <c r="L173" s="44" t="str">
        <f aca="false">CONCATENATE(H173,M173)</f>
        <v>EEL</v>
      </c>
      <c r="M173" s="45" t="str">
        <f aca="false">IF(OR(ISBLANK(J173),ISBLANK(K173)),IF(OR(H173="ALI",H173="AIE"),"L",IF(ISBLANK(H173),"","A")),IF(H173="EE",IF(K173&gt;=3,IF(J173&gt;=5,"H","A"),IF(K173&gt;=2,IF(J173&gt;=16,"H",IF(J173&lt;=4,"L","A")),IF(J173&lt;=15,"L","A"))),IF(OR(H173="SE",H173="CE"),IF(K173&gt;=4,IF(J173&gt;=6,"H","A"),IF(K173&gt;=2,IF(J173&gt;=20,"H",IF(J173&lt;=5,"L","A")),IF(J173&lt;=19,"L","A"))),IF(OR(H173="ALI",H173="AIE"),IF(K173&gt;=6,IF(J173&gt;=20,"H","A"),IF(K173&gt;=2,IF(J173&gt;=51,"H",IF(J173&lt;=19,"L","A")),IF(J173&lt;=50,"L","A")))))))</f>
        <v>L</v>
      </c>
      <c r="N173" s="46" t="str">
        <f aca="false">IF(M173="L","Baixa",IF(M173="A","Média",IF(M173="","","Alta")))</f>
        <v>Baixa</v>
      </c>
      <c r="O173" s="47" t="n">
        <f aca="false">IF(ISBLANK(H173),"",IF(H173="ALI",IF(M173="L",7,IF(M173="A",10,15)),IF(H173="AIE",IF(M173="L",5,IF(M173="A",7,10)),IF(H173="SE",IF(M173="L",4,IF(M173="A",5,7)),IF(OR(H173="EE",H173="CE"),IF(M173="L",3,IF(M173="A",4,6)))))))</f>
        <v>3</v>
      </c>
      <c r="P173" s="48" t="n">
        <f aca="false">IF(I173="I",O173*Contagem!$W$15,IF(I173="E",O173*Contagem!$W$17,IF(I173="A",O173*Contagem!$W$16,IF(I173="T",O173*Contagem!$W$18,""))))</f>
        <v>3</v>
      </c>
      <c r="Q173" s="49" t="s">
        <v>312</v>
      </c>
    </row>
    <row r="174" customFormat="false" ht="12" hidden="false" customHeight="true" outlineLevel="0" collapsed="false">
      <c r="A174" s="40" t="n">
        <f aca="false">IF(H174="",IF(C174="",A173,A173+1),A173)</f>
        <v>24</v>
      </c>
      <c r="B174" s="41" t="str">
        <f aca="false">IF(A174=A173,"",CONCATENATE("F",A174))</f>
        <v/>
      </c>
      <c r="C174" s="42" t="s">
        <v>313</v>
      </c>
      <c r="D174" s="42"/>
      <c r="E174" s="42"/>
      <c r="F174" s="42"/>
      <c r="G174" s="42"/>
      <c r="H174" s="44" t="s">
        <v>62</v>
      </c>
      <c r="I174" s="50" t="s">
        <v>56</v>
      </c>
      <c r="J174" s="44" t="n">
        <v>5</v>
      </c>
      <c r="K174" s="44" t="n">
        <v>1</v>
      </c>
      <c r="L174" s="44" t="str">
        <f aca="false">CONCATENATE(H174,M174)</f>
        <v>EEL</v>
      </c>
      <c r="M174" s="45" t="str">
        <f aca="false">IF(OR(ISBLANK(J174),ISBLANK(K174)),IF(OR(H174="ALI",H174="AIE"),"L",IF(ISBLANK(H174),"","A")),IF(H174="EE",IF(K174&gt;=3,IF(J174&gt;=5,"H","A"),IF(K174&gt;=2,IF(J174&gt;=16,"H",IF(J174&lt;=4,"L","A")),IF(J174&lt;=15,"L","A"))),IF(OR(H174="SE",H174="CE"),IF(K174&gt;=4,IF(J174&gt;=6,"H","A"),IF(K174&gt;=2,IF(J174&gt;=20,"H",IF(J174&lt;=5,"L","A")),IF(J174&lt;=19,"L","A"))),IF(OR(H174="ALI",H174="AIE"),IF(K174&gt;=6,IF(J174&gt;=20,"H","A"),IF(K174&gt;=2,IF(J174&gt;=51,"H",IF(J174&lt;=19,"L","A")),IF(J174&lt;=50,"L","A")))))))</f>
        <v>L</v>
      </c>
      <c r="N174" s="46" t="str">
        <f aca="false">IF(M174="L","Baixa",IF(M174="A","Média",IF(M174="","","Alta")))</f>
        <v>Baixa</v>
      </c>
      <c r="O174" s="47" t="n">
        <f aca="false">IF(ISBLANK(H174),"",IF(H174="ALI",IF(M174="L",7,IF(M174="A",10,15)),IF(H174="AIE",IF(M174="L",5,IF(M174="A",7,10)),IF(H174="SE",IF(M174="L",4,IF(M174="A",5,7)),IF(OR(H174="EE",H174="CE"),IF(M174="L",3,IF(M174="A",4,6)))))))</f>
        <v>3</v>
      </c>
      <c r="P174" s="48" t="n">
        <f aca="false">IF(I174="I",O174*Contagem!$W$15,IF(I174="E",O174*Contagem!$W$17,IF(I174="A",O174*Contagem!$W$16,IF(I174="T",O174*Contagem!$W$18,""))))</f>
        <v>3</v>
      </c>
      <c r="Q174" s="49" t="s">
        <v>314</v>
      </c>
    </row>
    <row r="175" customFormat="false" ht="12" hidden="false" customHeight="true" outlineLevel="0" collapsed="false">
      <c r="A175" s="40" t="n">
        <f aca="false">IF(H175="",IF(C175="",A174,A174+1),A174)</f>
        <v>24</v>
      </c>
      <c r="B175" s="41" t="str">
        <f aca="false">IF(A175=A174,"",CONCATENATE("F",A175))</f>
        <v/>
      </c>
      <c r="C175" s="42" t="s">
        <v>315</v>
      </c>
      <c r="D175" s="42"/>
      <c r="E175" s="42"/>
      <c r="F175" s="42"/>
      <c r="G175" s="42"/>
      <c r="H175" s="44" t="s">
        <v>62</v>
      </c>
      <c r="I175" s="50" t="s">
        <v>56</v>
      </c>
      <c r="J175" s="44" t="n">
        <v>3</v>
      </c>
      <c r="K175" s="44" t="n">
        <v>1</v>
      </c>
      <c r="L175" s="44" t="str">
        <f aca="false">CONCATENATE(H175,M175)</f>
        <v>EEL</v>
      </c>
      <c r="M175" s="45" t="str">
        <f aca="false">IF(OR(ISBLANK(J175),ISBLANK(K175)),IF(OR(H175="ALI",H175="AIE"),"L",IF(ISBLANK(H175),"","A")),IF(H175="EE",IF(K175&gt;=3,IF(J175&gt;=5,"H","A"),IF(K175&gt;=2,IF(J175&gt;=16,"H",IF(J175&lt;=4,"L","A")),IF(J175&lt;=15,"L","A"))),IF(OR(H175="SE",H175="CE"),IF(K175&gt;=4,IF(J175&gt;=6,"H","A"),IF(K175&gt;=2,IF(J175&gt;=20,"H",IF(J175&lt;=5,"L","A")),IF(J175&lt;=19,"L","A"))),IF(OR(H175="ALI",H175="AIE"),IF(K175&gt;=6,IF(J175&gt;=20,"H","A"),IF(K175&gt;=2,IF(J175&gt;=51,"H",IF(J175&lt;=19,"L","A")),IF(J175&lt;=50,"L","A")))))))</f>
        <v>L</v>
      </c>
      <c r="N175" s="46" t="str">
        <f aca="false">IF(M175="L","Baixa",IF(M175="A","Média",IF(M175="","","Alta")))</f>
        <v>Baixa</v>
      </c>
      <c r="O175" s="47" t="n">
        <f aca="false">IF(ISBLANK(H175),"",IF(H175="ALI",IF(M175="L",7,IF(M175="A",10,15)),IF(H175="AIE",IF(M175="L",5,IF(M175="A",7,10)),IF(H175="SE",IF(M175="L",4,IF(M175="A",5,7)),IF(OR(H175="EE",H175="CE"),IF(M175="L",3,IF(M175="A",4,6)))))))</f>
        <v>3</v>
      </c>
      <c r="P175" s="48" t="n">
        <f aca="false">IF(I175="I",O175*Contagem!$W$15,IF(I175="E",O175*Contagem!$W$17,IF(I175="A",O175*Contagem!$W$16,IF(I175="T",O175*Contagem!$W$18,""))))</f>
        <v>3</v>
      </c>
      <c r="Q175" s="49" t="s">
        <v>316</v>
      </c>
    </row>
    <row r="176" customFormat="false" ht="12" hidden="false" customHeight="true" outlineLevel="0" collapsed="false">
      <c r="A176" s="40" t="n">
        <f aca="false">IF(H176="",IF(C176="",A175,A175+1),A175)</f>
        <v>24</v>
      </c>
      <c r="B176" s="41" t="str">
        <f aca="false">IF(A176=A175,"",CONCATENATE("F",A176))</f>
        <v/>
      </c>
      <c r="C176" s="42"/>
      <c r="D176" s="42"/>
      <c r="E176" s="42"/>
      <c r="F176" s="42"/>
      <c r="G176" s="42"/>
      <c r="H176" s="44"/>
      <c r="I176" s="50"/>
      <c r="J176" s="44"/>
      <c r="K176" s="44"/>
      <c r="L176" s="44" t="str">
        <f aca="false">CONCATENATE(H176,M176)</f>
        <v/>
      </c>
      <c r="M176" s="45" t="str">
        <f aca="false">IF(OR(ISBLANK(J176),ISBLANK(K176)),IF(OR(H176="ALI",H176="AIE"),"L",IF(ISBLANK(H176),"","A")),IF(H176="EE",IF(K176&gt;=3,IF(J176&gt;=5,"H","A"),IF(K176&gt;=2,IF(J176&gt;=16,"H",IF(J176&lt;=4,"L","A")),IF(J176&lt;=15,"L","A"))),IF(OR(H176="SE",H176="CE"),IF(K176&gt;=4,IF(J176&gt;=6,"H","A"),IF(K176&gt;=2,IF(J176&gt;=20,"H",IF(J176&lt;=5,"L","A")),IF(J176&lt;=19,"L","A"))),IF(OR(H176="ALI",H176="AIE"),IF(K176&gt;=6,IF(J176&gt;=20,"H","A"),IF(K176&gt;=2,IF(J176&gt;=51,"H",IF(J176&lt;=19,"L","A")),IF(J176&lt;=50,"L","A")))))))</f>
        <v/>
      </c>
      <c r="N176" s="46" t="str">
        <f aca="false">IF(M176="L","Baixa",IF(M176="A","Média",IF(M176="","","Alta")))</f>
        <v/>
      </c>
      <c r="O176" s="47" t="str">
        <f aca="false">IF(ISBLANK(H176),"",IF(H176="ALI",IF(M176="L",7,IF(M176="A",10,15)),IF(H176="AIE",IF(M176="L",5,IF(M176="A",7,10)),IF(H176="SE",IF(M176="L",4,IF(M176="A",5,7)),IF(OR(H176="EE",H176="CE"),IF(M176="L",3,IF(M176="A",4,6)))))))</f>
        <v/>
      </c>
      <c r="P176" s="48" t="str">
        <f aca="false">IF(I176="I",O176*Contagem!$W$15,IF(I176="E",O176*Contagem!$W$17,IF(I176="A",O176*Contagem!$W$16,IF(I176="T",O176*Contagem!$W$18,""))))</f>
        <v/>
      </c>
      <c r="Q176" s="49"/>
    </row>
    <row r="177" customFormat="false" ht="12" hidden="false" customHeight="true" outlineLevel="0" collapsed="false">
      <c r="A177" s="40" t="n">
        <f aca="false">IF(H177="",IF(C177="",A176,A176+1),A176)</f>
        <v>25</v>
      </c>
      <c r="B177" s="41" t="str">
        <f aca="false">IF(A177=A176,"",CONCATENATE("F",A177))</f>
        <v>F25</v>
      </c>
      <c r="C177" s="42" t="s">
        <v>317</v>
      </c>
      <c r="D177" s="42"/>
      <c r="E177" s="42"/>
      <c r="F177" s="42"/>
      <c r="G177" s="42"/>
      <c r="H177" s="44"/>
      <c r="I177" s="50"/>
      <c r="J177" s="44"/>
      <c r="K177" s="44"/>
      <c r="L177" s="44" t="str">
        <f aca="false">CONCATENATE(H177,M177)</f>
        <v/>
      </c>
      <c r="M177" s="45" t="str">
        <f aca="false">IF(OR(ISBLANK(J177),ISBLANK(K177)),IF(OR(H177="ALI",H177="AIE"),"L",IF(ISBLANK(H177),"","A")),IF(H177="EE",IF(K177&gt;=3,IF(J177&gt;=5,"H","A"),IF(K177&gt;=2,IF(J177&gt;=16,"H",IF(J177&lt;=4,"L","A")),IF(J177&lt;=15,"L","A"))),IF(OR(H177="SE",H177="CE"),IF(K177&gt;=4,IF(J177&gt;=6,"H","A"),IF(K177&gt;=2,IF(J177&gt;=20,"H",IF(J177&lt;=5,"L","A")),IF(J177&lt;=19,"L","A"))),IF(OR(H177="ALI",H177="AIE"),IF(K177&gt;=6,IF(J177&gt;=20,"H","A"),IF(K177&gt;=2,IF(J177&gt;=51,"H",IF(J177&lt;=19,"L","A")),IF(J177&lt;=50,"L","A")))))))</f>
        <v/>
      </c>
      <c r="N177" s="46" t="str">
        <f aca="false">IF(M177="L","Baixa",IF(M177="A","Média",IF(M177="","","Alta")))</f>
        <v/>
      </c>
      <c r="O177" s="47" t="str">
        <f aca="false">IF(ISBLANK(H177),"",IF(H177="ALI",IF(M177="L",7,IF(M177="A",10,15)),IF(H177="AIE",IF(M177="L",5,IF(M177="A",7,10)),IF(H177="SE",IF(M177="L",4,IF(M177="A",5,7)),IF(OR(H177="EE",H177="CE"),IF(M177="L",3,IF(M177="A",4,6)))))))</f>
        <v/>
      </c>
      <c r="P177" s="48" t="str">
        <f aca="false">IF(I177="I",O177*Contagem!$W$15,IF(I177="E",O177*Contagem!$W$17,IF(I177="A",O177*Contagem!$W$16,IF(I177="T",O177*Contagem!$W$18,""))))</f>
        <v/>
      </c>
      <c r="Q177" s="49"/>
    </row>
    <row r="178" customFormat="false" ht="12" hidden="false" customHeight="true" outlineLevel="0" collapsed="false">
      <c r="A178" s="40" t="n">
        <f aca="false">IF(H178="",IF(C178="",A177,A177+1),A177)</f>
        <v>25</v>
      </c>
      <c r="B178" s="41" t="str">
        <f aca="false">IF(A178=A177,"",CONCATENATE("F",A178))</f>
        <v/>
      </c>
      <c r="C178" s="42" t="s">
        <v>318</v>
      </c>
      <c r="D178" s="42"/>
      <c r="E178" s="42"/>
      <c r="F178" s="42"/>
      <c r="G178" s="42"/>
      <c r="H178" s="44" t="s">
        <v>55</v>
      </c>
      <c r="I178" s="50" t="s">
        <v>56</v>
      </c>
      <c r="J178" s="44" t="n">
        <v>5</v>
      </c>
      <c r="K178" s="44" t="n">
        <v>2</v>
      </c>
      <c r="L178" s="44" t="str">
        <f aca="false">CONCATENATE(H178,M178)</f>
        <v>ALIL</v>
      </c>
      <c r="M178" s="45" t="str">
        <f aca="false">IF(OR(ISBLANK(J178),ISBLANK(K178)),IF(OR(H178="ALI",H178="AIE"),"L",IF(ISBLANK(H178),"","A")),IF(H178="EE",IF(K178&gt;=3,IF(J178&gt;=5,"H","A"),IF(K178&gt;=2,IF(J178&gt;=16,"H",IF(J178&lt;=4,"L","A")),IF(J178&lt;=15,"L","A"))),IF(OR(H178="SE",H178="CE"),IF(K178&gt;=4,IF(J178&gt;=6,"H","A"),IF(K178&gt;=2,IF(J178&gt;=20,"H",IF(J178&lt;=5,"L","A")),IF(J178&lt;=19,"L","A"))),IF(OR(H178="ALI",H178="AIE"),IF(K178&gt;=6,IF(J178&gt;=20,"H","A"),IF(K178&gt;=2,IF(J178&gt;=51,"H",IF(J178&lt;=19,"L","A")),IF(J178&lt;=50,"L","A")))))))</f>
        <v>L</v>
      </c>
      <c r="N178" s="46" t="str">
        <f aca="false">IF(M178="L","Baixa",IF(M178="A","Média",IF(M178="","","Alta")))</f>
        <v>Baixa</v>
      </c>
      <c r="O178" s="47" t="n">
        <f aca="false">IF(ISBLANK(H178),"",IF(H178="ALI",IF(M178="L",7,IF(M178="A",10,15)),IF(H178="AIE",IF(M178="L",5,IF(M178="A",7,10)),IF(H178="SE",IF(M178="L",4,IF(M178="A",5,7)),IF(OR(H178="EE",H178="CE"),IF(M178="L",3,IF(M178="A",4,6)))))))</f>
        <v>7</v>
      </c>
      <c r="P178" s="48" t="n">
        <f aca="false">IF(I178="I",O178*Contagem!$W$15,IF(I178="E",O178*Contagem!$W$17,IF(I178="A",O178*Contagem!$W$16,IF(I178="T",O178*Contagem!$W$18,""))))</f>
        <v>7</v>
      </c>
      <c r="Q178" s="49" t="s">
        <v>319</v>
      </c>
    </row>
    <row r="179" customFormat="false" ht="12" hidden="false" customHeight="true" outlineLevel="0" collapsed="false">
      <c r="A179" s="40" t="n">
        <f aca="false">IF(H179="",IF(C179="",A178,A178+1),A178)</f>
        <v>25</v>
      </c>
      <c r="B179" s="41" t="str">
        <f aca="false">IF(A179=A178,"",CONCATENATE("F",A179))</f>
        <v/>
      </c>
      <c r="C179" s="42" t="s">
        <v>320</v>
      </c>
      <c r="D179" s="42"/>
      <c r="E179" s="42"/>
      <c r="F179" s="42"/>
      <c r="G179" s="42"/>
      <c r="H179" s="44" t="s">
        <v>80</v>
      </c>
      <c r="I179" s="50" t="s">
        <v>56</v>
      </c>
      <c r="J179" s="44" t="n">
        <v>7</v>
      </c>
      <c r="K179" s="44" t="n">
        <v>1</v>
      </c>
      <c r="L179" s="44" t="str">
        <f aca="false">CONCATENATE(H179,M179)</f>
        <v>CEL</v>
      </c>
      <c r="M179" s="45" t="str">
        <f aca="false">IF(OR(ISBLANK(J179),ISBLANK(K179)),IF(OR(H179="ALI",H179="AIE"),"L",IF(ISBLANK(H179),"","A")),IF(H179="EE",IF(K179&gt;=3,IF(J179&gt;=5,"H","A"),IF(K179&gt;=2,IF(J179&gt;=16,"H",IF(J179&lt;=4,"L","A")),IF(J179&lt;=15,"L","A"))),IF(OR(H179="SE",H179="CE"),IF(K179&gt;=4,IF(J179&gt;=6,"H","A"),IF(K179&gt;=2,IF(J179&gt;=20,"H",IF(J179&lt;=5,"L","A")),IF(J179&lt;=19,"L","A"))),IF(OR(H179="ALI",H179="AIE"),IF(K179&gt;=6,IF(J179&gt;=20,"H","A"),IF(K179&gt;=2,IF(J179&gt;=51,"H",IF(J179&lt;=19,"L","A")),IF(J179&lt;=50,"L","A")))))))</f>
        <v>L</v>
      </c>
      <c r="N179" s="46" t="str">
        <f aca="false">IF(M179="L","Baixa",IF(M179="A","Média",IF(M179="","","Alta")))</f>
        <v>Baixa</v>
      </c>
      <c r="O179" s="47" t="n">
        <f aca="false">IF(ISBLANK(H179),"",IF(H179="ALI",IF(M179="L",7,IF(M179="A",10,15)),IF(H179="AIE",IF(M179="L",5,IF(M179="A",7,10)),IF(H179="SE",IF(M179="L",4,IF(M179="A",5,7)),IF(OR(H179="EE",H179="CE"),IF(M179="L",3,IF(M179="A",4,6)))))))</f>
        <v>3</v>
      </c>
      <c r="P179" s="48" t="n">
        <f aca="false">IF(I179="I",O179*Contagem!$W$15,IF(I179="E",O179*Contagem!$W$17,IF(I179="A",O179*Contagem!$W$16,IF(I179="T",O179*Contagem!$W$18,""))))</f>
        <v>3</v>
      </c>
      <c r="Q179" s="49" t="s">
        <v>321</v>
      </c>
    </row>
    <row r="180" customFormat="false" ht="12" hidden="false" customHeight="true" outlineLevel="0" collapsed="false">
      <c r="A180" s="40" t="n">
        <f aca="false">IF(H180="",IF(C180="",A179,A179+1),A179)</f>
        <v>25</v>
      </c>
      <c r="B180" s="41" t="str">
        <f aca="false">IF(A180=A179,"",CONCATENATE("F",A180))</f>
        <v/>
      </c>
      <c r="C180" s="42" t="s">
        <v>322</v>
      </c>
      <c r="D180" s="42"/>
      <c r="E180" s="42"/>
      <c r="F180" s="42"/>
      <c r="G180" s="42"/>
      <c r="H180" s="44" t="s">
        <v>62</v>
      </c>
      <c r="I180" s="50" t="s">
        <v>56</v>
      </c>
      <c r="J180" s="44" t="n">
        <v>6</v>
      </c>
      <c r="K180" s="44" t="n">
        <v>1</v>
      </c>
      <c r="L180" s="44" t="str">
        <f aca="false">CONCATENATE(H180,M180)</f>
        <v>EEL</v>
      </c>
      <c r="M180" s="45" t="str">
        <f aca="false">IF(OR(ISBLANK(J180),ISBLANK(K180)),IF(OR(H180="ALI",H180="AIE"),"L",IF(ISBLANK(H180),"","A")),IF(H180="EE",IF(K180&gt;=3,IF(J180&gt;=5,"H","A"),IF(K180&gt;=2,IF(J180&gt;=16,"H",IF(J180&lt;=4,"L","A")),IF(J180&lt;=15,"L","A"))),IF(OR(H180="SE",H180="CE"),IF(K180&gt;=4,IF(J180&gt;=6,"H","A"),IF(K180&gt;=2,IF(J180&gt;=20,"H",IF(J180&lt;=5,"L","A")),IF(J180&lt;=19,"L","A"))),IF(OR(H180="ALI",H180="AIE"),IF(K180&gt;=6,IF(J180&gt;=20,"H","A"),IF(K180&gt;=2,IF(J180&gt;=51,"H",IF(J180&lt;=19,"L","A")),IF(J180&lt;=50,"L","A")))))))</f>
        <v>L</v>
      </c>
      <c r="N180" s="46" t="str">
        <f aca="false">IF(M180="L","Baixa",IF(M180="A","Média",IF(M180="","","Alta")))</f>
        <v>Baixa</v>
      </c>
      <c r="O180" s="47" t="n">
        <f aca="false">IF(ISBLANK(H180),"",IF(H180="ALI",IF(M180="L",7,IF(M180="A",10,15)),IF(H180="AIE",IF(M180="L",5,IF(M180="A",7,10)),IF(H180="SE",IF(M180="L",4,IF(M180="A",5,7)),IF(OR(H180="EE",H180="CE"),IF(M180="L",3,IF(M180="A",4,6)))))))</f>
        <v>3</v>
      </c>
      <c r="P180" s="48" t="n">
        <f aca="false">IF(I180="I",O180*Contagem!$W$15,IF(I180="E",O180*Contagem!$W$17,IF(I180="A",O180*Contagem!$W$16,IF(I180="T",O180*Contagem!$W$18,""))))</f>
        <v>3</v>
      </c>
      <c r="Q180" s="49" t="s">
        <v>323</v>
      </c>
    </row>
    <row r="181" customFormat="false" ht="12" hidden="false" customHeight="true" outlineLevel="0" collapsed="false">
      <c r="A181" s="40" t="n">
        <f aca="false">IF(H181="",IF(C181="",A180,A180+1),A180)</f>
        <v>25</v>
      </c>
      <c r="B181" s="41" t="str">
        <f aca="false">IF(A181=A180,"",CONCATENATE("F",A181))</f>
        <v/>
      </c>
      <c r="C181" s="42" t="s">
        <v>324</v>
      </c>
      <c r="D181" s="42"/>
      <c r="E181" s="42"/>
      <c r="F181" s="42"/>
      <c r="G181" s="42"/>
      <c r="H181" s="44" t="s">
        <v>62</v>
      </c>
      <c r="I181" s="50" t="s">
        <v>56</v>
      </c>
      <c r="J181" s="44" t="n">
        <v>6</v>
      </c>
      <c r="K181" s="44" t="n">
        <v>1</v>
      </c>
      <c r="L181" s="44" t="str">
        <f aca="false">CONCATENATE(H181,M181)</f>
        <v>EEL</v>
      </c>
      <c r="M181" s="45" t="str">
        <f aca="false">IF(OR(ISBLANK(J181),ISBLANK(K181)),IF(OR(H181="ALI",H181="AIE"),"L",IF(ISBLANK(H181),"","A")),IF(H181="EE",IF(K181&gt;=3,IF(J181&gt;=5,"H","A"),IF(K181&gt;=2,IF(J181&gt;=16,"H",IF(J181&lt;=4,"L","A")),IF(J181&lt;=15,"L","A"))),IF(OR(H181="SE",H181="CE"),IF(K181&gt;=4,IF(J181&gt;=6,"H","A"),IF(K181&gt;=2,IF(J181&gt;=20,"H",IF(J181&lt;=5,"L","A")),IF(J181&lt;=19,"L","A"))),IF(OR(H181="ALI",H181="AIE"),IF(K181&gt;=6,IF(J181&gt;=20,"H","A"),IF(K181&gt;=2,IF(J181&gt;=51,"H",IF(J181&lt;=19,"L","A")),IF(J181&lt;=50,"L","A")))))))</f>
        <v>L</v>
      </c>
      <c r="N181" s="46" t="str">
        <f aca="false">IF(M181="L","Baixa",IF(M181="A","Média",IF(M181="","","Alta")))</f>
        <v>Baixa</v>
      </c>
      <c r="O181" s="47" t="n">
        <f aca="false">IF(ISBLANK(H181),"",IF(H181="ALI",IF(M181="L",7,IF(M181="A",10,15)),IF(H181="AIE",IF(M181="L",5,IF(M181="A",7,10)),IF(H181="SE",IF(M181="L",4,IF(M181="A",5,7)),IF(OR(H181="EE",H181="CE"),IF(M181="L",3,IF(M181="A",4,6)))))))</f>
        <v>3</v>
      </c>
      <c r="P181" s="48" t="n">
        <f aca="false">IF(I181="I",O181*Contagem!$W$15,IF(I181="E",O181*Contagem!$W$17,IF(I181="A",O181*Contagem!$W$16,IF(I181="T",O181*Contagem!$W$18,""))))</f>
        <v>3</v>
      </c>
      <c r="Q181" s="49" t="s">
        <v>325</v>
      </c>
    </row>
    <row r="182" customFormat="false" ht="12" hidden="false" customHeight="true" outlineLevel="0" collapsed="false">
      <c r="A182" s="40" t="n">
        <f aca="false">IF(H182="",IF(C182="",A181,A181+1),A181)</f>
        <v>25</v>
      </c>
      <c r="B182" s="41" t="str">
        <f aca="false">IF(A182=A181,"",CONCATENATE("F",A182))</f>
        <v/>
      </c>
      <c r="C182" s="42" t="s">
        <v>326</v>
      </c>
      <c r="D182" s="42"/>
      <c r="E182" s="42"/>
      <c r="F182" s="42"/>
      <c r="G182" s="42"/>
      <c r="H182" s="44" t="s">
        <v>62</v>
      </c>
      <c r="I182" s="50" t="s">
        <v>56</v>
      </c>
      <c r="J182" s="44" t="n">
        <v>3</v>
      </c>
      <c r="K182" s="44" t="n">
        <v>1</v>
      </c>
      <c r="L182" s="44" t="str">
        <f aca="false">CONCATENATE(H182,M182)</f>
        <v>EEL</v>
      </c>
      <c r="M182" s="45" t="str">
        <f aca="false">IF(OR(ISBLANK(J182),ISBLANK(K182)),IF(OR(H182="ALI",H182="AIE"),"L",IF(ISBLANK(H182),"","A")),IF(H182="EE",IF(K182&gt;=3,IF(J182&gt;=5,"H","A"),IF(K182&gt;=2,IF(J182&gt;=16,"H",IF(J182&lt;=4,"L","A")),IF(J182&lt;=15,"L","A"))),IF(OR(H182="SE",H182="CE"),IF(K182&gt;=4,IF(J182&gt;=6,"H","A"),IF(K182&gt;=2,IF(J182&gt;=20,"H",IF(J182&lt;=5,"L","A")),IF(J182&lt;=19,"L","A"))),IF(OR(H182="ALI",H182="AIE"),IF(K182&gt;=6,IF(J182&gt;=20,"H","A"),IF(K182&gt;=2,IF(J182&gt;=51,"H",IF(J182&lt;=19,"L","A")),IF(J182&lt;=50,"L","A")))))))</f>
        <v>L</v>
      </c>
      <c r="N182" s="46" t="str">
        <f aca="false">IF(M182="L","Baixa",IF(M182="A","Média",IF(M182="","","Alta")))</f>
        <v>Baixa</v>
      </c>
      <c r="O182" s="47" t="n">
        <f aca="false">IF(ISBLANK(H182),"",IF(H182="ALI",IF(M182="L",7,IF(M182="A",10,15)),IF(H182="AIE",IF(M182="L",5,IF(M182="A",7,10)),IF(H182="SE",IF(M182="L",4,IF(M182="A",5,7)),IF(OR(H182="EE",H182="CE"),IF(M182="L",3,IF(M182="A",4,6)))))))</f>
        <v>3</v>
      </c>
      <c r="P182" s="48" t="n">
        <f aca="false">IF(I182="I",O182*Contagem!$W$15,IF(I182="E",O182*Contagem!$W$17,IF(I182="A",O182*Contagem!$W$16,IF(I182="T",O182*Contagem!$W$18,""))))</f>
        <v>3</v>
      </c>
      <c r="Q182" s="49" t="s">
        <v>327</v>
      </c>
    </row>
    <row r="183" customFormat="false" ht="12" hidden="false" customHeight="true" outlineLevel="0" collapsed="false">
      <c r="A183" s="40" t="n">
        <f aca="false">IF(H183="",IF(C183="",A182,A182+1),A182)</f>
        <v>25</v>
      </c>
      <c r="B183" s="41" t="str">
        <f aca="false">IF(A183=A182,"",CONCATENATE("F",A183))</f>
        <v/>
      </c>
      <c r="C183" s="42"/>
      <c r="D183" s="42"/>
      <c r="E183" s="42"/>
      <c r="F183" s="42"/>
      <c r="G183" s="42"/>
      <c r="H183" s="44"/>
      <c r="I183" s="50"/>
      <c r="J183" s="44"/>
      <c r="K183" s="44"/>
      <c r="L183" s="44" t="str">
        <f aca="false">CONCATENATE(H183,M183)</f>
        <v/>
      </c>
      <c r="M183" s="45" t="str">
        <f aca="false">IF(OR(ISBLANK(J183),ISBLANK(K183)),IF(OR(H183="ALI",H183="AIE"),"L",IF(ISBLANK(H183),"","A")),IF(H183="EE",IF(K183&gt;=3,IF(J183&gt;=5,"H","A"),IF(K183&gt;=2,IF(J183&gt;=16,"H",IF(J183&lt;=4,"L","A")),IF(J183&lt;=15,"L","A"))),IF(OR(H183="SE",H183="CE"),IF(K183&gt;=4,IF(J183&gt;=6,"H","A"),IF(K183&gt;=2,IF(J183&gt;=20,"H",IF(J183&lt;=5,"L","A")),IF(J183&lt;=19,"L","A"))),IF(OR(H183="ALI",H183="AIE"),IF(K183&gt;=6,IF(J183&gt;=20,"H","A"),IF(K183&gt;=2,IF(J183&gt;=51,"H",IF(J183&lt;=19,"L","A")),IF(J183&lt;=50,"L","A")))))))</f>
        <v/>
      </c>
      <c r="N183" s="46" t="str">
        <f aca="false">IF(M183="L","Baixa",IF(M183="A","Média",IF(M183="","","Alta")))</f>
        <v/>
      </c>
      <c r="O183" s="47" t="str">
        <f aca="false">IF(ISBLANK(H183),"",IF(H183="ALI",IF(M183="L",7,IF(M183="A",10,15)),IF(H183="AIE",IF(M183="L",5,IF(M183="A",7,10)),IF(H183="SE",IF(M183="L",4,IF(M183="A",5,7)),IF(OR(H183="EE",H183="CE"),IF(M183="L",3,IF(M183="A",4,6)))))))</f>
        <v/>
      </c>
      <c r="P183" s="48" t="str">
        <f aca="false">IF(I183="I",O183*Contagem!$W$15,IF(I183="E",O183*Contagem!$W$17,IF(I183="A",O183*Contagem!$W$16,IF(I183="T",O183*Contagem!$W$18,""))))</f>
        <v/>
      </c>
      <c r="Q183" s="49"/>
    </row>
    <row r="184" customFormat="false" ht="12" hidden="false" customHeight="true" outlineLevel="0" collapsed="false">
      <c r="A184" s="40" t="n">
        <f aca="false">IF(H184="",IF(C184="",A183,A183+1),A183)</f>
        <v>26</v>
      </c>
      <c r="B184" s="41" t="str">
        <f aca="false">IF(A184=A183,"",CONCATENATE("F",A184))</f>
        <v>F26</v>
      </c>
      <c r="C184" s="42" t="s">
        <v>328</v>
      </c>
      <c r="D184" s="42"/>
      <c r="E184" s="42"/>
      <c r="F184" s="42"/>
      <c r="G184" s="42"/>
      <c r="H184" s="44"/>
      <c r="I184" s="50"/>
      <c r="J184" s="44"/>
      <c r="K184" s="44"/>
      <c r="L184" s="44" t="str">
        <f aca="false">CONCATENATE(H184,M184)</f>
        <v/>
      </c>
      <c r="M184" s="45" t="str">
        <f aca="false">IF(OR(ISBLANK(J184),ISBLANK(K184)),IF(OR(H184="ALI",H184="AIE"),"L",IF(ISBLANK(H184),"","A")),IF(H184="EE",IF(K184&gt;=3,IF(J184&gt;=5,"H","A"),IF(K184&gt;=2,IF(J184&gt;=16,"H",IF(J184&lt;=4,"L","A")),IF(J184&lt;=15,"L","A"))),IF(OR(H184="SE",H184="CE"),IF(K184&gt;=4,IF(J184&gt;=6,"H","A"),IF(K184&gt;=2,IF(J184&gt;=20,"H",IF(J184&lt;=5,"L","A")),IF(J184&lt;=19,"L","A"))),IF(OR(H184="ALI",H184="AIE"),IF(K184&gt;=6,IF(J184&gt;=20,"H","A"),IF(K184&gt;=2,IF(J184&gt;=51,"H",IF(J184&lt;=19,"L","A")),IF(J184&lt;=50,"L","A")))))))</f>
        <v/>
      </c>
      <c r="N184" s="46" t="str">
        <f aca="false">IF(M184="L","Baixa",IF(M184="A","Média",IF(M184="","","Alta")))</f>
        <v/>
      </c>
      <c r="O184" s="47" t="str">
        <f aca="false">IF(ISBLANK(H184),"",IF(H184="ALI",IF(M184="L",7,IF(M184="A",10,15)),IF(H184="AIE",IF(M184="L",5,IF(M184="A",7,10)),IF(H184="SE",IF(M184="L",4,IF(M184="A",5,7)),IF(OR(H184="EE",H184="CE"),IF(M184="L",3,IF(M184="A",4,6)))))))</f>
        <v/>
      </c>
      <c r="P184" s="48" t="str">
        <f aca="false">IF(I184="I",O184*Contagem!$W$15,IF(I184="E",O184*Contagem!$W$17,IF(I184="A",O184*Contagem!$W$16,IF(I184="T",O184*Contagem!$W$18,""))))</f>
        <v/>
      </c>
      <c r="Q184" s="49"/>
    </row>
    <row r="185" customFormat="false" ht="12" hidden="false" customHeight="true" outlineLevel="0" collapsed="false">
      <c r="A185" s="40" t="n">
        <f aca="false">IF(H185="",IF(C185="",A184,A184+1),A184)</f>
        <v>26</v>
      </c>
      <c r="B185" s="41" t="str">
        <f aca="false">IF(A185=A184,"",CONCATENATE("F",A185))</f>
        <v/>
      </c>
      <c r="C185" s="42" t="s">
        <v>329</v>
      </c>
      <c r="D185" s="42"/>
      <c r="E185" s="42"/>
      <c r="F185" s="42"/>
      <c r="G185" s="42"/>
      <c r="H185" s="44" t="s">
        <v>55</v>
      </c>
      <c r="I185" s="50" t="s">
        <v>56</v>
      </c>
      <c r="J185" s="44" t="n">
        <v>5</v>
      </c>
      <c r="K185" s="44" t="n">
        <v>1</v>
      </c>
      <c r="L185" s="44" t="str">
        <f aca="false">CONCATENATE(H185,M185)</f>
        <v>ALIL</v>
      </c>
      <c r="M185" s="45" t="str">
        <f aca="false">IF(OR(ISBLANK(J185),ISBLANK(K185)),IF(OR(H185="ALI",H185="AIE"),"L",IF(ISBLANK(H185),"","A")),IF(H185="EE",IF(K185&gt;=3,IF(J185&gt;=5,"H","A"),IF(K185&gt;=2,IF(J185&gt;=16,"H",IF(J185&lt;=4,"L","A")),IF(J185&lt;=15,"L","A"))),IF(OR(H185="SE",H185="CE"),IF(K185&gt;=4,IF(J185&gt;=6,"H","A"),IF(K185&gt;=2,IF(J185&gt;=20,"H",IF(J185&lt;=5,"L","A")),IF(J185&lt;=19,"L","A"))),IF(OR(H185="ALI",H185="AIE"),IF(K185&gt;=6,IF(J185&gt;=20,"H","A"),IF(K185&gt;=2,IF(J185&gt;=51,"H",IF(J185&lt;=19,"L","A")),IF(J185&lt;=50,"L","A")))))))</f>
        <v>L</v>
      </c>
      <c r="N185" s="46" t="str">
        <f aca="false">IF(M185="L","Baixa",IF(M185="A","Média",IF(M185="","","Alta")))</f>
        <v>Baixa</v>
      </c>
      <c r="O185" s="47" t="n">
        <f aca="false">IF(ISBLANK(H185),"",IF(H185="ALI",IF(M185="L",7,IF(M185="A",10,15)),IF(H185="AIE",IF(M185="L",5,IF(M185="A",7,10)),IF(H185="SE",IF(M185="L",4,IF(M185="A",5,7)),IF(OR(H185="EE",H185="CE"),IF(M185="L",3,IF(M185="A",4,6)))))))</f>
        <v>7</v>
      </c>
      <c r="P185" s="48" t="n">
        <f aca="false">IF(I185="I",O185*Contagem!$W$15,IF(I185="E",O185*Contagem!$W$17,IF(I185="A",O185*Contagem!$W$16,IF(I185="T",O185*Contagem!$W$18,""))))</f>
        <v>7</v>
      </c>
      <c r="Q185" s="49" t="s">
        <v>330</v>
      </c>
    </row>
    <row r="186" customFormat="false" ht="12" hidden="false" customHeight="true" outlineLevel="0" collapsed="false">
      <c r="A186" s="40" t="n">
        <f aca="false">IF(H186="",IF(C186="",A185,A185+1),A185)</f>
        <v>26</v>
      </c>
      <c r="B186" s="41" t="str">
        <f aca="false">IF(A186=A185,"",CONCATENATE("F",A186))</f>
        <v/>
      </c>
      <c r="C186" s="42" t="s">
        <v>331</v>
      </c>
      <c r="D186" s="42"/>
      <c r="E186" s="42"/>
      <c r="F186" s="42"/>
      <c r="G186" s="42"/>
      <c r="H186" s="44" t="s">
        <v>80</v>
      </c>
      <c r="I186" s="50" t="s">
        <v>56</v>
      </c>
      <c r="J186" s="44" t="n">
        <v>5</v>
      </c>
      <c r="K186" s="44" t="n">
        <v>1</v>
      </c>
      <c r="L186" s="44" t="str">
        <f aca="false">CONCATENATE(H186,M186)</f>
        <v>CEL</v>
      </c>
      <c r="M186" s="45" t="str">
        <f aca="false">IF(OR(ISBLANK(J186),ISBLANK(K186)),IF(OR(H186="ALI",H186="AIE"),"L",IF(ISBLANK(H186),"","A")),IF(H186="EE",IF(K186&gt;=3,IF(J186&gt;=5,"H","A"),IF(K186&gt;=2,IF(J186&gt;=16,"H",IF(J186&lt;=4,"L","A")),IF(J186&lt;=15,"L","A"))),IF(OR(H186="SE",H186="CE"),IF(K186&gt;=4,IF(J186&gt;=6,"H","A"),IF(K186&gt;=2,IF(J186&gt;=20,"H",IF(J186&lt;=5,"L","A")),IF(J186&lt;=19,"L","A"))),IF(OR(H186="ALI",H186="AIE"),IF(K186&gt;=6,IF(J186&gt;=20,"H","A"),IF(K186&gt;=2,IF(J186&gt;=51,"H",IF(J186&lt;=19,"L","A")),IF(J186&lt;=50,"L","A")))))))</f>
        <v>L</v>
      </c>
      <c r="N186" s="46" t="str">
        <f aca="false">IF(M186="L","Baixa",IF(M186="A","Média",IF(M186="","","Alta")))</f>
        <v>Baixa</v>
      </c>
      <c r="O186" s="47" t="n">
        <f aca="false">IF(ISBLANK(H186),"",IF(H186="ALI",IF(M186="L",7,IF(M186="A",10,15)),IF(H186="AIE",IF(M186="L",5,IF(M186="A",7,10)),IF(H186="SE",IF(M186="L",4,IF(M186="A",5,7)),IF(OR(H186="EE",H186="CE"),IF(M186="L",3,IF(M186="A",4,6)))))))</f>
        <v>3</v>
      </c>
      <c r="P186" s="48" t="n">
        <f aca="false">IF(I186="I",O186*Contagem!$W$15,IF(I186="E",O186*Contagem!$W$17,IF(I186="A",O186*Contagem!$W$16,IF(I186="T",O186*Contagem!$W$18,""))))</f>
        <v>3</v>
      </c>
      <c r="Q186" s="49" t="s">
        <v>332</v>
      </c>
    </row>
    <row r="187" customFormat="false" ht="12" hidden="false" customHeight="true" outlineLevel="0" collapsed="false">
      <c r="A187" s="40" t="n">
        <f aca="false">IF(H187="",IF(C187="",A186,A186+1),A186)</f>
        <v>26</v>
      </c>
      <c r="B187" s="41" t="str">
        <f aca="false">IF(A187=A186,"",CONCATENATE("F",A187))</f>
        <v/>
      </c>
      <c r="C187" s="42" t="s">
        <v>333</v>
      </c>
      <c r="D187" s="42"/>
      <c r="E187" s="42"/>
      <c r="F187" s="42"/>
      <c r="G187" s="42"/>
      <c r="H187" s="44" t="s">
        <v>62</v>
      </c>
      <c r="I187" s="50" t="s">
        <v>56</v>
      </c>
      <c r="J187" s="44" t="n">
        <v>4</v>
      </c>
      <c r="K187" s="44" t="n">
        <v>1</v>
      </c>
      <c r="L187" s="44" t="str">
        <f aca="false">CONCATENATE(H187,M187)</f>
        <v>EEL</v>
      </c>
      <c r="M187" s="45" t="str">
        <f aca="false">IF(OR(ISBLANK(J187),ISBLANK(K187)),IF(OR(H187="ALI",H187="AIE"),"L",IF(ISBLANK(H187),"","A")),IF(H187="EE",IF(K187&gt;=3,IF(J187&gt;=5,"H","A"),IF(K187&gt;=2,IF(J187&gt;=16,"H",IF(J187&lt;=4,"L","A")),IF(J187&lt;=15,"L","A"))),IF(OR(H187="SE",H187="CE"),IF(K187&gt;=4,IF(J187&gt;=6,"H","A"),IF(K187&gt;=2,IF(J187&gt;=20,"H",IF(J187&lt;=5,"L","A")),IF(J187&lt;=19,"L","A"))),IF(OR(H187="ALI",H187="AIE"),IF(K187&gt;=6,IF(J187&gt;=20,"H","A"),IF(K187&gt;=2,IF(J187&gt;=51,"H",IF(J187&lt;=19,"L","A")),IF(J187&lt;=50,"L","A")))))))</f>
        <v>L</v>
      </c>
      <c r="N187" s="46" t="str">
        <f aca="false">IF(M187="L","Baixa",IF(M187="A","Média",IF(M187="","","Alta")))</f>
        <v>Baixa</v>
      </c>
      <c r="O187" s="47" t="n">
        <f aca="false">IF(ISBLANK(H187),"",IF(H187="ALI",IF(M187="L",7,IF(M187="A",10,15)),IF(H187="AIE",IF(M187="L",5,IF(M187="A",7,10)),IF(H187="SE",IF(M187="L",4,IF(M187="A",5,7)),IF(OR(H187="EE",H187="CE"),IF(M187="L",3,IF(M187="A",4,6)))))))</f>
        <v>3</v>
      </c>
      <c r="P187" s="48" t="n">
        <f aca="false">IF(I187="I",O187*Contagem!$W$15,IF(I187="E",O187*Contagem!$W$17,IF(I187="A",O187*Contagem!$W$16,IF(I187="T",O187*Contagem!$W$18,""))))</f>
        <v>3</v>
      </c>
      <c r="Q187" s="49" t="s">
        <v>334</v>
      </c>
    </row>
    <row r="188" customFormat="false" ht="12" hidden="false" customHeight="true" outlineLevel="0" collapsed="false">
      <c r="A188" s="40" t="n">
        <f aca="false">IF(H188="",IF(C188="",A187,A187+1),A187)</f>
        <v>26</v>
      </c>
      <c r="B188" s="41" t="str">
        <f aca="false">IF(A188=A187,"",CONCATENATE("F",A188))</f>
        <v/>
      </c>
      <c r="C188" s="42" t="s">
        <v>335</v>
      </c>
      <c r="D188" s="42"/>
      <c r="E188" s="42"/>
      <c r="F188" s="42"/>
      <c r="G188" s="42"/>
      <c r="H188" s="44" t="s">
        <v>62</v>
      </c>
      <c r="I188" s="50" t="s">
        <v>56</v>
      </c>
      <c r="J188" s="44" t="n">
        <v>3</v>
      </c>
      <c r="K188" s="44" t="n">
        <v>1</v>
      </c>
      <c r="L188" s="44" t="str">
        <f aca="false">CONCATENATE(H188,M188)</f>
        <v>EEL</v>
      </c>
      <c r="M188" s="45" t="str">
        <f aca="false">IF(OR(ISBLANK(J188),ISBLANK(K188)),IF(OR(H188="ALI",H188="AIE"),"L",IF(ISBLANK(H188),"","A")),IF(H188="EE",IF(K188&gt;=3,IF(J188&gt;=5,"H","A"),IF(K188&gt;=2,IF(J188&gt;=16,"H",IF(J188&lt;=4,"L","A")),IF(J188&lt;=15,"L","A"))),IF(OR(H188="SE",H188="CE"),IF(K188&gt;=4,IF(J188&gt;=6,"H","A"),IF(K188&gt;=2,IF(J188&gt;=20,"H",IF(J188&lt;=5,"L","A")),IF(J188&lt;=19,"L","A"))),IF(OR(H188="ALI",H188="AIE"),IF(K188&gt;=6,IF(J188&gt;=20,"H","A"),IF(K188&gt;=2,IF(J188&gt;=51,"H",IF(J188&lt;=19,"L","A")),IF(J188&lt;=50,"L","A")))))))</f>
        <v>L</v>
      </c>
      <c r="N188" s="46" t="str">
        <f aca="false">IF(M188="L","Baixa",IF(M188="A","Média",IF(M188="","","Alta")))</f>
        <v>Baixa</v>
      </c>
      <c r="O188" s="47" t="n">
        <f aca="false">IF(ISBLANK(H188),"",IF(H188="ALI",IF(M188="L",7,IF(M188="A",10,15)),IF(H188="AIE",IF(M188="L",5,IF(M188="A",7,10)),IF(H188="SE",IF(M188="L",4,IF(M188="A",5,7)),IF(OR(H188="EE",H188="CE"),IF(M188="L",3,IF(M188="A",4,6)))))))</f>
        <v>3</v>
      </c>
      <c r="P188" s="48" t="n">
        <f aca="false">IF(I188="I",O188*Contagem!$W$15,IF(I188="E",O188*Contagem!$W$17,IF(I188="A",O188*Contagem!$W$16,IF(I188="T",O188*Contagem!$W$18,""))))</f>
        <v>3</v>
      </c>
      <c r="Q188" s="49" t="s">
        <v>336</v>
      </c>
    </row>
    <row r="189" customFormat="false" ht="12" hidden="false" customHeight="true" outlineLevel="0" collapsed="false">
      <c r="A189" s="40" t="n">
        <f aca="false">IF(H189="",IF(C189="",A188,A188+1),A188)</f>
        <v>26</v>
      </c>
      <c r="B189" s="41" t="str">
        <f aca="false">IF(A189=A188,"",CONCATENATE("F",A189))</f>
        <v/>
      </c>
      <c r="C189" s="42"/>
      <c r="D189" s="42"/>
      <c r="E189" s="42"/>
      <c r="F189" s="42"/>
      <c r="G189" s="42"/>
      <c r="H189" s="44"/>
      <c r="I189" s="50"/>
      <c r="J189" s="44"/>
      <c r="K189" s="44"/>
      <c r="L189" s="44" t="str">
        <f aca="false">CONCATENATE(H189,M189)</f>
        <v/>
      </c>
      <c r="M189" s="45" t="str">
        <f aca="false">IF(OR(ISBLANK(J189),ISBLANK(K189)),IF(OR(H189="ALI",H189="AIE"),"L",IF(ISBLANK(H189),"","A")),IF(H189="EE",IF(K189&gt;=3,IF(J189&gt;=5,"H","A"),IF(K189&gt;=2,IF(J189&gt;=16,"H",IF(J189&lt;=4,"L","A")),IF(J189&lt;=15,"L","A"))),IF(OR(H189="SE",H189="CE"),IF(K189&gt;=4,IF(J189&gt;=6,"H","A"),IF(K189&gt;=2,IF(J189&gt;=20,"H",IF(J189&lt;=5,"L","A")),IF(J189&lt;=19,"L","A"))),IF(OR(H189="ALI",H189="AIE"),IF(K189&gt;=6,IF(J189&gt;=20,"H","A"),IF(K189&gt;=2,IF(J189&gt;=51,"H",IF(J189&lt;=19,"L","A")),IF(J189&lt;=50,"L","A")))))))</f>
        <v/>
      </c>
      <c r="N189" s="46" t="str">
        <f aca="false">IF(M189="L","Baixa",IF(M189="A","Média",IF(M189="","","Alta")))</f>
        <v/>
      </c>
      <c r="O189" s="47" t="str">
        <f aca="false">IF(ISBLANK(H189),"",IF(H189="ALI",IF(M189="L",7,IF(M189="A",10,15)),IF(H189="AIE",IF(M189="L",5,IF(M189="A",7,10)),IF(H189="SE",IF(M189="L",4,IF(M189="A",5,7)),IF(OR(H189="EE",H189="CE"),IF(M189="L",3,IF(M189="A",4,6)))))))</f>
        <v/>
      </c>
      <c r="P189" s="48" t="str">
        <f aca="false">IF(I189="I",O189*Contagem!$W$15,IF(I189="E",O189*Contagem!$W$17,IF(I189="A",O189*Contagem!$W$16,IF(I189="T",O189*Contagem!$W$18,""))))</f>
        <v/>
      </c>
      <c r="Q189" s="49"/>
    </row>
    <row r="190" customFormat="false" ht="12" hidden="false" customHeight="true" outlineLevel="0" collapsed="false">
      <c r="A190" s="40" t="n">
        <f aca="false">IF(H190="",IF(C190="",A189,A189+1),A189)</f>
        <v>27</v>
      </c>
      <c r="B190" s="41" t="str">
        <f aca="false">IF(A190=A189,"",CONCATENATE("F",A190))</f>
        <v>F27</v>
      </c>
      <c r="C190" s="42" t="s">
        <v>337</v>
      </c>
      <c r="D190" s="42"/>
      <c r="E190" s="42"/>
      <c r="F190" s="42"/>
      <c r="G190" s="42"/>
      <c r="H190" s="44"/>
      <c r="I190" s="50"/>
      <c r="J190" s="44"/>
      <c r="K190" s="44"/>
      <c r="L190" s="44" t="str">
        <f aca="false">CONCATENATE(H190,M190)</f>
        <v/>
      </c>
      <c r="M190" s="45" t="str">
        <f aca="false">IF(OR(ISBLANK(J190),ISBLANK(K190)),IF(OR(H190="ALI",H190="AIE"),"L",IF(ISBLANK(H190),"","A")),IF(H190="EE",IF(K190&gt;=3,IF(J190&gt;=5,"H","A"),IF(K190&gt;=2,IF(J190&gt;=16,"H",IF(J190&lt;=4,"L","A")),IF(J190&lt;=15,"L","A"))),IF(OR(H190="SE",H190="CE"),IF(K190&gt;=4,IF(J190&gt;=6,"H","A"),IF(K190&gt;=2,IF(J190&gt;=20,"H",IF(J190&lt;=5,"L","A")),IF(J190&lt;=19,"L","A"))),IF(OR(H190="ALI",H190="AIE"),IF(K190&gt;=6,IF(J190&gt;=20,"H","A"),IF(K190&gt;=2,IF(J190&gt;=51,"H",IF(J190&lt;=19,"L","A")),IF(J190&lt;=50,"L","A")))))))</f>
        <v/>
      </c>
      <c r="N190" s="46" t="str">
        <f aca="false">IF(M190="L","Baixa",IF(M190="A","Média",IF(M190="","","Alta")))</f>
        <v/>
      </c>
      <c r="O190" s="47" t="str">
        <f aca="false">IF(ISBLANK(H190),"",IF(H190="ALI",IF(M190="L",7,IF(M190="A",10,15)),IF(H190="AIE",IF(M190="L",5,IF(M190="A",7,10)),IF(H190="SE",IF(M190="L",4,IF(M190="A",5,7)),IF(OR(H190="EE",H190="CE"),IF(M190="L",3,IF(M190="A",4,6)))))))</f>
        <v/>
      </c>
      <c r="P190" s="48" t="str">
        <f aca="false">IF(I190="I",O190*Contagem!$W$15,IF(I190="E",O190*Contagem!$W$17,IF(I190="A",O190*Contagem!$W$16,IF(I190="T",O190*Contagem!$W$18,""))))</f>
        <v/>
      </c>
      <c r="Q190" s="49"/>
    </row>
    <row r="191" customFormat="false" ht="12" hidden="false" customHeight="true" outlineLevel="0" collapsed="false">
      <c r="A191" s="40" t="n">
        <f aca="false">IF(H191="",IF(C191="",A190,A190+1),A190)</f>
        <v>27</v>
      </c>
      <c r="B191" s="41" t="str">
        <f aca="false">IF(A191=A190,"",CONCATENATE("F",A191))</f>
        <v/>
      </c>
      <c r="C191" s="42" t="s">
        <v>338</v>
      </c>
      <c r="D191" s="42"/>
      <c r="E191" s="42"/>
      <c r="F191" s="42"/>
      <c r="G191" s="42"/>
      <c r="H191" s="44" t="s">
        <v>55</v>
      </c>
      <c r="I191" s="50" t="s">
        <v>56</v>
      </c>
      <c r="J191" s="44" t="n">
        <v>7</v>
      </c>
      <c r="K191" s="44" t="n">
        <v>1</v>
      </c>
      <c r="L191" s="44" t="str">
        <f aca="false">CONCATENATE(H191,M191)</f>
        <v>ALIL</v>
      </c>
      <c r="M191" s="45" t="str">
        <f aca="false">IF(OR(ISBLANK(J191),ISBLANK(K191)),IF(OR(H191="ALI",H191="AIE"),"L",IF(ISBLANK(H191),"","A")),IF(H191="EE",IF(K191&gt;=3,IF(J191&gt;=5,"H","A"),IF(K191&gt;=2,IF(J191&gt;=16,"H",IF(J191&lt;=4,"L","A")),IF(J191&lt;=15,"L","A"))),IF(OR(H191="SE",H191="CE"),IF(K191&gt;=4,IF(J191&gt;=6,"H","A"),IF(K191&gt;=2,IF(J191&gt;=20,"H",IF(J191&lt;=5,"L","A")),IF(J191&lt;=19,"L","A"))),IF(OR(H191="ALI",H191="AIE"),IF(K191&gt;=6,IF(J191&gt;=20,"H","A"),IF(K191&gt;=2,IF(J191&gt;=51,"H",IF(J191&lt;=19,"L","A")),IF(J191&lt;=50,"L","A")))))))</f>
        <v>L</v>
      </c>
      <c r="N191" s="46" t="str">
        <f aca="false">IF(M191="L","Baixa",IF(M191="A","Média",IF(M191="","","Alta")))</f>
        <v>Baixa</v>
      </c>
      <c r="O191" s="47" t="n">
        <f aca="false">IF(ISBLANK(H191),"",IF(H191="ALI",IF(M191="L",7,IF(M191="A",10,15)),IF(H191="AIE",IF(M191="L",5,IF(M191="A",7,10)),IF(H191="SE",IF(M191="L",4,IF(M191="A",5,7)),IF(OR(H191="EE",H191="CE"),IF(M191="L",3,IF(M191="A",4,6)))))))</f>
        <v>7</v>
      </c>
      <c r="P191" s="48" t="n">
        <f aca="false">IF(I191="I",O191*Contagem!$W$15,IF(I191="E",O191*Contagem!$W$17,IF(I191="A",O191*Contagem!$W$16,IF(I191="T",O191*Contagem!$W$18,""))))</f>
        <v>7</v>
      </c>
      <c r="Q191" s="49" t="s">
        <v>339</v>
      </c>
    </row>
    <row r="192" customFormat="false" ht="12" hidden="false" customHeight="true" outlineLevel="0" collapsed="false">
      <c r="A192" s="40" t="n">
        <f aca="false">IF(H192="",IF(C192="",A191,A191+1),A191)</f>
        <v>27</v>
      </c>
      <c r="B192" s="41" t="str">
        <f aca="false">IF(A192=A191,"",CONCATENATE("F",A192))</f>
        <v/>
      </c>
      <c r="C192" s="42" t="s">
        <v>340</v>
      </c>
      <c r="D192" s="42"/>
      <c r="E192" s="42"/>
      <c r="F192" s="42"/>
      <c r="G192" s="42"/>
      <c r="H192" s="44" t="s">
        <v>80</v>
      </c>
      <c r="I192" s="50" t="s">
        <v>56</v>
      </c>
      <c r="J192" s="44" t="n">
        <v>9</v>
      </c>
      <c r="K192" s="44" t="n">
        <v>2</v>
      </c>
      <c r="L192" s="44" t="str">
        <f aca="false">CONCATENATE(H192,M192)</f>
        <v>CEA</v>
      </c>
      <c r="M192" s="45" t="str">
        <f aca="false">IF(OR(ISBLANK(J192),ISBLANK(K192)),IF(OR(H192="ALI",H192="AIE"),"L",IF(ISBLANK(H192),"","A")),IF(H192="EE",IF(K192&gt;=3,IF(J192&gt;=5,"H","A"),IF(K192&gt;=2,IF(J192&gt;=16,"H",IF(J192&lt;=4,"L","A")),IF(J192&lt;=15,"L","A"))),IF(OR(H192="SE",H192="CE"),IF(K192&gt;=4,IF(J192&gt;=6,"H","A"),IF(K192&gt;=2,IF(J192&gt;=20,"H",IF(J192&lt;=5,"L","A")),IF(J192&lt;=19,"L","A"))),IF(OR(H192="ALI",H192="AIE"),IF(K192&gt;=6,IF(J192&gt;=20,"H","A"),IF(K192&gt;=2,IF(J192&gt;=51,"H",IF(J192&lt;=19,"L","A")),IF(J192&lt;=50,"L","A")))))))</f>
        <v>A</v>
      </c>
      <c r="N192" s="46" t="str">
        <f aca="false">IF(M192="L","Baixa",IF(M192="A","Média",IF(M192="","","Alta")))</f>
        <v>Média</v>
      </c>
      <c r="O192" s="47" t="n">
        <f aca="false">IF(ISBLANK(H192),"",IF(H192="ALI",IF(M192="L",7,IF(M192="A",10,15)),IF(H192="AIE",IF(M192="L",5,IF(M192="A",7,10)),IF(H192="SE",IF(M192="L",4,IF(M192="A",5,7)),IF(OR(H192="EE",H192="CE"),IF(M192="L",3,IF(M192="A",4,6)))))))</f>
        <v>4</v>
      </c>
      <c r="P192" s="48" t="n">
        <f aca="false">IF(I192="I",O192*Contagem!$W$15,IF(I192="E",O192*Contagem!$W$17,IF(I192="A",O192*Contagem!$W$16,IF(I192="T",O192*Contagem!$W$18,""))))</f>
        <v>4</v>
      </c>
      <c r="Q192" s="49" t="s">
        <v>341</v>
      </c>
    </row>
    <row r="193" customFormat="false" ht="12" hidden="false" customHeight="true" outlineLevel="0" collapsed="false">
      <c r="A193" s="40" t="n">
        <f aca="false">IF(H193="",IF(C193="",A192,A192+1),A192)</f>
        <v>27</v>
      </c>
      <c r="B193" s="41" t="str">
        <f aca="false">IF(A193=A192,"",CONCATENATE("F",A193))</f>
        <v/>
      </c>
      <c r="C193" s="42" t="s">
        <v>342</v>
      </c>
      <c r="D193" s="42"/>
      <c r="E193" s="42"/>
      <c r="F193" s="42"/>
      <c r="G193" s="42"/>
      <c r="H193" s="44" t="s">
        <v>62</v>
      </c>
      <c r="I193" s="50" t="s">
        <v>56</v>
      </c>
      <c r="J193" s="44" t="n">
        <v>6</v>
      </c>
      <c r="K193" s="44" t="n">
        <v>1</v>
      </c>
      <c r="L193" s="44" t="str">
        <f aca="false">CONCATENATE(H193,M193)</f>
        <v>EEL</v>
      </c>
      <c r="M193" s="45" t="str">
        <f aca="false">IF(OR(ISBLANK(J193),ISBLANK(K193)),IF(OR(H193="ALI",H193="AIE"),"L",IF(ISBLANK(H193),"","A")),IF(H193="EE",IF(K193&gt;=3,IF(J193&gt;=5,"H","A"),IF(K193&gt;=2,IF(J193&gt;=16,"H",IF(J193&lt;=4,"L","A")),IF(J193&lt;=15,"L","A"))),IF(OR(H193="SE",H193="CE"),IF(K193&gt;=4,IF(J193&gt;=6,"H","A"),IF(K193&gt;=2,IF(J193&gt;=20,"H",IF(J193&lt;=5,"L","A")),IF(J193&lt;=19,"L","A"))),IF(OR(H193="ALI",H193="AIE"),IF(K193&gt;=6,IF(J193&gt;=20,"H","A"),IF(K193&gt;=2,IF(J193&gt;=51,"H",IF(J193&lt;=19,"L","A")),IF(J193&lt;=50,"L","A")))))))</f>
        <v>L</v>
      </c>
      <c r="N193" s="46" t="str">
        <f aca="false">IF(M193="L","Baixa",IF(M193="A","Média",IF(M193="","","Alta")))</f>
        <v>Baixa</v>
      </c>
      <c r="O193" s="47" t="n">
        <f aca="false">IF(ISBLANK(H193),"",IF(H193="ALI",IF(M193="L",7,IF(M193="A",10,15)),IF(H193="AIE",IF(M193="L",5,IF(M193="A",7,10)),IF(H193="SE",IF(M193="L",4,IF(M193="A",5,7)),IF(OR(H193="EE",H193="CE"),IF(M193="L",3,IF(M193="A",4,6)))))))</f>
        <v>3</v>
      </c>
      <c r="P193" s="48" t="n">
        <f aca="false">IF(I193="I",O193*Contagem!$W$15,IF(I193="E",O193*Contagem!$W$17,IF(I193="A",O193*Contagem!$W$16,IF(I193="T",O193*Contagem!$W$18,""))))</f>
        <v>3</v>
      </c>
      <c r="Q193" s="49" t="s">
        <v>343</v>
      </c>
    </row>
    <row r="194" customFormat="false" ht="12" hidden="false" customHeight="true" outlineLevel="0" collapsed="false">
      <c r="A194" s="40" t="n">
        <f aca="false">IF(H194="",IF(C194="",A193,A193+1),A193)</f>
        <v>27</v>
      </c>
      <c r="B194" s="41" t="str">
        <f aca="false">IF(A194=A193,"",CONCATENATE("F",A194))</f>
        <v/>
      </c>
      <c r="C194" s="42" t="s">
        <v>344</v>
      </c>
      <c r="D194" s="42"/>
      <c r="E194" s="42"/>
      <c r="F194" s="42"/>
      <c r="G194" s="42"/>
      <c r="H194" s="44" t="s">
        <v>62</v>
      </c>
      <c r="I194" s="50" t="s">
        <v>56</v>
      </c>
      <c r="J194" s="44" t="n">
        <v>6</v>
      </c>
      <c r="K194" s="44" t="n">
        <v>1</v>
      </c>
      <c r="L194" s="44" t="str">
        <f aca="false">CONCATENATE(H194,M194)</f>
        <v>EEL</v>
      </c>
      <c r="M194" s="45" t="str">
        <f aca="false">IF(OR(ISBLANK(J194),ISBLANK(K194)),IF(OR(H194="ALI",H194="AIE"),"L",IF(ISBLANK(H194),"","A")),IF(H194="EE",IF(K194&gt;=3,IF(J194&gt;=5,"H","A"),IF(K194&gt;=2,IF(J194&gt;=16,"H",IF(J194&lt;=4,"L","A")),IF(J194&lt;=15,"L","A"))),IF(OR(H194="SE",H194="CE"),IF(K194&gt;=4,IF(J194&gt;=6,"H","A"),IF(K194&gt;=2,IF(J194&gt;=20,"H",IF(J194&lt;=5,"L","A")),IF(J194&lt;=19,"L","A"))),IF(OR(H194="ALI",H194="AIE"),IF(K194&gt;=6,IF(J194&gt;=20,"H","A"),IF(K194&gt;=2,IF(J194&gt;=51,"H",IF(J194&lt;=19,"L","A")),IF(J194&lt;=50,"L","A")))))))</f>
        <v>L</v>
      </c>
      <c r="N194" s="46" t="str">
        <f aca="false">IF(M194="L","Baixa",IF(M194="A","Média",IF(M194="","","Alta")))</f>
        <v>Baixa</v>
      </c>
      <c r="O194" s="47" t="n">
        <f aca="false">IF(ISBLANK(H194),"",IF(H194="ALI",IF(M194="L",7,IF(M194="A",10,15)),IF(H194="AIE",IF(M194="L",5,IF(M194="A",7,10)),IF(H194="SE",IF(M194="L",4,IF(M194="A",5,7)),IF(OR(H194="EE",H194="CE"),IF(M194="L",3,IF(M194="A",4,6)))))))</f>
        <v>3</v>
      </c>
      <c r="P194" s="48" t="n">
        <f aca="false">IF(I194="I",O194*Contagem!$W$15,IF(I194="E",O194*Contagem!$W$17,IF(I194="A",O194*Contagem!$W$16,IF(I194="T",O194*Contagem!$W$18,""))))</f>
        <v>3</v>
      </c>
      <c r="Q194" s="49" t="s">
        <v>345</v>
      </c>
    </row>
    <row r="195" customFormat="false" ht="12" hidden="false" customHeight="true" outlineLevel="0" collapsed="false">
      <c r="A195" s="40" t="n">
        <f aca="false">IF(H195="",IF(C195="",A194,A194+1),A194)</f>
        <v>27</v>
      </c>
      <c r="B195" s="41" t="str">
        <f aca="false">IF(A195=A194,"",CONCATENATE("F",A195))</f>
        <v/>
      </c>
      <c r="C195" s="42" t="s">
        <v>346</v>
      </c>
      <c r="D195" s="42"/>
      <c r="E195" s="42"/>
      <c r="F195" s="42"/>
      <c r="G195" s="42"/>
      <c r="H195" s="44" t="s">
        <v>62</v>
      </c>
      <c r="I195" s="50" t="s">
        <v>56</v>
      </c>
      <c r="J195" s="44" t="n">
        <v>3</v>
      </c>
      <c r="K195" s="44" t="n">
        <v>1</v>
      </c>
      <c r="L195" s="44" t="str">
        <f aca="false">CONCATENATE(H195,M195)</f>
        <v>EEL</v>
      </c>
      <c r="M195" s="45" t="str">
        <f aca="false">IF(OR(ISBLANK(J195),ISBLANK(K195)),IF(OR(H195="ALI",H195="AIE"),"L",IF(ISBLANK(H195),"","A")),IF(H195="EE",IF(K195&gt;=3,IF(J195&gt;=5,"H","A"),IF(K195&gt;=2,IF(J195&gt;=16,"H",IF(J195&lt;=4,"L","A")),IF(J195&lt;=15,"L","A"))),IF(OR(H195="SE",H195="CE"),IF(K195&gt;=4,IF(J195&gt;=6,"H","A"),IF(K195&gt;=2,IF(J195&gt;=20,"H",IF(J195&lt;=5,"L","A")),IF(J195&lt;=19,"L","A"))),IF(OR(H195="ALI",H195="AIE"),IF(K195&gt;=6,IF(J195&gt;=20,"H","A"),IF(K195&gt;=2,IF(J195&gt;=51,"H",IF(J195&lt;=19,"L","A")),IF(J195&lt;=50,"L","A")))))))</f>
        <v>L</v>
      </c>
      <c r="N195" s="46" t="str">
        <f aca="false">IF(M195="L","Baixa",IF(M195="A","Média",IF(M195="","","Alta")))</f>
        <v>Baixa</v>
      </c>
      <c r="O195" s="47" t="n">
        <f aca="false">IF(ISBLANK(H195),"",IF(H195="ALI",IF(M195="L",7,IF(M195="A",10,15)),IF(H195="AIE",IF(M195="L",5,IF(M195="A",7,10)),IF(H195="SE",IF(M195="L",4,IF(M195="A",5,7)),IF(OR(H195="EE",H195="CE"),IF(M195="L",3,IF(M195="A",4,6)))))))</f>
        <v>3</v>
      </c>
      <c r="P195" s="48" t="n">
        <f aca="false">IF(I195="I",O195*Contagem!$W$15,IF(I195="E",O195*Contagem!$W$17,IF(I195="A",O195*Contagem!$W$16,IF(I195="T",O195*Contagem!$W$18,""))))</f>
        <v>3</v>
      </c>
      <c r="Q195" s="49" t="s">
        <v>347</v>
      </c>
    </row>
    <row r="196" customFormat="false" ht="12" hidden="false" customHeight="true" outlineLevel="0" collapsed="false">
      <c r="A196" s="40" t="n">
        <f aca="false">IF(H196="",IF(C196="",A195,A195+1),A195)</f>
        <v>27</v>
      </c>
      <c r="B196" s="41" t="str">
        <f aca="false">IF(A196=A195,"",CONCATENATE("F",A196))</f>
        <v/>
      </c>
      <c r="C196" s="42" t="s">
        <v>348</v>
      </c>
      <c r="D196" s="42"/>
      <c r="E196" s="42"/>
      <c r="F196" s="42"/>
      <c r="G196" s="42"/>
      <c r="H196" s="44" t="s">
        <v>62</v>
      </c>
      <c r="I196" s="50" t="s">
        <v>56</v>
      </c>
      <c r="J196" s="44" t="n">
        <v>3</v>
      </c>
      <c r="K196" s="44" t="n">
        <v>2</v>
      </c>
      <c r="L196" s="44" t="str">
        <f aca="false">CONCATENATE(H196,M196)</f>
        <v>EEL</v>
      </c>
      <c r="M196" s="45" t="str">
        <f aca="false">IF(OR(ISBLANK(J196),ISBLANK(K196)),IF(OR(H196="ALI",H196="AIE"),"L",IF(ISBLANK(H196),"","A")),IF(H196="EE",IF(K196&gt;=3,IF(J196&gt;=5,"H","A"),IF(K196&gt;=2,IF(J196&gt;=16,"H",IF(J196&lt;=4,"L","A")),IF(J196&lt;=15,"L","A"))),IF(OR(H196="SE",H196="CE"),IF(K196&gt;=4,IF(J196&gt;=6,"H","A"),IF(K196&gt;=2,IF(J196&gt;=20,"H",IF(J196&lt;=5,"L","A")),IF(J196&lt;=19,"L","A"))),IF(OR(H196="ALI",H196="AIE"),IF(K196&gt;=6,IF(J196&gt;=20,"H","A"),IF(K196&gt;=2,IF(J196&gt;=51,"H",IF(J196&lt;=19,"L","A")),IF(J196&lt;=50,"L","A")))))))</f>
        <v>L</v>
      </c>
      <c r="N196" s="46" t="str">
        <f aca="false">IF(M196="L","Baixa",IF(M196="A","Média",IF(M196="","","Alta")))</f>
        <v>Baixa</v>
      </c>
      <c r="O196" s="47" t="n">
        <f aca="false">IF(ISBLANK(H196),"",IF(H196="ALI",IF(M196="L",7,IF(M196="A",10,15)),IF(H196="AIE",IF(M196="L",5,IF(M196="A",7,10)),IF(H196="SE",IF(M196="L",4,IF(M196="A",5,7)),IF(OR(H196="EE",H196="CE"),IF(M196="L",3,IF(M196="A",4,6)))))))</f>
        <v>3</v>
      </c>
      <c r="P196" s="48" t="n">
        <f aca="false">IF(I196="I",O196*Contagem!$W$15,IF(I196="E",O196*Contagem!$W$17,IF(I196="A",O196*Contagem!$W$16,IF(I196="T",O196*Contagem!$W$18,""))))</f>
        <v>3</v>
      </c>
      <c r="Q196" s="49" t="s">
        <v>349</v>
      </c>
    </row>
    <row r="197" customFormat="false" ht="12" hidden="false" customHeight="true" outlineLevel="0" collapsed="false">
      <c r="A197" s="40" t="n">
        <f aca="false">IF(H197="",IF(C197="",A196,A196+1),A196)</f>
        <v>27</v>
      </c>
      <c r="B197" s="41" t="str">
        <f aca="false">IF(A197=A196,"",CONCATENATE("F",A197))</f>
        <v/>
      </c>
      <c r="C197" s="42"/>
      <c r="D197" s="42"/>
      <c r="E197" s="42"/>
      <c r="F197" s="42"/>
      <c r="G197" s="42"/>
      <c r="H197" s="44"/>
      <c r="I197" s="50"/>
      <c r="J197" s="44"/>
      <c r="K197" s="44"/>
      <c r="L197" s="44" t="str">
        <f aca="false">CONCATENATE(H197,M197)</f>
        <v/>
      </c>
      <c r="M197" s="45" t="str">
        <f aca="false">IF(OR(ISBLANK(J197),ISBLANK(K197)),IF(OR(H197="ALI",H197="AIE"),"L",IF(ISBLANK(H197),"","A")),IF(H197="EE",IF(K197&gt;=3,IF(J197&gt;=5,"H","A"),IF(K197&gt;=2,IF(J197&gt;=16,"H",IF(J197&lt;=4,"L","A")),IF(J197&lt;=15,"L","A"))),IF(OR(H197="SE",H197="CE"),IF(K197&gt;=4,IF(J197&gt;=6,"H","A"),IF(K197&gt;=2,IF(J197&gt;=20,"H",IF(J197&lt;=5,"L","A")),IF(J197&lt;=19,"L","A"))),IF(OR(H197="ALI",H197="AIE"),IF(K197&gt;=6,IF(J197&gt;=20,"H","A"),IF(K197&gt;=2,IF(J197&gt;=51,"H",IF(J197&lt;=19,"L","A")),IF(J197&lt;=50,"L","A")))))))</f>
        <v/>
      </c>
      <c r="N197" s="46" t="str">
        <f aca="false">IF(M197="L","Baixa",IF(M197="A","Média",IF(M197="","","Alta")))</f>
        <v/>
      </c>
      <c r="O197" s="47" t="str">
        <f aca="false">IF(ISBLANK(H197),"",IF(H197="ALI",IF(M197="L",7,IF(M197="A",10,15)),IF(H197="AIE",IF(M197="L",5,IF(M197="A",7,10)),IF(H197="SE",IF(M197="L",4,IF(M197="A",5,7)),IF(OR(H197="EE",H197="CE"),IF(M197="L",3,IF(M197="A",4,6)))))))</f>
        <v/>
      </c>
      <c r="P197" s="48" t="str">
        <f aca="false">IF(I197="I",O197*Contagem!$W$15,IF(I197="E",O197*Contagem!$W$17,IF(I197="A",O197*Contagem!$W$16,IF(I197="T",O197*Contagem!$W$18,""))))</f>
        <v/>
      </c>
      <c r="Q197" s="49"/>
    </row>
    <row r="198" customFormat="false" ht="12" hidden="false" customHeight="true" outlineLevel="0" collapsed="false">
      <c r="A198" s="40" t="n">
        <f aca="false">IF(H198="",IF(C198="",A197,A197+1),A197)</f>
        <v>28</v>
      </c>
      <c r="B198" s="41" t="str">
        <f aca="false">IF(A198=A197,"",CONCATENATE("F",A198))</f>
        <v>F28</v>
      </c>
      <c r="C198" s="42" t="s">
        <v>350</v>
      </c>
      <c r="D198" s="42"/>
      <c r="E198" s="42"/>
      <c r="F198" s="42"/>
      <c r="G198" s="42"/>
      <c r="H198" s="44"/>
      <c r="I198" s="50"/>
      <c r="J198" s="44"/>
      <c r="K198" s="44"/>
      <c r="L198" s="44" t="str">
        <f aca="false">CONCATENATE(H198,M198)</f>
        <v/>
      </c>
      <c r="M198" s="45" t="str">
        <f aca="false">IF(OR(ISBLANK(J198),ISBLANK(K198)),IF(OR(H198="ALI",H198="AIE"),"L",IF(ISBLANK(H198),"","A")),IF(H198="EE",IF(K198&gt;=3,IF(J198&gt;=5,"H","A"),IF(K198&gt;=2,IF(J198&gt;=16,"H",IF(J198&lt;=4,"L","A")),IF(J198&lt;=15,"L","A"))),IF(OR(H198="SE",H198="CE"),IF(K198&gt;=4,IF(J198&gt;=6,"H","A"),IF(K198&gt;=2,IF(J198&gt;=20,"H",IF(J198&lt;=5,"L","A")),IF(J198&lt;=19,"L","A"))),IF(OR(H198="ALI",H198="AIE"),IF(K198&gt;=6,IF(J198&gt;=20,"H","A"),IF(K198&gt;=2,IF(J198&gt;=51,"H",IF(J198&lt;=19,"L","A")),IF(J198&lt;=50,"L","A")))))))</f>
        <v/>
      </c>
      <c r="N198" s="46" t="str">
        <f aca="false">IF(M198="L","Baixa",IF(M198="A","Média",IF(M198="","","Alta")))</f>
        <v/>
      </c>
      <c r="O198" s="47" t="str">
        <f aca="false">IF(ISBLANK(H198),"",IF(H198="ALI",IF(M198="L",7,IF(M198="A",10,15)),IF(H198="AIE",IF(M198="L",5,IF(M198="A",7,10)),IF(H198="SE",IF(M198="L",4,IF(M198="A",5,7)),IF(OR(H198="EE",H198="CE"),IF(M198="L",3,IF(M198="A",4,6)))))))</f>
        <v/>
      </c>
      <c r="P198" s="48" t="str">
        <f aca="false">IF(I198="I",O198*Contagem!$W$15,IF(I198="E",O198*Contagem!$W$17,IF(I198="A",O198*Contagem!$W$16,IF(I198="T",O198*Contagem!$W$18,""))))</f>
        <v/>
      </c>
      <c r="Q198" s="49"/>
    </row>
    <row r="199" customFormat="false" ht="12" hidden="false" customHeight="true" outlineLevel="0" collapsed="false">
      <c r="A199" s="40" t="n">
        <f aca="false">IF(H199="",IF(C199="",A198,A198+1),A198)</f>
        <v>28</v>
      </c>
      <c r="B199" s="41" t="str">
        <f aca="false">IF(A199=A198,"",CONCATENATE("F",A199))</f>
        <v/>
      </c>
      <c r="C199" s="42" t="s">
        <v>351</v>
      </c>
      <c r="D199" s="42"/>
      <c r="E199" s="42"/>
      <c r="F199" s="42"/>
      <c r="G199" s="42"/>
      <c r="H199" s="44" t="s">
        <v>55</v>
      </c>
      <c r="I199" s="50" t="s">
        <v>56</v>
      </c>
      <c r="J199" s="44" t="n">
        <v>4</v>
      </c>
      <c r="K199" s="44" t="n">
        <v>1</v>
      </c>
      <c r="L199" s="44" t="str">
        <f aca="false">CONCATENATE(H199,M199)</f>
        <v>ALIL</v>
      </c>
      <c r="M199" s="45" t="str">
        <f aca="false">IF(OR(ISBLANK(J199),ISBLANK(K199)),IF(OR(H199="ALI",H199="AIE"),"L",IF(ISBLANK(H199),"","A")),IF(H199="EE",IF(K199&gt;=3,IF(J199&gt;=5,"H","A"),IF(K199&gt;=2,IF(J199&gt;=16,"H",IF(J199&lt;=4,"L","A")),IF(J199&lt;=15,"L","A"))),IF(OR(H199="SE",H199="CE"),IF(K199&gt;=4,IF(J199&gt;=6,"H","A"),IF(K199&gt;=2,IF(J199&gt;=20,"H",IF(J199&lt;=5,"L","A")),IF(J199&lt;=19,"L","A"))),IF(OR(H199="ALI",H199="AIE"),IF(K199&gt;=6,IF(J199&gt;=20,"H","A"),IF(K199&gt;=2,IF(J199&gt;=51,"H",IF(J199&lt;=19,"L","A")),IF(J199&lt;=50,"L","A")))))))</f>
        <v>L</v>
      </c>
      <c r="N199" s="46" t="str">
        <f aca="false">IF(M199="L","Baixa",IF(M199="A","Média",IF(M199="","","Alta")))</f>
        <v>Baixa</v>
      </c>
      <c r="O199" s="47" t="n">
        <f aca="false">IF(ISBLANK(H199),"",IF(H199="ALI",IF(M199="L",7,IF(M199="A",10,15)),IF(H199="AIE",IF(M199="L",5,IF(M199="A",7,10)),IF(H199="SE",IF(M199="L",4,IF(M199="A",5,7)),IF(OR(H199="EE",H199="CE"),IF(M199="L",3,IF(M199="A",4,6)))))))</f>
        <v>7</v>
      </c>
      <c r="P199" s="48" t="n">
        <f aca="false">IF(I199="I",O199*Contagem!$W$15,IF(I199="E",O199*Contagem!$W$17,IF(I199="A",O199*Contagem!$W$16,IF(I199="T",O199*Contagem!$W$18,""))))</f>
        <v>7</v>
      </c>
      <c r="Q199" s="49" t="s">
        <v>352</v>
      </c>
    </row>
    <row r="200" customFormat="false" ht="12" hidden="false" customHeight="true" outlineLevel="0" collapsed="false">
      <c r="A200" s="40" t="n">
        <f aca="false">IF(H200="",IF(C200="",A199,A199+1),A199)</f>
        <v>28</v>
      </c>
      <c r="B200" s="41" t="str">
        <f aca="false">IF(A200=A199,"",CONCATENATE("F",A200))</f>
        <v/>
      </c>
      <c r="C200" s="42" t="s">
        <v>353</v>
      </c>
      <c r="D200" s="42"/>
      <c r="E200" s="42"/>
      <c r="F200" s="42"/>
      <c r="G200" s="42"/>
      <c r="H200" s="44" t="s">
        <v>80</v>
      </c>
      <c r="I200" s="50" t="s">
        <v>56</v>
      </c>
      <c r="J200" s="44" t="n">
        <v>8</v>
      </c>
      <c r="K200" s="44" t="n">
        <v>3</v>
      </c>
      <c r="L200" s="44" t="str">
        <f aca="false">CONCATENATE(H200,M200)</f>
        <v>CEA</v>
      </c>
      <c r="M200" s="45" t="str">
        <f aca="false">IF(OR(ISBLANK(J200),ISBLANK(K200)),IF(OR(H200="ALI",H200="AIE"),"L",IF(ISBLANK(H200),"","A")),IF(H200="EE",IF(K200&gt;=3,IF(J200&gt;=5,"H","A"),IF(K200&gt;=2,IF(J200&gt;=16,"H",IF(J200&lt;=4,"L","A")),IF(J200&lt;=15,"L","A"))),IF(OR(H200="SE",H200="CE"),IF(K200&gt;=4,IF(J200&gt;=6,"H","A"),IF(K200&gt;=2,IF(J200&gt;=20,"H",IF(J200&lt;=5,"L","A")),IF(J200&lt;=19,"L","A"))),IF(OR(H200="ALI",H200="AIE"),IF(K200&gt;=6,IF(J200&gt;=20,"H","A"),IF(K200&gt;=2,IF(J200&gt;=51,"H",IF(J200&lt;=19,"L","A")),IF(J200&lt;=50,"L","A")))))))</f>
        <v>A</v>
      </c>
      <c r="N200" s="46" t="str">
        <f aca="false">IF(M200="L","Baixa",IF(M200="A","Média",IF(M200="","","Alta")))</f>
        <v>Média</v>
      </c>
      <c r="O200" s="47" t="n">
        <f aca="false">IF(ISBLANK(H200),"",IF(H200="ALI",IF(M200="L",7,IF(M200="A",10,15)),IF(H200="AIE",IF(M200="L",5,IF(M200="A",7,10)),IF(H200="SE",IF(M200="L",4,IF(M200="A",5,7)),IF(OR(H200="EE",H200="CE"),IF(M200="L",3,IF(M200="A",4,6)))))))</f>
        <v>4</v>
      </c>
      <c r="P200" s="48" t="n">
        <f aca="false">IF(I200="I",O200*Contagem!$W$15,IF(I200="E",O200*Contagem!$W$17,IF(I200="A",O200*Contagem!$W$16,IF(I200="T",O200*Contagem!$W$18,""))))</f>
        <v>4</v>
      </c>
      <c r="Q200" s="49" t="s">
        <v>354</v>
      </c>
    </row>
    <row r="201" customFormat="false" ht="12" hidden="false" customHeight="true" outlineLevel="0" collapsed="false">
      <c r="A201" s="40" t="n">
        <f aca="false">IF(H201="",IF(C201="",A200,A200+1),A200)</f>
        <v>28</v>
      </c>
      <c r="B201" s="41" t="str">
        <f aca="false">IF(A201=A200,"",CONCATENATE("F",A201))</f>
        <v/>
      </c>
      <c r="C201" s="42" t="s">
        <v>355</v>
      </c>
      <c r="D201" s="42"/>
      <c r="E201" s="42"/>
      <c r="F201" s="42"/>
      <c r="G201" s="42"/>
      <c r="H201" s="44" t="s">
        <v>62</v>
      </c>
      <c r="I201" s="50" t="s">
        <v>56</v>
      </c>
      <c r="J201" s="44" t="n">
        <v>3</v>
      </c>
      <c r="K201" s="44" t="n">
        <v>1</v>
      </c>
      <c r="L201" s="44" t="str">
        <f aca="false">CONCATENATE(H201,M201)</f>
        <v>EEL</v>
      </c>
      <c r="M201" s="45" t="str">
        <f aca="false">IF(OR(ISBLANK(J201),ISBLANK(K201)),IF(OR(H201="ALI",H201="AIE"),"L",IF(ISBLANK(H201),"","A")),IF(H201="EE",IF(K201&gt;=3,IF(J201&gt;=5,"H","A"),IF(K201&gt;=2,IF(J201&gt;=16,"H",IF(J201&lt;=4,"L","A")),IF(J201&lt;=15,"L","A"))),IF(OR(H201="SE",H201="CE"),IF(K201&gt;=4,IF(J201&gt;=6,"H","A"),IF(K201&gt;=2,IF(J201&gt;=20,"H",IF(J201&lt;=5,"L","A")),IF(J201&lt;=19,"L","A"))),IF(OR(H201="ALI",H201="AIE"),IF(K201&gt;=6,IF(J201&gt;=20,"H","A"),IF(K201&gt;=2,IF(J201&gt;=51,"H",IF(J201&lt;=19,"L","A")),IF(J201&lt;=50,"L","A")))))))</f>
        <v>L</v>
      </c>
      <c r="N201" s="46" t="str">
        <f aca="false">IF(M201="L","Baixa",IF(M201="A","Média",IF(M201="","","Alta")))</f>
        <v>Baixa</v>
      </c>
      <c r="O201" s="47" t="n">
        <f aca="false">IF(ISBLANK(H201),"",IF(H201="ALI",IF(M201="L",7,IF(M201="A",10,15)),IF(H201="AIE",IF(M201="L",5,IF(M201="A",7,10)),IF(H201="SE",IF(M201="L",4,IF(M201="A",5,7)),IF(OR(H201="EE",H201="CE"),IF(M201="L",3,IF(M201="A",4,6)))))))</f>
        <v>3</v>
      </c>
      <c r="P201" s="48" t="n">
        <f aca="false">IF(I201="I",O201*Contagem!$W$15,IF(I201="E",O201*Contagem!$W$17,IF(I201="A",O201*Contagem!$W$16,IF(I201="T",O201*Contagem!$W$18,""))))</f>
        <v>3</v>
      </c>
      <c r="Q201" s="49" t="s">
        <v>356</v>
      </c>
    </row>
    <row r="202" customFormat="false" ht="12" hidden="false" customHeight="true" outlineLevel="0" collapsed="false">
      <c r="A202" s="40" t="n">
        <f aca="false">IF(H202="",IF(C202="",A201,A201+1),A201)</f>
        <v>28</v>
      </c>
      <c r="B202" s="41" t="str">
        <f aca="false">IF(A202=A201,"",CONCATENATE("F",A202))</f>
        <v/>
      </c>
      <c r="C202" s="42" t="s">
        <v>357</v>
      </c>
      <c r="D202" s="42"/>
      <c r="E202" s="42"/>
      <c r="F202" s="42"/>
      <c r="G202" s="42"/>
      <c r="H202" s="44" t="s">
        <v>62</v>
      </c>
      <c r="I202" s="50" t="s">
        <v>56</v>
      </c>
      <c r="J202" s="44" t="n">
        <v>4</v>
      </c>
      <c r="K202" s="44" t="n">
        <v>1</v>
      </c>
      <c r="L202" s="44" t="str">
        <f aca="false">CONCATENATE(H202,M202)</f>
        <v>EEL</v>
      </c>
      <c r="M202" s="45" t="str">
        <f aca="false">IF(OR(ISBLANK(J202),ISBLANK(K202)),IF(OR(H202="ALI",H202="AIE"),"L",IF(ISBLANK(H202),"","A")),IF(H202="EE",IF(K202&gt;=3,IF(J202&gt;=5,"H","A"),IF(K202&gt;=2,IF(J202&gt;=16,"H",IF(J202&lt;=4,"L","A")),IF(J202&lt;=15,"L","A"))),IF(OR(H202="SE",H202="CE"),IF(K202&gt;=4,IF(J202&gt;=6,"H","A"),IF(K202&gt;=2,IF(J202&gt;=20,"H",IF(J202&lt;=5,"L","A")),IF(J202&lt;=19,"L","A"))),IF(OR(H202="ALI",H202="AIE"),IF(K202&gt;=6,IF(J202&gt;=20,"H","A"),IF(K202&gt;=2,IF(J202&gt;=51,"H",IF(J202&lt;=19,"L","A")),IF(J202&lt;=50,"L","A")))))))</f>
        <v>L</v>
      </c>
      <c r="N202" s="46" t="str">
        <f aca="false">IF(M202="L","Baixa",IF(M202="A","Média",IF(M202="","","Alta")))</f>
        <v>Baixa</v>
      </c>
      <c r="O202" s="47" t="n">
        <f aca="false">IF(ISBLANK(H202),"",IF(H202="ALI",IF(M202="L",7,IF(M202="A",10,15)),IF(H202="AIE",IF(M202="L",5,IF(M202="A",7,10)),IF(H202="SE",IF(M202="L",4,IF(M202="A",5,7)),IF(OR(H202="EE",H202="CE"),IF(M202="L",3,IF(M202="A",4,6)))))))</f>
        <v>3</v>
      </c>
      <c r="P202" s="48" t="n">
        <f aca="false">IF(I202="I",O202*Contagem!$W$15,IF(I202="E",O202*Contagem!$W$17,IF(I202="A",O202*Contagem!$W$16,IF(I202="T",O202*Contagem!$W$18,""))))</f>
        <v>3</v>
      </c>
      <c r="Q202" s="49" t="s">
        <v>358</v>
      </c>
    </row>
    <row r="203" customFormat="false" ht="12" hidden="false" customHeight="true" outlineLevel="0" collapsed="false">
      <c r="A203" s="40" t="n">
        <f aca="false">IF(H203="",IF(C203="",A202,A202+1),A202)</f>
        <v>28</v>
      </c>
      <c r="B203" s="41" t="str">
        <f aca="false">IF(A203=A202,"",CONCATENATE("F",A203))</f>
        <v/>
      </c>
      <c r="C203" s="42" t="s">
        <v>359</v>
      </c>
      <c r="D203" s="42"/>
      <c r="E203" s="42"/>
      <c r="F203" s="42"/>
      <c r="G203" s="42"/>
      <c r="H203" s="44" t="s">
        <v>62</v>
      </c>
      <c r="I203" s="50" t="s">
        <v>56</v>
      </c>
      <c r="J203" s="44" t="n">
        <v>4</v>
      </c>
      <c r="K203" s="44" t="n">
        <v>2</v>
      </c>
      <c r="L203" s="44" t="str">
        <f aca="false">CONCATENATE(H203,M203)</f>
        <v>EEL</v>
      </c>
      <c r="M203" s="45" t="str">
        <f aca="false">IF(OR(ISBLANK(J203),ISBLANK(K203)),IF(OR(H203="ALI",H203="AIE"),"L",IF(ISBLANK(H203),"","A")),IF(H203="EE",IF(K203&gt;=3,IF(J203&gt;=5,"H","A"),IF(K203&gt;=2,IF(J203&gt;=16,"H",IF(J203&lt;=4,"L","A")),IF(J203&lt;=15,"L","A"))),IF(OR(H203="SE",H203="CE"),IF(K203&gt;=4,IF(J203&gt;=6,"H","A"),IF(K203&gt;=2,IF(J203&gt;=20,"H",IF(J203&lt;=5,"L","A")),IF(J203&lt;=19,"L","A"))),IF(OR(H203="ALI",H203="AIE"),IF(K203&gt;=6,IF(J203&gt;=20,"H","A"),IF(K203&gt;=2,IF(J203&gt;=51,"H",IF(J203&lt;=19,"L","A")),IF(J203&lt;=50,"L","A")))))))</f>
        <v>L</v>
      </c>
      <c r="N203" s="46" t="str">
        <f aca="false">IF(M203="L","Baixa",IF(M203="A","Média",IF(M203="","","Alta")))</f>
        <v>Baixa</v>
      </c>
      <c r="O203" s="47" t="n">
        <f aca="false">IF(ISBLANK(H203),"",IF(H203="ALI",IF(M203="L",7,IF(M203="A",10,15)),IF(H203="AIE",IF(M203="L",5,IF(M203="A",7,10)),IF(H203="SE",IF(M203="L",4,IF(M203="A",5,7)),IF(OR(H203="EE",H203="CE"),IF(M203="L",3,IF(M203="A",4,6)))))))</f>
        <v>3</v>
      </c>
      <c r="P203" s="48" t="n">
        <f aca="false">IF(I203="I",O203*Contagem!$W$15,IF(I203="E",O203*Contagem!$W$17,IF(I203="A",O203*Contagem!$W$16,IF(I203="T",O203*Contagem!$W$18,""))))</f>
        <v>3</v>
      </c>
      <c r="Q203" s="49" t="s">
        <v>360</v>
      </c>
    </row>
    <row r="204" customFormat="false" ht="12" hidden="false" customHeight="true" outlineLevel="0" collapsed="false">
      <c r="A204" s="40" t="n">
        <f aca="false">IF(H204="",IF(C204="",A203,A203+1),A203)</f>
        <v>28</v>
      </c>
      <c r="B204" s="41" t="str">
        <f aca="false">IF(A204=A203,"",CONCATENATE("F",A204))</f>
        <v/>
      </c>
      <c r="C204" s="42" t="s">
        <v>361</v>
      </c>
      <c r="D204" s="42"/>
      <c r="E204" s="42"/>
      <c r="F204" s="42"/>
      <c r="G204" s="42"/>
      <c r="H204" s="44" t="s">
        <v>62</v>
      </c>
      <c r="I204" s="50" t="s">
        <v>56</v>
      </c>
      <c r="J204" s="44" t="n">
        <v>3</v>
      </c>
      <c r="K204" s="44" t="n">
        <v>2</v>
      </c>
      <c r="L204" s="44" t="str">
        <f aca="false">CONCATENATE(H204,M204)</f>
        <v>EEL</v>
      </c>
      <c r="M204" s="45" t="str">
        <f aca="false">IF(OR(ISBLANK(J204),ISBLANK(K204)),IF(OR(H204="ALI",H204="AIE"),"L",IF(ISBLANK(H204),"","A")),IF(H204="EE",IF(K204&gt;=3,IF(J204&gt;=5,"H","A"),IF(K204&gt;=2,IF(J204&gt;=16,"H",IF(J204&lt;=4,"L","A")),IF(J204&lt;=15,"L","A"))),IF(OR(H204="SE",H204="CE"),IF(K204&gt;=4,IF(J204&gt;=6,"H","A"),IF(K204&gt;=2,IF(J204&gt;=20,"H",IF(J204&lt;=5,"L","A")),IF(J204&lt;=19,"L","A"))),IF(OR(H204="ALI",H204="AIE"),IF(K204&gt;=6,IF(J204&gt;=20,"H","A"),IF(K204&gt;=2,IF(J204&gt;=51,"H",IF(J204&lt;=19,"L","A")),IF(J204&lt;=50,"L","A")))))))</f>
        <v>L</v>
      </c>
      <c r="N204" s="46" t="str">
        <f aca="false">IF(M204="L","Baixa",IF(M204="A","Média",IF(M204="","","Alta")))</f>
        <v>Baixa</v>
      </c>
      <c r="O204" s="47" t="n">
        <f aca="false">IF(ISBLANK(H204),"",IF(H204="ALI",IF(M204="L",7,IF(M204="A",10,15)),IF(H204="AIE",IF(M204="L",5,IF(M204="A",7,10)),IF(H204="SE",IF(M204="L",4,IF(M204="A",5,7)),IF(OR(H204="EE",H204="CE"),IF(M204="L",3,IF(M204="A",4,6)))))))</f>
        <v>3</v>
      </c>
      <c r="P204" s="48" t="n">
        <f aca="false">IF(I204="I",O204*Contagem!$W$15,IF(I204="E",O204*Contagem!$W$17,IF(I204="A",O204*Contagem!$W$16,IF(I204="T",O204*Contagem!$W$18,""))))</f>
        <v>3</v>
      </c>
      <c r="Q204" s="49" t="s">
        <v>362</v>
      </c>
    </row>
    <row r="205" customFormat="false" ht="12" hidden="false" customHeight="true" outlineLevel="0" collapsed="false">
      <c r="A205" s="40" t="n">
        <f aca="false">IF(H205="",IF(C205="",A204,A204+1),A204)</f>
        <v>28</v>
      </c>
      <c r="B205" s="41" t="str">
        <f aca="false">IF(A205=A204,"",CONCATENATE("F",A205))</f>
        <v/>
      </c>
      <c r="C205" s="42"/>
      <c r="D205" s="42"/>
      <c r="E205" s="42"/>
      <c r="F205" s="42"/>
      <c r="G205" s="42"/>
      <c r="H205" s="44"/>
      <c r="I205" s="50"/>
      <c r="J205" s="44"/>
      <c r="K205" s="44"/>
      <c r="L205" s="44" t="str">
        <f aca="false">CONCATENATE(H205,M205)</f>
        <v/>
      </c>
      <c r="M205" s="45" t="str">
        <f aca="false">IF(OR(ISBLANK(J205),ISBLANK(K205)),IF(OR(H205="ALI",H205="AIE"),"L",IF(ISBLANK(H205),"","A")),IF(H205="EE",IF(K205&gt;=3,IF(J205&gt;=5,"H","A"),IF(K205&gt;=2,IF(J205&gt;=16,"H",IF(J205&lt;=4,"L","A")),IF(J205&lt;=15,"L","A"))),IF(OR(H205="SE",H205="CE"),IF(K205&gt;=4,IF(J205&gt;=6,"H","A"),IF(K205&gt;=2,IF(J205&gt;=20,"H",IF(J205&lt;=5,"L","A")),IF(J205&lt;=19,"L","A"))),IF(OR(H205="ALI",H205="AIE"),IF(K205&gt;=6,IF(J205&gt;=20,"H","A"),IF(K205&gt;=2,IF(J205&gt;=51,"H",IF(J205&lt;=19,"L","A")),IF(J205&lt;=50,"L","A")))))))</f>
        <v/>
      </c>
      <c r="N205" s="46" t="str">
        <f aca="false">IF(M205="L","Baixa",IF(M205="A","Média",IF(M205="","","Alta")))</f>
        <v/>
      </c>
      <c r="O205" s="47" t="str">
        <f aca="false">IF(ISBLANK(H205),"",IF(H205="ALI",IF(M205="L",7,IF(M205="A",10,15)),IF(H205="AIE",IF(M205="L",5,IF(M205="A",7,10)),IF(H205="SE",IF(M205="L",4,IF(M205="A",5,7)),IF(OR(H205="EE",H205="CE"),IF(M205="L",3,IF(M205="A",4,6)))))))</f>
        <v/>
      </c>
      <c r="P205" s="48" t="str">
        <f aca="false">IF(I205="I",O205*Contagem!$W$15,IF(I205="E",O205*Contagem!$W$17,IF(I205="A",O205*Contagem!$W$16,IF(I205="T",O205*Contagem!$W$18,""))))</f>
        <v/>
      </c>
      <c r="Q205" s="49"/>
    </row>
    <row r="206" customFormat="false" ht="12" hidden="false" customHeight="true" outlineLevel="0" collapsed="false">
      <c r="A206" s="40" t="n">
        <f aca="false">IF(H206="",IF(C206="",A205,A205+1),A205)</f>
        <v>29</v>
      </c>
      <c r="B206" s="41" t="str">
        <f aca="false">IF(A206=A205,"",CONCATENATE("F",A206))</f>
        <v>F29</v>
      </c>
      <c r="C206" s="42" t="s">
        <v>363</v>
      </c>
      <c r="D206" s="42"/>
      <c r="E206" s="42"/>
      <c r="F206" s="42"/>
      <c r="G206" s="42"/>
      <c r="H206" s="44"/>
      <c r="I206" s="50"/>
      <c r="J206" s="44"/>
      <c r="K206" s="44"/>
      <c r="L206" s="44" t="str">
        <f aca="false">CONCATENATE(H206,M206)</f>
        <v/>
      </c>
      <c r="M206" s="45" t="str">
        <f aca="false">IF(OR(ISBLANK(J206),ISBLANK(K206)),IF(OR(H206="ALI",H206="AIE"),"L",IF(ISBLANK(H206),"","A")),IF(H206="EE",IF(K206&gt;=3,IF(J206&gt;=5,"H","A"),IF(K206&gt;=2,IF(J206&gt;=16,"H",IF(J206&lt;=4,"L","A")),IF(J206&lt;=15,"L","A"))),IF(OR(H206="SE",H206="CE"),IF(K206&gt;=4,IF(J206&gt;=6,"H","A"),IF(K206&gt;=2,IF(J206&gt;=20,"H",IF(J206&lt;=5,"L","A")),IF(J206&lt;=19,"L","A"))),IF(OR(H206="ALI",H206="AIE"),IF(K206&gt;=6,IF(J206&gt;=20,"H","A"),IF(K206&gt;=2,IF(J206&gt;=51,"H",IF(J206&lt;=19,"L","A")),IF(J206&lt;=50,"L","A")))))))</f>
        <v/>
      </c>
      <c r="N206" s="46" t="str">
        <f aca="false">IF(M206="L","Baixa",IF(M206="A","Média",IF(M206="","","Alta")))</f>
        <v/>
      </c>
      <c r="O206" s="47" t="str">
        <f aca="false">IF(ISBLANK(H206),"",IF(H206="ALI",IF(M206="L",7,IF(M206="A",10,15)),IF(H206="AIE",IF(M206="L",5,IF(M206="A",7,10)),IF(H206="SE",IF(M206="L",4,IF(M206="A",5,7)),IF(OR(H206="EE",H206="CE"),IF(M206="L",3,IF(M206="A",4,6)))))))</f>
        <v/>
      </c>
      <c r="P206" s="48" t="str">
        <f aca="false">IF(I206="I",O206*Contagem!$W$15,IF(I206="E",O206*Contagem!$W$17,IF(I206="A",O206*Contagem!$W$16,IF(I206="T",O206*Contagem!$W$18,""))))</f>
        <v/>
      </c>
      <c r="Q206" s="49"/>
    </row>
    <row r="207" customFormat="false" ht="12" hidden="false" customHeight="true" outlineLevel="0" collapsed="false">
      <c r="A207" s="40" t="n">
        <f aca="false">IF(H207="",IF(C207="",A206,A206+1),A206)</f>
        <v>29</v>
      </c>
      <c r="B207" s="41" t="str">
        <f aca="false">IF(A207=A206,"",CONCATENATE("F",A207))</f>
        <v/>
      </c>
      <c r="C207" s="42" t="s">
        <v>364</v>
      </c>
      <c r="D207" s="42"/>
      <c r="E207" s="42"/>
      <c r="F207" s="42"/>
      <c r="G207" s="42"/>
      <c r="H207" s="44" t="s">
        <v>55</v>
      </c>
      <c r="I207" s="50" t="s">
        <v>56</v>
      </c>
      <c r="J207" s="44" t="n">
        <v>12</v>
      </c>
      <c r="K207" s="44" t="n">
        <v>1</v>
      </c>
      <c r="L207" s="44" t="str">
        <f aca="false">CONCATENATE(H207,M207)</f>
        <v>ALIL</v>
      </c>
      <c r="M207" s="45" t="str">
        <f aca="false">IF(OR(ISBLANK(J207),ISBLANK(K207)),IF(OR(H207="ALI",H207="AIE"),"L",IF(ISBLANK(H207),"","A")),IF(H207="EE",IF(K207&gt;=3,IF(J207&gt;=5,"H","A"),IF(K207&gt;=2,IF(J207&gt;=16,"H",IF(J207&lt;=4,"L","A")),IF(J207&lt;=15,"L","A"))),IF(OR(H207="SE",H207="CE"),IF(K207&gt;=4,IF(J207&gt;=6,"H","A"),IF(K207&gt;=2,IF(J207&gt;=20,"H",IF(J207&lt;=5,"L","A")),IF(J207&lt;=19,"L","A"))),IF(OR(H207="ALI",H207="AIE"),IF(K207&gt;=6,IF(J207&gt;=20,"H","A"),IF(K207&gt;=2,IF(J207&gt;=51,"H",IF(J207&lt;=19,"L","A")),IF(J207&lt;=50,"L","A")))))))</f>
        <v>L</v>
      </c>
      <c r="N207" s="46" t="str">
        <f aca="false">IF(M207="L","Baixa",IF(M207="A","Média",IF(M207="","","Alta")))</f>
        <v>Baixa</v>
      </c>
      <c r="O207" s="47" t="n">
        <f aca="false">IF(ISBLANK(H207),"",IF(H207="ALI",IF(M207="L",7,IF(M207="A",10,15)),IF(H207="AIE",IF(M207="L",5,IF(M207="A",7,10)),IF(H207="SE",IF(M207="L",4,IF(M207="A",5,7)),IF(OR(H207="EE",H207="CE"),IF(M207="L",3,IF(M207="A",4,6)))))))</f>
        <v>7</v>
      </c>
      <c r="P207" s="48" t="n">
        <f aca="false">IF(I207="I",O207*Contagem!$W$15,IF(I207="E",O207*Contagem!$W$17,IF(I207="A",O207*Contagem!$W$16,IF(I207="T",O207*Contagem!$W$18,""))))</f>
        <v>7</v>
      </c>
      <c r="Q207" s="49" t="s">
        <v>365</v>
      </c>
    </row>
    <row r="208" customFormat="false" ht="12" hidden="false" customHeight="true" outlineLevel="0" collapsed="false">
      <c r="A208" s="40" t="n">
        <f aca="false">IF(H208="",IF(C208="",A207,A207+1),A207)</f>
        <v>29</v>
      </c>
      <c r="B208" s="41" t="str">
        <f aca="false">IF(A208=A207,"",CONCATENATE("F",A208))</f>
        <v/>
      </c>
      <c r="C208" s="42" t="s">
        <v>366</v>
      </c>
      <c r="D208" s="42"/>
      <c r="E208" s="42"/>
      <c r="F208" s="42"/>
      <c r="G208" s="42"/>
      <c r="H208" s="44" t="s">
        <v>80</v>
      </c>
      <c r="I208" s="50" t="s">
        <v>56</v>
      </c>
      <c r="J208" s="44" t="n">
        <v>12</v>
      </c>
      <c r="K208" s="44" t="n">
        <v>1</v>
      </c>
      <c r="L208" s="44" t="str">
        <f aca="false">CONCATENATE(H208,M208)</f>
        <v>CEL</v>
      </c>
      <c r="M208" s="45" t="str">
        <f aca="false">IF(OR(ISBLANK(J208),ISBLANK(K208)),IF(OR(H208="ALI",H208="AIE"),"L",IF(ISBLANK(H208),"","A")),IF(H208="EE",IF(K208&gt;=3,IF(J208&gt;=5,"H","A"),IF(K208&gt;=2,IF(J208&gt;=16,"H",IF(J208&lt;=4,"L","A")),IF(J208&lt;=15,"L","A"))),IF(OR(H208="SE",H208="CE"),IF(K208&gt;=4,IF(J208&gt;=6,"H","A"),IF(K208&gt;=2,IF(J208&gt;=20,"H",IF(J208&lt;=5,"L","A")),IF(J208&lt;=19,"L","A"))),IF(OR(H208="ALI",H208="AIE"),IF(K208&gt;=6,IF(J208&gt;=20,"H","A"),IF(K208&gt;=2,IF(J208&gt;=51,"H",IF(J208&lt;=19,"L","A")),IF(J208&lt;=50,"L","A")))))))</f>
        <v>L</v>
      </c>
      <c r="N208" s="46" t="str">
        <f aca="false">IF(M208="L","Baixa",IF(M208="A","Média",IF(M208="","","Alta")))</f>
        <v>Baixa</v>
      </c>
      <c r="O208" s="47" t="n">
        <f aca="false">IF(ISBLANK(H208),"",IF(H208="ALI",IF(M208="L",7,IF(M208="A",10,15)),IF(H208="AIE",IF(M208="L",5,IF(M208="A",7,10)),IF(H208="SE",IF(M208="L",4,IF(M208="A",5,7)),IF(OR(H208="EE",H208="CE"),IF(M208="L",3,IF(M208="A",4,6)))))))</f>
        <v>3</v>
      </c>
      <c r="P208" s="48" t="n">
        <f aca="false">IF(I208="I",O208*Contagem!$W$15,IF(I208="E",O208*Contagem!$W$17,IF(I208="A",O208*Contagem!$W$16,IF(I208="T",O208*Contagem!$W$18,""))))</f>
        <v>3</v>
      </c>
      <c r="Q208" s="49" t="s">
        <v>367</v>
      </c>
    </row>
    <row r="209" customFormat="false" ht="12" hidden="false" customHeight="true" outlineLevel="0" collapsed="false">
      <c r="A209" s="40" t="n">
        <f aca="false">IF(H209="",IF(C209="",A208,A208+1),A208)</f>
        <v>29</v>
      </c>
      <c r="B209" s="41" t="str">
        <f aca="false">IF(A209=A208,"",CONCATENATE("F",A209))</f>
        <v/>
      </c>
      <c r="C209" s="42" t="s">
        <v>368</v>
      </c>
      <c r="D209" s="42"/>
      <c r="E209" s="42"/>
      <c r="F209" s="42"/>
      <c r="G209" s="42"/>
      <c r="H209" s="44" t="s">
        <v>62</v>
      </c>
      <c r="I209" s="50" t="s">
        <v>56</v>
      </c>
      <c r="J209" s="44" t="n">
        <v>13</v>
      </c>
      <c r="K209" s="44" t="n">
        <v>1</v>
      </c>
      <c r="L209" s="44" t="str">
        <f aca="false">CONCATENATE(H209,M209)</f>
        <v>EEL</v>
      </c>
      <c r="M209" s="45" t="str">
        <f aca="false">IF(OR(ISBLANK(J209),ISBLANK(K209)),IF(OR(H209="ALI",H209="AIE"),"L",IF(ISBLANK(H209),"","A")),IF(H209="EE",IF(K209&gt;=3,IF(J209&gt;=5,"H","A"),IF(K209&gt;=2,IF(J209&gt;=16,"H",IF(J209&lt;=4,"L","A")),IF(J209&lt;=15,"L","A"))),IF(OR(H209="SE",H209="CE"),IF(K209&gt;=4,IF(J209&gt;=6,"H","A"),IF(K209&gt;=2,IF(J209&gt;=20,"H",IF(J209&lt;=5,"L","A")),IF(J209&lt;=19,"L","A"))),IF(OR(H209="ALI",H209="AIE"),IF(K209&gt;=6,IF(J209&gt;=20,"H","A"),IF(K209&gt;=2,IF(J209&gt;=51,"H",IF(J209&lt;=19,"L","A")),IF(J209&lt;=50,"L","A")))))))</f>
        <v>L</v>
      </c>
      <c r="N209" s="46" t="str">
        <f aca="false">IF(M209="L","Baixa",IF(M209="A","Média",IF(M209="","","Alta")))</f>
        <v>Baixa</v>
      </c>
      <c r="O209" s="47" t="n">
        <f aca="false">IF(ISBLANK(H209),"",IF(H209="ALI",IF(M209="L",7,IF(M209="A",10,15)),IF(H209="AIE",IF(M209="L",5,IF(M209="A",7,10)),IF(H209="SE",IF(M209="L",4,IF(M209="A",5,7)),IF(OR(H209="EE",H209="CE"),IF(M209="L",3,IF(M209="A",4,6)))))))</f>
        <v>3</v>
      </c>
      <c r="P209" s="48" t="n">
        <f aca="false">IF(I209="I",O209*Contagem!$W$15,IF(I209="E",O209*Contagem!$W$17,IF(I209="A",O209*Contagem!$W$16,IF(I209="T",O209*Contagem!$W$18,""))))</f>
        <v>3</v>
      </c>
      <c r="Q209" s="49" t="s">
        <v>369</v>
      </c>
    </row>
    <row r="210" customFormat="false" ht="12" hidden="false" customHeight="true" outlineLevel="0" collapsed="false">
      <c r="A210" s="40" t="n">
        <f aca="false">IF(H210="",IF(C210="",A209,A209+1),A209)</f>
        <v>29</v>
      </c>
      <c r="B210" s="41" t="str">
        <f aca="false">IF(A210=A209,"",CONCATENATE("F",A210))</f>
        <v/>
      </c>
      <c r="C210" s="42" t="s">
        <v>370</v>
      </c>
      <c r="D210" s="42"/>
      <c r="E210" s="42"/>
      <c r="F210" s="42"/>
      <c r="G210" s="42"/>
      <c r="H210" s="44" t="s">
        <v>62</v>
      </c>
      <c r="I210" s="50" t="s">
        <v>56</v>
      </c>
      <c r="J210" s="44" t="n">
        <v>14</v>
      </c>
      <c r="K210" s="44" t="n">
        <v>1</v>
      </c>
      <c r="L210" s="44" t="str">
        <f aca="false">CONCATENATE(H210,M210)</f>
        <v>EEL</v>
      </c>
      <c r="M210" s="45" t="str">
        <f aca="false">IF(OR(ISBLANK(J210),ISBLANK(K210)),IF(OR(H210="ALI",H210="AIE"),"L",IF(ISBLANK(H210),"","A")),IF(H210="EE",IF(K210&gt;=3,IF(J210&gt;=5,"H","A"),IF(K210&gt;=2,IF(J210&gt;=16,"H",IF(J210&lt;=4,"L","A")),IF(J210&lt;=15,"L","A"))),IF(OR(H210="SE",H210="CE"),IF(K210&gt;=4,IF(J210&gt;=6,"H","A"),IF(K210&gt;=2,IF(J210&gt;=20,"H",IF(J210&lt;=5,"L","A")),IF(J210&lt;=19,"L","A"))),IF(OR(H210="ALI",H210="AIE"),IF(K210&gt;=6,IF(J210&gt;=20,"H","A"),IF(K210&gt;=2,IF(J210&gt;=51,"H",IF(J210&lt;=19,"L","A")),IF(J210&lt;=50,"L","A")))))))</f>
        <v>L</v>
      </c>
      <c r="N210" s="46" t="str">
        <f aca="false">IF(M210="L","Baixa",IF(M210="A","Média",IF(M210="","","Alta")))</f>
        <v>Baixa</v>
      </c>
      <c r="O210" s="47" t="n">
        <f aca="false">IF(ISBLANK(H210),"",IF(H210="ALI",IF(M210="L",7,IF(M210="A",10,15)),IF(H210="AIE",IF(M210="L",5,IF(M210="A",7,10)),IF(H210="SE",IF(M210="L",4,IF(M210="A",5,7)),IF(OR(H210="EE",H210="CE"),IF(M210="L",3,IF(M210="A",4,6)))))))</f>
        <v>3</v>
      </c>
      <c r="P210" s="48" t="n">
        <f aca="false">IF(I210="I",O210*Contagem!$W$15,IF(I210="E",O210*Contagem!$W$17,IF(I210="A",O210*Contagem!$W$16,IF(I210="T",O210*Contagem!$W$18,""))))</f>
        <v>3</v>
      </c>
      <c r="Q210" s="49" t="s">
        <v>371</v>
      </c>
    </row>
    <row r="211" customFormat="false" ht="12" hidden="false" customHeight="true" outlineLevel="0" collapsed="false">
      <c r="A211" s="40" t="n">
        <f aca="false">IF(H211="",IF(C211="",A210,A210+1),A210)</f>
        <v>29</v>
      </c>
      <c r="B211" s="41" t="str">
        <f aca="false">IF(A211=A210,"",CONCATENATE("F",A211))</f>
        <v/>
      </c>
      <c r="C211" s="42" t="s">
        <v>372</v>
      </c>
      <c r="D211" s="42"/>
      <c r="E211" s="42"/>
      <c r="F211" s="42"/>
      <c r="G211" s="42"/>
      <c r="H211" s="44" t="s">
        <v>62</v>
      </c>
      <c r="I211" s="50" t="s">
        <v>56</v>
      </c>
      <c r="J211" s="44" t="n">
        <v>2</v>
      </c>
      <c r="K211" s="44" t="n">
        <v>1</v>
      </c>
      <c r="L211" s="44" t="str">
        <f aca="false">CONCATENATE(H211,M211)</f>
        <v>EEL</v>
      </c>
      <c r="M211" s="45" t="str">
        <f aca="false">IF(OR(ISBLANK(J211),ISBLANK(K211)),IF(OR(H211="ALI",H211="AIE"),"L",IF(ISBLANK(H211),"","A")),IF(H211="EE",IF(K211&gt;=3,IF(J211&gt;=5,"H","A"),IF(K211&gt;=2,IF(J211&gt;=16,"H",IF(J211&lt;=4,"L","A")),IF(J211&lt;=15,"L","A"))),IF(OR(H211="SE",H211="CE"),IF(K211&gt;=4,IF(J211&gt;=6,"H","A"),IF(K211&gt;=2,IF(J211&gt;=20,"H",IF(J211&lt;=5,"L","A")),IF(J211&lt;=19,"L","A"))),IF(OR(H211="ALI",H211="AIE"),IF(K211&gt;=6,IF(J211&gt;=20,"H","A"),IF(K211&gt;=2,IF(J211&gt;=51,"H",IF(J211&lt;=19,"L","A")),IF(J211&lt;=50,"L","A")))))))</f>
        <v>L</v>
      </c>
      <c r="N211" s="46" t="str">
        <f aca="false">IF(M211="L","Baixa",IF(M211="A","Média",IF(M211="","","Alta")))</f>
        <v>Baixa</v>
      </c>
      <c r="O211" s="47" t="n">
        <f aca="false">IF(ISBLANK(H211),"",IF(H211="ALI",IF(M211="L",7,IF(M211="A",10,15)),IF(H211="AIE",IF(M211="L",5,IF(M211="A",7,10)),IF(H211="SE",IF(M211="L",4,IF(M211="A",5,7)),IF(OR(H211="EE",H211="CE"),IF(M211="L",3,IF(M211="A",4,6)))))))</f>
        <v>3</v>
      </c>
      <c r="P211" s="48" t="n">
        <f aca="false">IF(I211="I",O211*Contagem!$W$15,IF(I211="E",O211*Contagem!$W$17,IF(I211="A",O211*Contagem!$W$16,IF(I211="T",O211*Contagem!$W$18,""))))</f>
        <v>3</v>
      </c>
      <c r="Q211" s="49" t="s">
        <v>373</v>
      </c>
    </row>
    <row r="212" customFormat="false" ht="12" hidden="false" customHeight="true" outlineLevel="0" collapsed="false">
      <c r="A212" s="40" t="n">
        <f aca="false">IF(H212="",IF(C212="",A211,A211+1),A211)</f>
        <v>29</v>
      </c>
      <c r="B212" s="41" t="str">
        <f aca="false">IF(A212=A211,"",CONCATENATE("F",A212))</f>
        <v/>
      </c>
      <c r="C212" s="42"/>
      <c r="D212" s="42"/>
      <c r="E212" s="42"/>
      <c r="F212" s="42"/>
      <c r="G212" s="42"/>
      <c r="H212" s="44"/>
      <c r="I212" s="50"/>
      <c r="J212" s="44"/>
      <c r="K212" s="44"/>
      <c r="L212" s="44" t="str">
        <f aca="false">CONCATENATE(H212,M212)</f>
        <v/>
      </c>
      <c r="M212" s="45" t="str">
        <f aca="false">IF(OR(ISBLANK(J212),ISBLANK(K212)),IF(OR(H212="ALI",H212="AIE"),"L",IF(ISBLANK(H212),"","A")),IF(H212="EE",IF(K212&gt;=3,IF(J212&gt;=5,"H","A"),IF(K212&gt;=2,IF(J212&gt;=16,"H",IF(J212&lt;=4,"L","A")),IF(J212&lt;=15,"L","A"))),IF(OR(H212="SE",H212="CE"),IF(K212&gt;=4,IF(J212&gt;=6,"H","A"),IF(K212&gt;=2,IF(J212&gt;=20,"H",IF(J212&lt;=5,"L","A")),IF(J212&lt;=19,"L","A"))),IF(OR(H212="ALI",H212="AIE"),IF(K212&gt;=6,IF(J212&gt;=20,"H","A"),IF(K212&gt;=2,IF(J212&gt;=51,"H",IF(J212&lt;=19,"L","A")),IF(J212&lt;=50,"L","A")))))))</f>
        <v/>
      </c>
      <c r="N212" s="46" t="str">
        <f aca="false">IF(M212="L","Baixa",IF(M212="A","Média",IF(M212="","","Alta")))</f>
        <v/>
      </c>
      <c r="O212" s="47" t="str">
        <f aca="false">IF(ISBLANK(H212),"",IF(H212="ALI",IF(M212="L",7,IF(M212="A",10,15)),IF(H212="AIE",IF(M212="L",5,IF(M212="A",7,10)),IF(H212="SE",IF(M212="L",4,IF(M212="A",5,7)),IF(OR(H212="EE",H212="CE"),IF(M212="L",3,IF(M212="A",4,6)))))))</f>
        <v/>
      </c>
      <c r="P212" s="48" t="str">
        <f aca="false">IF(I212="I",O212*Contagem!$W$15,IF(I212="E",O212*Contagem!$W$17,IF(I212="A",O212*Contagem!$W$16,IF(I212="T",O212*Contagem!$W$18,""))))</f>
        <v/>
      </c>
      <c r="Q212" s="49"/>
    </row>
    <row r="213" customFormat="false" ht="12" hidden="false" customHeight="true" outlineLevel="0" collapsed="false">
      <c r="A213" s="40" t="n">
        <f aca="false">IF(H213="",IF(C213="",A212,A212+1),A212)</f>
        <v>30</v>
      </c>
      <c r="B213" s="41" t="str">
        <f aca="false">IF(A213=A212,"",CONCATENATE("F",A213))</f>
        <v>F30</v>
      </c>
      <c r="C213" s="42" t="s">
        <v>374</v>
      </c>
      <c r="D213" s="42"/>
      <c r="E213" s="42"/>
      <c r="F213" s="42"/>
      <c r="G213" s="42"/>
      <c r="H213" s="44"/>
      <c r="I213" s="50"/>
      <c r="J213" s="44"/>
      <c r="K213" s="44"/>
      <c r="L213" s="44" t="str">
        <f aca="false">CONCATENATE(H213,M213)</f>
        <v/>
      </c>
      <c r="M213" s="45" t="str">
        <f aca="false">IF(OR(ISBLANK(J213),ISBLANK(K213)),IF(OR(H213="ALI",H213="AIE"),"L",IF(ISBLANK(H213),"","A")),IF(H213="EE",IF(K213&gt;=3,IF(J213&gt;=5,"H","A"),IF(K213&gt;=2,IF(J213&gt;=16,"H",IF(J213&lt;=4,"L","A")),IF(J213&lt;=15,"L","A"))),IF(OR(H213="SE",H213="CE"),IF(K213&gt;=4,IF(J213&gt;=6,"H","A"),IF(K213&gt;=2,IF(J213&gt;=20,"H",IF(J213&lt;=5,"L","A")),IF(J213&lt;=19,"L","A"))),IF(OR(H213="ALI",H213="AIE"),IF(K213&gt;=6,IF(J213&gt;=20,"H","A"),IF(K213&gt;=2,IF(J213&gt;=51,"H",IF(J213&lt;=19,"L","A")),IF(J213&lt;=50,"L","A")))))))</f>
        <v/>
      </c>
      <c r="N213" s="46" t="str">
        <f aca="false">IF(M213="L","Baixa",IF(M213="A","Média",IF(M213="","","Alta")))</f>
        <v/>
      </c>
      <c r="O213" s="47" t="str">
        <f aca="false">IF(ISBLANK(H213),"",IF(H213="ALI",IF(M213="L",7,IF(M213="A",10,15)),IF(H213="AIE",IF(M213="L",5,IF(M213="A",7,10)),IF(H213="SE",IF(M213="L",4,IF(M213="A",5,7)),IF(OR(H213="EE",H213="CE"),IF(M213="L",3,IF(M213="A",4,6)))))))</f>
        <v/>
      </c>
      <c r="P213" s="48" t="str">
        <f aca="false">IF(I213="I",O213*Contagem!$W$15,IF(I213="E",O213*Contagem!$W$17,IF(I213="A",O213*Contagem!$W$16,IF(I213="T",O213*Contagem!$W$18,""))))</f>
        <v/>
      </c>
      <c r="Q213" s="49"/>
    </row>
    <row r="214" customFormat="false" ht="12" hidden="false" customHeight="true" outlineLevel="0" collapsed="false">
      <c r="A214" s="40" t="n">
        <f aca="false">IF(H214="",IF(C214="",A213,A213+1),A213)</f>
        <v>30</v>
      </c>
      <c r="B214" s="41" t="str">
        <f aca="false">IF(A214=A213,"",CONCATENATE("F",A214))</f>
        <v/>
      </c>
      <c r="C214" s="42" t="s">
        <v>375</v>
      </c>
      <c r="D214" s="42"/>
      <c r="E214" s="42"/>
      <c r="F214" s="42"/>
      <c r="G214" s="42"/>
      <c r="H214" s="44" t="s">
        <v>55</v>
      </c>
      <c r="I214" s="50" t="s">
        <v>56</v>
      </c>
      <c r="J214" s="44" t="n">
        <v>11</v>
      </c>
      <c r="K214" s="44" t="n">
        <v>1</v>
      </c>
      <c r="L214" s="44" t="str">
        <f aca="false">CONCATENATE(H214,M214)</f>
        <v>ALIL</v>
      </c>
      <c r="M214" s="45" t="str">
        <f aca="false">IF(OR(ISBLANK(J214),ISBLANK(K214)),IF(OR(H214="ALI",H214="AIE"),"L",IF(ISBLANK(H214),"","A")),IF(H214="EE",IF(K214&gt;=3,IF(J214&gt;=5,"H","A"),IF(K214&gt;=2,IF(J214&gt;=16,"H",IF(J214&lt;=4,"L","A")),IF(J214&lt;=15,"L","A"))),IF(OR(H214="SE",H214="CE"),IF(K214&gt;=4,IF(J214&gt;=6,"H","A"),IF(K214&gt;=2,IF(J214&gt;=20,"H",IF(J214&lt;=5,"L","A")),IF(J214&lt;=19,"L","A"))),IF(OR(H214="ALI",H214="AIE"),IF(K214&gt;=6,IF(J214&gt;=20,"H","A"),IF(K214&gt;=2,IF(J214&gt;=51,"H",IF(J214&lt;=19,"L","A")),IF(J214&lt;=50,"L","A")))))))</f>
        <v>L</v>
      </c>
      <c r="N214" s="46" t="str">
        <f aca="false">IF(M214="L","Baixa",IF(M214="A","Média",IF(M214="","","Alta")))</f>
        <v>Baixa</v>
      </c>
      <c r="O214" s="47" t="n">
        <f aca="false">IF(ISBLANK(H214),"",IF(H214="ALI",IF(M214="L",7,IF(M214="A",10,15)),IF(H214="AIE",IF(M214="L",5,IF(M214="A",7,10)),IF(H214="SE",IF(M214="L",4,IF(M214="A",5,7)),IF(OR(H214="EE",H214="CE"),IF(M214="L",3,IF(M214="A",4,6)))))))</f>
        <v>7</v>
      </c>
      <c r="P214" s="48" t="n">
        <f aca="false">IF(I214="I",O214*Contagem!$W$15,IF(I214="E",O214*Contagem!$W$17,IF(I214="A",O214*Contagem!$W$16,IF(I214="T",O214*Contagem!$W$18,""))))</f>
        <v>7</v>
      </c>
      <c r="Q214" s="49" t="s">
        <v>376</v>
      </c>
    </row>
    <row r="215" customFormat="false" ht="12" hidden="false" customHeight="true" outlineLevel="0" collapsed="false">
      <c r="A215" s="40" t="n">
        <f aca="false">IF(H215="",IF(C215="",A214,A214+1),A214)</f>
        <v>30</v>
      </c>
      <c r="B215" s="41" t="str">
        <f aca="false">IF(A215=A214,"",CONCATENATE("F",A215))</f>
        <v/>
      </c>
      <c r="C215" s="42" t="s">
        <v>377</v>
      </c>
      <c r="D215" s="42"/>
      <c r="E215" s="42"/>
      <c r="F215" s="42"/>
      <c r="G215" s="42"/>
      <c r="H215" s="44" t="s">
        <v>80</v>
      </c>
      <c r="I215" s="50" t="s">
        <v>56</v>
      </c>
      <c r="J215" s="44" t="n">
        <v>11</v>
      </c>
      <c r="K215" s="44" t="n">
        <v>1</v>
      </c>
      <c r="L215" s="44" t="str">
        <f aca="false">CONCATENATE(H215,M215)</f>
        <v>CEL</v>
      </c>
      <c r="M215" s="45" t="str">
        <f aca="false">IF(OR(ISBLANK(J215),ISBLANK(K215)),IF(OR(H215="ALI",H215="AIE"),"L",IF(ISBLANK(H215),"","A")),IF(H215="EE",IF(K215&gt;=3,IF(J215&gt;=5,"H","A"),IF(K215&gt;=2,IF(J215&gt;=16,"H",IF(J215&lt;=4,"L","A")),IF(J215&lt;=15,"L","A"))),IF(OR(H215="SE",H215="CE"),IF(K215&gt;=4,IF(J215&gt;=6,"H","A"),IF(K215&gt;=2,IF(J215&gt;=20,"H",IF(J215&lt;=5,"L","A")),IF(J215&lt;=19,"L","A"))),IF(OR(H215="ALI",H215="AIE"),IF(K215&gt;=6,IF(J215&gt;=20,"H","A"),IF(K215&gt;=2,IF(J215&gt;=51,"H",IF(J215&lt;=19,"L","A")),IF(J215&lt;=50,"L","A")))))))</f>
        <v>L</v>
      </c>
      <c r="N215" s="46" t="str">
        <f aca="false">IF(M215="L","Baixa",IF(M215="A","Média",IF(M215="","","Alta")))</f>
        <v>Baixa</v>
      </c>
      <c r="O215" s="47" t="n">
        <f aca="false">IF(ISBLANK(H215),"",IF(H215="ALI",IF(M215="L",7,IF(M215="A",10,15)),IF(H215="AIE",IF(M215="L",5,IF(M215="A",7,10)),IF(H215="SE",IF(M215="L",4,IF(M215="A",5,7)),IF(OR(H215="EE",H215="CE"),IF(M215="L",3,IF(M215="A",4,6)))))))</f>
        <v>3</v>
      </c>
      <c r="P215" s="48" t="n">
        <f aca="false">IF(I215="I",O215*Contagem!$W$15,IF(I215="E",O215*Contagem!$W$17,IF(I215="A",O215*Contagem!$W$16,IF(I215="T",O215*Contagem!$W$18,""))))</f>
        <v>3</v>
      </c>
      <c r="Q215" s="49" t="s">
        <v>378</v>
      </c>
    </row>
    <row r="216" customFormat="false" ht="12" hidden="false" customHeight="true" outlineLevel="0" collapsed="false">
      <c r="A216" s="40" t="n">
        <f aca="false">IF(H216="",IF(C216="",A215,A215+1),A215)</f>
        <v>30</v>
      </c>
      <c r="B216" s="41" t="str">
        <f aca="false">IF(A216=A215,"",CONCATENATE("F",A216))</f>
        <v/>
      </c>
      <c r="C216" s="42" t="s">
        <v>379</v>
      </c>
      <c r="D216" s="42"/>
      <c r="E216" s="42"/>
      <c r="F216" s="42"/>
      <c r="G216" s="42"/>
      <c r="H216" s="44" t="s">
        <v>62</v>
      </c>
      <c r="I216" s="50" t="s">
        <v>56</v>
      </c>
      <c r="J216" s="44" t="n">
        <v>12</v>
      </c>
      <c r="K216" s="44" t="n">
        <v>1</v>
      </c>
      <c r="L216" s="44" t="str">
        <f aca="false">CONCATENATE(H216,M216)</f>
        <v>EEL</v>
      </c>
      <c r="M216" s="45" t="str">
        <f aca="false">IF(OR(ISBLANK(J216),ISBLANK(K216)),IF(OR(H216="ALI",H216="AIE"),"L",IF(ISBLANK(H216),"","A")),IF(H216="EE",IF(K216&gt;=3,IF(J216&gt;=5,"H","A"),IF(K216&gt;=2,IF(J216&gt;=16,"H",IF(J216&lt;=4,"L","A")),IF(J216&lt;=15,"L","A"))),IF(OR(H216="SE",H216="CE"),IF(K216&gt;=4,IF(J216&gt;=6,"H","A"),IF(K216&gt;=2,IF(J216&gt;=20,"H",IF(J216&lt;=5,"L","A")),IF(J216&lt;=19,"L","A"))),IF(OR(H216="ALI",H216="AIE"),IF(K216&gt;=6,IF(J216&gt;=20,"H","A"),IF(K216&gt;=2,IF(J216&gt;=51,"H",IF(J216&lt;=19,"L","A")),IF(J216&lt;=50,"L","A")))))))</f>
        <v>L</v>
      </c>
      <c r="N216" s="46" t="str">
        <f aca="false">IF(M216="L","Baixa",IF(M216="A","Média",IF(M216="","","Alta")))</f>
        <v>Baixa</v>
      </c>
      <c r="O216" s="47" t="n">
        <f aca="false">IF(ISBLANK(H216),"",IF(H216="ALI",IF(M216="L",7,IF(M216="A",10,15)),IF(H216="AIE",IF(M216="L",5,IF(M216="A",7,10)),IF(H216="SE",IF(M216="L",4,IF(M216="A",5,7)),IF(OR(H216="EE",H216="CE"),IF(M216="L",3,IF(M216="A",4,6)))))))</f>
        <v>3</v>
      </c>
      <c r="P216" s="48" t="n">
        <f aca="false">IF(I216="I",O216*Contagem!$W$15,IF(I216="E",O216*Contagem!$W$17,IF(I216="A",O216*Contagem!$W$16,IF(I216="T",O216*Contagem!$W$18,""))))</f>
        <v>3</v>
      </c>
      <c r="Q216" s="49" t="s">
        <v>380</v>
      </c>
    </row>
    <row r="217" customFormat="false" ht="12" hidden="false" customHeight="true" outlineLevel="0" collapsed="false">
      <c r="A217" s="40" t="n">
        <f aca="false">IF(H217="",IF(C217="",A216,A216+1),A216)</f>
        <v>30</v>
      </c>
      <c r="B217" s="41" t="str">
        <f aca="false">IF(A217=A216,"",CONCATENATE("F",A217))</f>
        <v/>
      </c>
      <c r="C217" s="42" t="s">
        <v>381</v>
      </c>
      <c r="D217" s="42"/>
      <c r="E217" s="42"/>
      <c r="F217" s="42"/>
      <c r="G217" s="42"/>
      <c r="H217" s="44" t="s">
        <v>62</v>
      </c>
      <c r="I217" s="50" t="s">
        <v>56</v>
      </c>
      <c r="J217" s="44" t="n">
        <v>13</v>
      </c>
      <c r="K217" s="44" t="n">
        <v>1</v>
      </c>
      <c r="L217" s="44" t="str">
        <f aca="false">CONCATENATE(H217,M217)</f>
        <v>EEL</v>
      </c>
      <c r="M217" s="45" t="str">
        <f aca="false">IF(OR(ISBLANK(J217),ISBLANK(K217)),IF(OR(H217="ALI",H217="AIE"),"L",IF(ISBLANK(H217),"","A")),IF(H217="EE",IF(K217&gt;=3,IF(J217&gt;=5,"H","A"),IF(K217&gt;=2,IF(J217&gt;=16,"H",IF(J217&lt;=4,"L","A")),IF(J217&lt;=15,"L","A"))),IF(OR(H217="SE",H217="CE"),IF(K217&gt;=4,IF(J217&gt;=6,"H","A"),IF(K217&gt;=2,IF(J217&gt;=20,"H",IF(J217&lt;=5,"L","A")),IF(J217&lt;=19,"L","A"))),IF(OR(H217="ALI",H217="AIE"),IF(K217&gt;=6,IF(J217&gt;=20,"H","A"),IF(K217&gt;=2,IF(J217&gt;=51,"H",IF(J217&lt;=19,"L","A")),IF(J217&lt;=50,"L","A")))))))</f>
        <v>L</v>
      </c>
      <c r="N217" s="46" t="str">
        <f aca="false">IF(M217="L","Baixa",IF(M217="A","Média",IF(M217="","","Alta")))</f>
        <v>Baixa</v>
      </c>
      <c r="O217" s="47" t="n">
        <f aca="false">IF(ISBLANK(H217),"",IF(H217="ALI",IF(M217="L",7,IF(M217="A",10,15)),IF(H217="AIE",IF(M217="L",5,IF(M217="A",7,10)),IF(H217="SE",IF(M217="L",4,IF(M217="A",5,7)),IF(OR(H217="EE",H217="CE"),IF(M217="L",3,IF(M217="A",4,6)))))))</f>
        <v>3</v>
      </c>
      <c r="P217" s="48" t="n">
        <f aca="false">IF(I217="I",O217*Contagem!$W$15,IF(I217="E",O217*Contagem!$W$17,IF(I217="A",O217*Contagem!$W$16,IF(I217="T",O217*Contagem!$W$18,""))))</f>
        <v>3</v>
      </c>
      <c r="Q217" s="49" t="s">
        <v>382</v>
      </c>
    </row>
    <row r="218" customFormat="false" ht="12" hidden="false" customHeight="true" outlineLevel="0" collapsed="false">
      <c r="A218" s="40" t="n">
        <f aca="false">IF(H218="",IF(C218="",A217,A217+1),A217)</f>
        <v>30</v>
      </c>
      <c r="B218" s="41" t="str">
        <f aca="false">IF(A218=A217,"",CONCATENATE("F",A218))</f>
        <v/>
      </c>
      <c r="C218" s="42" t="s">
        <v>383</v>
      </c>
      <c r="D218" s="42"/>
      <c r="E218" s="42"/>
      <c r="F218" s="42"/>
      <c r="G218" s="42"/>
      <c r="H218" s="44" t="s">
        <v>62</v>
      </c>
      <c r="I218" s="50" t="s">
        <v>56</v>
      </c>
      <c r="J218" s="44" t="n">
        <v>2</v>
      </c>
      <c r="K218" s="44" t="n">
        <v>1</v>
      </c>
      <c r="L218" s="44" t="str">
        <f aca="false">CONCATENATE(H218,M218)</f>
        <v>EEL</v>
      </c>
      <c r="M218" s="45" t="str">
        <f aca="false">IF(OR(ISBLANK(J218),ISBLANK(K218)),IF(OR(H218="ALI",H218="AIE"),"L",IF(ISBLANK(H218),"","A")),IF(H218="EE",IF(K218&gt;=3,IF(J218&gt;=5,"H","A"),IF(K218&gt;=2,IF(J218&gt;=16,"H",IF(J218&lt;=4,"L","A")),IF(J218&lt;=15,"L","A"))),IF(OR(H218="SE",H218="CE"),IF(K218&gt;=4,IF(J218&gt;=6,"H","A"),IF(K218&gt;=2,IF(J218&gt;=20,"H",IF(J218&lt;=5,"L","A")),IF(J218&lt;=19,"L","A"))),IF(OR(H218="ALI",H218="AIE"),IF(K218&gt;=6,IF(J218&gt;=20,"H","A"),IF(K218&gt;=2,IF(J218&gt;=51,"H",IF(J218&lt;=19,"L","A")),IF(J218&lt;=50,"L","A")))))))</f>
        <v>L</v>
      </c>
      <c r="N218" s="46" t="str">
        <f aca="false">IF(M218="L","Baixa",IF(M218="A","Média",IF(M218="","","Alta")))</f>
        <v>Baixa</v>
      </c>
      <c r="O218" s="47" t="n">
        <f aca="false">IF(ISBLANK(H218),"",IF(H218="ALI",IF(M218="L",7,IF(M218="A",10,15)),IF(H218="AIE",IF(M218="L",5,IF(M218="A",7,10)),IF(H218="SE",IF(M218="L",4,IF(M218="A",5,7)),IF(OR(H218="EE",H218="CE"),IF(M218="L",3,IF(M218="A",4,6)))))))</f>
        <v>3</v>
      </c>
      <c r="P218" s="48" t="n">
        <f aca="false">IF(I218="I",O218*Contagem!$W$15,IF(I218="E",O218*Contagem!$W$17,IF(I218="A",O218*Contagem!$W$16,IF(I218="T",O218*Contagem!$W$18,""))))</f>
        <v>3</v>
      </c>
      <c r="Q218" s="49" t="s">
        <v>384</v>
      </c>
    </row>
    <row r="219" customFormat="false" ht="12" hidden="false" customHeight="true" outlineLevel="0" collapsed="false">
      <c r="A219" s="40" t="n">
        <f aca="false">IF(H219="",IF(C219="",A218,A218+1),A218)</f>
        <v>30</v>
      </c>
      <c r="B219" s="41" t="str">
        <f aca="false">IF(A219=A218,"",CONCATENATE("F",A219))</f>
        <v/>
      </c>
      <c r="C219" s="42" t="s">
        <v>385</v>
      </c>
      <c r="D219" s="42"/>
      <c r="E219" s="42"/>
      <c r="F219" s="42"/>
      <c r="G219" s="42"/>
      <c r="H219" s="44" t="s">
        <v>62</v>
      </c>
      <c r="I219" s="50" t="s">
        <v>56</v>
      </c>
      <c r="J219" s="44" t="n">
        <v>4</v>
      </c>
      <c r="K219" s="44" t="n">
        <v>1</v>
      </c>
      <c r="L219" s="44" t="str">
        <f aca="false">CONCATENATE(H219,M219)</f>
        <v>EEL</v>
      </c>
      <c r="M219" s="45" t="str">
        <f aca="false">IF(OR(ISBLANK(J219),ISBLANK(K219)),IF(OR(H219="ALI",H219="AIE"),"L",IF(ISBLANK(H219),"","A")),IF(H219="EE",IF(K219&gt;=3,IF(J219&gt;=5,"H","A"),IF(K219&gt;=2,IF(J219&gt;=16,"H",IF(J219&lt;=4,"L","A")),IF(J219&lt;=15,"L","A"))),IF(OR(H219="SE",H219="CE"),IF(K219&gt;=4,IF(J219&gt;=6,"H","A"),IF(K219&gt;=2,IF(J219&gt;=20,"H",IF(J219&lt;=5,"L","A")),IF(J219&lt;=19,"L","A"))),IF(OR(H219="ALI",H219="AIE"),IF(K219&gt;=6,IF(J219&gt;=20,"H","A"),IF(K219&gt;=2,IF(J219&gt;=51,"H",IF(J219&lt;=19,"L","A")),IF(J219&lt;=50,"L","A")))))))</f>
        <v>L</v>
      </c>
      <c r="N219" s="46" t="str">
        <f aca="false">IF(M219="L","Baixa",IF(M219="A","Média",IF(M219="","","Alta")))</f>
        <v>Baixa</v>
      </c>
      <c r="O219" s="47" t="n">
        <f aca="false">IF(ISBLANK(H219),"",IF(H219="ALI",IF(M219="L",7,IF(M219="A",10,15)),IF(H219="AIE",IF(M219="L",5,IF(M219="A",7,10)),IF(H219="SE",IF(M219="L",4,IF(M219="A",5,7)),IF(OR(H219="EE",H219="CE"),IF(M219="L",3,IF(M219="A",4,6)))))))</f>
        <v>3</v>
      </c>
      <c r="P219" s="48" t="n">
        <f aca="false">IF(I219="I",O219*Contagem!$W$15,IF(I219="E",O219*Contagem!$W$17,IF(I219="A",O219*Contagem!$W$16,IF(I219="T",O219*Contagem!$W$18,""))))</f>
        <v>3</v>
      </c>
      <c r="Q219" s="49" t="s">
        <v>386</v>
      </c>
    </row>
    <row r="220" customFormat="false" ht="12" hidden="false" customHeight="true" outlineLevel="0" collapsed="false">
      <c r="A220" s="40" t="n">
        <f aca="false">IF(H220="",IF(C220="",A219,A219+1),A219)</f>
        <v>30</v>
      </c>
      <c r="B220" s="41" t="str">
        <f aca="false">IF(A220=A219,"",CONCATENATE("F",A220))</f>
        <v/>
      </c>
      <c r="C220" s="42"/>
      <c r="D220" s="42"/>
      <c r="E220" s="42"/>
      <c r="F220" s="42"/>
      <c r="G220" s="42"/>
      <c r="H220" s="44"/>
      <c r="I220" s="50"/>
      <c r="J220" s="44"/>
      <c r="K220" s="44"/>
      <c r="L220" s="44" t="str">
        <f aca="false">CONCATENATE(H220,M220)</f>
        <v/>
      </c>
      <c r="M220" s="45" t="str">
        <f aca="false">IF(OR(ISBLANK(J220),ISBLANK(K220)),IF(OR(H220="ALI",H220="AIE"),"L",IF(ISBLANK(H220),"","A")),IF(H220="EE",IF(K220&gt;=3,IF(J220&gt;=5,"H","A"),IF(K220&gt;=2,IF(J220&gt;=16,"H",IF(J220&lt;=4,"L","A")),IF(J220&lt;=15,"L","A"))),IF(OR(H220="SE",H220="CE"),IF(K220&gt;=4,IF(J220&gt;=6,"H","A"),IF(K220&gt;=2,IF(J220&gt;=20,"H",IF(J220&lt;=5,"L","A")),IF(J220&lt;=19,"L","A"))),IF(OR(H220="ALI",H220="AIE"),IF(K220&gt;=6,IF(J220&gt;=20,"H","A"),IF(K220&gt;=2,IF(J220&gt;=51,"H",IF(J220&lt;=19,"L","A")),IF(J220&lt;=50,"L","A")))))))</f>
        <v/>
      </c>
      <c r="N220" s="46" t="str">
        <f aca="false">IF(M220="L","Baixa",IF(M220="A","Média",IF(M220="","","Alta")))</f>
        <v/>
      </c>
      <c r="O220" s="47" t="str">
        <f aca="false">IF(ISBLANK(H220),"",IF(H220="ALI",IF(M220="L",7,IF(M220="A",10,15)),IF(H220="AIE",IF(M220="L",5,IF(M220="A",7,10)),IF(H220="SE",IF(M220="L",4,IF(M220="A",5,7)),IF(OR(H220="EE",H220="CE"),IF(M220="L",3,IF(M220="A",4,6)))))))</f>
        <v/>
      </c>
      <c r="P220" s="48" t="str">
        <f aca="false">IF(I220="I",O220*Contagem!$W$15,IF(I220="E",O220*Contagem!$W$17,IF(I220="A",O220*Contagem!$W$16,IF(I220="T",O220*Contagem!$W$18,""))))</f>
        <v/>
      </c>
      <c r="Q220" s="49"/>
    </row>
    <row r="221" customFormat="false" ht="12" hidden="false" customHeight="true" outlineLevel="0" collapsed="false">
      <c r="A221" s="40" t="n">
        <f aca="false">IF(H221="",IF(C221="",A220,A220+1),A220)</f>
        <v>31</v>
      </c>
      <c r="B221" s="41" t="str">
        <f aca="false">IF(A221=A220,"",CONCATENATE("F",A221))</f>
        <v>F31</v>
      </c>
      <c r="C221" s="42" t="s">
        <v>387</v>
      </c>
      <c r="D221" s="42"/>
      <c r="E221" s="42"/>
      <c r="F221" s="42"/>
      <c r="G221" s="42"/>
      <c r="H221" s="44"/>
      <c r="I221" s="50"/>
      <c r="J221" s="44"/>
      <c r="K221" s="44"/>
      <c r="L221" s="44" t="str">
        <f aca="false">CONCATENATE(H221,M221)</f>
        <v/>
      </c>
      <c r="M221" s="45" t="str">
        <f aca="false">IF(OR(ISBLANK(J221),ISBLANK(K221)),IF(OR(H221="ALI",H221="AIE"),"L",IF(ISBLANK(H221),"","A")),IF(H221="EE",IF(K221&gt;=3,IF(J221&gt;=5,"H","A"),IF(K221&gt;=2,IF(J221&gt;=16,"H",IF(J221&lt;=4,"L","A")),IF(J221&lt;=15,"L","A"))),IF(OR(H221="SE",H221="CE"),IF(K221&gt;=4,IF(J221&gt;=6,"H","A"),IF(K221&gt;=2,IF(J221&gt;=20,"H",IF(J221&lt;=5,"L","A")),IF(J221&lt;=19,"L","A"))),IF(OR(H221="ALI",H221="AIE"),IF(K221&gt;=6,IF(J221&gt;=20,"H","A"),IF(K221&gt;=2,IF(J221&gt;=51,"H",IF(J221&lt;=19,"L","A")),IF(J221&lt;=50,"L","A")))))))</f>
        <v/>
      </c>
      <c r="N221" s="46" t="str">
        <f aca="false">IF(M221="L","Baixa",IF(M221="A","Média",IF(M221="","","Alta")))</f>
        <v/>
      </c>
      <c r="O221" s="47" t="str">
        <f aca="false">IF(ISBLANK(H221),"",IF(H221="ALI",IF(M221="L",7,IF(M221="A",10,15)),IF(H221="AIE",IF(M221="L",5,IF(M221="A",7,10)),IF(H221="SE",IF(M221="L",4,IF(M221="A",5,7)),IF(OR(H221="EE",H221="CE"),IF(M221="L",3,IF(M221="A",4,6)))))))</f>
        <v/>
      </c>
      <c r="P221" s="48" t="str">
        <f aca="false">IF(I221="I",O221*Contagem!$W$15,IF(I221="E",O221*Contagem!$W$17,IF(I221="A",O221*Contagem!$W$16,IF(I221="T",O221*Contagem!$W$18,""))))</f>
        <v/>
      </c>
      <c r="Q221" s="49"/>
    </row>
    <row r="222" customFormat="false" ht="12" hidden="false" customHeight="true" outlineLevel="0" collapsed="false">
      <c r="A222" s="40" t="n">
        <f aca="false">IF(H222="",IF(C222="",A221,A221+1),A221)</f>
        <v>31</v>
      </c>
      <c r="B222" s="41" t="str">
        <f aca="false">IF(A222=A221,"",CONCATENATE("F",A222))</f>
        <v/>
      </c>
      <c r="C222" s="42" t="s">
        <v>388</v>
      </c>
      <c r="D222" s="42"/>
      <c r="E222" s="42"/>
      <c r="F222" s="42"/>
      <c r="G222" s="42"/>
      <c r="H222" s="44" t="s">
        <v>55</v>
      </c>
      <c r="I222" s="50" t="s">
        <v>56</v>
      </c>
      <c r="J222" s="44" t="n">
        <v>10</v>
      </c>
      <c r="K222" s="44" t="n">
        <v>2</v>
      </c>
      <c r="L222" s="44" t="str">
        <f aca="false">CONCATENATE(H222,M222)</f>
        <v>ALIL</v>
      </c>
      <c r="M222" s="45" t="str">
        <f aca="false">IF(OR(ISBLANK(J222),ISBLANK(K222)),IF(OR(H222="ALI",H222="AIE"),"L",IF(ISBLANK(H222),"","A")),IF(H222="EE",IF(K222&gt;=3,IF(J222&gt;=5,"H","A"),IF(K222&gt;=2,IF(J222&gt;=16,"H",IF(J222&lt;=4,"L","A")),IF(J222&lt;=15,"L","A"))),IF(OR(H222="SE",H222="CE"),IF(K222&gt;=4,IF(J222&gt;=6,"H","A"),IF(K222&gt;=2,IF(J222&gt;=20,"H",IF(J222&lt;=5,"L","A")),IF(J222&lt;=19,"L","A"))),IF(OR(H222="ALI",H222="AIE"),IF(K222&gt;=6,IF(J222&gt;=20,"H","A"),IF(K222&gt;=2,IF(J222&gt;=51,"H",IF(J222&lt;=19,"L","A")),IF(J222&lt;=50,"L","A")))))))</f>
        <v>L</v>
      </c>
      <c r="N222" s="46" t="str">
        <f aca="false">IF(M222="L","Baixa",IF(M222="A","Média",IF(M222="","","Alta")))</f>
        <v>Baixa</v>
      </c>
      <c r="O222" s="47" t="n">
        <f aca="false">IF(ISBLANK(H222),"",IF(H222="ALI",IF(M222="L",7,IF(M222="A",10,15)),IF(H222="AIE",IF(M222="L",5,IF(M222="A",7,10)),IF(H222="SE",IF(M222="L",4,IF(M222="A",5,7)),IF(OR(H222="EE",H222="CE"),IF(M222="L",3,IF(M222="A",4,6)))))))</f>
        <v>7</v>
      </c>
      <c r="P222" s="48" t="n">
        <f aca="false">IF(I222="I",O222*Contagem!$W$15,IF(I222="E",O222*Contagem!$W$17,IF(I222="A",O222*Contagem!$W$16,IF(I222="T",O222*Contagem!$W$18,""))))</f>
        <v>7</v>
      </c>
      <c r="Q222" s="49" t="s">
        <v>389</v>
      </c>
    </row>
    <row r="223" customFormat="false" ht="12" hidden="false" customHeight="true" outlineLevel="0" collapsed="false">
      <c r="A223" s="40" t="n">
        <f aca="false">IF(H223="",IF(C223="",A222,A222+1),A222)</f>
        <v>31</v>
      </c>
      <c r="B223" s="41" t="str">
        <f aca="false">IF(A223=A222,"",CONCATENATE("F",A223))</f>
        <v/>
      </c>
      <c r="C223" s="42" t="s">
        <v>390</v>
      </c>
      <c r="D223" s="42"/>
      <c r="E223" s="42"/>
      <c r="F223" s="42"/>
      <c r="G223" s="42"/>
      <c r="H223" s="44" t="s">
        <v>59</v>
      </c>
      <c r="I223" s="50" t="s">
        <v>56</v>
      </c>
      <c r="J223" s="44" t="n">
        <v>13</v>
      </c>
      <c r="K223" s="44" t="n">
        <v>3</v>
      </c>
      <c r="L223" s="44" t="str">
        <f aca="false">CONCATENATE(H223,M223)</f>
        <v>AIEL</v>
      </c>
      <c r="M223" s="45" t="str">
        <f aca="false">IF(OR(ISBLANK(J223),ISBLANK(K223)),IF(OR(H223="ALI",H223="AIE"),"L",IF(ISBLANK(H223),"","A")),IF(H223="EE",IF(K223&gt;=3,IF(J223&gt;=5,"H","A"),IF(K223&gt;=2,IF(J223&gt;=16,"H",IF(J223&lt;=4,"L","A")),IF(J223&lt;=15,"L","A"))),IF(OR(H223="SE",H223="CE"),IF(K223&gt;=4,IF(J223&gt;=6,"H","A"),IF(K223&gt;=2,IF(J223&gt;=20,"H",IF(J223&lt;=5,"L","A")),IF(J223&lt;=19,"L","A"))),IF(OR(H223="ALI",H223="AIE"),IF(K223&gt;=6,IF(J223&gt;=20,"H","A"),IF(K223&gt;=2,IF(J223&gt;=51,"H",IF(J223&lt;=19,"L","A")),IF(J223&lt;=50,"L","A")))))))</f>
        <v>L</v>
      </c>
      <c r="N223" s="46" t="str">
        <f aca="false">IF(M223="L","Baixa",IF(M223="A","Média",IF(M223="","","Alta")))</f>
        <v>Baixa</v>
      </c>
      <c r="O223" s="47" t="n">
        <f aca="false">IF(ISBLANK(H223),"",IF(H223="ALI",IF(M223="L",7,IF(M223="A",10,15)),IF(H223="AIE",IF(M223="L",5,IF(M223="A",7,10)),IF(H223="SE",IF(M223="L",4,IF(M223="A",5,7)),IF(OR(H223="EE",H223="CE"),IF(M223="L",3,IF(M223="A",4,6)))))))</f>
        <v>5</v>
      </c>
      <c r="P223" s="48" t="n">
        <f aca="false">IF(I223="I",O223*Contagem!$W$15,IF(I223="E",O223*Contagem!$W$17,IF(I223="A",O223*Contagem!$W$16,IF(I223="T",O223*Contagem!$W$18,""))))</f>
        <v>5</v>
      </c>
      <c r="Q223" s="49" t="s">
        <v>391</v>
      </c>
    </row>
    <row r="224" customFormat="false" ht="12" hidden="false" customHeight="true" outlineLevel="0" collapsed="false">
      <c r="A224" s="40" t="n">
        <f aca="false">IF(H224="",IF(C224="",A223,A223+1),A223)</f>
        <v>31</v>
      </c>
      <c r="B224" s="41" t="str">
        <f aca="false">IF(A224=A223,"",CONCATENATE("F",A224))</f>
        <v/>
      </c>
      <c r="C224" s="42" t="s">
        <v>392</v>
      </c>
      <c r="D224" s="42"/>
      <c r="E224" s="42"/>
      <c r="F224" s="42"/>
      <c r="G224" s="42"/>
      <c r="H224" s="44" t="s">
        <v>59</v>
      </c>
      <c r="I224" s="50" t="s">
        <v>56</v>
      </c>
      <c r="J224" s="44" t="n">
        <v>7</v>
      </c>
      <c r="K224" s="44" t="n">
        <v>1</v>
      </c>
      <c r="L224" s="44" t="str">
        <f aca="false">CONCATENATE(H224,M224)</f>
        <v>AIEL</v>
      </c>
      <c r="M224" s="45" t="str">
        <f aca="false">IF(OR(ISBLANK(J224),ISBLANK(K224)),IF(OR(H224="ALI",H224="AIE"),"L",IF(ISBLANK(H224),"","A")),IF(H224="EE",IF(K224&gt;=3,IF(J224&gt;=5,"H","A"),IF(K224&gt;=2,IF(J224&gt;=16,"H",IF(J224&lt;=4,"L","A")),IF(J224&lt;=15,"L","A"))),IF(OR(H224="SE",H224="CE"),IF(K224&gt;=4,IF(J224&gt;=6,"H","A"),IF(K224&gt;=2,IF(J224&gt;=20,"H",IF(J224&lt;=5,"L","A")),IF(J224&lt;=19,"L","A"))),IF(OR(H224="ALI",H224="AIE"),IF(K224&gt;=6,IF(J224&gt;=20,"H","A"),IF(K224&gt;=2,IF(J224&gt;=51,"H",IF(J224&lt;=19,"L","A")),IF(J224&lt;=50,"L","A")))))))</f>
        <v>L</v>
      </c>
      <c r="N224" s="46" t="str">
        <f aca="false">IF(M224="L","Baixa",IF(M224="A","Média",IF(M224="","","Alta")))</f>
        <v>Baixa</v>
      </c>
      <c r="O224" s="47" t="n">
        <f aca="false">IF(ISBLANK(H224),"",IF(H224="ALI",IF(M224="L",7,IF(M224="A",10,15)),IF(H224="AIE",IF(M224="L",5,IF(M224="A",7,10)),IF(H224="SE",IF(M224="L",4,IF(M224="A",5,7)),IF(OR(H224="EE",H224="CE"),IF(M224="L",3,IF(M224="A",4,6)))))))</f>
        <v>5</v>
      </c>
      <c r="P224" s="48" t="n">
        <f aca="false">IF(I224="I",O224*Contagem!$W$15,IF(I224="E",O224*Contagem!$W$17,IF(I224="A",O224*Contagem!$W$16,IF(I224="T",O224*Contagem!$W$18,""))))</f>
        <v>5</v>
      </c>
      <c r="Q224" s="49" t="s">
        <v>393</v>
      </c>
    </row>
    <row r="225" customFormat="false" ht="12" hidden="false" customHeight="true" outlineLevel="0" collapsed="false">
      <c r="A225" s="40" t="n">
        <f aca="false">IF(H225="",IF(C225="",A224,A224+1),A224)</f>
        <v>31</v>
      </c>
      <c r="B225" s="41" t="str">
        <f aca="false">IF(A225=A224,"",CONCATENATE("F",A225))</f>
        <v/>
      </c>
      <c r="C225" s="42" t="s">
        <v>394</v>
      </c>
      <c r="D225" s="42"/>
      <c r="E225" s="42"/>
      <c r="F225" s="42"/>
      <c r="G225" s="42"/>
      <c r="H225" s="44" t="s">
        <v>80</v>
      </c>
      <c r="I225" s="50" t="s">
        <v>56</v>
      </c>
      <c r="J225" s="44" t="n">
        <v>7</v>
      </c>
      <c r="K225" s="44" t="n">
        <v>2</v>
      </c>
      <c r="L225" s="44" t="str">
        <f aca="false">CONCATENATE(H225,M225)</f>
        <v>CEA</v>
      </c>
      <c r="M225" s="45" t="str">
        <f aca="false">IF(OR(ISBLANK(J225),ISBLANK(K225)),IF(OR(H225="ALI",H225="AIE"),"L",IF(ISBLANK(H225),"","A")),IF(H225="EE",IF(K225&gt;=3,IF(J225&gt;=5,"H","A"),IF(K225&gt;=2,IF(J225&gt;=16,"H",IF(J225&lt;=4,"L","A")),IF(J225&lt;=15,"L","A"))),IF(OR(H225="SE",H225="CE"),IF(K225&gt;=4,IF(J225&gt;=6,"H","A"),IF(K225&gt;=2,IF(J225&gt;=20,"H",IF(J225&lt;=5,"L","A")),IF(J225&lt;=19,"L","A"))),IF(OR(H225="ALI",H225="AIE"),IF(K225&gt;=6,IF(J225&gt;=20,"H","A"),IF(K225&gt;=2,IF(J225&gt;=51,"H",IF(J225&lt;=19,"L","A")),IF(J225&lt;=50,"L","A")))))))</f>
        <v>A</v>
      </c>
      <c r="N225" s="46" t="str">
        <f aca="false">IF(M225="L","Baixa",IF(M225="A","Média",IF(M225="","","Alta")))</f>
        <v>Média</v>
      </c>
      <c r="O225" s="47" t="n">
        <f aca="false">IF(ISBLANK(H225),"",IF(H225="ALI",IF(M225="L",7,IF(M225="A",10,15)),IF(H225="AIE",IF(M225="L",5,IF(M225="A",7,10)),IF(H225="SE",IF(M225="L",4,IF(M225="A",5,7)),IF(OR(H225="EE",H225="CE"),IF(M225="L",3,IF(M225="A",4,6)))))))</f>
        <v>4</v>
      </c>
      <c r="P225" s="48" t="n">
        <f aca="false">IF(I225="I",O225*Contagem!$W$15,IF(I225="E",O225*Contagem!$W$17,IF(I225="A",O225*Contagem!$W$16,IF(I225="T",O225*Contagem!$W$18,""))))</f>
        <v>4</v>
      </c>
      <c r="Q225" s="49" t="s">
        <v>395</v>
      </c>
    </row>
    <row r="226" customFormat="false" ht="12" hidden="false" customHeight="true" outlineLevel="0" collapsed="false">
      <c r="A226" s="40" t="n">
        <f aca="false">IF(H226="",IF(C226="",A225,A225+1),A225)</f>
        <v>31</v>
      </c>
      <c r="B226" s="41" t="str">
        <f aca="false">IF(A226=A225,"",CONCATENATE("F",A226))</f>
        <v/>
      </c>
      <c r="C226" s="42" t="s">
        <v>396</v>
      </c>
      <c r="D226" s="42"/>
      <c r="E226" s="42"/>
      <c r="F226" s="42"/>
      <c r="G226" s="42"/>
      <c r="H226" s="44" t="s">
        <v>99</v>
      </c>
      <c r="I226" s="50" t="s">
        <v>56</v>
      </c>
      <c r="J226" s="44" t="n">
        <v>6</v>
      </c>
      <c r="K226" s="44" t="n">
        <v>2</v>
      </c>
      <c r="L226" s="44" t="str">
        <f aca="false">CONCATENATE(H226,M226)</f>
        <v>SEA</v>
      </c>
      <c r="M226" s="45" t="str">
        <f aca="false">IF(OR(ISBLANK(J226),ISBLANK(K226)),IF(OR(H226="ALI",H226="AIE"),"L",IF(ISBLANK(H226),"","A")),IF(H226="EE",IF(K226&gt;=3,IF(J226&gt;=5,"H","A"),IF(K226&gt;=2,IF(J226&gt;=16,"H",IF(J226&lt;=4,"L","A")),IF(J226&lt;=15,"L","A"))),IF(OR(H226="SE",H226="CE"),IF(K226&gt;=4,IF(J226&gt;=6,"H","A"),IF(K226&gt;=2,IF(J226&gt;=20,"H",IF(J226&lt;=5,"L","A")),IF(J226&lt;=19,"L","A"))),IF(OR(H226="ALI",H226="AIE"),IF(K226&gt;=6,IF(J226&gt;=20,"H","A"),IF(K226&gt;=2,IF(J226&gt;=51,"H",IF(J226&lt;=19,"L","A")),IF(J226&lt;=50,"L","A")))))))</f>
        <v>A</v>
      </c>
      <c r="N226" s="46" t="str">
        <f aca="false">IF(M226="L","Baixa",IF(M226="A","Média",IF(M226="","","Alta")))</f>
        <v>Média</v>
      </c>
      <c r="O226" s="47" t="n">
        <f aca="false">IF(ISBLANK(H226),"",IF(H226="ALI",IF(M226="L",7,IF(M226="A",10,15)),IF(H226="AIE",IF(M226="L",5,IF(M226="A",7,10)),IF(H226="SE",IF(M226="L",4,IF(M226="A",5,7)),IF(OR(H226="EE",H226="CE"),IF(M226="L",3,IF(M226="A",4,6)))))))</f>
        <v>5</v>
      </c>
      <c r="P226" s="48" t="n">
        <f aca="false">IF(I226="I",O226*Contagem!$W$15,IF(I226="E",O226*Contagem!$W$17,IF(I226="A",O226*Contagem!$W$16,IF(I226="T",O226*Contagem!$W$18,""))))</f>
        <v>5</v>
      </c>
      <c r="Q226" s="49" t="s">
        <v>397</v>
      </c>
    </row>
    <row r="227" customFormat="false" ht="12" hidden="false" customHeight="true" outlineLevel="0" collapsed="false">
      <c r="A227" s="40" t="n">
        <f aca="false">IF(H227="",IF(C227="",A226,A226+1),A226)</f>
        <v>31</v>
      </c>
      <c r="B227" s="41" t="str">
        <f aca="false">IF(A227=A226,"",CONCATENATE("F",A227))</f>
        <v/>
      </c>
      <c r="C227" s="42" t="s">
        <v>398</v>
      </c>
      <c r="D227" s="42"/>
      <c r="E227" s="42"/>
      <c r="F227" s="42"/>
      <c r="G227" s="42"/>
      <c r="H227" s="44" t="s">
        <v>99</v>
      </c>
      <c r="I227" s="50" t="s">
        <v>56</v>
      </c>
      <c r="J227" s="44" t="n">
        <v>12</v>
      </c>
      <c r="K227" s="44" t="n">
        <v>3</v>
      </c>
      <c r="L227" s="44" t="str">
        <f aca="false">CONCATENATE(H227,M227)</f>
        <v>SEA</v>
      </c>
      <c r="M227" s="45" t="str">
        <f aca="false">IF(OR(ISBLANK(J227),ISBLANK(K227)),IF(OR(H227="ALI",H227="AIE"),"L",IF(ISBLANK(H227),"","A")),IF(H227="EE",IF(K227&gt;=3,IF(J227&gt;=5,"H","A"),IF(K227&gt;=2,IF(J227&gt;=16,"H",IF(J227&lt;=4,"L","A")),IF(J227&lt;=15,"L","A"))),IF(OR(H227="SE",H227="CE"),IF(K227&gt;=4,IF(J227&gt;=6,"H","A"),IF(K227&gt;=2,IF(J227&gt;=20,"H",IF(J227&lt;=5,"L","A")),IF(J227&lt;=19,"L","A"))),IF(OR(H227="ALI",H227="AIE"),IF(K227&gt;=6,IF(J227&gt;=20,"H","A"),IF(K227&gt;=2,IF(J227&gt;=51,"H",IF(J227&lt;=19,"L","A")),IF(J227&lt;=50,"L","A")))))))</f>
        <v>A</v>
      </c>
      <c r="N227" s="46" t="str">
        <f aca="false">IF(M227="L","Baixa",IF(M227="A","Média",IF(M227="","","Alta")))</f>
        <v>Média</v>
      </c>
      <c r="O227" s="47" t="n">
        <f aca="false">IF(ISBLANK(H227),"",IF(H227="ALI",IF(M227="L",7,IF(M227="A",10,15)),IF(H227="AIE",IF(M227="L",5,IF(M227="A",7,10)),IF(H227="SE",IF(M227="L",4,IF(M227="A",5,7)),IF(OR(H227="EE",H227="CE"),IF(M227="L",3,IF(M227="A",4,6)))))))</f>
        <v>5</v>
      </c>
      <c r="P227" s="48" t="n">
        <f aca="false">IF(I227="I",O227*Contagem!$W$15,IF(I227="E",O227*Contagem!$W$17,IF(I227="A",O227*Contagem!$W$16,IF(I227="T",O227*Contagem!$W$18,""))))</f>
        <v>5</v>
      </c>
      <c r="Q227" s="49" t="s">
        <v>399</v>
      </c>
    </row>
    <row r="228" customFormat="false" ht="12" hidden="false" customHeight="true" outlineLevel="0" collapsed="false">
      <c r="A228" s="40" t="n">
        <f aca="false">IF(H228="",IF(C228="",A227,A227+1),A227)</f>
        <v>31</v>
      </c>
      <c r="B228" s="41" t="str">
        <f aca="false">IF(A228=A227,"",CONCATENATE("F",A228))</f>
        <v/>
      </c>
      <c r="C228" s="42" t="s">
        <v>400</v>
      </c>
      <c r="D228" s="42"/>
      <c r="E228" s="42"/>
      <c r="F228" s="42"/>
      <c r="G228" s="42"/>
      <c r="H228" s="44" t="s">
        <v>99</v>
      </c>
      <c r="I228" s="50" t="s">
        <v>56</v>
      </c>
      <c r="J228" s="44" t="n">
        <v>6</v>
      </c>
      <c r="K228" s="44" t="n">
        <v>2</v>
      </c>
      <c r="L228" s="44" t="str">
        <f aca="false">CONCATENATE(H228,M228)</f>
        <v>SEA</v>
      </c>
      <c r="M228" s="45" t="str">
        <f aca="false">IF(OR(ISBLANK(J228),ISBLANK(K228)),IF(OR(H228="ALI",H228="AIE"),"L",IF(ISBLANK(H228),"","A")),IF(H228="EE",IF(K228&gt;=3,IF(J228&gt;=5,"H","A"),IF(K228&gt;=2,IF(J228&gt;=16,"H",IF(J228&lt;=4,"L","A")),IF(J228&lt;=15,"L","A"))),IF(OR(H228="SE",H228="CE"),IF(K228&gt;=4,IF(J228&gt;=6,"H","A"),IF(K228&gt;=2,IF(J228&gt;=20,"H",IF(J228&lt;=5,"L","A")),IF(J228&lt;=19,"L","A"))),IF(OR(H228="ALI",H228="AIE"),IF(K228&gt;=6,IF(J228&gt;=20,"H","A"),IF(K228&gt;=2,IF(J228&gt;=51,"H",IF(J228&lt;=19,"L","A")),IF(J228&lt;=50,"L","A")))))))</f>
        <v>A</v>
      </c>
      <c r="N228" s="46" t="str">
        <f aca="false">IF(M228="L","Baixa",IF(M228="A","Média",IF(M228="","","Alta")))</f>
        <v>Média</v>
      </c>
      <c r="O228" s="47" t="n">
        <f aca="false">IF(ISBLANK(H228),"",IF(H228="ALI",IF(M228="L",7,IF(M228="A",10,15)),IF(H228="AIE",IF(M228="L",5,IF(M228="A",7,10)),IF(H228="SE",IF(M228="L",4,IF(M228="A",5,7)),IF(OR(H228="EE",H228="CE"),IF(M228="L",3,IF(M228="A",4,6)))))))</f>
        <v>5</v>
      </c>
      <c r="P228" s="48" t="n">
        <f aca="false">IF(I228="I",O228*Contagem!$W$15,IF(I228="E",O228*Contagem!$W$17,IF(I228="A",O228*Contagem!$W$16,IF(I228="T",O228*Contagem!$W$18,""))))</f>
        <v>5</v>
      </c>
      <c r="Q228" s="49" t="s">
        <v>401</v>
      </c>
    </row>
    <row r="229" customFormat="false" ht="12" hidden="false" customHeight="true" outlineLevel="0" collapsed="false">
      <c r="A229" s="40" t="n">
        <f aca="false">IF(H229="",IF(C229="",A228,A228+1),A228)</f>
        <v>31</v>
      </c>
      <c r="B229" s="41" t="str">
        <f aca="false">IF(A229=A228,"",CONCATENATE("F",A229))</f>
        <v/>
      </c>
      <c r="C229" s="42"/>
      <c r="D229" s="42"/>
      <c r="E229" s="42"/>
      <c r="F229" s="42"/>
      <c r="G229" s="42"/>
      <c r="H229" s="44"/>
      <c r="I229" s="50"/>
      <c r="J229" s="44"/>
      <c r="K229" s="44"/>
      <c r="L229" s="44" t="str">
        <f aca="false">CONCATENATE(H229,M229)</f>
        <v/>
      </c>
      <c r="M229" s="45" t="str">
        <f aca="false">IF(OR(ISBLANK(J229),ISBLANK(K229)),IF(OR(H229="ALI",H229="AIE"),"L",IF(ISBLANK(H229),"","A")),IF(H229="EE",IF(K229&gt;=3,IF(J229&gt;=5,"H","A"),IF(K229&gt;=2,IF(J229&gt;=16,"H",IF(J229&lt;=4,"L","A")),IF(J229&lt;=15,"L","A"))),IF(OR(H229="SE",H229="CE"),IF(K229&gt;=4,IF(J229&gt;=6,"H","A"),IF(K229&gt;=2,IF(J229&gt;=20,"H",IF(J229&lt;=5,"L","A")),IF(J229&lt;=19,"L","A"))),IF(OR(H229="ALI",H229="AIE"),IF(K229&gt;=6,IF(J229&gt;=20,"H","A"),IF(K229&gt;=2,IF(J229&gt;=51,"H",IF(J229&lt;=19,"L","A")),IF(J229&lt;=50,"L","A")))))))</f>
        <v/>
      </c>
      <c r="N229" s="46" t="str">
        <f aca="false">IF(M229="L","Baixa",IF(M229="A","Média",IF(M229="","","Alta")))</f>
        <v/>
      </c>
      <c r="O229" s="47" t="str">
        <f aca="false">IF(ISBLANK(H229),"",IF(H229="ALI",IF(M229="L",7,IF(M229="A",10,15)),IF(H229="AIE",IF(M229="L",5,IF(M229="A",7,10)),IF(H229="SE",IF(M229="L",4,IF(M229="A",5,7)),IF(OR(H229="EE",H229="CE"),IF(M229="L",3,IF(M229="A",4,6)))))))</f>
        <v/>
      </c>
      <c r="P229" s="48" t="str">
        <f aca="false">IF(I229="I",O229*Contagem!$W$15,IF(I229="E",O229*Contagem!$W$17,IF(I229="A",O229*Contagem!$W$16,IF(I229="T",O229*Contagem!$W$18,""))))</f>
        <v/>
      </c>
      <c r="Q229" s="49"/>
    </row>
    <row r="230" customFormat="false" ht="12" hidden="false" customHeight="true" outlineLevel="0" collapsed="false">
      <c r="A230" s="40" t="n">
        <f aca="false">IF(H230="",IF(C230="",A229,A229+1),A229)</f>
        <v>32</v>
      </c>
      <c r="B230" s="41" t="str">
        <f aca="false">IF(A230=A229,"",CONCATENATE("F",A230))</f>
        <v>F32</v>
      </c>
      <c r="C230" s="42" t="s">
        <v>402</v>
      </c>
      <c r="D230" s="42"/>
      <c r="E230" s="42"/>
      <c r="F230" s="42"/>
      <c r="G230" s="42"/>
      <c r="H230" s="44"/>
      <c r="I230" s="50"/>
      <c r="J230" s="44"/>
      <c r="K230" s="44"/>
      <c r="L230" s="44" t="str">
        <f aca="false">CONCATENATE(H230,M230)</f>
        <v/>
      </c>
      <c r="M230" s="45" t="str">
        <f aca="false">IF(OR(ISBLANK(J230),ISBLANK(K230)),IF(OR(H230="ALI",H230="AIE"),"L",IF(ISBLANK(H230),"","A")),IF(H230="EE",IF(K230&gt;=3,IF(J230&gt;=5,"H","A"),IF(K230&gt;=2,IF(J230&gt;=16,"H",IF(J230&lt;=4,"L","A")),IF(J230&lt;=15,"L","A"))),IF(OR(H230="SE",H230="CE"),IF(K230&gt;=4,IF(J230&gt;=6,"H","A"),IF(K230&gt;=2,IF(J230&gt;=20,"H",IF(J230&lt;=5,"L","A")),IF(J230&lt;=19,"L","A"))),IF(OR(H230="ALI",H230="AIE"),IF(K230&gt;=6,IF(J230&gt;=20,"H","A"),IF(K230&gt;=2,IF(J230&gt;=51,"H",IF(J230&lt;=19,"L","A")),IF(J230&lt;=50,"L","A")))))))</f>
        <v/>
      </c>
      <c r="N230" s="46" t="str">
        <f aca="false">IF(M230="L","Baixa",IF(M230="A","Média",IF(M230="","","Alta")))</f>
        <v/>
      </c>
      <c r="O230" s="47" t="str">
        <f aca="false">IF(ISBLANK(H230),"",IF(H230="ALI",IF(M230="L",7,IF(M230="A",10,15)),IF(H230="AIE",IF(M230="L",5,IF(M230="A",7,10)),IF(H230="SE",IF(M230="L",4,IF(M230="A",5,7)),IF(OR(H230="EE",H230="CE"),IF(M230="L",3,IF(M230="A",4,6)))))))</f>
        <v/>
      </c>
      <c r="P230" s="48" t="str">
        <f aca="false">IF(I230="I",O230*Contagem!$W$15,IF(I230="E",O230*Contagem!$W$17,IF(I230="A",O230*Contagem!$W$16,IF(I230="T",O230*Contagem!$W$18,""))))</f>
        <v/>
      </c>
      <c r="Q230" s="49"/>
    </row>
    <row r="231" customFormat="false" ht="12" hidden="false" customHeight="true" outlineLevel="0" collapsed="false">
      <c r="A231" s="40" t="n">
        <f aca="false">IF(H231="",IF(C231="",A230,A230+1),A230)</f>
        <v>32</v>
      </c>
      <c r="B231" s="41" t="str">
        <f aca="false">IF(A231=A230,"",CONCATENATE("F",A231))</f>
        <v/>
      </c>
      <c r="C231" s="42" t="s">
        <v>403</v>
      </c>
      <c r="D231" s="42"/>
      <c r="E231" s="42"/>
      <c r="F231" s="42"/>
      <c r="G231" s="42"/>
      <c r="H231" s="44" t="s">
        <v>55</v>
      </c>
      <c r="I231" s="50" t="s">
        <v>56</v>
      </c>
      <c r="J231" s="44" t="n">
        <v>5</v>
      </c>
      <c r="K231" s="44" t="n">
        <v>1</v>
      </c>
      <c r="L231" s="44" t="str">
        <f aca="false">CONCATENATE(H231,M231)</f>
        <v>ALIL</v>
      </c>
      <c r="M231" s="45" t="str">
        <f aca="false">IF(OR(ISBLANK(J231),ISBLANK(K231)),IF(OR(H231="ALI",H231="AIE"),"L",IF(ISBLANK(H231),"","A")),IF(H231="EE",IF(K231&gt;=3,IF(J231&gt;=5,"H","A"),IF(K231&gt;=2,IF(J231&gt;=16,"H",IF(J231&lt;=4,"L","A")),IF(J231&lt;=15,"L","A"))),IF(OR(H231="SE",H231="CE"),IF(K231&gt;=4,IF(J231&gt;=6,"H","A"),IF(K231&gt;=2,IF(J231&gt;=20,"H",IF(J231&lt;=5,"L","A")),IF(J231&lt;=19,"L","A"))),IF(OR(H231="ALI",H231="AIE"),IF(K231&gt;=6,IF(J231&gt;=20,"H","A"),IF(K231&gt;=2,IF(J231&gt;=51,"H",IF(J231&lt;=19,"L","A")),IF(J231&lt;=50,"L","A")))))))</f>
        <v>L</v>
      </c>
      <c r="N231" s="46" t="str">
        <f aca="false">IF(M231="L","Baixa",IF(M231="A","Média",IF(M231="","","Alta")))</f>
        <v>Baixa</v>
      </c>
      <c r="O231" s="47" t="n">
        <f aca="false">IF(ISBLANK(H231),"",IF(H231="ALI",IF(M231="L",7,IF(M231="A",10,15)),IF(H231="AIE",IF(M231="L",5,IF(M231="A",7,10)),IF(H231="SE",IF(M231="L",4,IF(M231="A",5,7)),IF(OR(H231="EE",H231="CE"),IF(M231="L",3,IF(M231="A",4,6)))))))</f>
        <v>7</v>
      </c>
      <c r="P231" s="48" t="n">
        <f aca="false">IF(I231="I",O231*Contagem!$W$15,IF(I231="E",O231*Contagem!$W$17,IF(I231="A",O231*Contagem!$W$16,IF(I231="T",O231*Contagem!$W$18,""))))</f>
        <v>7</v>
      </c>
      <c r="Q231" s="49" t="s">
        <v>404</v>
      </c>
    </row>
    <row r="232" customFormat="false" ht="12" hidden="false" customHeight="true" outlineLevel="0" collapsed="false">
      <c r="A232" s="40" t="n">
        <f aca="false">IF(H232="",IF(C232="",A231,A231+1),A231)</f>
        <v>32</v>
      </c>
      <c r="B232" s="41" t="str">
        <f aca="false">IF(A232=A231,"",CONCATENATE("F",A232))</f>
        <v/>
      </c>
      <c r="C232" s="42" t="s">
        <v>405</v>
      </c>
      <c r="D232" s="42"/>
      <c r="E232" s="42"/>
      <c r="F232" s="42"/>
      <c r="G232" s="42"/>
      <c r="H232" s="44" t="s">
        <v>80</v>
      </c>
      <c r="I232" s="50" t="s">
        <v>56</v>
      </c>
      <c r="J232" s="44" t="n">
        <v>6</v>
      </c>
      <c r="K232" s="44" t="n">
        <v>1</v>
      </c>
      <c r="L232" s="44" t="str">
        <f aca="false">CONCATENATE(H232,M232)</f>
        <v>CEL</v>
      </c>
      <c r="M232" s="45" t="str">
        <f aca="false">IF(OR(ISBLANK(J232),ISBLANK(K232)),IF(OR(H232="ALI",H232="AIE"),"L",IF(ISBLANK(H232),"","A")),IF(H232="EE",IF(K232&gt;=3,IF(J232&gt;=5,"H","A"),IF(K232&gt;=2,IF(J232&gt;=16,"H",IF(J232&lt;=4,"L","A")),IF(J232&lt;=15,"L","A"))),IF(OR(H232="SE",H232="CE"),IF(K232&gt;=4,IF(J232&gt;=6,"H","A"),IF(K232&gt;=2,IF(J232&gt;=20,"H",IF(J232&lt;=5,"L","A")),IF(J232&lt;=19,"L","A"))),IF(OR(H232="ALI",H232="AIE"),IF(K232&gt;=6,IF(J232&gt;=20,"H","A"),IF(K232&gt;=2,IF(J232&gt;=51,"H",IF(J232&lt;=19,"L","A")),IF(J232&lt;=50,"L","A")))))))</f>
        <v>L</v>
      </c>
      <c r="N232" s="46" t="str">
        <f aca="false">IF(M232="L","Baixa",IF(M232="A","Média",IF(M232="","","Alta")))</f>
        <v>Baixa</v>
      </c>
      <c r="O232" s="47" t="n">
        <f aca="false">IF(ISBLANK(H232),"",IF(H232="ALI",IF(M232="L",7,IF(M232="A",10,15)),IF(H232="AIE",IF(M232="L",5,IF(M232="A",7,10)),IF(H232="SE",IF(M232="L",4,IF(M232="A",5,7)),IF(OR(H232="EE",H232="CE"),IF(M232="L",3,IF(M232="A",4,6)))))))</f>
        <v>3</v>
      </c>
      <c r="P232" s="48" t="n">
        <f aca="false">IF(I232="I",O232*Contagem!$W$15,IF(I232="E",O232*Contagem!$W$17,IF(I232="A",O232*Contagem!$W$16,IF(I232="T",O232*Contagem!$W$18,""))))</f>
        <v>3</v>
      </c>
      <c r="Q232" s="49" t="s">
        <v>406</v>
      </c>
    </row>
    <row r="233" customFormat="false" ht="12" hidden="false" customHeight="true" outlineLevel="0" collapsed="false">
      <c r="A233" s="40" t="n">
        <f aca="false">IF(H233="",IF(C233="",A232,A232+1),A232)</f>
        <v>32</v>
      </c>
      <c r="B233" s="41" t="str">
        <f aca="false">IF(A233=A232,"",CONCATENATE("F",A233))</f>
        <v/>
      </c>
      <c r="C233" s="42" t="s">
        <v>407</v>
      </c>
      <c r="D233" s="42"/>
      <c r="E233" s="42"/>
      <c r="F233" s="42"/>
      <c r="G233" s="42"/>
      <c r="H233" s="44" t="s">
        <v>62</v>
      </c>
      <c r="I233" s="50" t="s">
        <v>56</v>
      </c>
      <c r="J233" s="44" t="n">
        <v>6</v>
      </c>
      <c r="K233" s="44" t="n">
        <v>1</v>
      </c>
      <c r="L233" s="44" t="str">
        <f aca="false">CONCATENATE(H233,M233)</f>
        <v>EEL</v>
      </c>
      <c r="M233" s="45" t="str">
        <f aca="false">IF(OR(ISBLANK(J233),ISBLANK(K233)),IF(OR(H233="ALI",H233="AIE"),"L",IF(ISBLANK(H233),"","A")),IF(H233="EE",IF(K233&gt;=3,IF(J233&gt;=5,"H","A"),IF(K233&gt;=2,IF(J233&gt;=16,"H",IF(J233&lt;=4,"L","A")),IF(J233&lt;=15,"L","A"))),IF(OR(H233="SE",H233="CE"),IF(K233&gt;=4,IF(J233&gt;=6,"H","A"),IF(K233&gt;=2,IF(J233&gt;=20,"H",IF(J233&lt;=5,"L","A")),IF(J233&lt;=19,"L","A"))),IF(OR(H233="ALI",H233="AIE"),IF(K233&gt;=6,IF(J233&gt;=20,"H","A"),IF(K233&gt;=2,IF(J233&gt;=51,"H",IF(J233&lt;=19,"L","A")),IF(J233&lt;=50,"L","A")))))))</f>
        <v>L</v>
      </c>
      <c r="N233" s="46" t="str">
        <f aca="false">IF(M233="L","Baixa",IF(M233="A","Média",IF(M233="","","Alta")))</f>
        <v>Baixa</v>
      </c>
      <c r="O233" s="47" t="n">
        <f aca="false">IF(ISBLANK(H233),"",IF(H233="ALI",IF(M233="L",7,IF(M233="A",10,15)),IF(H233="AIE",IF(M233="L",5,IF(M233="A",7,10)),IF(H233="SE",IF(M233="L",4,IF(M233="A",5,7)),IF(OR(H233="EE",H233="CE"),IF(M233="L",3,IF(M233="A",4,6)))))))</f>
        <v>3</v>
      </c>
      <c r="P233" s="48" t="n">
        <f aca="false">IF(I233="I",O233*Contagem!$W$15,IF(I233="E",O233*Contagem!$W$17,IF(I233="A",O233*Contagem!$W$16,IF(I233="T",O233*Contagem!$W$18,""))))</f>
        <v>3</v>
      </c>
      <c r="Q233" s="49" t="s">
        <v>408</v>
      </c>
    </row>
    <row r="234" customFormat="false" ht="12" hidden="false" customHeight="true" outlineLevel="0" collapsed="false">
      <c r="A234" s="40" t="n">
        <f aca="false">IF(H234="",IF(C234="",A233,A233+1),A233)</f>
        <v>32</v>
      </c>
      <c r="B234" s="41" t="str">
        <f aca="false">IF(A234=A233,"",CONCATENATE("F",A234))</f>
        <v/>
      </c>
      <c r="C234" s="42" t="s">
        <v>409</v>
      </c>
      <c r="D234" s="42"/>
      <c r="E234" s="42"/>
      <c r="F234" s="42"/>
      <c r="G234" s="42"/>
      <c r="H234" s="44" t="s">
        <v>62</v>
      </c>
      <c r="I234" s="50" t="s">
        <v>56</v>
      </c>
      <c r="J234" s="44" t="n">
        <v>5</v>
      </c>
      <c r="K234" s="44" t="n">
        <v>1</v>
      </c>
      <c r="L234" s="44" t="str">
        <f aca="false">CONCATENATE(H234,M234)</f>
        <v>EEL</v>
      </c>
      <c r="M234" s="45" t="str">
        <f aca="false">IF(OR(ISBLANK(J234),ISBLANK(K234)),IF(OR(H234="ALI",H234="AIE"),"L",IF(ISBLANK(H234),"","A")),IF(H234="EE",IF(K234&gt;=3,IF(J234&gt;=5,"H","A"),IF(K234&gt;=2,IF(J234&gt;=16,"H",IF(J234&lt;=4,"L","A")),IF(J234&lt;=15,"L","A"))),IF(OR(H234="SE",H234="CE"),IF(K234&gt;=4,IF(J234&gt;=6,"H","A"),IF(K234&gt;=2,IF(J234&gt;=20,"H",IF(J234&lt;=5,"L","A")),IF(J234&lt;=19,"L","A"))),IF(OR(H234="ALI",H234="AIE"),IF(K234&gt;=6,IF(J234&gt;=20,"H","A"),IF(K234&gt;=2,IF(J234&gt;=51,"H",IF(J234&lt;=19,"L","A")),IF(J234&lt;=50,"L","A")))))))</f>
        <v>L</v>
      </c>
      <c r="N234" s="46" t="str">
        <f aca="false">IF(M234="L","Baixa",IF(M234="A","Média",IF(M234="","","Alta")))</f>
        <v>Baixa</v>
      </c>
      <c r="O234" s="47" t="n">
        <f aca="false">IF(ISBLANK(H234),"",IF(H234="ALI",IF(M234="L",7,IF(M234="A",10,15)),IF(H234="AIE",IF(M234="L",5,IF(M234="A",7,10)),IF(H234="SE",IF(M234="L",4,IF(M234="A",5,7)),IF(OR(H234="EE",H234="CE"),IF(M234="L",3,IF(M234="A",4,6)))))))</f>
        <v>3</v>
      </c>
      <c r="P234" s="48" t="n">
        <f aca="false">IF(I234="I",O234*Contagem!$W$15,IF(I234="E",O234*Contagem!$W$17,IF(I234="A",O234*Contagem!$W$16,IF(I234="T",O234*Contagem!$W$18,""))))</f>
        <v>3</v>
      </c>
      <c r="Q234" s="49" t="s">
        <v>410</v>
      </c>
    </row>
    <row r="235" customFormat="false" ht="12" hidden="false" customHeight="true" outlineLevel="0" collapsed="false">
      <c r="A235" s="40" t="n">
        <f aca="false">IF(H235="",IF(C235="",A234,A234+1),A234)</f>
        <v>32</v>
      </c>
      <c r="B235" s="41" t="str">
        <f aca="false">IF(A235=A234,"",CONCATENATE("F",A235))</f>
        <v/>
      </c>
      <c r="C235" s="42" t="s">
        <v>411</v>
      </c>
      <c r="D235" s="42"/>
      <c r="E235" s="42"/>
      <c r="F235" s="42"/>
      <c r="G235" s="42"/>
      <c r="H235" s="44" t="s">
        <v>62</v>
      </c>
      <c r="I235" s="50" t="s">
        <v>56</v>
      </c>
      <c r="J235" s="44" t="n">
        <v>3</v>
      </c>
      <c r="K235" s="44" t="n">
        <v>1</v>
      </c>
      <c r="L235" s="44" t="str">
        <f aca="false">CONCATENATE(H235,M235)</f>
        <v>EEL</v>
      </c>
      <c r="M235" s="45" t="str">
        <f aca="false">IF(OR(ISBLANK(J235),ISBLANK(K235)),IF(OR(H235="ALI",H235="AIE"),"L",IF(ISBLANK(H235),"","A")),IF(H235="EE",IF(K235&gt;=3,IF(J235&gt;=5,"H","A"),IF(K235&gt;=2,IF(J235&gt;=16,"H",IF(J235&lt;=4,"L","A")),IF(J235&lt;=15,"L","A"))),IF(OR(H235="SE",H235="CE"),IF(K235&gt;=4,IF(J235&gt;=6,"H","A"),IF(K235&gt;=2,IF(J235&gt;=20,"H",IF(J235&lt;=5,"L","A")),IF(J235&lt;=19,"L","A"))),IF(OR(H235="ALI",H235="AIE"),IF(K235&gt;=6,IF(J235&gt;=20,"H","A"),IF(K235&gt;=2,IF(J235&gt;=51,"H",IF(J235&lt;=19,"L","A")),IF(J235&lt;=50,"L","A")))))))</f>
        <v>L</v>
      </c>
      <c r="N235" s="46" t="str">
        <f aca="false">IF(M235="L","Baixa",IF(M235="A","Média",IF(M235="","","Alta")))</f>
        <v>Baixa</v>
      </c>
      <c r="O235" s="47" t="n">
        <f aca="false">IF(ISBLANK(H235),"",IF(H235="ALI",IF(M235="L",7,IF(M235="A",10,15)),IF(H235="AIE",IF(M235="L",5,IF(M235="A",7,10)),IF(H235="SE",IF(M235="L",4,IF(M235="A",5,7)),IF(OR(H235="EE",H235="CE"),IF(M235="L",3,IF(M235="A",4,6)))))))</f>
        <v>3</v>
      </c>
      <c r="P235" s="48" t="n">
        <f aca="false">IF(I235="I",O235*Contagem!$W$15,IF(I235="E",O235*Contagem!$W$17,IF(I235="A",O235*Contagem!$W$16,IF(I235="T",O235*Contagem!$W$18,""))))</f>
        <v>3</v>
      </c>
      <c r="Q235" s="49" t="s">
        <v>412</v>
      </c>
    </row>
    <row r="236" customFormat="false" ht="12" hidden="false" customHeight="true" outlineLevel="0" collapsed="false">
      <c r="A236" s="40" t="n">
        <f aca="false">IF(H236="",IF(C236="",A235,A235+1),A235)</f>
        <v>32</v>
      </c>
      <c r="B236" s="41" t="str">
        <f aca="false">IF(A236=A235,"",CONCATENATE("F",A236))</f>
        <v/>
      </c>
      <c r="C236" s="42" t="s">
        <v>413</v>
      </c>
      <c r="D236" s="42"/>
      <c r="E236" s="42"/>
      <c r="F236" s="42"/>
      <c r="G236" s="42"/>
      <c r="H236" s="44" t="s">
        <v>80</v>
      </c>
      <c r="I236" s="50" t="s">
        <v>56</v>
      </c>
      <c r="J236" s="44" t="n">
        <v>10</v>
      </c>
      <c r="K236" s="44" t="n">
        <v>1</v>
      </c>
      <c r="L236" s="44" t="str">
        <f aca="false">CONCATENATE(H236,M236)</f>
        <v>CEL</v>
      </c>
      <c r="M236" s="45" t="str">
        <f aca="false">IF(OR(ISBLANK(J236),ISBLANK(K236)),IF(OR(H236="ALI",H236="AIE"),"L",IF(ISBLANK(H236),"","A")),IF(H236="EE",IF(K236&gt;=3,IF(J236&gt;=5,"H","A"),IF(K236&gt;=2,IF(J236&gt;=16,"H",IF(J236&lt;=4,"L","A")),IF(J236&lt;=15,"L","A"))),IF(OR(H236="SE",H236="CE"),IF(K236&gt;=4,IF(J236&gt;=6,"H","A"),IF(K236&gt;=2,IF(J236&gt;=20,"H",IF(J236&lt;=5,"L","A")),IF(J236&lt;=19,"L","A"))),IF(OR(H236="ALI",H236="AIE"),IF(K236&gt;=6,IF(J236&gt;=20,"H","A"),IF(K236&gt;=2,IF(J236&gt;=51,"H",IF(J236&lt;=19,"L","A")),IF(J236&lt;=50,"L","A")))))))</f>
        <v>L</v>
      </c>
      <c r="N236" s="46" t="str">
        <f aca="false">IF(M236="L","Baixa",IF(M236="A","Média",IF(M236="","","Alta")))</f>
        <v>Baixa</v>
      </c>
      <c r="O236" s="47" t="n">
        <f aca="false">IF(ISBLANK(H236),"",IF(H236="ALI",IF(M236="L",7,IF(M236="A",10,15)),IF(H236="AIE",IF(M236="L",5,IF(M236="A",7,10)),IF(H236="SE",IF(M236="L",4,IF(M236="A",5,7)),IF(OR(H236="EE",H236="CE"),IF(M236="L",3,IF(M236="A",4,6)))))))</f>
        <v>3</v>
      </c>
      <c r="P236" s="48" t="n">
        <f aca="false">IF(I236="I",O236*Contagem!$W$15,IF(I236="E",O236*Contagem!$W$17,IF(I236="A",O236*Contagem!$W$16,IF(I236="T",O236*Contagem!$W$18,""))))</f>
        <v>3</v>
      </c>
      <c r="Q236" s="49" t="s">
        <v>414</v>
      </c>
    </row>
    <row r="237" customFormat="false" ht="12" hidden="false" customHeight="true" outlineLevel="0" collapsed="false">
      <c r="A237" s="40" t="n">
        <f aca="false">IF(H237="",IF(C237="",A236,A236+1),A236)</f>
        <v>32</v>
      </c>
      <c r="B237" s="41" t="str">
        <f aca="false">IF(A237=A236,"",CONCATENATE("F",A237))</f>
        <v/>
      </c>
      <c r="C237" s="42" t="s">
        <v>415</v>
      </c>
      <c r="D237" s="42"/>
      <c r="E237" s="42"/>
      <c r="F237" s="42"/>
      <c r="G237" s="42"/>
      <c r="H237" s="44" t="s">
        <v>62</v>
      </c>
      <c r="I237" s="50" t="s">
        <v>56</v>
      </c>
      <c r="J237" s="44" t="n">
        <v>7</v>
      </c>
      <c r="K237" s="44" t="n">
        <v>1</v>
      </c>
      <c r="L237" s="44" t="str">
        <f aca="false">CONCATENATE(H237,M237)</f>
        <v>EEL</v>
      </c>
      <c r="M237" s="45" t="str">
        <f aca="false">IF(OR(ISBLANK(J237),ISBLANK(K237)),IF(OR(H237="ALI",H237="AIE"),"L",IF(ISBLANK(H237),"","A")),IF(H237="EE",IF(K237&gt;=3,IF(J237&gt;=5,"H","A"),IF(K237&gt;=2,IF(J237&gt;=16,"H",IF(J237&lt;=4,"L","A")),IF(J237&lt;=15,"L","A"))),IF(OR(H237="SE",H237="CE"),IF(K237&gt;=4,IF(J237&gt;=6,"H","A"),IF(K237&gt;=2,IF(J237&gt;=20,"H",IF(J237&lt;=5,"L","A")),IF(J237&lt;=19,"L","A"))),IF(OR(H237="ALI",H237="AIE"),IF(K237&gt;=6,IF(J237&gt;=20,"H","A"),IF(K237&gt;=2,IF(J237&gt;=51,"H",IF(J237&lt;=19,"L","A")),IF(J237&lt;=50,"L","A")))))))</f>
        <v>L</v>
      </c>
      <c r="N237" s="46" t="str">
        <f aca="false">IF(M237="L","Baixa",IF(M237="A","Média",IF(M237="","","Alta")))</f>
        <v>Baixa</v>
      </c>
      <c r="O237" s="47" t="n">
        <f aca="false">IF(ISBLANK(H237),"",IF(H237="ALI",IF(M237="L",7,IF(M237="A",10,15)),IF(H237="AIE",IF(M237="L",5,IF(M237="A",7,10)),IF(H237="SE",IF(M237="L",4,IF(M237="A",5,7)),IF(OR(H237="EE",H237="CE"),IF(M237="L",3,IF(M237="A",4,6)))))))</f>
        <v>3</v>
      </c>
      <c r="P237" s="48" t="n">
        <f aca="false">IF(I237="I",O237*Contagem!$W$15,IF(I237="E",O237*Contagem!$W$17,IF(I237="A",O237*Contagem!$W$16,IF(I237="T",O237*Contagem!$W$18,""))))</f>
        <v>3</v>
      </c>
      <c r="Q237" s="49" t="s">
        <v>416</v>
      </c>
    </row>
    <row r="238" customFormat="false" ht="12" hidden="false" customHeight="true" outlineLevel="0" collapsed="false">
      <c r="A238" s="40" t="n">
        <f aca="false">IF(H238="",IF(C238="",A237,A237+1),A237)</f>
        <v>32</v>
      </c>
      <c r="B238" s="41" t="str">
        <f aca="false">IF(A238=A237,"",CONCATENATE("F",A238))</f>
        <v/>
      </c>
      <c r="C238" s="42"/>
      <c r="D238" s="42"/>
      <c r="E238" s="42"/>
      <c r="F238" s="42"/>
      <c r="G238" s="42"/>
      <c r="H238" s="44"/>
      <c r="I238" s="50"/>
      <c r="J238" s="44"/>
      <c r="K238" s="44"/>
      <c r="L238" s="44" t="str">
        <f aca="false">CONCATENATE(H238,M238)</f>
        <v/>
      </c>
      <c r="M238" s="45" t="str">
        <f aca="false">IF(OR(ISBLANK(J238),ISBLANK(K238)),IF(OR(H238="ALI",H238="AIE"),"L",IF(ISBLANK(H238),"","A")),IF(H238="EE",IF(K238&gt;=3,IF(J238&gt;=5,"H","A"),IF(K238&gt;=2,IF(J238&gt;=16,"H",IF(J238&lt;=4,"L","A")),IF(J238&lt;=15,"L","A"))),IF(OR(H238="SE",H238="CE"),IF(K238&gt;=4,IF(J238&gt;=6,"H","A"),IF(K238&gt;=2,IF(J238&gt;=20,"H",IF(J238&lt;=5,"L","A")),IF(J238&lt;=19,"L","A"))),IF(OR(H238="ALI",H238="AIE"),IF(K238&gt;=6,IF(J238&gt;=20,"H","A"),IF(K238&gt;=2,IF(J238&gt;=51,"H",IF(J238&lt;=19,"L","A")),IF(J238&lt;=50,"L","A")))))))</f>
        <v/>
      </c>
      <c r="N238" s="46" t="str">
        <f aca="false">IF(M238="L","Baixa",IF(M238="A","Média",IF(M238="","","Alta")))</f>
        <v/>
      </c>
      <c r="O238" s="47" t="str">
        <f aca="false">IF(ISBLANK(H238),"",IF(H238="ALI",IF(M238="L",7,IF(M238="A",10,15)),IF(H238="AIE",IF(M238="L",5,IF(M238="A",7,10)),IF(H238="SE",IF(M238="L",4,IF(M238="A",5,7)),IF(OR(H238="EE",H238="CE"),IF(M238="L",3,IF(M238="A",4,6)))))))</f>
        <v/>
      </c>
      <c r="P238" s="48" t="str">
        <f aca="false">IF(I238="I",O238*Contagem!$W$15,IF(I238="E",O238*Contagem!$W$17,IF(I238="A",O238*Contagem!$W$16,IF(I238="T",O238*Contagem!$W$18,""))))</f>
        <v/>
      </c>
      <c r="Q238" s="49"/>
    </row>
    <row r="239" customFormat="false" ht="12" hidden="false" customHeight="true" outlineLevel="0" collapsed="false">
      <c r="A239" s="40" t="n">
        <f aca="false">IF(H239="",IF(C239="",A238,A238+1),A238)</f>
        <v>33</v>
      </c>
      <c r="B239" s="41" t="str">
        <f aca="false">IF(A239=A238,"",CONCATENATE("F",A239))</f>
        <v>F33</v>
      </c>
      <c r="C239" s="42" t="s">
        <v>417</v>
      </c>
      <c r="D239" s="42"/>
      <c r="E239" s="42"/>
      <c r="F239" s="42"/>
      <c r="G239" s="42"/>
      <c r="H239" s="44"/>
      <c r="I239" s="50"/>
      <c r="J239" s="44"/>
      <c r="K239" s="44"/>
      <c r="L239" s="44" t="str">
        <f aca="false">CONCATENATE(H239,M239)</f>
        <v/>
      </c>
      <c r="M239" s="45" t="str">
        <f aca="false">IF(OR(ISBLANK(J239),ISBLANK(K239)),IF(OR(H239="ALI",H239="AIE"),"L",IF(ISBLANK(H239),"","A")),IF(H239="EE",IF(K239&gt;=3,IF(J239&gt;=5,"H","A"),IF(K239&gt;=2,IF(J239&gt;=16,"H",IF(J239&lt;=4,"L","A")),IF(J239&lt;=15,"L","A"))),IF(OR(H239="SE",H239="CE"),IF(K239&gt;=4,IF(J239&gt;=6,"H","A"),IF(K239&gt;=2,IF(J239&gt;=20,"H",IF(J239&lt;=5,"L","A")),IF(J239&lt;=19,"L","A"))),IF(OR(H239="ALI",H239="AIE"),IF(K239&gt;=6,IF(J239&gt;=20,"H","A"),IF(K239&gt;=2,IF(J239&gt;=51,"H",IF(J239&lt;=19,"L","A")),IF(J239&lt;=50,"L","A")))))))</f>
        <v/>
      </c>
      <c r="N239" s="46" t="str">
        <f aca="false">IF(M239="L","Baixa",IF(M239="A","Média",IF(M239="","","Alta")))</f>
        <v/>
      </c>
      <c r="O239" s="47" t="str">
        <f aca="false">IF(ISBLANK(H239),"",IF(H239="ALI",IF(M239="L",7,IF(M239="A",10,15)),IF(H239="AIE",IF(M239="L",5,IF(M239="A",7,10)),IF(H239="SE",IF(M239="L",4,IF(M239="A",5,7)),IF(OR(H239="EE",H239="CE"),IF(M239="L",3,IF(M239="A",4,6)))))))</f>
        <v/>
      </c>
      <c r="P239" s="48" t="str">
        <f aca="false">IF(I239="I",O239*Contagem!$W$15,IF(I239="E",O239*Contagem!$W$17,IF(I239="A",O239*Contagem!$W$16,IF(I239="T",O239*Contagem!$W$18,""))))</f>
        <v/>
      </c>
      <c r="Q239" s="49"/>
    </row>
    <row r="240" customFormat="false" ht="12" hidden="false" customHeight="true" outlineLevel="0" collapsed="false">
      <c r="A240" s="40" t="n">
        <f aca="false">IF(H240="",IF(C240="",A239,A239+1),A239)</f>
        <v>33</v>
      </c>
      <c r="B240" s="41" t="str">
        <f aca="false">IF(A240=A239,"",CONCATENATE("F",A240))</f>
        <v/>
      </c>
      <c r="C240" s="42" t="s">
        <v>418</v>
      </c>
      <c r="D240" s="42"/>
      <c r="E240" s="42"/>
      <c r="F240" s="42"/>
      <c r="G240" s="42"/>
      <c r="H240" s="44" t="s">
        <v>55</v>
      </c>
      <c r="I240" s="50" t="s">
        <v>56</v>
      </c>
      <c r="J240" s="44" t="n">
        <v>11</v>
      </c>
      <c r="K240" s="44" t="n">
        <v>1</v>
      </c>
      <c r="L240" s="44" t="str">
        <f aca="false">CONCATENATE(H240,M240)</f>
        <v>ALIL</v>
      </c>
      <c r="M240" s="45" t="str">
        <f aca="false">IF(OR(ISBLANK(J240),ISBLANK(K240)),IF(OR(H240="ALI",H240="AIE"),"L",IF(ISBLANK(H240),"","A")),IF(H240="EE",IF(K240&gt;=3,IF(J240&gt;=5,"H","A"),IF(K240&gt;=2,IF(J240&gt;=16,"H",IF(J240&lt;=4,"L","A")),IF(J240&lt;=15,"L","A"))),IF(OR(H240="SE",H240="CE"),IF(K240&gt;=4,IF(J240&gt;=6,"H","A"),IF(K240&gt;=2,IF(J240&gt;=20,"H",IF(J240&lt;=5,"L","A")),IF(J240&lt;=19,"L","A"))),IF(OR(H240="ALI",H240="AIE"),IF(K240&gt;=6,IF(J240&gt;=20,"H","A"),IF(K240&gt;=2,IF(J240&gt;=51,"H",IF(J240&lt;=19,"L","A")),IF(J240&lt;=50,"L","A")))))))</f>
        <v>L</v>
      </c>
      <c r="N240" s="46" t="str">
        <f aca="false">IF(M240="L","Baixa",IF(M240="A","Média",IF(M240="","","Alta")))</f>
        <v>Baixa</v>
      </c>
      <c r="O240" s="47" t="n">
        <f aca="false">IF(ISBLANK(H240),"",IF(H240="ALI",IF(M240="L",7,IF(M240="A",10,15)),IF(H240="AIE",IF(M240="L",5,IF(M240="A",7,10)),IF(H240="SE",IF(M240="L",4,IF(M240="A",5,7)),IF(OR(H240="EE",H240="CE"),IF(M240="L",3,IF(M240="A",4,6)))))))</f>
        <v>7</v>
      </c>
      <c r="P240" s="48" t="n">
        <f aca="false">IF(I240="I",O240*Contagem!$W$15,IF(I240="E",O240*Contagem!$W$17,IF(I240="A",O240*Contagem!$W$16,IF(I240="T",O240*Contagem!$W$18,""))))</f>
        <v>7</v>
      </c>
      <c r="Q240" s="49" t="s">
        <v>419</v>
      </c>
    </row>
    <row r="241" customFormat="false" ht="12" hidden="false" customHeight="true" outlineLevel="0" collapsed="false">
      <c r="A241" s="40" t="n">
        <f aca="false">IF(H241="",IF(C241="",A240,A240+1),A240)</f>
        <v>33</v>
      </c>
      <c r="B241" s="41" t="str">
        <f aca="false">IF(A241=A240,"",CONCATENATE("F",A241))</f>
        <v/>
      </c>
      <c r="C241" s="42" t="s">
        <v>420</v>
      </c>
      <c r="D241" s="42"/>
      <c r="E241" s="42"/>
      <c r="F241" s="42"/>
      <c r="G241" s="42"/>
      <c r="H241" s="44" t="s">
        <v>55</v>
      </c>
      <c r="I241" s="50" t="s">
        <v>56</v>
      </c>
      <c r="J241" s="44" t="n">
        <v>10</v>
      </c>
      <c r="K241" s="44" t="n">
        <v>2</v>
      </c>
      <c r="L241" s="44" t="str">
        <f aca="false">CONCATENATE(H241,M241)</f>
        <v>ALIL</v>
      </c>
      <c r="M241" s="45" t="str">
        <f aca="false">IF(OR(ISBLANK(J241),ISBLANK(K241)),IF(OR(H241="ALI",H241="AIE"),"L",IF(ISBLANK(H241),"","A")),IF(H241="EE",IF(K241&gt;=3,IF(J241&gt;=5,"H","A"),IF(K241&gt;=2,IF(J241&gt;=16,"H",IF(J241&lt;=4,"L","A")),IF(J241&lt;=15,"L","A"))),IF(OR(H241="SE",H241="CE"),IF(K241&gt;=4,IF(J241&gt;=6,"H","A"),IF(K241&gt;=2,IF(J241&gt;=20,"H",IF(J241&lt;=5,"L","A")),IF(J241&lt;=19,"L","A"))),IF(OR(H241="ALI",H241="AIE"),IF(K241&gt;=6,IF(J241&gt;=20,"H","A"),IF(K241&gt;=2,IF(J241&gt;=51,"H",IF(J241&lt;=19,"L","A")),IF(J241&lt;=50,"L","A")))))))</f>
        <v>L</v>
      </c>
      <c r="N241" s="46" t="str">
        <f aca="false">IF(M241="L","Baixa",IF(M241="A","Média",IF(M241="","","Alta")))</f>
        <v>Baixa</v>
      </c>
      <c r="O241" s="47" t="n">
        <f aca="false">IF(ISBLANK(H241),"",IF(H241="ALI",IF(M241="L",7,IF(M241="A",10,15)),IF(H241="AIE",IF(M241="L",5,IF(M241="A",7,10)),IF(H241="SE",IF(M241="L",4,IF(M241="A",5,7)),IF(OR(H241="EE",H241="CE"),IF(M241="L",3,IF(M241="A",4,6)))))))</f>
        <v>7</v>
      </c>
      <c r="P241" s="48" t="n">
        <f aca="false">IF(I241="I",O241*Contagem!$W$15,IF(I241="E",O241*Contagem!$W$17,IF(I241="A",O241*Contagem!$W$16,IF(I241="T",O241*Contagem!$W$18,""))))</f>
        <v>7</v>
      </c>
      <c r="Q241" s="49" t="s">
        <v>421</v>
      </c>
    </row>
    <row r="242" customFormat="false" ht="12" hidden="false" customHeight="true" outlineLevel="0" collapsed="false">
      <c r="A242" s="40" t="n">
        <f aca="false">IF(H242="",IF(C242="",A241,A241+1),A241)</f>
        <v>33</v>
      </c>
      <c r="B242" s="41" t="str">
        <f aca="false">IF(A242=A241,"",CONCATENATE("F",A242))</f>
        <v/>
      </c>
      <c r="C242" s="42" t="s">
        <v>422</v>
      </c>
      <c r="D242" s="42"/>
      <c r="E242" s="42"/>
      <c r="F242" s="42"/>
      <c r="G242" s="42"/>
      <c r="H242" s="44" t="s">
        <v>80</v>
      </c>
      <c r="I242" s="50" t="s">
        <v>56</v>
      </c>
      <c r="J242" s="44" t="n">
        <v>14</v>
      </c>
      <c r="K242" s="44" t="n">
        <v>2</v>
      </c>
      <c r="L242" s="44" t="str">
        <f aca="false">CONCATENATE(H242,M242)</f>
        <v>CEA</v>
      </c>
      <c r="M242" s="45" t="str">
        <f aca="false">IF(OR(ISBLANK(J242),ISBLANK(K242)),IF(OR(H242="ALI",H242="AIE"),"L",IF(ISBLANK(H242),"","A")),IF(H242="EE",IF(K242&gt;=3,IF(J242&gt;=5,"H","A"),IF(K242&gt;=2,IF(J242&gt;=16,"H",IF(J242&lt;=4,"L","A")),IF(J242&lt;=15,"L","A"))),IF(OR(H242="SE",H242="CE"),IF(K242&gt;=4,IF(J242&gt;=6,"H","A"),IF(K242&gt;=2,IF(J242&gt;=20,"H",IF(J242&lt;=5,"L","A")),IF(J242&lt;=19,"L","A"))),IF(OR(H242="ALI",H242="AIE"),IF(K242&gt;=6,IF(J242&gt;=20,"H","A"),IF(K242&gt;=2,IF(J242&gt;=51,"H",IF(J242&lt;=19,"L","A")),IF(J242&lt;=50,"L","A")))))))</f>
        <v>A</v>
      </c>
      <c r="N242" s="46" t="str">
        <f aca="false">IF(M242="L","Baixa",IF(M242="A","Média",IF(M242="","","Alta")))</f>
        <v>Média</v>
      </c>
      <c r="O242" s="47" t="n">
        <f aca="false">IF(ISBLANK(H242),"",IF(H242="ALI",IF(M242="L",7,IF(M242="A",10,15)),IF(H242="AIE",IF(M242="L",5,IF(M242="A",7,10)),IF(H242="SE",IF(M242="L",4,IF(M242="A",5,7)),IF(OR(H242="EE",H242="CE"),IF(M242="L",3,IF(M242="A",4,6)))))))</f>
        <v>4</v>
      </c>
      <c r="P242" s="48" t="n">
        <f aca="false">IF(I242="I",O242*Contagem!$W$15,IF(I242="E",O242*Contagem!$W$17,IF(I242="A",O242*Contagem!$W$16,IF(I242="T",O242*Contagem!$W$18,""))))</f>
        <v>4</v>
      </c>
      <c r="Q242" s="49" t="s">
        <v>423</v>
      </c>
    </row>
    <row r="243" customFormat="false" ht="12" hidden="false" customHeight="true" outlineLevel="0" collapsed="false">
      <c r="A243" s="40" t="n">
        <f aca="false">IF(H243="",IF(C243="",A242,A242+1),A242)</f>
        <v>33</v>
      </c>
      <c r="B243" s="41" t="str">
        <f aca="false">IF(A243=A242,"",CONCATENATE("F",A243))</f>
        <v/>
      </c>
      <c r="C243" s="42" t="s">
        <v>424</v>
      </c>
      <c r="D243" s="42"/>
      <c r="E243" s="42"/>
      <c r="F243" s="42"/>
      <c r="G243" s="42"/>
      <c r="H243" s="44" t="s">
        <v>80</v>
      </c>
      <c r="I243" s="50" t="s">
        <v>56</v>
      </c>
      <c r="J243" s="44" t="n">
        <v>12</v>
      </c>
      <c r="K243" s="44" t="n">
        <v>2</v>
      </c>
      <c r="L243" s="44" t="str">
        <f aca="false">CONCATENATE(H243,M243)</f>
        <v>CEA</v>
      </c>
      <c r="M243" s="45" t="str">
        <f aca="false">IF(OR(ISBLANK(J243),ISBLANK(K243)),IF(OR(H243="ALI",H243="AIE"),"L",IF(ISBLANK(H243),"","A")),IF(H243="EE",IF(K243&gt;=3,IF(J243&gt;=5,"H","A"),IF(K243&gt;=2,IF(J243&gt;=16,"H",IF(J243&lt;=4,"L","A")),IF(J243&lt;=15,"L","A"))),IF(OR(H243="SE",H243="CE"),IF(K243&gt;=4,IF(J243&gt;=6,"H","A"),IF(K243&gt;=2,IF(J243&gt;=20,"H",IF(J243&lt;=5,"L","A")),IF(J243&lt;=19,"L","A"))),IF(OR(H243="ALI",H243="AIE"),IF(K243&gt;=6,IF(J243&gt;=20,"H","A"),IF(K243&gt;=2,IF(J243&gt;=51,"H",IF(J243&lt;=19,"L","A")),IF(J243&lt;=50,"L","A")))))))</f>
        <v>A</v>
      </c>
      <c r="N243" s="46" t="str">
        <f aca="false">IF(M243="L","Baixa",IF(M243="A","Média",IF(M243="","","Alta")))</f>
        <v>Média</v>
      </c>
      <c r="O243" s="47" t="n">
        <f aca="false">IF(ISBLANK(H243),"",IF(H243="ALI",IF(M243="L",7,IF(M243="A",10,15)),IF(H243="AIE",IF(M243="L",5,IF(M243="A",7,10)),IF(H243="SE",IF(M243="L",4,IF(M243="A",5,7)),IF(OR(H243="EE",H243="CE"),IF(M243="L",3,IF(M243="A",4,6)))))))</f>
        <v>4</v>
      </c>
      <c r="P243" s="48" t="n">
        <f aca="false">IF(I243="I",O243*Contagem!$W$15,IF(I243="E",O243*Contagem!$W$17,IF(I243="A",O243*Contagem!$W$16,IF(I243="T",O243*Contagem!$W$18,""))))</f>
        <v>4</v>
      </c>
      <c r="Q243" s="49" t="s">
        <v>425</v>
      </c>
    </row>
    <row r="244" customFormat="false" ht="12" hidden="false" customHeight="true" outlineLevel="0" collapsed="false">
      <c r="A244" s="40" t="n">
        <f aca="false">IF(H244="",IF(C244="",A243,A243+1),A243)</f>
        <v>33</v>
      </c>
      <c r="B244" s="41" t="str">
        <f aca="false">IF(A244=A243,"",CONCATENATE("F",A244))</f>
        <v/>
      </c>
      <c r="C244" s="42" t="s">
        <v>426</v>
      </c>
      <c r="D244" s="42"/>
      <c r="E244" s="42"/>
      <c r="F244" s="42"/>
      <c r="G244" s="42"/>
      <c r="H244" s="44" t="s">
        <v>62</v>
      </c>
      <c r="I244" s="50" t="s">
        <v>56</v>
      </c>
      <c r="J244" s="44" t="n">
        <v>4</v>
      </c>
      <c r="K244" s="44" t="n">
        <v>1</v>
      </c>
      <c r="L244" s="44" t="str">
        <f aca="false">CONCATENATE(H244,M244)</f>
        <v>EEL</v>
      </c>
      <c r="M244" s="45" t="str">
        <f aca="false">IF(OR(ISBLANK(J244),ISBLANK(K244)),IF(OR(H244="ALI",H244="AIE"),"L",IF(ISBLANK(H244),"","A")),IF(H244="EE",IF(K244&gt;=3,IF(J244&gt;=5,"H","A"),IF(K244&gt;=2,IF(J244&gt;=16,"H",IF(J244&lt;=4,"L","A")),IF(J244&lt;=15,"L","A"))),IF(OR(H244="SE",H244="CE"),IF(K244&gt;=4,IF(J244&gt;=6,"H","A"),IF(K244&gt;=2,IF(J244&gt;=20,"H",IF(J244&lt;=5,"L","A")),IF(J244&lt;=19,"L","A"))),IF(OR(H244="ALI",H244="AIE"),IF(K244&gt;=6,IF(J244&gt;=20,"H","A"),IF(K244&gt;=2,IF(J244&gt;=51,"H",IF(J244&lt;=19,"L","A")),IF(J244&lt;=50,"L","A")))))))</f>
        <v>L</v>
      </c>
      <c r="N244" s="46" t="str">
        <f aca="false">IF(M244="L","Baixa",IF(M244="A","Média",IF(M244="","","Alta")))</f>
        <v>Baixa</v>
      </c>
      <c r="O244" s="47" t="n">
        <f aca="false">IF(ISBLANK(H244),"",IF(H244="ALI",IF(M244="L",7,IF(M244="A",10,15)),IF(H244="AIE",IF(M244="L",5,IF(M244="A",7,10)),IF(H244="SE",IF(M244="L",4,IF(M244="A",5,7)),IF(OR(H244="EE",H244="CE"),IF(M244="L",3,IF(M244="A",4,6)))))))</f>
        <v>3</v>
      </c>
      <c r="P244" s="48" t="n">
        <f aca="false">IF(I244="I",O244*Contagem!$W$15,IF(I244="E",O244*Contagem!$W$17,IF(I244="A",O244*Contagem!$W$16,IF(I244="T",O244*Contagem!$W$18,""))))</f>
        <v>3</v>
      </c>
      <c r="Q244" s="49" t="s">
        <v>427</v>
      </c>
    </row>
    <row r="245" customFormat="false" ht="12" hidden="false" customHeight="true" outlineLevel="0" collapsed="false">
      <c r="A245" s="40" t="n">
        <f aca="false">IF(H245="",IF(C245="",A244,A244+1),A244)</f>
        <v>33</v>
      </c>
      <c r="B245" s="41" t="str">
        <f aca="false">IF(A245=A244,"",CONCATENATE("F",A245))</f>
        <v/>
      </c>
      <c r="C245" s="42" t="s">
        <v>428</v>
      </c>
      <c r="D245" s="42"/>
      <c r="E245" s="42"/>
      <c r="F245" s="42"/>
      <c r="G245" s="42"/>
      <c r="H245" s="44" t="s">
        <v>62</v>
      </c>
      <c r="I245" s="50" t="s">
        <v>56</v>
      </c>
      <c r="J245" s="44" t="n">
        <v>4</v>
      </c>
      <c r="K245" s="44" t="n">
        <v>2</v>
      </c>
      <c r="L245" s="44" t="str">
        <f aca="false">CONCATENATE(H245,M245)</f>
        <v>EEL</v>
      </c>
      <c r="M245" s="45" t="str">
        <f aca="false">IF(OR(ISBLANK(J245),ISBLANK(K245)),IF(OR(H245="ALI",H245="AIE"),"L",IF(ISBLANK(H245),"","A")),IF(H245="EE",IF(K245&gt;=3,IF(J245&gt;=5,"H","A"),IF(K245&gt;=2,IF(J245&gt;=16,"H",IF(J245&lt;=4,"L","A")),IF(J245&lt;=15,"L","A"))),IF(OR(H245="SE",H245="CE"),IF(K245&gt;=4,IF(J245&gt;=6,"H","A"),IF(K245&gt;=2,IF(J245&gt;=20,"H",IF(J245&lt;=5,"L","A")),IF(J245&lt;=19,"L","A"))),IF(OR(H245="ALI",H245="AIE"),IF(K245&gt;=6,IF(J245&gt;=20,"H","A"),IF(K245&gt;=2,IF(J245&gt;=51,"H",IF(J245&lt;=19,"L","A")),IF(J245&lt;=50,"L","A")))))))</f>
        <v>L</v>
      </c>
      <c r="N245" s="46" t="str">
        <f aca="false">IF(M245="L","Baixa",IF(M245="A","Média",IF(M245="","","Alta")))</f>
        <v>Baixa</v>
      </c>
      <c r="O245" s="47" t="n">
        <f aca="false">IF(ISBLANK(H245),"",IF(H245="ALI",IF(M245="L",7,IF(M245="A",10,15)),IF(H245="AIE",IF(M245="L",5,IF(M245="A",7,10)),IF(H245="SE",IF(M245="L",4,IF(M245="A",5,7)),IF(OR(H245="EE",H245="CE"),IF(M245="L",3,IF(M245="A",4,6)))))))</f>
        <v>3</v>
      </c>
      <c r="P245" s="48" t="n">
        <f aca="false">IF(I245="I",O245*Contagem!$W$15,IF(I245="E",O245*Contagem!$W$17,IF(I245="A",O245*Contagem!$W$16,IF(I245="T",O245*Contagem!$W$18,""))))</f>
        <v>3</v>
      </c>
      <c r="Q245" s="49" t="s">
        <v>429</v>
      </c>
    </row>
    <row r="246" customFormat="false" ht="12" hidden="false" customHeight="true" outlineLevel="0" collapsed="false">
      <c r="A246" s="40" t="n">
        <f aca="false">IF(H246="",IF(C246="",A245,A245+1),A245)</f>
        <v>33</v>
      </c>
      <c r="B246" s="41" t="str">
        <f aca="false">IF(A246=A245,"",CONCATENATE("F",A246))</f>
        <v/>
      </c>
      <c r="C246" s="42" t="s">
        <v>430</v>
      </c>
      <c r="D246" s="42"/>
      <c r="E246" s="42"/>
      <c r="F246" s="42"/>
      <c r="G246" s="42"/>
      <c r="H246" s="44" t="s">
        <v>80</v>
      </c>
      <c r="I246" s="50" t="s">
        <v>56</v>
      </c>
      <c r="J246" s="44" t="n">
        <v>16</v>
      </c>
      <c r="K246" s="44" t="n">
        <v>2</v>
      </c>
      <c r="L246" s="44" t="str">
        <f aca="false">CONCATENATE(H246,M246)</f>
        <v>CEA</v>
      </c>
      <c r="M246" s="45" t="str">
        <f aca="false">IF(OR(ISBLANK(J246),ISBLANK(K246)),IF(OR(H246="ALI",H246="AIE"),"L",IF(ISBLANK(H246),"","A")),IF(H246="EE",IF(K246&gt;=3,IF(J246&gt;=5,"H","A"),IF(K246&gt;=2,IF(J246&gt;=16,"H",IF(J246&lt;=4,"L","A")),IF(J246&lt;=15,"L","A"))),IF(OR(H246="SE",H246="CE"),IF(K246&gt;=4,IF(J246&gt;=6,"H","A"),IF(K246&gt;=2,IF(J246&gt;=20,"H",IF(J246&lt;=5,"L","A")),IF(J246&lt;=19,"L","A"))),IF(OR(H246="ALI",H246="AIE"),IF(K246&gt;=6,IF(J246&gt;=20,"H","A"),IF(K246&gt;=2,IF(J246&gt;=51,"H",IF(J246&lt;=19,"L","A")),IF(J246&lt;=50,"L","A")))))))</f>
        <v>A</v>
      </c>
      <c r="N246" s="46" t="str">
        <f aca="false">IF(M246="L","Baixa",IF(M246="A","Média",IF(M246="","","Alta")))</f>
        <v>Média</v>
      </c>
      <c r="O246" s="47" t="n">
        <f aca="false">IF(ISBLANK(H246),"",IF(H246="ALI",IF(M246="L",7,IF(M246="A",10,15)),IF(H246="AIE",IF(M246="L",5,IF(M246="A",7,10)),IF(H246="SE",IF(M246="L",4,IF(M246="A",5,7)),IF(OR(H246="EE",H246="CE"),IF(M246="L",3,IF(M246="A",4,6)))))))</f>
        <v>4</v>
      </c>
      <c r="P246" s="48" t="n">
        <f aca="false">IF(I246="I",O246*Contagem!$W$15,IF(I246="E",O246*Contagem!$W$17,IF(I246="A",O246*Contagem!$W$16,IF(I246="T",O246*Contagem!$W$18,""))))</f>
        <v>4</v>
      </c>
      <c r="Q246" s="49" t="s">
        <v>431</v>
      </c>
    </row>
    <row r="247" customFormat="false" ht="12" hidden="false" customHeight="true" outlineLevel="0" collapsed="false">
      <c r="A247" s="40" t="n">
        <f aca="false">IF(H247="",IF(C247="",A246,A246+1),A246)</f>
        <v>33</v>
      </c>
      <c r="B247" s="41" t="str">
        <f aca="false">IF(A247=A246,"",CONCATENATE("F",A247))</f>
        <v/>
      </c>
      <c r="C247" s="42" t="s">
        <v>432</v>
      </c>
      <c r="D247" s="42"/>
      <c r="E247" s="42"/>
      <c r="F247" s="42"/>
      <c r="G247" s="42"/>
      <c r="H247" s="44" t="s">
        <v>62</v>
      </c>
      <c r="I247" s="50" t="s">
        <v>56</v>
      </c>
      <c r="J247" s="44" t="n">
        <v>11</v>
      </c>
      <c r="K247" s="44" t="n">
        <v>1</v>
      </c>
      <c r="L247" s="44" t="str">
        <f aca="false">CONCATENATE(H247,M247)</f>
        <v>EEL</v>
      </c>
      <c r="M247" s="45" t="str">
        <f aca="false">IF(OR(ISBLANK(J247),ISBLANK(K247)),IF(OR(H247="ALI",H247="AIE"),"L",IF(ISBLANK(H247),"","A")),IF(H247="EE",IF(K247&gt;=3,IF(J247&gt;=5,"H","A"),IF(K247&gt;=2,IF(J247&gt;=16,"H",IF(J247&lt;=4,"L","A")),IF(J247&lt;=15,"L","A"))),IF(OR(H247="SE",H247="CE"),IF(K247&gt;=4,IF(J247&gt;=6,"H","A"),IF(K247&gt;=2,IF(J247&gt;=20,"H",IF(J247&lt;=5,"L","A")),IF(J247&lt;=19,"L","A"))),IF(OR(H247="ALI",H247="AIE"),IF(K247&gt;=6,IF(J247&gt;=20,"H","A"),IF(K247&gt;=2,IF(J247&gt;=51,"H",IF(J247&lt;=19,"L","A")),IF(J247&lt;=50,"L","A")))))))</f>
        <v>L</v>
      </c>
      <c r="N247" s="46" t="str">
        <f aca="false">IF(M247="L","Baixa",IF(M247="A","Média",IF(M247="","","Alta")))</f>
        <v>Baixa</v>
      </c>
      <c r="O247" s="47" t="n">
        <f aca="false">IF(ISBLANK(H247),"",IF(H247="ALI",IF(M247="L",7,IF(M247="A",10,15)),IF(H247="AIE",IF(M247="L",5,IF(M247="A",7,10)),IF(H247="SE",IF(M247="L",4,IF(M247="A",5,7)),IF(OR(H247="EE",H247="CE"),IF(M247="L",3,IF(M247="A",4,6)))))))</f>
        <v>3</v>
      </c>
      <c r="P247" s="48" t="n">
        <f aca="false">IF(I247="I",O247*Contagem!$W$15,IF(I247="E",O247*Contagem!$W$17,IF(I247="A",O247*Contagem!$W$16,IF(I247="T",O247*Contagem!$W$18,""))))</f>
        <v>3</v>
      </c>
      <c r="Q247" s="49" t="s">
        <v>433</v>
      </c>
    </row>
    <row r="248" customFormat="false" ht="12" hidden="false" customHeight="true" outlineLevel="0" collapsed="false">
      <c r="A248" s="40" t="n">
        <f aca="false">IF(H248="",IF(C248="",A247,A247+1),A247)</f>
        <v>33</v>
      </c>
      <c r="B248" s="41" t="str">
        <f aca="false">IF(A248=A247,"",CONCATENATE("F",A248))</f>
        <v/>
      </c>
      <c r="C248" s="42" t="s">
        <v>434</v>
      </c>
      <c r="D248" s="42"/>
      <c r="E248" s="42"/>
      <c r="F248" s="42"/>
      <c r="G248" s="42"/>
      <c r="H248" s="44" t="s">
        <v>62</v>
      </c>
      <c r="I248" s="50" t="s">
        <v>56</v>
      </c>
      <c r="J248" s="44" t="n">
        <v>12</v>
      </c>
      <c r="K248" s="44" t="n">
        <v>1</v>
      </c>
      <c r="L248" s="44" t="str">
        <f aca="false">CONCATENATE(H248,M248)</f>
        <v>EEL</v>
      </c>
      <c r="M248" s="45" t="str">
        <f aca="false">IF(OR(ISBLANK(J248),ISBLANK(K248)),IF(OR(H248="ALI",H248="AIE"),"L",IF(ISBLANK(H248),"","A")),IF(H248="EE",IF(K248&gt;=3,IF(J248&gt;=5,"H","A"),IF(K248&gt;=2,IF(J248&gt;=16,"H",IF(J248&lt;=4,"L","A")),IF(J248&lt;=15,"L","A"))),IF(OR(H248="SE",H248="CE"),IF(K248&gt;=4,IF(J248&gt;=6,"H","A"),IF(K248&gt;=2,IF(J248&gt;=20,"H",IF(J248&lt;=5,"L","A")),IF(J248&lt;=19,"L","A"))),IF(OR(H248="ALI",H248="AIE"),IF(K248&gt;=6,IF(J248&gt;=20,"H","A"),IF(K248&gt;=2,IF(J248&gt;=51,"H",IF(J248&lt;=19,"L","A")),IF(J248&lt;=50,"L","A")))))))</f>
        <v>L</v>
      </c>
      <c r="N248" s="46" t="str">
        <f aca="false">IF(M248="L","Baixa",IF(M248="A","Média",IF(M248="","","Alta")))</f>
        <v>Baixa</v>
      </c>
      <c r="O248" s="47" t="n">
        <f aca="false">IF(ISBLANK(H248),"",IF(H248="ALI",IF(M248="L",7,IF(M248="A",10,15)),IF(H248="AIE",IF(M248="L",5,IF(M248="A",7,10)),IF(H248="SE",IF(M248="L",4,IF(M248="A",5,7)),IF(OR(H248="EE",H248="CE"),IF(M248="L",3,IF(M248="A",4,6)))))))</f>
        <v>3</v>
      </c>
      <c r="P248" s="48" t="n">
        <f aca="false">IF(I248="I",O248*Contagem!$W$15,IF(I248="E",O248*Contagem!$W$17,IF(I248="A",O248*Contagem!$W$16,IF(I248="T",O248*Contagem!$W$18,""))))</f>
        <v>3</v>
      </c>
      <c r="Q248" s="49" t="s">
        <v>435</v>
      </c>
    </row>
    <row r="249" customFormat="false" ht="12" hidden="false" customHeight="true" outlineLevel="0" collapsed="false">
      <c r="A249" s="40" t="n">
        <f aca="false">IF(H249="",IF(C249="",A248,A248+1),A248)</f>
        <v>33</v>
      </c>
      <c r="B249" s="41" t="str">
        <f aca="false">IF(A249=A248,"",CONCATENATE("F",A249))</f>
        <v/>
      </c>
      <c r="C249" s="42" t="s">
        <v>436</v>
      </c>
      <c r="D249" s="42"/>
      <c r="E249" s="42"/>
      <c r="F249" s="42"/>
      <c r="G249" s="42"/>
      <c r="H249" s="44" t="s">
        <v>62</v>
      </c>
      <c r="I249" s="50" t="s">
        <v>56</v>
      </c>
      <c r="J249" s="44" t="n">
        <v>3</v>
      </c>
      <c r="K249" s="44" t="n">
        <v>1</v>
      </c>
      <c r="L249" s="44" t="str">
        <f aca="false">CONCATENATE(H249,M249)</f>
        <v>EEL</v>
      </c>
      <c r="M249" s="45" t="str">
        <f aca="false">IF(OR(ISBLANK(J249),ISBLANK(K249)),IF(OR(H249="ALI",H249="AIE"),"L",IF(ISBLANK(H249),"","A")),IF(H249="EE",IF(K249&gt;=3,IF(J249&gt;=5,"H","A"),IF(K249&gt;=2,IF(J249&gt;=16,"H",IF(J249&lt;=4,"L","A")),IF(J249&lt;=15,"L","A"))),IF(OR(H249="SE",H249="CE"),IF(K249&gt;=4,IF(J249&gt;=6,"H","A"),IF(K249&gt;=2,IF(J249&gt;=20,"H",IF(J249&lt;=5,"L","A")),IF(J249&lt;=19,"L","A"))),IF(OR(H249="ALI",H249="AIE"),IF(K249&gt;=6,IF(J249&gt;=20,"H","A"),IF(K249&gt;=2,IF(J249&gt;=51,"H",IF(J249&lt;=19,"L","A")),IF(J249&lt;=50,"L","A")))))))</f>
        <v>L</v>
      </c>
      <c r="N249" s="46" t="str">
        <f aca="false">IF(M249="L","Baixa",IF(M249="A","Média",IF(M249="","","Alta")))</f>
        <v>Baixa</v>
      </c>
      <c r="O249" s="47" t="n">
        <f aca="false">IF(ISBLANK(H249),"",IF(H249="ALI",IF(M249="L",7,IF(M249="A",10,15)),IF(H249="AIE",IF(M249="L",5,IF(M249="A",7,10)),IF(H249="SE",IF(M249="L",4,IF(M249="A",5,7)),IF(OR(H249="EE",H249="CE"),IF(M249="L",3,IF(M249="A",4,6)))))))</f>
        <v>3</v>
      </c>
      <c r="P249" s="48" t="n">
        <f aca="false">IF(I249="I",O249*Contagem!$W$15,IF(I249="E",O249*Contagem!$W$17,IF(I249="A",O249*Contagem!$W$16,IF(I249="T",O249*Contagem!$W$18,""))))</f>
        <v>3</v>
      </c>
      <c r="Q249" s="49" t="s">
        <v>437</v>
      </c>
    </row>
    <row r="250" customFormat="false" ht="12" hidden="false" customHeight="true" outlineLevel="0" collapsed="false">
      <c r="A250" s="40" t="n">
        <f aca="false">IF(H250="",IF(C250="",A249,A249+1),A249)</f>
        <v>33</v>
      </c>
      <c r="B250" s="41" t="str">
        <f aca="false">IF(A250=A249,"",CONCATENATE("F",A250))</f>
        <v/>
      </c>
      <c r="C250" s="42" t="s">
        <v>438</v>
      </c>
      <c r="D250" s="42"/>
      <c r="E250" s="42"/>
      <c r="F250" s="42"/>
      <c r="G250" s="42"/>
      <c r="H250" s="44" t="s">
        <v>62</v>
      </c>
      <c r="I250" s="50" t="s">
        <v>56</v>
      </c>
      <c r="J250" s="44" t="n">
        <v>6</v>
      </c>
      <c r="K250" s="44" t="n">
        <v>1</v>
      </c>
      <c r="L250" s="44" t="str">
        <f aca="false">CONCATENATE(H250,M250)</f>
        <v>EEL</v>
      </c>
      <c r="M250" s="45" t="str">
        <f aca="false">IF(OR(ISBLANK(J250),ISBLANK(K250)),IF(OR(H250="ALI",H250="AIE"),"L",IF(ISBLANK(H250),"","A")),IF(H250="EE",IF(K250&gt;=3,IF(J250&gt;=5,"H","A"),IF(K250&gt;=2,IF(J250&gt;=16,"H",IF(J250&lt;=4,"L","A")),IF(J250&lt;=15,"L","A"))),IF(OR(H250="SE",H250="CE"),IF(K250&gt;=4,IF(J250&gt;=6,"H","A"),IF(K250&gt;=2,IF(J250&gt;=20,"H",IF(J250&lt;=5,"L","A")),IF(J250&lt;=19,"L","A"))),IF(OR(H250="ALI",H250="AIE"),IF(K250&gt;=6,IF(J250&gt;=20,"H","A"),IF(K250&gt;=2,IF(J250&gt;=51,"H",IF(J250&lt;=19,"L","A")),IF(J250&lt;=50,"L","A")))))))</f>
        <v>L</v>
      </c>
      <c r="N250" s="46" t="str">
        <f aca="false">IF(M250="L","Baixa",IF(M250="A","Média",IF(M250="","","Alta")))</f>
        <v>Baixa</v>
      </c>
      <c r="O250" s="47" t="n">
        <f aca="false">IF(ISBLANK(H250),"",IF(H250="ALI",IF(M250="L",7,IF(M250="A",10,15)),IF(H250="AIE",IF(M250="L",5,IF(M250="A",7,10)),IF(H250="SE",IF(M250="L",4,IF(M250="A",5,7)),IF(OR(H250="EE",H250="CE"),IF(M250="L",3,IF(M250="A",4,6)))))))</f>
        <v>3</v>
      </c>
      <c r="P250" s="48" t="n">
        <f aca="false">IF(I250="I",O250*Contagem!$W$15,IF(I250="E",O250*Contagem!$W$17,IF(I250="A",O250*Contagem!$W$16,IF(I250="T",O250*Contagem!$W$18,""))))</f>
        <v>3</v>
      </c>
      <c r="Q250" s="49" t="s">
        <v>439</v>
      </c>
    </row>
    <row r="251" customFormat="false" ht="12" hidden="false" customHeight="true" outlineLevel="0" collapsed="false">
      <c r="A251" s="40" t="n">
        <f aca="false">IF(H251="",IF(C251="",A250,A250+1),A250)</f>
        <v>33</v>
      </c>
      <c r="B251" s="41" t="str">
        <f aca="false">IF(A251=A250,"",CONCATENATE("F",A251))</f>
        <v/>
      </c>
      <c r="C251" s="42" t="s">
        <v>440</v>
      </c>
      <c r="D251" s="42"/>
      <c r="E251" s="42"/>
      <c r="F251" s="42"/>
      <c r="G251" s="42"/>
      <c r="H251" s="44" t="s">
        <v>62</v>
      </c>
      <c r="I251" s="50" t="s">
        <v>56</v>
      </c>
      <c r="J251" s="44" t="n">
        <v>7</v>
      </c>
      <c r="K251" s="44" t="n">
        <v>4</v>
      </c>
      <c r="L251" s="44" t="str">
        <f aca="false">CONCATENATE(H251,M251)</f>
        <v>EEH</v>
      </c>
      <c r="M251" s="45" t="str">
        <f aca="false">IF(OR(ISBLANK(J251),ISBLANK(K251)),IF(OR(H251="ALI",H251="AIE"),"L",IF(ISBLANK(H251),"","A")),IF(H251="EE",IF(K251&gt;=3,IF(J251&gt;=5,"H","A"),IF(K251&gt;=2,IF(J251&gt;=16,"H",IF(J251&lt;=4,"L","A")),IF(J251&lt;=15,"L","A"))),IF(OR(H251="SE",H251="CE"),IF(K251&gt;=4,IF(J251&gt;=6,"H","A"),IF(K251&gt;=2,IF(J251&gt;=20,"H",IF(J251&lt;=5,"L","A")),IF(J251&lt;=19,"L","A"))),IF(OR(H251="ALI",H251="AIE"),IF(K251&gt;=6,IF(J251&gt;=20,"H","A"),IF(K251&gt;=2,IF(J251&gt;=51,"H",IF(J251&lt;=19,"L","A")),IF(J251&lt;=50,"L","A")))))))</f>
        <v>H</v>
      </c>
      <c r="N251" s="46" t="str">
        <f aca="false">IF(M251="L","Baixa",IF(M251="A","Média",IF(M251="","","Alta")))</f>
        <v>Alta</v>
      </c>
      <c r="O251" s="47" t="n">
        <f aca="false">IF(ISBLANK(H251),"",IF(H251="ALI",IF(M251="L",7,IF(M251="A",10,15)),IF(H251="AIE",IF(M251="L",5,IF(M251="A",7,10)),IF(H251="SE",IF(M251="L",4,IF(M251="A",5,7)),IF(OR(H251="EE",H251="CE"),IF(M251="L",3,IF(M251="A",4,6)))))))</f>
        <v>6</v>
      </c>
      <c r="P251" s="48" t="n">
        <f aca="false">IF(I251="I",O251*Contagem!$W$15,IF(I251="E",O251*Contagem!$W$17,IF(I251="A",O251*Contagem!$W$16,IF(I251="T",O251*Contagem!$W$18,""))))</f>
        <v>6</v>
      </c>
      <c r="Q251" s="49" t="s">
        <v>441</v>
      </c>
    </row>
    <row r="252" customFormat="false" ht="12" hidden="false" customHeight="true" outlineLevel="0" collapsed="false">
      <c r="A252" s="40" t="n">
        <f aca="false">IF(H252="",IF(C252="",A251,A251+1),A251)</f>
        <v>33</v>
      </c>
      <c r="B252" s="41" t="str">
        <f aca="false">IF(A252=A251,"",CONCATENATE("F",A252))</f>
        <v/>
      </c>
      <c r="C252" s="42" t="s">
        <v>442</v>
      </c>
      <c r="D252" s="42"/>
      <c r="E252" s="42"/>
      <c r="F252" s="42"/>
      <c r="G252" s="42"/>
      <c r="H252" s="44" t="s">
        <v>62</v>
      </c>
      <c r="I252" s="50" t="s">
        <v>56</v>
      </c>
      <c r="J252" s="44" t="n">
        <v>3</v>
      </c>
      <c r="K252" s="44" t="n">
        <v>2</v>
      </c>
      <c r="L252" s="44" t="str">
        <f aca="false">CONCATENATE(H252,M252)</f>
        <v>EEL</v>
      </c>
      <c r="M252" s="45" t="str">
        <f aca="false">IF(OR(ISBLANK(J252),ISBLANK(K252)),IF(OR(H252="ALI",H252="AIE"),"L",IF(ISBLANK(H252),"","A")),IF(H252="EE",IF(K252&gt;=3,IF(J252&gt;=5,"H","A"),IF(K252&gt;=2,IF(J252&gt;=16,"H",IF(J252&lt;=4,"L","A")),IF(J252&lt;=15,"L","A"))),IF(OR(H252="SE",H252="CE"),IF(K252&gt;=4,IF(J252&gt;=6,"H","A"),IF(K252&gt;=2,IF(J252&gt;=20,"H",IF(J252&lt;=5,"L","A")),IF(J252&lt;=19,"L","A"))),IF(OR(H252="ALI",H252="AIE"),IF(K252&gt;=6,IF(J252&gt;=20,"H","A"),IF(K252&gt;=2,IF(J252&gt;=51,"H",IF(J252&lt;=19,"L","A")),IF(J252&lt;=50,"L","A")))))))</f>
        <v>L</v>
      </c>
      <c r="N252" s="46" t="str">
        <f aca="false">IF(M252="L","Baixa",IF(M252="A","Média",IF(M252="","","Alta")))</f>
        <v>Baixa</v>
      </c>
      <c r="O252" s="47" t="n">
        <f aca="false">IF(ISBLANK(H252),"",IF(H252="ALI",IF(M252="L",7,IF(M252="A",10,15)),IF(H252="AIE",IF(M252="L",5,IF(M252="A",7,10)),IF(H252="SE",IF(M252="L",4,IF(M252="A",5,7)),IF(OR(H252="EE",H252="CE"),IF(M252="L",3,IF(M252="A",4,6)))))))</f>
        <v>3</v>
      </c>
      <c r="P252" s="48" t="n">
        <f aca="false">IF(I252="I",O252*Contagem!$W$15,IF(I252="E",O252*Contagem!$W$17,IF(I252="A",O252*Contagem!$W$16,IF(I252="T",O252*Contagem!$W$18,""))))</f>
        <v>3</v>
      </c>
      <c r="Q252" s="49" t="s">
        <v>443</v>
      </c>
    </row>
    <row r="253" customFormat="false" ht="12" hidden="false" customHeight="true" outlineLevel="0" collapsed="false">
      <c r="A253" s="40" t="n">
        <f aca="false">IF(H253="",IF(C253="",A252,A252+1),A252)</f>
        <v>33</v>
      </c>
      <c r="B253" s="41" t="str">
        <f aca="false">IF(A253=A252,"",CONCATENATE("F",A253))</f>
        <v/>
      </c>
      <c r="C253" s="42" t="s">
        <v>444</v>
      </c>
      <c r="D253" s="42"/>
      <c r="E253" s="42"/>
      <c r="F253" s="42"/>
      <c r="G253" s="42"/>
      <c r="H253" s="44" t="s">
        <v>99</v>
      </c>
      <c r="I253" s="50" t="s">
        <v>56</v>
      </c>
      <c r="J253" s="44" t="n">
        <v>13</v>
      </c>
      <c r="K253" s="44" t="n">
        <v>3</v>
      </c>
      <c r="L253" s="44" t="str">
        <f aca="false">CONCATENATE(H253,M253)</f>
        <v>SEA</v>
      </c>
      <c r="M253" s="45" t="str">
        <f aca="false">IF(OR(ISBLANK(J253),ISBLANK(K253)),IF(OR(H253="ALI",H253="AIE"),"L",IF(ISBLANK(H253),"","A")),IF(H253="EE",IF(K253&gt;=3,IF(J253&gt;=5,"H","A"),IF(K253&gt;=2,IF(J253&gt;=16,"H",IF(J253&lt;=4,"L","A")),IF(J253&lt;=15,"L","A"))),IF(OR(H253="SE",H253="CE"),IF(K253&gt;=4,IF(J253&gt;=6,"H","A"),IF(K253&gt;=2,IF(J253&gt;=20,"H",IF(J253&lt;=5,"L","A")),IF(J253&lt;=19,"L","A"))),IF(OR(H253="ALI",H253="AIE"),IF(K253&gt;=6,IF(J253&gt;=20,"H","A"),IF(K253&gt;=2,IF(J253&gt;=51,"H",IF(J253&lt;=19,"L","A")),IF(J253&lt;=50,"L","A")))))))</f>
        <v>A</v>
      </c>
      <c r="N253" s="46" t="str">
        <f aca="false">IF(M253="L","Baixa",IF(M253="A","Média",IF(M253="","","Alta")))</f>
        <v>Média</v>
      </c>
      <c r="O253" s="47" t="n">
        <f aca="false">IF(ISBLANK(H253),"",IF(H253="ALI",IF(M253="L",7,IF(M253="A",10,15)),IF(H253="AIE",IF(M253="L",5,IF(M253="A",7,10)),IF(H253="SE",IF(M253="L",4,IF(M253="A",5,7)),IF(OR(H253="EE",H253="CE"),IF(M253="L",3,IF(M253="A",4,6)))))))</f>
        <v>5</v>
      </c>
      <c r="P253" s="48" t="n">
        <f aca="false">IF(I253="I",O253*Contagem!$W$15,IF(I253="E",O253*Contagem!$W$17,IF(I253="A",O253*Contagem!$W$16,IF(I253="T",O253*Contagem!$W$18,""))))</f>
        <v>5</v>
      </c>
      <c r="Q253" s="49" t="s">
        <v>445</v>
      </c>
    </row>
    <row r="254" customFormat="false" ht="12" hidden="false" customHeight="true" outlineLevel="0" collapsed="false">
      <c r="A254" s="40" t="n">
        <f aca="false">IF(H254="",IF(C254="",A253,A253+1),A253)</f>
        <v>33</v>
      </c>
      <c r="B254" s="41" t="str">
        <f aca="false">IF(A254=A253,"",CONCATENATE("F",A254))</f>
        <v/>
      </c>
      <c r="C254" s="42"/>
      <c r="D254" s="42"/>
      <c r="E254" s="42"/>
      <c r="F254" s="42"/>
      <c r="G254" s="42"/>
      <c r="H254" s="44"/>
      <c r="I254" s="50"/>
      <c r="J254" s="44"/>
      <c r="K254" s="44"/>
      <c r="L254" s="44" t="str">
        <f aca="false">CONCATENATE(H254,M254)</f>
        <v/>
      </c>
      <c r="M254" s="45" t="str">
        <f aca="false">IF(OR(ISBLANK(J254),ISBLANK(K254)),IF(OR(H254="ALI",H254="AIE"),"L",IF(ISBLANK(H254),"","A")),IF(H254="EE",IF(K254&gt;=3,IF(J254&gt;=5,"H","A"),IF(K254&gt;=2,IF(J254&gt;=16,"H",IF(J254&lt;=4,"L","A")),IF(J254&lt;=15,"L","A"))),IF(OR(H254="SE",H254="CE"),IF(K254&gt;=4,IF(J254&gt;=6,"H","A"),IF(K254&gt;=2,IF(J254&gt;=20,"H",IF(J254&lt;=5,"L","A")),IF(J254&lt;=19,"L","A"))),IF(OR(H254="ALI",H254="AIE"),IF(K254&gt;=6,IF(J254&gt;=20,"H","A"),IF(K254&gt;=2,IF(J254&gt;=51,"H",IF(J254&lt;=19,"L","A")),IF(J254&lt;=50,"L","A")))))))</f>
        <v/>
      </c>
      <c r="N254" s="46" t="str">
        <f aca="false">IF(M254="L","Baixa",IF(M254="A","Média",IF(M254="","","Alta")))</f>
        <v/>
      </c>
      <c r="O254" s="47" t="str">
        <f aca="false">IF(ISBLANK(H254),"",IF(H254="ALI",IF(M254="L",7,IF(M254="A",10,15)),IF(H254="AIE",IF(M254="L",5,IF(M254="A",7,10)),IF(H254="SE",IF(M254="L",4,IF(M254="A",5,7)),IF(OR(H254="EE",H254="CE"),IF(M254="L",3,IF(M254="A",4,6)))))))</f>
        <v/>
      </c>
      <c r="P254" s="48" t="str">
        <f aca="false">IF(I254="I",O254*Contagem!$W$15,IF(I254="E",O254*Contagem!$W$17,IF(I254="A",O254*Contagem!$W$16,IF(I254="T",O254*Contagem!$W$18,""))))</f>
        <v/>
      </c>
      <c r="Q254" s="49"/>
    </row>
    <row r="255" customFormat="false" ht="12" hidden="false" customHeight="true" outlineLevel="0" collapsed="false">
      <c r="A255" s="40" t="n">
        <f aca="false">IF(H255="",IF(C255="",A254,A254+1),A254)</f>
        <v>34</v>
      </c>
      <c r="B255" s="41" t="str">
        <f aca="false">IF(A255=A254,"",CONCATENATE("F",A255))</f>
        <v>F34</v>
      </c>
      <c r="C255" s="42" t="s">
        <v>446</v>
      </c>
      <c r="D255" s="42"/>
      <c r="E255" s="42"/>
      <c r="F255" s="42"/>
      <c r="G255" s="42"/>
      <c r="H255" s="44"/>
      <c r="I255" s="50"/>
      <c r="J255" s="44"/>
      <c r="K255" s="44"/>
      <c r="L255" s="44" t="str">
        <f aca="false">CONCATENATE(H255,M255)</f>
        <v/>
      </c>
      <c r="M255" s="45" t="str">
        <f aca="false">IF(OR(ISBLANK(J255),ISBLANK(K255)),IF(OR(H255="ALI",H255="AIE"),"L",IF(ISBLANK(H255),"","A")),IF(H255="EE",IF(K255&gt;=3,IF(J255&gt;=5,"H","A"),IF(K255&gt;=2,IF(J255&gt;=16,"H",IF(J255&lt;=4,"L","A")),IF(J255&lt;=15,"L","A"))),IF(OR(H255="SE",H255="CE"),IF(K255&gt;=4,IF(J255&gt;=6,"H","A"),IF(K255&gt;=2,IF(J255&gt;=20,"H",IF(J255&lt;=5,"L","A")),IF(J255&lt;=19,"L","A"))),IF(OR(H255="ALI",H255="AIE"),IF(K255&gt;=6,IF(J255&gt;=20,"H","A"),IF(K255&gt;=2,IF(J255&gt;=51,"H",IF(J255&lt;=19,"L","A")),IF(J255&lt;=50,"L","A")))))))</f>
        <v/>
      </c>
      <c r="N255" s="46" t="str">
        <f aca="false">IF(M255="L","Baixa",IF(M255="A","Média",IF(M255="","","Alta")))</f>
        <v/>
      </c>
      <c r="O255" s="47" t="str">
        <f aca="false">IF(ISBLANK(H255),"",IF(H255="ALI",IF(M255="L",7,IF(M255="A",10,15)),IF(H255="AIE",IF(M255="L",5,IF(M255="A",7,10)),IF(H255="SE",IF(M255="L",4,IF(M255="A",5,7)),IF(OR(H255="EE",H255="CE"),IF(M255="L",3,IF(M255="A",4,6)))))))</f>
        <v/>
      </c>
      <c r="P255" s="48" t="str">
        <f aca="false">IF(I255="I",O255*Contagem!$W$15,IF(I255="E",O255*Contagem!$W$17,IF(I255="A",O255*Contagem!$W$16,IF(I255="T",O255*Contagem!$W$18,""))))</f>
        <v/>
      </c>
      <c r="Q255" s="49"/>
    </row>
    <row r="256" customFormat="false" ht="12" hidden="false" customHeight="true" outlineLevel="0" collapsed="false">
      <c r="A256" s="40" t="n">
        <f aca="false">IF(H256="",IF(C256="",A255,A255+1),A255)</f>
        <v>34</v>
      </c>
      <c r="B256" s="41" t="str">
        <f aca="false">IF(A256=A255,"",CONCATENATE("F",A256))</f>
        <v/>
      </c>
      <c r="C256" s="42" t="s">
        <v>447</v>
      </c>
      <c r="D256" s="42"/>
      <c r="E256" s="42"/>
      <c r="F256" s="42"/>
      <c r="G256" s="42"/>
      <c r="H256" s="44" t="s">
        <v>55</v>
      </c>
      <c r="I256" s="50" t="s">
        <v>56</v>
      </c>
      <c r="J256" s="44" t="n">
        <v>4</v>
      </c>
      <c r="K256" s="44" t="n">
        <v>1</v>
      </c>
      <c r="L256" s="44" t="str">
        <f aca="false">CONCATENATE(H256,M256)</f>
        <v>ALIL</v>
      </c>
      <c r="M256" s="45" t="str">
        <f aca="false">IF(OR(ISBLANK(J256),ISBLANK(K256)),IF(OR(H256="ALI",H256="AIE"),"L",IF(ISBLANK(H256),"","A")),IF(H256="EE",IF(K256&gt;=3,IF(J256&gt;=5,"H","A"),IF(K256&gt;=2,IF(J256&gt;=16,"H",IF(J256&lt;=4,"L","A")),IF(J256&lt;=15,"L","A"))),IF(OR(H256="SE",H256="CE"),IF(K256&gt;=4,IF(J256&gt;=6,"H","A"),IF(K256&gt;=2,IF(J256&gt;=20,"H",IF(J256&lt;=5,"L","A")),IF(J256&lt;=19,"L","A"))),IF(OR(H256="ALI",H256="AIE"),IF(K256&gt;=6,IF(J256&gt;=20,"H","A"),IF(K256&gt;=2,IF(J256&gt;=51,"H",IF(J256&lt;=19,"L","A")),IF(J256&lt;=50,"L","A")))))))</f>
        <v>L</v>
      </c>
      <c r="N256" s="46" t="str">
        <f aca="false">IF(M256="L","Baixa",IF(M256="A","Média",IF(M256="","","Alta")))</f>
        <v>Baixa</v>
      </c>
      <c r="O256" s="47" t="n">
        <f aca="false">IF(ISBLANK(H256),"",IF(H256="ALI",IF(M256="L",7,IF(M256="A",10,15)),IF(H256="AIE",IF(M256="L",5,IF(M256="A",7,10)),IF(H256="SE",IF(M256="L",4,IF(M256="A",5,7)),IF(OR(H256="EE",H256="CE"),IF(M256="L",3,IF(M256="A",4,6)))))))</f>
        <v>7</v>
      </c>
      <c r="P256" s="48" t="n">
        <f aca="false">IF(I256="I",O256*Contagem!$W$15,IF(I256="E",O256*Contagem!$W$17,IF(I256="A",O256*Contagem!$W$16,IF(I256="T",O256*Contagem!$W$18,""))))</f>
        <v>7</v>
      </c>
      <c r="Q256" s="49" t="s">
        <v>448</v>
      </c>
    </row>
    <row r="257" customFormat="false" ht="12" hidden="false" customHeight="true" outlineLevel="0" collapsed="false">
      <c r="A257" s="40" t="n">
        <f aca="false">IF(H257="",IF(C257="",A256,A256+1),A256)</f>
        <v>34</v>
      </c>
      <c r="B257" s="41" t="str">
        <f aca="false">IF(A257=A256,"",CONCATENATE("F",A257))</f>
        <v/>
      </c>
      <c r="C257" s="42" t="s">
        <v>449</v>
      </c>
      <c r="D257" s="42"/>
      <c r="E257" s="42"/>
      <c r="F257" s="42"/>
      <c r="G257" s="42"/>
      <c r="H257" s="44" t="s">
        <v>80</v>
      </c>
      <c r="I257" s="50" t="s">
        <v>56</v>
      </c>
      <c r="J257" s="44" t="n">
        <v>4</v>
      </c>
      <c r="K257" s="44" t="n">
        <v>1</v>
      </c>
      <c r="L257" s="44" t="str">
        <f aca="false">CONCATENATE(H257,M257)</f>
        <v>CEL</v>
      </c>
      <c r="M257" s="45" t="str">
        <f aca="false">IF(OR(ISBLANK(J257),ISBLANK(K257)),IF(OR(H257="ALI",H257="AIE"),"L",IF(ISBLANK(H257),"","A")),IF(H257="EE",IF(K257&gt;=3,IF(J257&gt;=5,"H","A"),IF(K257&gt;=2,IF(J257&gt;=16,"H",IF(J257&lt;=4,"L","A")),IF(J257&lt;=15,"L","A"))),IF(OR(H257="SE",H257="CE"),IF(K257&gt;=4,IF(J257&gt;=6,"H","A"),IF(K257&gt;=2,IF(J257&gt;=20,"H",IF(J257&lt;=5,"L","A")),IF(J257&lt;=19,"L","A"))),IF(OR(H257="ALI",H257="AIE"),IF(K257&gt;=6,IF(J257&gt;=20,"H","A"),IF(K257&gt;=2,IF(J257&gt;=51,"H",IF(J257&lt;=19,"L","A")),IF(J257&lt;=50,"L","A")))))))</f>
        <v>L</v>
      </c>
      <c r="N257" s="46" t="str">
        <f aca="false">IF(M257="L","Baixa",IF(M257="A","Média",IF(M257="","","Alta")))</f>
        <v>Baixa</v>
      </c>
      <c r="O257" s="47" t="n">
        <f aca="false">IF(ISBLANK(H257),"",IF(H257="ALI",IF(M257="L",7,IF(M257="A",10,15)),IF(H257="AIE",IF(M257="L",5,IF(M257="A",7,10)),IF(H257="SE",IF(M257="L",4,IF(M257="A",5,7)),IF(OR(H257="EE",H257="CE"),IF(M257="L",3,IF(M257="A",4,6)))))))</f>
        <v>3</v>
      </c>
      <c r="P257" s="48" t="n">
        <f aca="false">IF(I257="I",O257*Contagem!$W$15,IF(I257="E",O257*Contagem!$W$17,IF(I257="A",O257*Contagem!$W$16,IF(I257="T",O257*Contagem!$W$18,""))))</f>
        <v>3</v>
      </c>
      <c r="Q257" s="49" t="s">
        <v>450</v>
      </c>
    </row>
    <row r="258" customFormat="false" ht="12" hidden="false" customHeight="true" outlineLevel="0" collapsed="false">
      <c r="A258" s="40" t="n">
        <f aca="false">IF(H258="",IF(C258="",A257,A257+1),A257)</f>
        <v>34</v>
      </c>
      <c r="B258" s="41" t="str">
        <f aca="false">IF(A258=A257,"",CONCATENATE("F",A258))</f>
        <v/>
      </c>
      <c r="C258" s="42" t="s">
        <v>451</v>
      </c>
      <c r="D258" s="42"/>
      <c r="E258" s="42"/>
      <c r="F258" s="42"/>
      <c r="G258" s="42"/>
      <c r="H258" s="44" t="s">
        <v>62</v>
      </c>
      <c r="I258" s="50" t="s">
        <v>56</v>
      </c>
      <c r="J258" s="44" t="n">
        <v>5</v>
      </c>
      <c r="K258" s="44" t="n">
        <v>1</v>
      </c>
      <c r="L258" s="44" t="str">
        <f aca="false">CONCATENATE(H258,M258)</f>
        <v>EEL</v>
      </c>
      <c r="M258" s="45" t="str">
        <f aca="false">IF(OR(ISBLANK(J258),ISBLANK(K258)),IF(OR(H258="ALI",H258="AIE"),"L",IF(ISBLANK(H258),"","A")),IF(H258="EE",IF(K258&gt;=3,IF(J258&gt;=5,"H","A"),IF(K258&gt;=2,IF(J258&gt;=16,"H",IF(J258&lt;=4,"L","A")),IF(J258&lt;=15,"L","A"))),IF(OR(H258="SE",H258="CE"),IF(K258&gt;=4,IF(J258&gt;=6,"H","A"),IF(K258&gt;=2,IF(J258&gt;=20,"H",IF(J258&lt;=5,"L","A")),IF(J258&lt;=19,"L","A"))),IF(OR(H258="ALI",H258="AIE"),IF(K258&gt;=6,IF(J258&gt;=20,"H","A"),IF(K258&gt;=2,IF(J258&gt;=51,"H",IF(J258&lt;=19,"L","A")),IF(J258&lt;=50,"L","A")))))))</f>
        <v>L</v>
      </c>
      <c r="N258" s="46" t="str">
        <f aca="false">IF(M258="L","Baixa",IF(M258="A","Média",IF(M258="","","Alta")))</f>
        <v>Baixa</v>
      </c>
      <c r="O258" s="47" t="n">
        <f aca="false">IF(ISBLANK(H258),"",IF(H258="ALI",IF(M258="L",7,IF(M258="A",10,15)),IF(H258="AIE",IF(M258="L",5,IF(M258="A",7,10)),IF(H258="SE",IF(M258="L",4,IF(M258="A",5,7)),IF(OR(H258="EE",H258="CE"),IF(M258="L",3,IF(M258="A",4,6)))))))</f>
        <v>3</v>
      </c>
      <c r="P258" s="48" t="n">
        <f aca="false">IF(I258="I",O258*Contagem!$W$15,IF(I258="E",O258*Contagem!$W$17,IF(I258="A",O258*Contagem!$W$16,IF(I258="T",O258*Contagem!$W$18,""))))</f>
        <v>3</v>
      </c>
      <c r="Q258" s="49" t="s">
        <v>452</v>
      </c>
    </row>
    <row r="259" customFormat="false" ht="12" hidden="false" customHeight="true" outlineLevel="0" collapsed="false">
      <c r="A259" s="40" t="n">
        <f aca="false">IF(H259="",IF(C259="",A258,A258+1),A258)</f>
        <v>34</v>
      </c>
      <c r="B259" s="41" t="str">
        <f aca="false">IF(A259=A258,"",CONCATENATE("F",A259))</f>
        <v/>
      </c>
      <c r="C259" s="42" t="s">
        <v>453</v>
      </c>
      <c r="D259" s="42"/>
      <c r="E259" s="42"/>
      <c r="F259" s="42"/>
      <c r="G259" s="42"/>
      <c r="H259" s="44" t="s">
        <v>62</v>
      </c>
      <c r="I259" s="50" t="s">
        <v>56</v>
      </c>
      <c r="J259" s="44" t="n">
        <v>5</v>
      </c>
      <c r="K259" s="44" t="n">
        <v>1</v>
      </c>
      <c r="L259" s="44" t="str">
        <f aca="false">CONCATENATE(H259,M259)</f>
        <v>EEL</v>
      </c>
      <c r="M259" s="45" t="str">
        <f aca="false">IF(OR(ISBLANK(J259),ISBLANK(K259)),IF(OR(H259="ALI",H259="AIE"),"L",IF(ISBLANK(H259),"","A")),IF(H259="EE",IF(K259&gt;=3,IF(J259&gt;=5,"H","A"),IF(K259&gt;=2,IF(J259&gt;=16,"H",IF(J259&lt;=4,"L","A")),IF(J259&lt;=15,"L","A"))),IF(OR(H259="SE",H259="CE"),IF(K259&gt;=4,IF(J259&gt;=6,"H","A"),IF(K259&gt;=2,IF(J259&gt;=20,"H",IF(J259&lt;=5,"L","A")),IF(J259&lt;=19,"L","A"))),IF(OR(H259="ALI",H259="AIE"),IF(K259&gt;=6,IF(J259&gt;=20,"H","A"),IF(K259&gt;=2,IF(J259&gt;=51,"H",IF(J259&lt;=19,"L","A")),IF(J259&lt;=50,"L","A")))))))</f>
        <v>L</v>
      </c>
      <c r="N259" s="46" t="str">
        <f aca="false">IF(M259="L","Baixa",IF(M259="A","Média",IF(M259="","","Alta")))</f>
        <v>Baixa</v>
      </c>
      <c r="O259" s="47" t="n">
        <f aca="false">IF(ISBLANK(H259),"",IF(H259="ALI",IF(M259="L",7,IF(M259="A",10,15)),IF(H259="AIE",IF(M259="L",5,IF(M259="A",7,10)),IF(H259="SE",IF(M259="L",4,IF(M259="A",5,7)),IF(OR(H259="EE",H259="CE"),IF(M259="L",3,IF(M259="A",4,6)))))))</f>
        <v>3</v>
      </c>
      <c r="P259" s="48" t="n">
        <f aca="false">IF(I259="I",O259*Contagem!$W$15,IF(I259="E",O259*Contagem!$W$17,IF(I259="A",O259*Contagem!$W$16,IF(I259="T",O259*Contagem!$W$18,""))))</f>
        <v>3</v>
      </c>
      <c r="Q259" s="49" t="s">
        <v>454</v>
      </c>
    </row>
    <row r="260" customFormat="false" ht="12" hidden="false" customHeight="true" outlineLevel="0" collapsed="false">
      <c r="A260" s="40" t="n">
        <f aca="false">IF(H260="",IF(C260="",A259,A259+1),A259)</f>
        <v>34</v>
      </c>
      <c r="B260" s="41" t="str">
        <f aca="false">IF(A260=A259,"",CONCATENATE("F",A260))</f>
        <v/>
      </c>
      <c r="C260" s="42" t="s">
        <v>455</v>
      </c>
      <c r="D260" s="42"/>
      <c r="E260" s="42"/>
      <c r="F260" s="42"/>
      <c r="G260" s="42"/>
      <c r="H260" s="44" t="s">
        <v>62</v>
      </c>
      <c r="I260" s="50" t="s">
        <v>56</v>
      </c>
      <c r="J260" s="44" t="n">
        <v>3</v>
      </c>
      <c r="K260" s="44" t="n">
        <v>1</v>
      </c>
      <c r="L260" s="44" t="str">
        <f aca="false">CONCATENATE(H260,M260)</f>
        <v>EEL</v>
      </c>
      <c r="M260" s="45" t="str">
        <f aca="false">IF(OR(ISBLANK(J260),ISBLANK(K260)),IF(OR(H260="ALI",H260="AIE"),"L",IF(ISBLANK(H260),"","A")),IF(H260="EE",IF(K260&gt;=3,IF(J260&gt;=5,"H","A"),IF(K260&gt;=2,IF(J260&gt;=16,"H",IF(J260&lt;=4,"L","A")),IF(J260&lt;=15,"L","A"))),IF(OR(H260="SE",H260="CE"),IF(K260&gt;=4,IF(J260&gt;=6,"H","A"),IF(K260&gt;=2,IF(J260&gt;=20,"H",IF(J260&lt;=5,"L","A")),IF(J260&lt;=19,"L","A"))),IF(OR(H260="ALI",H260="AIE"),IF(K260&gt;=6,IF(J260&gt;=20,"H","A"),IF(K260&gt;=2,IF(J260&gt;=51,"H",IF(J260&lt;=19,"L","A")),IF(J260&lt;=50,"L","A")))))))</f>
        <v>L</v>
      </c>
      <c r="N260" s="46" t="str">
        <f aca="false">IF(M260="L","Baixa",IF(M260="A","Média",IF(M260="","","Alta")))</f>
        <v>Baixa</v>
      </c>
      <c r="O260" s="47" t="n">
        <f aca="false">IF(ISBLANK(H260),"",IF(H260="ALI",IF(M260="L",7,IF(M260="A",10,15)),IF(H260="AIE",IF(M260="L",5,IF(M260="A",7,10)),IF(H260="SE",IF(M260="L",4,IF(M260="A",5,7)),IF(OR(H260="EE",H260="CE"),IF(M260="L",3,IF(M260="A",4,6)))))))</f>
        <v>3</v>
      </c>
      <c r="P260" s="48" t="n">
        <f aca="false">IF(I260="I",O260*Contagem!$W$15,IF(I260="E",O260*Contagem!$W$17,IF(I260="A",O260*Contagem!$W$16,IF(I260="T",O260*Contagem!$W$18,""))))</f>
        <v>3</v>
      </c>
      <c r="Q260" s="49" t="s">
        <v>456</v>
      </c>
    </row>
    <row r="261" customFormat="false" ht="12" hidden="false" customHeight="true" outlineLevel="0" collapsed="false">
      <c r="A261" s="40" t="n">
        <f aca="false">IF(H261="",IF(C261="",A260,A260+1),A260)</f>
        <v>34</v>
      </c>
      <c r="B261" s="41" t="str">
        <f aca="false">IF(A261=A260,"",CONCATENATE("F",A261))</f>
        <v/>
      </c>
      <c r="C261" s="42" t="s">
        <v>457</v>
      </c>
      <c r="D261" s="42"/>
      <c r="E261" s="42"/>
      <c r="F261" s="42"/>
      <c r="G261" s="42"/>
      <c r="H261" s="44" t="s">
        <v>55</v>
      </c>
      <c r="I261" s="50" t="s">
        <v>56</v>
      </c>
      <c r="J261" s="44" t="n">
        <v>3</v>
      </c>
      <c r="K261" s="44" t="n">
        <v>1</v>
      </c>
      <c r="L261" s="44" t="str">
        <f aca="false">CONCATENATE(H261,M261)</f>
        <v>ALIL</v>
      </c>
      <c r="M261" s="45" t="str">
        <f aca="false">IF(OR(ISBLANK(J261),ISBLANK(K261)),IF(OR(H261="ALI",H261="AIE"),"L",IF(ISBLANK(H261),"","A")),IF(H261="EE",IF(K261&gt;=3,IF(J261&gt;=5,"H","A"),IF(K261&gt;=2,IF(J261&gt;=16,"H",IF(J261&lt;=4,"L","A")),IF(J261&lt;=15,"L","A"))),IF(OR(H261="SE",H261="CE"),IF(K261&gt;=4,IF(J261&gt;=6,"H","A"),IF(K261&gt;=2,IF(J261&gt;=20,"H",IF(J261&lt;=5,"L","A")),IF(J261&lt;=19,"L","A"))),IF(OR(H261="ALI",H261="AIE"),IF(K261&gt;=6,IF(J261&gt;=20,"H","A"),IF(K261&gt;=2,IF(J261&gt;=51,"H",IF(J261&lt;=19,"L","A")),IF(J261&lt;=50,"L","A")))))))</f>
        <v>L</v>
      </c>
      <c r="N261" s="46" t="str">
        <f aca="false">IF(M261="L","Baixa",IF(M261="A","Média",IF(M261="","","Alta")))</f>
        <v>Baixa</v>
      </c>
      <c r="O261" s="47" t="n">
        <f aca="false">IF(ISBLANK(H261),"",IF(H261="ALI",IF(M261="L",7,IF(M261="A",10,15)),IF(H261="AIE",IF(M261="L",5,IF(M261="A",7,10)),IF(H261="SE",IF(M261="L",4,IF(M261="A",5,7)),IF(OR(H261="EE",H261="CE"),IF(M261="L",3,IF(M261="A",4,6)))))))</f>
        <v>7</v>
      </c>
      <c r="P261" s="48" t="n">
        <f aca="false">IF(I261="I",O261*Contagem!$W$15,IF(I261="E",O261*Contagem!$W$17,IF(I261="A",O261*Contagem!$W$16,IF(I261="T",O261*Contagem!$W$18,""))))</f>
        <v>7</v>
      </c>
      <c r="Q261" s="49" t="s">
        <v>458</v>
      </c>
    </row>
    <row r="262" customFormat="false" ht="12" hidden="false" customHeight="true" outlineLevel="0" collapsed="false">
      <c r="A262" s="40" t="n">
        <f aca="false">IF(H262="",IF(C262="",A261,A261+1),A261)</f>
        <v>34</v>
      </c>
      <c r="B262" s="41" t="str">
        <f aca="false">IF(A262=A261,"",CONCATENATE("F",A262))</f>
        <v/>
      </c>
      <c r="C262" s="42" t="s">
        <v>459</v>
      </c>
      <c r="D262" s="42"/>
      <c r="E262" s="42"/>
      <c r="F262" s="42"/>
      <c r="G262" s="42"/>
      <c r="H262" s="44" t="s">
        <v>80</v>
      </c>
      <c r="I262" s="50" t="s">
        <v>56</v>
      </c>
      <c r="J262" s="44" t="n">
        <v>3</v>
      </c>
      <c r="K262" s="44" t="n">
        <v>1</v>
      </c>
      <c r="L262" s="44" t="str">
        <f aca="false">CONCATENATE(H262,M262)</f>
        <v>CEL</v>
      </c>
      <c r="M262" s="45" t="str">
        <f aca="false">IF(OR(ISBLANK(J262),ISBLANK(K262)),IF(OR(H262="ALI",H262="AIE"),"L",IF(ISBLANK(H262),"","A")),IF(H262="EE",IF(K262&gt;=3,IF(J262&gt;=5,"H","A"),IF(K262&gt;=2,IF(J262&gt;=16,"H",IF(J262&lt;=4,"L","A")),IF(J262&lt;=15,"L","A"))),IF(OR(H262="SE",H262="CE"),IF(K262&gt;=4,IF(J262&gt;=6,"H","A"),IF(K262&gt;=2,IF(J262&gt;=20,"H",IF(J262&lt;=5,"L","A")),IF(J262&lt;=19,"L","A"))),IF(OR(H262="ALI",H262="AIE"),IF(K262&gt;=6,IF(J262&gt;=20,"H","A"),IF(K262&gt;=2,IF(J262&gt;=51,"H",IF(J262&lt;=19,"L","A")),IF(J262&lt;=50,"L","A")))))))</f>
        <v>L</v>
      </c>
      <c r="N262" s="46" t="str">
        <f aca="false">IF(M262="L","Baixa",IF(M262="A","Média",IF(M262="","","Alta")))</f>
        <v>Baixa</v>
      </c>
      <c r="O262" s="47" t="n">
        <f aca="false">IF(ISBLANK(H262),"",IF(H262="ALI",IF(M262="L",7,IF(M262="A",10,15)),IF(H262="AIE",IF(M262="L",5,IF(M262="A",7,10)),IF(H262="SE",IF(M262="L",4,IF(M262="A",5,7)),IF(OR(H262="EE",H262="CE"),IF(M262="L",3,IF(M262="A",4,6)))))))</f>
        <v>3</v>
      </c>
      <c r="P262" s="48" t="n">
        <f aca="false">IF(I262="I",O262*Contagem!$W$15,IF(I262="E",O262*Contagem!$W$17,IF(I262="A",O262*Contagem!$W$16,IF(I262="T",O262*Contagem!$W$18,""))))</f>
        <v>3</v>
      </c>
      <c r="Q262" s="49" t="s">
        <v>460</v>
      </c>
    </row>
    <row r="263" customFormat="false" ht="12" hidden="false" customHeight="true" outlineLevel="0" collapsed="false">
      <c r="A263" s="40" t="n">
        <f aca="false">IF(H263="",IF(C263="",A262,A262+1),A262)</f>
        <v>34</v>
      </c>
      <c r="B263" s="41" t="str">
        <f aca="false">IF(A263=A262,"",CONCATENATE("F",A263))</f>
        <v/>
      </c>
      <c r="C263" s="42" t="s">
        <v>461</v>
      </c>
      <c r="D263" s="42"/>
      <c r="E263" s="42"/>
      <c r="F263" s="42"/>
      <c r="G263" s="42"/>
      <c r="H263" s="44" t="s">
        <v>62</v>
      </c>
      <c r="I263" s="50" t="s">
        <v>56</v>
      </c>
      <c r="J263" s="44" t="n">
        <v>4</v>
      </c>
      <c r="K263" s="44" t="n">
        <v>1</v>
      </c>
      <c r="L263" s="44" t="str">
        <f aca="false">CONCATENATE(H263,M263)</f>
        <v>EEL</v>
      </c>
      <c r="M263" s="45" t="str">
        <f aca="false">IF(OR(ISBLANK(J263),ISBLANK(K263)),IF(OR(H263="ALI",H263="AIE"),"L",IF(ISBLANK(H263),"","A")),IF(H263="EE",IF(K263&gt;=3,IF(J263&gt;=5,"H","A"),IF(K263&gt;=2,IF(J263&gt;=16,"H",IF(J263&lt;=4,"L","A")),IF(J263&lt;=15,"L","A"))),IF(OR(H263="SE",H263="CE"),IF(K263&gt;=4,IF(J263&gt;=6,"H","A"),IF(K263&gt;=2,IF(J263&gt;=20,"H",IF(J263&lt;=5,"L","A")),IF(J263&lt;=19,"L","A"))),IF(OR(H263="ALI",H263="AIE"),IF(K263&gt;=6,IF(J263&gt;=20,"H","A"),IF(K263&gt;=2,IF(J263&gt;=51,"H",IF(J263&lt;=19,"L","A")),IF(J263&lt;=50,"L","A")))))))</f>
        <v>L</v>
      </c>
      <c r="N263" s="46" t="str">
        <f aca="false">IF(M263="L","Baixa",IF(M263="A","Média",IF(M263="","","Alta")))</f>
        <v>Baixa</v>
      </c>
      <c r="O263" s="47" t="n">
        <f aca="false">IF(ISBLANK(H263),"",IF(H263="ALI",IF(M263="L",7,IF(M263="A",10,15)),IF(H263="AIE",IF(M263="L",5,IF(M263="A",7,10)),IF(H263="SE",IF(M263="L",4,IF(M263="A",5,7)),IF(OR(H263="EE",H263="CE"),IF(M263="L",3,IF(M263="A",4,6)))))))</f>
        <v>3</v>
      </c>
      <c r="P263" s="48" t="n">
        <f aca="false">IF(I263="I",O263*Contagem!$W$15,IF(I263="E",O263*Contagem!$W$17,IF(I263="A",O263*Contagem!$W$16,IF(I263="T",O263*Contagem!$W$18,""))))</f>
        <v>3</v>
      </c>
      <c r="Q263" s="49" t="s">
        <v>462</v>
      </c>
    </row>
    <row r="264" customFormat="false" ht="12" hidden="false" customHeight="true" outlineLevel="0" collapsed="false">
      <c r="A264" s="40" t="n">
        <f aca="false">IF(H264="",IF(C264="",A263,A263+1),A263)</f>
        <v>34</v>
      </c>
      <c r="B264" s="41" t="str">
        <f aca="false">IF(A264=A263,"",CONCATENATE("F",A264))</f>
        <v/>
      </c>
      <c r="C264" s="42" t="s">
        <v>463</v>
      </c>
      <c r="D264" s="42"/>
      <c r="E264" s="42"/>
      <c r="F264" s="42"/>
      <c r="G264" s="42"/>
      <c r="H264" s="44" t="s">
        <v>62</v>
      </c>
      <c r="I264" s="50" t="s">
        <v>56</v>
      </c>
      <c r="J264" s="44" t="n">
        <v>4</v>
      </c>
      <c r="K264" s="44" t="n">
        <v>1</v>
      </c>
      <c r="L264" s="44" t="str">
        <f aca="false">CONCATENATE(H264,M264)</f>
        <v>EEL</v>
      </c>
      <c r="M264" s="45" t="str">
        <f aca="false">IF(OR(ISBLANK(J264),ISBLANK(K264)),IF(OR(H264="ALI",H264="AIE"),"L",IF(ISBLANK(H264),"","A")),IF(H264="EE",IF(K264&gt;=3,IF(J264&gt;=5,"H","A"),IF(K264&gt;=2,IF(J264&gt;=16,"H",IF(J264&lt;=4,"L","A")),IF(J264&lt;=15,"L","A"))),IF(OR(H264="SE",H264="CE"),IF(K264&gt;=4,IF(J264&gt;=6,"H","A"),IF(K264&gt;=2,IF(J264&gt;=20,"H",IF(J264&lt;=5,"L","A")),IF(J264&lt;=19,"L","A"))),IF(OR(H264="ALI",H264="AIE"),IF(K264&gt;=6,IF(J264&gt;=20,"H","A"),IF(K264&gt;=2,IF(J264&gt;=51,"H",IF(J264&lt;=19,"L","A")),IF(J264&lt;=50,"L","A")))))))</f>
        <v>L</v>
      </c>
      <c r="N264" s="46" t="str">
        <f aca="false">IF(M264="L","Baixa",IF(M264="A","Média",IF(M264="","","Alta")))</f>
        <v>Baixa</v>
      </c>
      <c r="O264" s="47" t="n">
        <f aca="false">IF(ISBLANK(H264),"",IF(H264="ALI",IF(M264="L",7,IF(M264="A",10,15)),IF(H264="AIE",IF(M264="L",5,IF(M264="A",7,10)),IF(H264="SE",IF(M264="L",4,IF(M264="A",5,7)),IF(OR(H264="EE",H264="CE"),IF(M264="L",3,IF(M264="A",4,6)))))))</f>
        <v>3</v>
      </c>
      <c r="P264" s="48" t="n">
        <f aca="false">IF(I264="I",O264*Contagem!$W$15,IF(I264="E",O264*Contagem!$W$17,IF(I264="A",O264*Contagem!$W$16,IF(I264="T",O264*Contagem!$W$18,""))))</f>
        <v>3</v>
      </c>
      <c r="Q264" s="49" t="s">
        <v>464</v>
      </c>
    </row>
    <row r="265" customFormat="false" ht="12" hidden="false" customHeight="true" outlineLevel="0" collapsed="false">
      <c r="A265" s="40" t="n">
        <f aca="false">IF(H265="",IF(C265="",A264,A264+1),A264)</f>
        <v>34</v>
      </c>
      <c r="B265" s="41" t="str">
        <f aca="false">IF(A265=A264,"",CONCATENATE("F",A265))</f>
        <v/>
      </c>
      <c r="C265" s="42" t="s">
        <v>465</v>
      </c>
      <c r="D265" s="42"/>
      <c r="E265" s="42"/>
      <c r="F265" s="42"/>
      <c r="G265" s="42"/>
      <c r="H265" s="44" t="s">
        <v>62</v>
      </c>
      <c r="I265" s="50" t="s">
        <v>56</v>
      </c>
      <c r="J265" s="44" t="n">
        <v>3</v>
      </c>
      <c r="K265" s="44" t="n">
        <v>1</v>
      </c>
      <c r="L265" s="44" t="str">
        <f aca="false">CONCATENATE(H265,M265)</f>
        <v>EEL</v>
      </c>
      <c r="M265" s="45" t="str">
        <f aca="false">IF(OR(ISBLANK(J265),ISBLANK(K265)),IF(OR(H265="ALI",H265="AIE"),"L",IF(ISBLANK(H265),"","A")),IF(H265="EE",IF(K265&gt;=3,IF(J265&gt;=5,"H","A"),IF(K265&gt;=2,IF(J265&gt;=16,"H",IF(J265&lt;=4,"L","A")),IF(J265&lt;=15,"L","A"))),IF(OR(H265="SE",H265="CE"),IF(K265&gt;=4,IF(J265&gt;=6,"H","A"),IF(K265&gt;=2,IF(J265&gt;=20,"H",IF(J265&lt;=5,"L","A")),IF(J265&lt;=19,"L","A"))),IF(OR(H265="ALI",H265="AIE"),IF(K265&gt;=6,IF(J265&gt;=20,"H","A"),IF(K265&gt;=2,IF(J265&gt;=51,"H",IF(J265&lt;=19,"L","A")),IF(J265&lt;=50,"L","A")))))))</f>
        <v>L</v>
      </c>
      <c r="N265" s="46" t="str">
        <f aca="false">IF(M265="L","Baixa",IF(M265="A","Média",IF(M265="","","Alta")))</f>
        <v>Baixa</v>
      </c>
      <c r="O265" s="47" t="n">
        <f aca="false">IF(ISBLANK(H265),"",IF(H265="ALI",IF(M265="L",7,IF(M265="A",10,15)),IF(H265="AIE",IF(M265="L",5,IF(M265="A",7,10)),IF(H265="SE",IF(M265="L",4,IF(M265="A",5,7)),IF(OR(H265="EE",H265="CE"),IF(M265="L",3,IF(M265="A",4,6)))))))</f>
        <v>3</v>
      </c>
      <c r="P265" s="48" t="n">
        <f aca="false">IF(I265="I",O265*Contagem!$W$15,IF(I265="E",O265*Contagem!$W$17,IF(I265="A",O265*Contagem!$W$16,IF(I265="T",O265*Contagem!$W$18,""))))</f>
        <v>3</v>
      </c>
      <c r="Q265" s="49" t="s">
        <v>466</v>
      </c>
    </row>
    <row r="266" customFormat="false" ht="12" hidden="false" customHeight="true" outlineLevel="0" collapsed="false">
      <c r="A266" s="40" t="n">
        <f aca="false">IF(H266="",IF(C266="",A265,A265+1),A265)</f>
        <v>34</v>
      </c>
      <c r="B266" s="41" t="str">
        <f aca="false">IF(A266=A265,"",CONCATENATE("F",A266))</f>
        <v/>
      </c>
      <c r="C266" s="42"/>
      <c r="D266" s="42"/>
      <c r="E266" s="42"/>
      <c r="F266" s="42"/>
      <c r="G266" s="42"/>
      <c r="H266" s="44"/>
      <c r="I266" s="50"/>
      <c r="J266" s="44"/>
      <c r="K266" s="44"/>
      <c r="L266" s="44" t="str">
        <f aca="false">CONCATENATE(H266,M266)</f>
        <v/>
      </c>
      <c r="M266" s="45" t="str">
        <f aca="false">IF(OR(ISBLANK(J266),ISBLANK(K266)),IF(OR(H266="ALI",H266="AIE"),"L",IF(ISBLANK(H266),"","A")),IF(H266="EE",IF(K266&gt;=3,IF(J266&gt;=5,"H","A"),IF(K266&gt;=2,IF(J266&gt;=16,"H",IF(J266&lt;=4,"L","A")),IF(J266&lt;=15,"L","A"))),IF(OR(H266="SE",H266="CE"),IF(K266&gt;=4,IF(J266&gt;=6,"H","A"),IF(K266&gt;=2,IF(J266&gt;=20,"H",IF(J266&lt;=5,"L","A")),IF(J266&lt;=19,"L","A"))),IF(OR(H266="ALI",H266="AIE"),IF(K266&gt;=6,IF(J266&gt;=20,"H","A"),IF(K266&gt;=2,IF(J266&gt;=51,"H",IF(J266&lt;=19,"L","A")),IF(J266&lt;=50,"L","A")))))))</f>
        <v/>
      </c>
      <c r="N266" s="46" t="str">
        <f aca="false">IF(M266="L","Baixa",IF(M266="A","Média",IF(M266="","","Alta")))</f>
        <v/>
      </c>
      <c r="O266" s="47" t="str">
        <f aca="false">IF(ISBLANK(H266),"",IF(H266="ALI",IF(M266="L",7,IF(M266="A",10,15)),IF(H266="AIE",IF(M266="L",5,IF(M266="A",7,10)),IF(H266="SE",IF(M266="L",4,IF(M266="A",5,7)),IF(OR(H266="EE",H266="CE"),IF(M266="L",3,IF(M266="A",4,6)))))))</f>
        <v/>
      </c>
      <c r="P266" s="48" t="str">
        <f aca="false">IF(I266="I",O266*Contagem!$W$15,IF(I266="E",O266*Contagem!$W$17,IF(I266="A",O266*Contagem!$W$16,IF(I266="T",O266*Contagem!$W$18,""))))</f>
        <v/>
      </c>
      <c r="Q266" s="49"/>
    </row>
    <row r="267" customFormat="false" ht="12" hidden="false" customHeight="true" outlineLevel="0" collapsed="false">
      <c r="A267" s="40" t="n">
        <f aca="false">IF(H267="",IF(C267="",A266,A266+1),A266)</f>
        <v>35</v>
      </c>
      <c r="B267" s="41" t="str">
        <f aca="false">IF(A267=A266,"",CONCATENATE("F",A267))</f>
        <v>F35</v>
      </c>
      <c r="C267" s="42" t="s">
        <v>467</v>
      </c>
      <c r="D267" s="42"/>
      <c r="E267" s="42"/>
      <c r="F267" s="42"/>
      <c r="G267" s="42"/>
      <c r="H267" s="44"/>
      <c r="I267" s="50"/>
      <c r="J267" s="44"/>
      <c r="K267" s="44"/>
      <c r="L267" s="44" t="str">
        <f aca="false">CONCATENATE(H267,M267)</f>
        <v/>
      </c>
      <c r="M267" s="45" t="str">
        <f aca="false">IF(OR(ISBLANK(J267),ISBLANK(K267)),IF(OR(H267="ALI",H267="AIE"),"L",IF(ISBLANK(H267),"","A")),IF(H267="EE",IF(K267&gt;=3,IF(J267&gt;=5,"H","A"),IF(K267&gt;=2,IF(J267&gt;=16,"H",IF(J267&lt;=4,"L","A")),IF(J267&lt;=15,"L","A"))),IF(OR(H267="SE",H267="CE"),IF(K267&gt;=4,IF(J267&gt;=6,"H","A"),IF(K267&gt;=2,IF(J267&gt;=20,"H",IF(J267&lt;=5,"L","A")),IF(J267&lt;=19,"L","A"))),IF(OR(H267="ALI",H267="AIE"),IF(K267&gt;=6,IF(J267&gt;=20,"H","A"),IF(K267&gt;=2,IF(J267&gt;=51,"H",IF(J267&lt;=19,"L","A")),IF(J267&lt;=50,"L","A")))))))</f>
        <v/>
      </c>
      <c r="N267" s="46" t="str">
        <f aca="false">IF(M267="L","Baixa",IF(M267="A","Média",IF(M267="","","Alta")))</f>
        <v/>
      </c>
      <c r="O267" s="47" t="str">
        <f aca="false">IF(ISBLANK(H267),"",IF(H267="ALI",IF(M267="L",7,IF(M267="A",10,15)),IF(H267="AIE",IF(M267="L",5,IF(M267="A",7,10)),IF(H267="SE",IF(M267="L",4,IF(M267="A",5,7)),IF(OR(H267="EE",H267="CE"),IF(M267="L",3,IF(M267="A",4,6)))))))</f>
        <v/>
      </c>
      <c r="P267" s="48" t="str">
        <f aca="false">IF(I267="I",O267*Contagem!$W$15,IF(I267="E",O267*Contagem!$W$17,IF(I267="A",O267*Contagem!$W$16,IF(I267="T",O267*Contagem!$W$18,""))))</f>
        <v/>
      </c>
      <c r="Q267" s="49"/>
    </row>
    <row r="268" customFormat="false" ht="12" hidden="false" customHeight="true" outlineLevel="0" collapsed="false">
      <c r="A268" s="40" t="n">
        <f aca="false">IF(H268="",IF(C268="",A267,A267+1),A267)</f>
        <v>35</v>
      </c>
      <c r="B268" s="41" t="str">
        <f aca="false">IF(A268=A267,"",CONCATENATE("F",A268))</f>
        <v/>
      </c>
      <c r="C268" s="42" t="s">
        <v>468</v>
      </c>
      <c r="D268" s="42"/>
      <c r="E268" s="42"/>
      <c r="F268" s="42"/>
      <c r="G268" s="42"/>
      <c r="H268" s="44" t="s">
        <v>55</v>
      </c>
      <c r="I268" s="50" t="s">
        <v>56</v>
      </c>
      <c r="J268" s="44" t="n">
        <v>18</v>
      </c>
      <c r="K268" s="44" t="n">
        <v>3</v>
      </c>
      <c r="L268" s="44" t="str">
        <f aca="false">CONCATENATE(H268,M268)</f>
        <v>ALIL</v>
      </c>
      <c r="M268" s="45" t="str">
        <f aca="false">IF(OR(ISBLANK(J268),ISBLANK(K268)),IF(OR(H268="ALI",H268="AIE"),"L",IF(ISBLANK(H268),"","A")),IF(H268="EE",IF(K268&gt;=3,IF(J268&gt;=5,"H","A"),IF(K268&gt;=2,IF(J268&gt;=16,"H",IF(J268&lt;=4,"L","A")),IF(J268&lt;=15,"L","A"))),IF(OR(H268="SE",H268="CE"),IF(K268&gt;=4,IF(J268&gt;=6,"H","A"),IF(K268&gt;=2,IF(J268&gt;=20,"H",IF(J268&lt;=5,"L","A")),IF(J268&lt;=19,"L","A"))),IF(OR(H268="ALI",H268="AIE"),IF(K268&gt;=6,IF(J268&gt;=20,"H","A"),IF(K268&gt;=2,IF(J268&gt;=51,"H",IF(J268&lt;=19,"L","A")),IF(J268&lt;=50,"L","A")))))))</f>
        <v>L</v>
      </c>
      <c r="N268" s="46" t="str">
        <f aca="false">IF(M268="L","Baixa",IF(M268="A","Média",IF(M268="","","Alta")))</f>
        <v>Baixa</v>
      </c>
      <c r="O268" s="47" t="n">
        <f aca="false">IF(ISBLANK(H268),"",IF(H268="ALI",IF(M268="L",7,IF(M268="A",10,15)),IF(H268="AIE",IF(M268="L",5,IF(M268="A",7,10)),IF(H268="SE",IF(M268="L",4,IF(M268="A",5,7)),IF(OR(H268="EE",H268="CE"),IF(M268="L",3,IF(M268="A",4,6)))))))</f>
        <v>7</v>
      </c>
      <c r="P268" s="48" t="n">
        <f aca="false">IF(I268="I",O268*Contagem!$W$15,IF(I268="E",O268*Contagem!$W$17,IF(I268="A",O268*Contagem!$W$16,IF(I268="T",O268*Contagem!$W$18,""))))</f>
        <v>7</v>
      </c>
      <c r="Q268" s="49" t="s">
        <v>469</v>
      </c>
    </row>
    <row r="269" customFormat="false" ht="12" hidden="false" customHeight="true" outlineLevel="0" collapsed="false">
      <c r="A269" s="40" t="n">
        <f aca="false">IF(H269="",IF(C269="",A268,A268+1),A268)</f>
        <v>35</v>
      </c>
      <c r="B269" s="41" t="str">
        <f aca="false">IF(A269=A268,"",CONCATENATE("F",A269))</f>
        <v/>
      </c>
      <c r="C269" s="42" t="s">
        <v>470</v>
      </c>
      <c r="D269" s="42"/>
      <c r="E269" s="42"/>
      <c r="F269" s="42"/>
      <c r="G269" s="42"/>
      <c r="H269" s="44" t="s">
        <v>80</v>
      </c>
      <c r="I269" s="50" t="s">
        <v>56</v>
      </c>
      <c r="J269" s="44" t="n">
        <v>28</v>
      </c>
      <c r="K269" s="44" t="n">
        <v>3</v>
      </c>
      <c r="L269" s="44" t="str">
        <f aca="false">CONCATENATE(H269,M269)</f>
        <v>CEH</v>
      </c>
      <c r="M269" s="45" t="str">
        <f aca="false">IF(OR(ISBLANK(J269),ISBLANK(K269)),IF(OR(H269="ALI",H269="AIE"),"L",IF(ISBLANK(H269),"","A")),IF(H269="EE",IF(K269&gt;=3,IF(J269&gt;=5,"H","A"),IF(K269&gt;=2,IF(J269&gt;=16,"H",IF(J269&lt;=4,"L","A")),IF(J269&lt;=15,"L","A"))),IF(OR(H269="SE",H269="CE"),IF(K269&gt;=4,IF(J269&gt;=6,"H","A"),IF(K269&gt;=2,IF(J269&gt;=20,"H",IF(J269&lt;=5,"L","A")),IF(J269&lt;=19,"L","A"))),IF(OR(H269="ALI",H269="AIE"),IF(K269&gt;=6,IF(J269&gt;=20,"H","A"),IF(K269&gt;=2,IF(J269&gt;=51,"H",IF(J269&lt;=19,"L","A")),IF(J269&lt;=50,"L","A")))))))</f>
        <v>H</v>
      </c>
      <c r="N269" s="46" t="str">
        <f aca="false">IF(M269="L","Baixa",IF(M269="A","Média",IF(M269="","","Alta")))</f>
        <v>Alta</v>
      </c>
      <c r="O269" s="47" t="n">
        <f aca="false">IF(ISBLANK(H269),"",IF(H269="ALI",IF(M269="L",7,IF(M269="A",10,15)),IF(H269="AIE",IF(M269="L",5,IF(M269="A",7,10)),IF(H269="SE",IF(M269="L",4,IF(M269="A",5,7)),IF(OR(H269="EE",H269="CE"),IF(M269="L",3,IF(M269="A",4,6)))))))</f>
        <v>6</v>
      </c>
      <c r="P269" s="48" t="n">
        <f aca="false">IF(I269="I",O269*Contagem!$W$15,IF(I269="E",O269*Contagem!$W$17,IF(I269="A",O269*Contagem!$W$16,IF(I269="T",O269*Contagem!$W$18,""))))</f>
        <v>6</v>
      </c>
      <c r="Q269" s="49" t="s">
        <v>471</v>
      </c>
    </row>
    <row r="270" customFormat="false" ht="12" hidden="false" customHeight="true" outlineLevel="0" collapsed="false">
      <c r="A270" s="40" t="n">
        <f aca="false">IF(H270="",IF(C270="",A269,A269+1),A269)</f>
        <v>35</v>
      </c>
      <c r="B270" s="41" t="str">
        <f aca="false">IF(A270=A269,"",CONCATENATE("F",A270))</f>
        <v/>
      </c>
      <c r="C270" s="42" t="s">
        <v>472</v>
      </c>
      <c r="D270" s="42"/>
      <c r="E270" s="42"/>
      <c r="F270" s="42"/>
      <c r="G270" s="42"/>
      <c r="H270" s="44" t="s">
        <v>62</v>
      </c>
      <c r="I270" s="50" t="s">
        <v>56</v>
      </c>
      <c r="J270" s="44" t="n">
        <v>17</v>
      </c>
      <c r="K270" s="44" t="n">
        <v>3</v>
      </c>
      <c r="L270" s="44" t="str">
        <f aca="false">CONCATENATE(H270,M270)</f>
        <v>EEH</v>
      </c>
      <c r="M270" s="45" t="str">
        <f aca="false">IF(OR(ISBLANK(J270),ISBLANK(K270)),IF(OR(H270="ALI",H270="AIE"),"L",IF(ISBLANK(H270),"","A")),IF(H270="EE",IF(K270&gt;=3,IF(J270&gt;=5,"H","A"),IF(K270&gt;=2,IF(J270&gt;=16,"H",IF(J270&lt;=4,"L","A")),IF(J270&lt;=15,"L","A"))),IF(OR(H270="SE",H270="CE"),IF(K270&gt;=4,IF(J270&gt;=6,"H","A"),IF(K270&gt;=2,IF(J270&gt;=20,"H",IF(J270&lt;=5,"L","A")),IF(J270&lt;=19,"L","A"))),IF(OR(H270="ALI",H270="AIE"),IF(K270&gt;=6,IF(J270&gt;=20,"H","A"),IF(K270&gt;=2,IF(J270&gt;=51,"H",IF(J270&lt;=19,"L","A")),IF(J270&lt;=50,"L","A")))))))</f>
        <v>H</v>
      </c>
      <c r="N270" s="46" t="str">
        <f aca="false">IF(M270="L","Baixa",IF(M270="A","Média",IF(M270="","","Alta")))</f>
        <v>Alta</v>
      </c>
      <c r="O270" s="47" t="n">
        <f aca="false">IF(ISBLANK(H270),"",IF(H270="ALI",IF(M270="L",7,IF(M270="A",10,15)),IF(H270="AIE",IF(M270="L",5,IF(M270="A",7,10)),IF(H270="SE",IF(M270="L",4,IF(M270="A",5,7)),IF(OR(H270="EE",H270="CE"),IF(M270="L",3,IF(M270="A",4,6)))))))</f>
        <v>6</v>
      </c>
      <c r="P270" s="48" t="n">
        <f aca="false">IF(I270="I",O270*Contagem!$W$15,IF(I270="E",O270*Contagem!$W$17,IF(I270="A",O270*Contagem!$W$16,IF(I270="T",O270*Contagem!$W$18,""))))</f>
        <v>6</v>
      </c>
      <c r="Q270" s="49" t="s">
        <v>473</v>
      </c>
    </row>
    <row r="271" customFormat="false" ht="12" hidden="false" customHeight="true" outlineLevel="0" collapsed="false">
      <c r="A271" s="40" t="n">
        <f aca="false">IF(H271="",IF(C271="",A270,A270+1),A270)</f>
        <v>35</v>
      </c>
      <c r="B271" s="41" t="str">
        <f aca="false">IF(A271=A270,"",CONCATENATE("F",A271))</f>
        <v/>
      </c>
      <c r="C271" s="42" t="s">
        <v>474</v>
      </c>
      <c r="D271" s="42"/>
      <c r="E271" s="42"/>
      <c r="F271" s="42"/>
      <c r="G271" s="42"/>
      <c r="H271" s="44" t="s">
        <v>62</v>
      </c>
      <c r="I271" s="50" t="s">
        <v>56</v>
      </c>
      <c r="J271" s="44" t="n">
        <v>4</v>
      </c>
      <c r="K271" s="44" t="n">
        <v>2</v>
      </c>
      <c r="L271" s="44" t="str">
        <f aca="false">CONCATENATE(H271,M271)</f>
        <v>EEL</v>
      </c>
      <c r="M271" s="45" t="str">
        <f aca="false">IF(OR(ISBLANK(J271),ISBLANK(K271)),IF(OR(H271="ALI",H271="AIE"),"L",IF(ISBLANK(H271),"","A")),IF(H271="EE",IF(K271&gt;=3,IF(J271&gt;=5,"H","A"),IF(K271&gt;=2,IF(J271&gt;=16,"H",IF(J271&lt;=4,"L","A")),IF(J271&lt;=15,"L","A"))),IF(OR(H271="SE",H271="CE"),IF(K271&gt;=4,IF(J271&gt;=6,"H","A"),IF(K271&gt;=2,IF(J271&gt;=20,"H",IF(J271&lt;=5,"L","A")),IF(J271&lt;=19,"L","A"))),IF(OR(H271="ALI",H271="AIE"),IF(K271&gt;=6,IF(J271&gt;=20,"H","A"),IF(K271&gt;=2,IF(J271&gt;=51,"H",IF(J271&lt;=19,"L","A")),IF(J271&lt;=50,"L","A")))))))</f>
        <v>L</v>
      </c>
      <c r="N271" s="46" t="str">
        <f aca="false">IF(M271="L","Baixa",IF(M271="A","Média",IF(M271="","","Alta")))</f>
        <v>Baixa</v>
      </c>
      <c r="O271" s="47" t="n">
        <f aca="false">IF(ISBLANK(H271),"",IF(H271="ALI",IF(M271="L",7,IF(M271="A",10,15)),IF(H271="AIE",IF(M271="L",5,IF(M271="A",7,10)),IF(H271="SE",IF(M271="L",4,IF(M271="A",5,7)),IF(OR(H271="EE",H271="CE"),IF(M271="L",3,IF(M271="A",4,6)))))))</f>
        <v>3</v>
      </c>
      <c r="P271" s="48" t="n">
        <f aca="false">IF(I271="I",O271*Contagem!$W$15,IF(I271="E",O271*Contagem!$W$17,IF(I271="A",O271*Contagem!$W$16,IF(I271="T",O271*Contagem!$W$18,""))))</f>
        <v>3</v>
      </c>
      <c r="Q271" s="49" t="s">
        <v>475</v>
      </c>
    </row>
    <row r="272" customFormat="false" ht="12" hidden="false" customHeight="true" outlineLevel="0" collapsed="false">
      <c r="A272" s="40" t="n">
        <f aca="false">IF(H272="",IF(C272="",A271,A271+1),A271)</f>
        <v>35</v>
      </c>
      <c r="B272" s="41" t="str">
        <f aca="false">IF(A272=A271,"",CONCATENATE("F",A272))</f>
        <v/>
      </c>
      <c r="C272" s="42" t="s">
        <v>476</v>
      </c>
      <c r="D272" s="42"/>
      <c r="E272" s="42"/>
      <c r="F272" s="42"/>
      <c r="G272" s="42"/>
      <c r="H272" s="44" t="s">
        <v>62</v>
      </c>
      <c r="I272" s="50" t="s">
        <v>56</v>
      </c>
      <c r="J272" s="44" t="n">
        <v>2</v>
      </c>
      <c r="K272" s="44" t="n">
        <v>2</v>
      </c>
      <c r="L272" s="44" t="str">
        <f aca="false">CONCATENATE(H272,M272)</f>
        <v>EEL</v>
      </c>
      <c r="M272" s="45" t="str">
        <f aca="false">IF(OR(ISBLANK(J272),ISBLANK(K272)),IF(OR(H272="ALI",H272="AIE"),"L",IF(ISBLANK(H272),"","A")),IF(H272="EE",IF(K272&gt;=3,IF(J272&gt;=5,"H","A"),IF(K272&gt;=2,IF(J272&gt;=16,"H",IF(J272&lt;=4,"L","A")),IF(J272&lt;=15,"L","A"))),IF(OR(H272="SE",H272="CE"),IF(K272&gt;=4,IF(J272&gt;=6,"H","A"),IF(K272&gt;=2,IF(J272&gt;=20,"H",IF(J272&lt;=5,"L","A")),IF(J272&lt;=19,"L","A"))),IF(OR(H272="ALI",H272="AIE"),IF(K272&gt;=6,IF(J272&gt;=20,"H","A"),IF(K272&gt;=2,IF(J272&gt;=51,"H",IF(J272&lt;=19,"L","A")),IF(J272&lt;=50,"L","A")))))))</f>
        <v>L</v>
      </c>
      <c r="N272" s="46" t="str">
        <f aca="false">IF(M272="L","Baixa",IF(M272="A","Média",IF(M272="","","Alta")))</f>
        <v>Baixa</v>
      </c>
      <c r="O272" s="47" t="n">
        <f aca="false">IF(ISBLANK(H272),"",IF(H272="ALI",IF(M272="L",7,IF(M272="A",10,15)),IF(H272="AIE",IF(M272="L",5,IF(M272="A",7,10)),IF(H272="SE",IF(M272="L",4,IF(M272="A",5,7)),IF(OR(H272="EE",H272="CE"),IF(M272="L",3,IF(M272="A",4,6)))))))</f>
        <v>3</v>
      </c>
      <c r="P272" s="48" t="n">
        <f aca="false">IF(I272="I",O272*Contagem!$W$15,IF(I272="E",O272*Contagem!$W$17,IF(I272="A",O272*Contagem!$W$16,IF(I272="T",O272*Contagem!$W$18,""))))</f>
        <v>3</v>
      </c>
      <c r="Q272" s="49" t="s">
        <v>477</v>
      </c>
    </row>
    <row r="273" customFormat="false" ht="12" hidden="false" customHeight="true" outlineLevel="0" collapsed="false">
      <c r="A273" s="40" t="n">
        <f aca="false">IF(H273="",IF(C273="",A272,A272+1),A272)</f>
        <v>35</v>
      </c>
      <c r="B273" s="41" t="str">
        <f aca="false">IF(A273=A272,"",CONCATENATE("F",A273))</f>
        <v/>
      </c>
      <c r="C273" s="42"/>
      <c r="D273" s="42"/>
      <c r="E273" s="42"/>
      <c r="F273" s="42"/>
      <c r="G273" s="42"/>
      <c r="H273" s="44"/>
      <c r="I273" s="50"/>
      <c r="J273" s="44"/>
      <c r="K273" s="44"/>
      <c r="L273" s="44" t="str">
        <f aca="false">CONCATENATE(H273,M273)</f>
        <v/>
      </c>
      <c r="M273" s="45" t="str">
        <f aca="false">IF(OR(ISBLANK(J273),ISBLANK(K273)),IF(OR(H273="ALI",H273="AIE"),"L",IF(ISBLANK(H273),"","A")),IF(H273="EE",IF(K273&gt;=3,IF(J273&gt;=5,"H","A"),IF(K273&gt;=2,IF(J273&gt;=16,"H",IF(J273&lt;=4,"L","A")),IF(J273&lt;=15,"L","A"))),IF(OR(H273="SE",H273="CE"),IF(K273&gt;=4,IF(J273&gt;=6,"H","A"),IF(K273&gt;=2,IF(J273&gt;=20,"H",IF(J273&lt;=5,"L","A")),IF(J273&lt;=19,"L","A"))),IF(OR(H273="ALI",H273="AIE"),IF(K273&gt;=6,IF(J273&gt;=20,"H","A"),IF(K273&gt;=2,IF(J273&gt;=51,"H",IF(J273&lt;=19,"L","A")),IF(J273&lt;=50,"L","A")))))))</f>
        <v/>
      </c>
      <c r="N273" s="46" t="str">
        <f aca="false">IF(M273="L","Baixa",IF(M273="A","Média",IF(M273="","","Alta")))</f>
        <v/>
      </c>
      <c r="O273" s="47" t="str">
        <f aca="false">IF(ISBLANK(H273),"",IF(H273="ALI",IF(M273="L",7,IF(M273="A",10,15)),IF(H273="AIE",IF(M273="L",5,IF(M273="A",7,10)),IF(H273="SE",IF(M273="L",4,IF(M273="A",5,7)),IF(OR(H273="EE",H273="CE"),IF(M273="L",3,IF(M273="A",4,6)))))))</f>
        <v/>
      </c>
      <c r="P273" s="48" t="str">
        <f aca="false">IF(I273="I",O273*Contagem!$W$15,IF(I273="E",O273*Contagem!$W$17,IF(I273="A",O273*Contagem!$W$16,IF(I273="T",O273*Contagem!$W$18,""))))</f>
        <v/>
      </c>
      <c r="Q273" s="49"/>
    </row>
    <row r="274" customFormat="false" ht="12" hidden="false" customHeight="true" outlineLevel="0" collapsed="false">
      <c r="A274" s="40" t="n">
        <f aca="false">IF(H274="",IF(C274="",A273,A273+1),A273)</f>
        <v>36</v>
      </c>
      <c r="B274" s="41" t="str">
        <f aca="false">IF(A274=A273,"",CONCATENATE("F",A274))</f>
        <v>F36</v>
      </c>
      <c r="C274" s="42" t="s">
        <v>478</v>
      </c>
      <c r="D274" s="42"/>
      <c r="E274" s="42"/>
      <c r="F274" s="42"/>
      <c r="G274" s="42"/>
      <c r="H274" s="44"/>
      <c r="I274" s="50"/>
      <c r="J274" s="44"/>
      <c r="K274" s="44"/>
      <c r="L274" s="44" t="str">
        <f aca="false">CONCATENATE(H274,M274)</f>
        <v/>
      </c>
      <c r="M274" s="45" t="str">
        <f aca="false">IF(OR(ISBLANK(J274),ISBLANK(K274)),IF(OR(H274="ALI",H274="AIE"),"L",IF(ISBLANK(H274),"","A")),IF(H274="EE",IF(K274&gt;=3,IF(J274&gt;=5,"H","A"),IF(K274&gt;=2,IF(J274&gt;=16,"H",IF(J274&lt;=4,"L","A")),IF(J274&lt;=15,"L","A"))),IF(OR(H274="SE",H274="CE"),IF(K274&gt;=4,IF(J274&gt;=6,"H","A"),IF(K274&gt;=2,IF(J274&gt;=20,"H",IF(J274&lt;=5,"L","A")),IF(J274&lt;=19,"L","A"))),IF(OR(H274="ALI",H274="AIE"),IF(K274&gt;=6,IF(J274&gt;=20,"H","A"),IF(K274&gt;=2,IF(J274&gt;=51,"H",IF(J274&lt;=19,"L","A")),IF(J274&lt;=50,"L","A")))))))</f>
        <v/>
      </c>
      <c r="N274" s="46" t="str">
        <f aca="false">IF(M274="L","Baixa",IF(M274="A","Média",IF(M274="","","Alta")))</f>
        <v/>
      </c>
      <c r="O274" s="47" t="str">
        <f aca="false">IF(ISBLANK(H274),"",IF(H274="ALI",IF(M274="L",7,IF(M274="A",10,15)),IF(H274="AIE",IF(M274="L",5,IF(M274="A",7,10)),IF(H274="SE",IF(M274="L",4,IF(M274="A",5,7)),IF(OR(H274="EE",H274="CE"),IF(M274="L",3,IF(M274="A",4,6)))))))</f>
        <v/>
      </c>
      <c r="P274" s="48" t="str">
        <f aca="false">IF(I274="I",O274*Contagem!$W$15,IF(I274="E",O274*Contagem!$W$17,IF(I274="A",O274*Contagem!$W$16,IF(I274="T",O274*Contagem!$W$18,""))))</f>
        <v/>
      </c>
      <c r="Q274" s="49"/>
    </row>
    <row r="275" customFormat="false" ht="12" hidden="false" customHeight="true" outlineLevel="0" collapsed="false">
      <c r="A275" s="40" t="n">
        <f aca="false">IF(H275="",IF(C275="",A274,A274+1),A274)</f>
        <v>36</v>
      </c>
      <c r="B275" s="41" t="str">
        <f aca="false">IF(A275=A274,"",CONCATENATE("F",A275))</f>
        <v/>
      </c>
      <c r="C275" s="42" t="s">
        <v>479</v>
      </c>
      <c r="D275" s="42"/>
      <c r="E275" s="42"/>
      <c r="F275" s="42"/>
      <c r="G275" s="42"/>
      <c r="H275" s="44" t="s">
        <v>55</v>
      </c>
      <c r="I275" s="50" t="s">
        <v>56</v>
      </c>
      <c r="J275" s="44" t="n">
        <v>45</v>
      </c>
      <c r="K275" s="44" t="n">
        <v>9</v>
      </c>
      <c r="L275" s="44" t="str">
        <f aca="false">CONCATENATE(H275,M275)</f>
        <v>ALIH</v>
      </c>
      <c r="M275" s="45" t="str">
        <f aca="false">IF(OR(ISBLANK(J275),ISBLANK(K275)),IF(OR(H275="ALI",H275="AIE"),"L",IF(ISBLANK(H275),"","A")),IF(H275="EE",IF(K275&gt;=3,IF(J275&gt;=5,"H","A"),IF(K275&gt;=2,IF(J275&gt;=16,"H",IF(J275&lt;=4,"L","A")),IF(J275&lt;=15,"L","A"))),IF(OR(H275="SE",H275="CE"),IF(K275&gt;=4,IF(J275&gt;=6,"H","A"),IF(K275&gt;=2,IF(J275&gt;=20,"H",IF(J275&lt;=5,"L","A")),IF(J275&lt;=19,"L","A"))),IF(OR(H275="ALI",H275="AIE"),IF(K275&gt;=6,IF(J275&gt;=20,"H","A"),IF(K275&gt;=2,IF(J275&gt;=51,"H",IF(J275&lt;=19,"L","A")),IF(J275&lt;=50,"L","A")))))))</f>
        <v>H</v>
      </c>
      <c r="N275" s="46" t="str">
        <f aca="false">IF(M275="L","Baixa",IF(M275="A","Média",IF(M275="","","Alta")))</f>
        <v>Alta</v>
      </c>
      <c r="O275" s="47" t="n">
        <f aca="false">IF(ISBLANK(H275),"",IF(H275="ALI",IF(M275="L",7,IF(M275="A",10,15)),IF(H275="AIE",IF(M275="L",5,IF(M275="A",7,10)),IF(H275="SE",IF(M275="L",4,IF(M275="A",5,7)),IF(OR(H275="EE",H275="CE"),IF(M275="L",3,IF(M275="A",4,6)))))))</f>
        <v>15</v>
      </c>
      <c r="P275" s="48" t="n">
        <f aca="false">IF(I275="I",O275*Contagem!$W$15,IF(I275="E",O275*Contagem!$W$17,IF(I275="A",O275*Contagem!$W$16,IF(I275="T",O275*Contagem!$W$18,""))))</f>
        <v>15</v>
      </c>
      <c r="Q275" s="49" t="s">
        <v>480</v>
      </c>
    </row>
    <row r="276" customFormat="false" ht="12" hidden="false" customHeight="true" outlineLevel="0" collapsed="false">
      <c r="A276" s="40" t="n">
        <f aca="false">IF(H276="",IF(C276="",A275,A275+1),A275)</f>
        <v>36</v>
      </c>
      <c r="B276" s="41" t="str">
        <f aca="false">IF(A276=A275,"",CONCATENATE("F",A276))</f>
        <v/>
      </c>
      <c r="C276" s="42" t="s">
        <v>481</v>
      </c>
      <c r="D276" s="42"/>
      <c r="E276" s="42"/>
      <c r="F276" s="42"/>
      <c r="G276" s="42"/>
      <c r="H276" s="44" t="s">
        <v>80</v>
      </c>
      <c r="I276" s="50" t="s">
        <v>56</v>
      </c>
      <c r="J276" s="44" t="n">
        <v>31</v>
      </c>
      <c r="K276" s="44" t="n">
        <v>2</v>
      </c>
      <c r="L276" s="44" t="str">
        <f aca="false">CONCATENATE(H276,M276)</f>
        <v>CEH</v>
      </c>
      <c r="M276" s="45" t="str">
        <f aca="false">IF(OR(ISBLANK(J276),ISBLANK(K276)),IF(OR(H276="ALI",H276="AIE"),"L",IF(ISBLANK(H276),"","A")),IF(H276="EE",IF(K276&gt;=3,IF(J276&gt;=5,"H","A"),IF(K276&gt;=2,IF(J276&gt;=16,"H",IF(J276&lt;=4,"L","A")),IF(J276&lt;=15,"L","A"))),IF(OR(H276="SE",H276="CE"),IF(K276&gt;=4,IF(J276&gt;=6,"H","A"),IF(K276&gt;=2,IF(J276&gt;=20,"H",IF(J276&lt;=5,"L","A")),IF(J276&lt;=19,"L","A"))),IF(OR(H276="ALI",H276="AIE"),IF(K276&gt;=6,IF(J276&gt;=20,"H","A"),IF(K276&gt;=2,IF(J276&gt;=51,"H",IF(J276&lt;=19,"L","A")),IF(J276&lt;=50,"L","A")))))))</f>
        <v>H</v>
      </c>
      <c r="N276" s="46" t="str">
        <f aca="false">IF(M276="L","Baixa",IF(M276="A","Média",IF(M276="","","Alta")))</f>
        <v>Alta</v>
      </c>
      <c r="O276" s="47" t="n">
        <f aca="false">IF(ISBLANK(H276),"",IF(H276="ALI",IF(M276="L",7,IF(M276="A",10,15)),IF(H276="AIE",IF(M276="L",5,IF(M276="A",7,10)),IF(H276="SE",IF(M276="L",4,IF(M276="A",5,7)),IF(OR(H276="EE",H276="CE"),IF(M276="L",3,IF(M276="A",4,6)))))))</f>
        <v>6</v>
      </c>
      <c r="P276" s="48" t="n">
        <f aca="false">IF(I276="I",O276*Contagem!$W$15,IF(I276="E",O276*Contagem!$W$17,IF(I276="A",O276*Contagem!$W$16,IF(I276="T",O276*Contagem!$W$18,""))))</f>
        <v>6</v>
      </c>
      <c r="Q276" s="49" t="s">
        <v>482</v>
      </c>
    </row>
    <row r="277" customFormat="false" ht="12" hidden="false" customHeight="true" outlineLevel="0" collapsed="false">
      <c r="A277" s="40" t="n">
        <f aca="false">IF(H277="",IF(C277="",A276,A276+1),A276)</f>
        <v>36</v>
      </c>
      <c r="B277" s="41" t="str">
        <f aca="false">IF(A277=A276,"",CONCATENATE("F",A277))</f>
        <v/>
      </c>
      <c r="C277" s="42" t="s">
        <v>483</v>
      </c>
      <c r="D277" s="42"/>
      <c r="E277" s="42"/>
      <c r="F277" s="42"/>
      <c r="G277" s="42"/>
      <c r="H277" s="44" t="s">
        <v>62</v>
      </c>
      <c r="I277" s="50" t="s">
        <v>56</v>
      </c>
      <c r="J277" s="44" t="n">
        <v>6</v>
      </c>
      <c r="K277" s="44" t="n">
        <v>2</v>
      </c>
      <c r="L277" s="44" t="str">
        <f aca="false">CONCATENATE(H277,M277)</f>
        <v>EEA</v>
      </c>
      <c r="M277" s="45" t="str">
        <f aca="false">IF(OR(ISBLANK(J277),ISBLANK(K277)),IF(OR(H277="ALI",H277="AIE"),"L",IF(ISBLANK(H277),"","A")),IF(H277="EE",IF(K277&gt;=3,IF(J277&gt;=5,"H","A"),IF(K277&gt;=2,IF(J277&gt;=16,"H",IF(J277&lt;=4,"L","A")),IF(J277&lt;=15,"L","A"))),IF(OR(H277="SE",H277="CE"),IF(K277&gt;=4,IF(J277&gt;=6,"H","A"),IF(K277&gt;=2,IF(J277&gt;=20,"H",IF(J277&lt;=5,"L","A")),IF(J277&lt;=19,"L","A"))),IF(OR(H277="ALI",H277="AIE"),IF(K277&gt;=6,IF(J277&gt;=20,"H","A"),IF(K277&gt;=2,IF(J277&gt;=51,"H",IF(J277&lt;=19,"L","A")),IF(J277&lt;=50,"L","A")))))))</f>
        <v>A</v>
      </c>
      <c r="N277" s="46" t="str">
        <f aca="false">IF(M277="L","Baixa",IF(M277="A","Média",IF(M277="","","Alta")))</f>
        <v>Média</v>
      </c>
      <c r="O277" s="47" t="n">
        <f aca="false">IF(ISBLANK(H277),"",IF(H277="ALI",IF(M277="L",7,IF(M277="A",10,15)),IF(H277="AIE",IF(M277="L",5,IF(M277="A",7,10)),IF(H277="SE",IF(M277="L",4,IF(M277="A",5,7)),IF(OR(H277="EE",H277="CE"),IF(M277="L",3,IF(M277="A",4,6)))))))</f>
        <v>4</v>
      </c>
      <c r="P277" s="48" t="n">
        <f aca="false">IF(I277="I",O277*Contagem!$W$15,IF(I277="E",O277*Contagem!$W$17,IF(I277="A",O277*Contagem!$W$16,IF(I277="T",O277*Contagem!$W$18,""))))</f>
        <v>4</v>
      </c>
      <c r="Q277" s="49" t="s">
        <v>484</v>
      </c>
    </row>
    <row r="278" customFormat="false" ht="12" hidden="false" customHeight="true" outlineLevel="0" collapsed="false">
      <c r="A278" s="40" t="n">
        <f aca="false">IF(H278="",IF(C278="",A277,A277+1),A277)</f>
        <v>36</v>
      </c>
      <c r="B278" s="41" t="str">
        <f aca="false">IF(A278=A277,"",CONCATENATE("F",A278))</f>
        <v/>
      </c>
      <c r="C278" s="42" t="s">
        <v>485</v>
      </c>
      <c r="D278" s="42"/>
      <c r="E278" s="42"/>
      <c r="F278" s="42"/>
      <c r="G278" s="42"/>
      <c r="H278" s="44" t="s">
        <v>62</v>
      </c>
      <c r="I278" s="50" t="s">
        <v>56</v>
      </c>
      <c r="J278" s="44" t="n">
        <v>3</v>
      </c>
      <c r="K278" s="44" t="n">
        <v>2</v>
      </c>
      <c r="L278" s="44" t="str">
        <f aca="false">CONCATENATE(H278,M278)</f>
        <v>EEL</v>
      </c>
      <c r="M278" s="45" t="str">
        <f aca="false">IF(OR(ISBLANK(J278),ISBLANK(K278)),IF(OR(H278="ALI",H278="AIE"),"L",IF(ISBLANK(H278),"","A")),IF(H278="EE",IF(K278&gt;=3,IF(J278&gt;=5,"H","A"),IF(K278&gt;=2,IF(J278&gt;=16,"H",IF(J278&lt;=4,"L","A")),IF(J278&lt;=15,"L","A"))),IF(OR(H278="SE",H278="CE"),IF(K278&gt;=4,IF(J278&gt;=6,"H","A"),IF(K278&gt;=2,IF(J278&gt;=20,"H",IF(J278&lt;=5,"L","A")),IF(J278&lt;=19,"L","A"))),IF(OR(H278="ALI",H278="AIE"),IF(K278&gt;=6,IF(J278&gt;=20,"H","A"),IF(K278&gt;=2,IF(J278&gt;=51,"H",IF(J278&lt;=19,"L","A")),IF(J278&lt;=50,"L","A")))))))</f>
        <v>L</v>
      </c>
      <c r="N278" s="46" t="str">
        <f aca="false">IF(M278="L","Baixa",IF(M278="A","Média",IF(M278="","","Alta")))</f>
        <v>Baixa</v>
      </c>
      <c r="O278" s="47" t="n">
        <f aca="false">IF(ISBLANK(H278),"",IF(H278="ALI",IF(M278="L",7,IF(M278="A",10,15)),IF(H278="AIE",IF(M278="L",5,IF(M278="A",7,10)),IF(H278="SE",IF(M278="L",4,IF(M278="A",5,7)),IF(OR(H278="EE",H278="CE"),IF(M278="L",3,IF(M278="A",4,6)))))))</f>
        <v>3</v>
      </c>
      <c r="P278" s="48" t="n">
        <f aca="false">IF(I278="I",O278*Contagem!$W$15,IF(I278="E",O278*Contagem!$W$17,IF(I278="A",O278*Contagem!$W$16,IF(I278="T",O278*Contagem!$W$18,""))))</f>
        <v>3</v>
      </c>
      <c r="Q278" s="49" t="s">
        <v>486</v>
      </c>
    </row>
    <row r="279" customFormat="false" ht="12" hidden="false" customHeight="true" outlineLevel="0" collapsed="false">
      <c r="A279" s="40" t="n">
        <f aca="false">IF(H279="",IF(C279="",A278,A278+1),A278)</f>
        <v>36</v>
      </c>
      <c r="B279" s="41" t="str">
        <f aca="false">IF(A279=A278,"",CONCATENATE("F",A279))</f>
        <v/>
      </c>
      <c r="C279" s="42"/>
      <c r="D279" s="42"/>
      <c r="E279" s="42"/>
      <c r="F279" s="42"/>
      <c r="G279" s="42"/>
      <c r="H279" s="44"/>
      <c r="I279" s="50"/>
      <c r="J279" s="44"/>
      <c r="K279" s="44"/>
      <c r="L279" s="44" t="str">
        <f aca="false">CONCATENATE(H279,M279)</f>
        <v/>
      </c>
      <c r="M279" s="45" t="str">
        <f aca="false">IF(OR(ISBLANK(J279),ISBLANK(K279)),IF(OR(H279="ALI",H279="AIE"),"L",IF(ISBLANK(H279),"","A")),IF(H279="EE",IF(K279&gt;=3,IF(J279&gt;=5,"H","A"),IF(K279&gt;=2,IF(J279&gt;=16,"H",IF(J279&lt;=4,"L","A")),IF(J279&lt;=15,"L","A"))),IF(OR(H279="SE",H279="CE"),IF(K279&gt;=4,IF(J279&gt;=6,"H","A"),IF(K279&gt;=2,IF(J279&gt;=20,"H",IF(J279&lt;=5,"L","A")),IF(J279&lt;=19,"L","A"))),IF(OR(H279="ALI",H279="AIE"),IF(K279&gt;=6,IF(J279&gt;=20,"H","A"),IF(K279&gt;=2,IF(J279&gt;=51,"H",IF(J279&lt;=19,"L","A")),IF(J279&lt;=50,"L","A")))))))</f>
        <v/>
      </c>
      <c r="N279" s="46" t="str">
        <f aca="false">IF(M279="L","Baixa",IF(M279="A","Média",IF(M279="","","Alta")))</f>
        <v/>
      </c>
      <c r="O279" s="47" t="str">
        <f aca="false">IF(ISBLANK(H279),"",IF(H279="ALI",IF(M279="L",7,IF(M279="A",10,15)),IF(H279="AIE",IF(M279="L",5,IF(M279="A",7,10)),IF(H279="SE",IF(M279="L",4,IF(M279="A",5,7)),IF(OR(H279="EE",H279="CE"),IF(M279="L",3,IF(M279="A",4,6)))))))</f>
        <v/>
      </c>
      <c r="P279" s="48" t="str">
        <f aca="false">IF(I279="I",O279*Contagem!$W$15,IF(I279="E",O279*Contagem!$W$17,IF(I279="A",O279*Contagem!$W$16,IF(I279="T",O279*Contagem!$W$18,""))))</f>
        <v/>
      </c>
      <c r="Q279" s="49"/>
    </row>
    <row r="280" customFormat="false" ht="12" hidden="false" customHeight="true" outlineLevel="0" collapsed="false">
      <c r="A280" s="40" t="n">
        <f aca="false">IF(H280="",IF(C280="",A279,A279+1),A279)</f>
        <v>37</v>
      </c>
      <c r="B280" s="41" t="str">
        <f aca="false">IF(A280=A279,"",CONCATENATE("F",A280))</f>
        <v>F37</v>
      </c>
      <c r="C280" s="42" t="s">
        <v>487</v>
      </c>
      <c r="D280" s="42"/>
      <c r="E280" s="42"/>
      <c r="F280" s="42"/>
      <c r="G280" s="42"/>
      <c r="H280" s="44"/>
      <c r="I280" s="50"/>
      <c r="J280" s="44"/>
      <c r="K280" s="44"/>
      <c r="L280" s="44" t="str">
        <f aca="false">CONCATENATE(H280,M280)</f>
        <v/>
      </c>
      <c r="M280" s="45" t="str">
        <f aca="false">IF(OR(ISBLANK(J280),ISBLANK(K280)),IF(OR(H280="ALI",H280="AIE"),"L",IF(ISBLANK(H280),"","A")),IF(H280="EE",IF(K280&gt;=3,IF(J280&gt;=5,"H","A"),IF(K280&gt;=2,IF(J280&gt;=16,"H",IF(J280&lt;=4,"L","A")),IF(J280&lt;=15,"L","A"))),IF(OR(H280="SE",H280="CE"),IF(K280&gt;=4,IF(J280&gt;=6,"H","A"),IF(K280&gt;=2,IF(J280&gt;=20,"H",IF(J280&lt;=5,"L","A")),IF(J280&lt;=19,"L","A"))),IF(OR(H280="ALI",H280="AIE"),IF(K280&gt;=6,IF(J280&gt;=20,"H","A"),IF(K280&gt;=2,IF(J280&gt;=51,"H",IF(J280&lt;=19,"L","A")),IF(J280&lt;=50,"L","A")))))))</f>
        <v/>
      </c>
      <c r="N280" s="46" t="str">
        <f aca="false">IF(M280="L","Baixa",IF(M280="A","Média",IF(M280="","","Alta")))</f>
        <v/>
      </c>
      <c r="O280" s="47" t="str">
        <f aca="false">IF(ISBLANK(H280),"",IF(H280="ALI",IF(M280="L",7,IF(M280="A",10,15)),IF(H280="AIE",IF(M280="L",5,IF(M280="A",7,10)),IF(H280="SE",IF(M280="L",4,IF(M280="A",5,7)),IF(OR(H280="EE",H280="CE"),IF(M280="L",3,IF(M280="A",4,6)))))))</f>
        <v/>
      </c>
      <c r="P280" s="48" t="str">
        <f aca="false">IF(I280="I",O280*Contagem!$W$15,IF(I280="E",O280*Contagem!$W$17,IF(I280="A",O280*Contagem!$W$16,IF(I280="T",O280*Contagem!$W$18,""))))</f>
        <v/>
      </c>
      <c r="Q280" s="49"/>
    </row>
    <row r="281" customFormat="false" ht="12" hidden="false" customHeight="true" outlineLevel="0" collapsed="false">
      <c r="A281" s="40" t="n">
        <f aca="false">IF(H281="",IF(C281="",A280,A280+1),A280)</f>
        <v>37</v>
      </c>
      <c r="B281" s="41" t="str">
        <f aca="false">IF(A281=A280,"",CONCATENATE("F",A281))</f>
        <v/>
      </c>
      <c r="C281" s="42" t="s">
        <v>488</v>
      </c>
      <c r="D281" s="42"/>
      <c r="E281" s="42"/>
      <c r="F281" s="42"/>
      <c r="G281" s="42"/>
      <c r="H281" s="44" t="s">
        <v>55</v>
      </c>
      <c r="I281" s="50" t="s">
        <v>56</v>
      </c>
      <c r="J281" s="44" t="n">
        <v>4</v>
      </c>
      <c r="K281" s="44" t="n">
        <v>1</v>
      </c>
      <c r="L281" s="44" t="str">
        <f aca="false">CONCATENATE(H281,M281)</f>
        <v>ALIL</v>
      </c>
      <c r="M281" s="45" t="str">
        <f aca="false">IF(OR(ISBLANK(J281),ISBLANK(K281)),IF(OR(H281="ALI",H281="AIE"),"L",IF(ISBLANK(H281),"","A")),IF(H281="EE",IF(K281&gt;=3,IF(J281&gt;=5,"H","A"),IF(K281&gt;=2,IF(J281&gt;=16,"H",IF(J281&lt;=4,"L","A")),IF(J281&lt;=15,"L","A"))),IF(OR(H281="SE",H281="CE"),IF(K281&gt;=4,IF(J281&gt;=6,"H","A"),IF(K281&gt;=2,IF(J281&gt;=20,"H",IF(J281&lt;=5,"L","A")),IF(J281&lt;=19,"L","A"))),IF(OR(H281="ALI",H281="AIE"),IF(K281&gt;=6,IF(J281&gt;=20,"H","A"),IF(K281&gt;=2,IF(J281&gt;=51,"H",IF(J281&lt;=19,"L","A")),IF(J281&lt;=50,"L","A")))))))</f>
        <v>L</v>
      </c>
      <c r="N281" s="46" t="str">
        <f aca="false">IF(M281="L","Baixa",IF(M281="A","Média",IF(M281="","","Alta")))</f>
        <v>Baixa</v>
      </c>
      <c r="O281" s="47" t="n">
        <f aca="false">IF(ISBLANK(H281),"",IF(H281="ALI",IF(M281="L",7,IF(M281="A",10,15)),IF(H281="AIE",IF(M281="L",5,IF(M281="A",7,10)),IF(H281="SE",IF(M281="L",4,IF(M281="A",5,7)),IF(OR(H281="EE",H281="CE"),IF(M281="L",3,IF(M281="A",4,6)))))))</f>
        <v>7</v>
      </c>
      <c r="P281" s="48" t="n">
        <f aca="false">IF(I281="I",O281*Contagem!$W$15,IF(I281="E",O281*Contagem!$W$17,IF(I281="A",O281*Contagem!$W$16,IF(I281="T",O281*Contagem!$W$18,""))))</f>
        <v>7</v>
      </c>
      <c r="Q281" s="49" t="s">
        <v>489</v>
      </c>
    </row>
    <row r="282" customFormat="false" ht="12" hidden="false" customHeight="true" outlineLevel="0" collapsed="false">
      <c r="A282" s="40" t="n">
        <f aca="false">IF(H282="",IF(C282="",A281,A281+1),A281)</f>
        <v>37</v>
      </c>
      <c r="B282" s="41" t="str">
        <f aca="false">IF(A282=A281,"",CONCATENATE("F",A282))</f>
        <v/>
      </c>
      <c r="C282" s="42" t="s">
        <v>490</v>
      </c>
      <c r="D282" s="42"/>
      <c r="E282" s="42"/>
      <c r="F282" s="42"/>
      <c r="G282" s="42"/>
      <c r="H282" s="44" t="s">
        <v>80</v>
      </c>
      <c r="I282" s="50" t="s">
        <v>56</v>
      </c>
      <c r="J282" s="44" t="n">
        <v>20</v>
      </c>
      <c r="K282" s="44" t="n">
        <v>2</v>
      </c>
      <c r="L282" s="44" t="str">
        <f aca="false">CONCATENATE(H282,M282)</f>
        <v>CEH</v>
      </c>
      <c r="M282" s="45" t="str">
        <f aca="false">IF(OR(ISBLANK(J282),ISBLANK(K282)),IF(OR(H282="ALI",H282="AIE"),"L",IF(ISBLANK(H282),"","A")),IF(H282="EE",IF(K282&gt;=3,IF(J282&gt;=5,"H","A"),IF(K282&gt;=2,IF(J282&gt;=16,"H",IF(J282&lt;=4,"L","A")),IF(J282&lt;=15,"L","A"))),IF(OR(H282="SE",H282="CE"),IF(K282&gt;=4,IF(J282&gt;=6,"H","A"),IF(K282&gt;=2,IF(J282&gt;=20,"H",IF(J282&lt;=5,"L","A")),IF(J282&lt;=19,"L","A"))),IF(OR(H282="ALI",H282="AIE"),IF(K282&gt;=6,IF(J282&gt;=20,"H","A"),IF(K282&gt;=2,IF(J282&gt;=51,"H",IF(J282&lt;=19,"L","A")),IF(J282&lt;=50,"L","A")))))))</f>
        <v>H</v>
      </c>
      <c r="N282" s="46" t="str">
        <f aca="false">IF(M282="L","Baixa",IF(M282="A","Média",IF(M282="","","Alta")))</f>
        <v>Alta</v>
      </c>
      <c r="O282" s="47" t="n">
        <f aca="false">IF(ISBLANK(H282),"",IF(H282="ALI",IF(M282="L",7,IF(M282="A",10,15)),IF(H282="AIE",IF(M282="L",5,IF(M282="A",7,10)),IF(H282="SE",IF(M282="L",4,IF(M282="A",5,7)),IF(OR(H282="EE",H282="CE"),IF(M282="L",3,IF(M282="A",4,6)))))))</f>
        <v>6</v>
      </c>
      <c r="P282" s="48" t="n">
        <f aca="false">IF(I282="I",O282*Contagem!$W$15,IF(I282="E",O282*Contagem!$W$17,IF(I282="A",O282*Contagem!$W$16,IF(I282="T",O282*Contagem!$W$18,""))))</f>
        <v>6</v>
      </c>
      <c r="Q282" s="49" t="s">
        <v>491</v>
      </c>
    </row>
    <row r="283" customFormat="false" ht="12" hidden="false" customHeight="true" outlineLevel="0" collapsed="false">
      <c r="A283" s="40" t="n">
        <f aca="false">IF(H283="",IF(C283="",A282,A282+1),A282)</f>
        <v>37</v>
      </c>
      <c r="B283" s="41" t="str">
        <f aca="false">IF(A283=A282,"",CONCATENATE("F",A283))</f>
        <v/>
      </c>
      <c r="C283" s="42" t="s">
        <v>492</v>
      </c>
      <c r="D283" s="42"/>
      <c r="E283" s="42"/>
      <c r="F283" s="42"/>
      <c r="G283" s="42"/>
      <c r="H283" s="44" t="s">
        <v>62</v>
      </c>
      <c r="I283" s="50" t="s">
        <v>56</v>
      </c>
      <c r="J283" s="44" t="n">
        <v>7</v>
      </c>
      <c r="K283" s="44" t="n">
        <v>2</v>
      </c>
      <c r="L283" s="44" t="str">
        <f aca="false">CONCATENATE(H283,M283)</f>
        <v>EEA</v>
      </c>
      <c r="M283" s="45" t="str">
        <f aca="false">IF(OR(ISBLANK(J283),ISBLANK(K283)),IF(OR(H283="ALI",H283="AIE"),"L",IF(ISBLANK(H283),"","A")),IF(H283="EE",IF(K283&gt;=3,IF(J283&gt;=5,"H","A"),IF(K283&gt;=2,IF(J283&gt;=16,"H",IF(J283&lt;=4,"L","A")),IF(J283&lt;=15,"L","A"))),IF(OR(H283="SE",H283="CE"),IF(K283&gt;=4,IF(J283&gt;=6,"H","A"),IF(K283&gt;=2,IF(J283&gt;=20,"H",IF(J283&lt;=5,"L","A")),IF(J283&lt;=19,"L","A"))),IF(OR(H283="ALI",H283="AIE"),IF(K283&gt;=6,IF(J283&gt;=20,"H","A"),IF(K283&gt;=2,IF(J283&gt;=51,"H",IF(J283&lt;=19,"L","A")),IF(J283&lt;=50,"L","A")))))))</f>
        <v>A</v>
      </c>
      <c r="N283" s="46" t="str">
        <f aca="false">IF(M283="L","Baixa",IF(M283="A","Média",IF(M283="","","Alta")))</f>
        <v>Média</v>
      </c>
      <c r="O283" s="47" t="n">
        <f aca="false">IF(ISBLANK(H283),"",IF(H283="ALI",IF(M283="L",7,IF(M283="A",10,15)),IF(H283="AIE",IF(M283="L",5,IF(M283="A",7,10)),IF(H283="SE",IF(M283="L",4,IF(M283="A",5,7)),IF(OR(H283="EE",H283="CE"),IF(M283="L",3,IF(M283="A",4,6)))))))</f>
        <v>4</v>
      </c>
      <c r="P283" s="48" t="n">
        <f aca="false">IF(I283="I",O283*Contagem!$W$15,IF(I283="E",O283*Contagem!$W$17,IF(I283="A",O283*Contagem!$W$16,IF(I283="T",O283*Contagem!$W$18,""))))</f>
        <v>4</v>
      </c>
      <c r="Q283" s="49" t="s">
        <v>493</v>
      </c>
    </row>
    <row r="284" customFormat="false" ht="12" hidden="false" customHeight="true" outlineLevel="0" collapsed="false">
      <c r="A284" s="40" t="n">
        <f aca="false">IF(H284="",IF(C284="",A283,A283+1),A283)</f>
        <v>37</v>
      </c>
      <c r="B284" s="41" t="str">
        <f aca="false">IF(A284=A283,"",CONCATENATE("F",A284))</f>
        <v/>
      </c>
      <c r="C284" s="42" t="s">
        <v>494</v>
      </c>
      <c r="D284" s="42"/>
      <c r="E284" s="42"/>
      <c r="F284" s="42"/>
      <c r="G284" s="42"/>
      <c r="H284" s="44" t="s">
        <v>62</v>
      </c>
      <c r="I284" s="50" t="s">
        <v>56</v>
      </c>
      <c r="J284" s="44" t="n">
        <v>4</v>
      </c>
      <c r="K284" s="44" t="n">
        <v>2</v>
      </c>
      <c r="L284" s="44" t="str">
        <f aca="false">CONCATENATE(H284,M284)</f>
        <v>EEL</v>
      </c>
      <c r="M284" s="45" t="str">
        <f aca="false">IF(OR(ISBLANK(J284),ISBLANK(K284)),IF(OR(H284="ALI",H284="AIE"),"L",IF(ISBLANK(H284),"","A")),IF(H284="EE",IF(K284&gt;=3,IF(J284&gt;=5,"H","A"),IF(K284&gt;=2,IF(J284&gt;=16,"H",IF(J284&lt;=4,"L","A")),IF(J284&lt;=15,"L","A"))),IF(OR(H284="SE",H284="CE"),IF(K284&gt;=4,IF(J284&gt;=6,"H","A"),IF(K284&gt;=2,IF(J284&gt;=20,"H",IF(J284&lt;=5,"L","A")),IF(J284&lt;=19,"L","A"))),IF(OR(H284="ALI",H284="AIE"),IF(K284&gt;=6,IF(J284&gt;=20,"H","A"),IF(K284&gt;=2,IF(J284&gt;=51,"H",IF(J284&lt;=19,"L","A")),IF(J284&lt;=50,"L","A")))))))</f>
        <v>L</v>
      </c>
      <c r="N284" s="46" t="str">
        <f aca="false">IF(M284="L","Baixa",IF(M284="A","Média",IF(M284="","","Alta")))</f>
        <v>Baixa</v>
      </c>
      <c r="O284" s="47" t="n">
        <f aca="false">IF(ISBLANK(H284),"",IF(H284="ALI",IF(M284="L",7,IF(M284="A",10,15)),IF(H284="AIE",IF(M284="L",5,IF(M284="A",7,10)),IF(H284="SE",IF(M284="L",4,IF(M284="A",5,7)),IF(OR(H284="EE",H284="CE"),IF(M284="L",3,IF(M284="A",4,6)))))))</f>
        <v>3</v>
      </c>
      <c r="P284" s="48" t="n">
        <f aca="false">IF(I284="I",O284*Contagem!$W$15,IF(I284="E",O284*Contagem!$W$17,IF(I284="A",O284*Contagem!$W$16,IF(I284="T",O284*Contagem!$W$18,""))))</f>
        <v>3</v>
      </c>
      <c r="Q284" s="49" t="s">
        <v>495</v>
      </c>
    </row>
    <row r="285" customFormat="false" ht="12" hidden="false" customHeight="true" outlineLevel="0" collapsed="false">
      <c r="A285" s="40" t="n">
        <f aca="false">IF(H285="",IF(C285="",A284,A284+1),A284)</f>
        <v>37</v>
      </c>
      <c r="B285" s="41" t="str">
        <f aca="false">IF(A285=A284,"",CONCATENATE("F",A285))</f>
        <v/>
      </c>
      <c r="C285" s="42"/>
      <c r="D285" s="42"/>
      <c r="E285" s="42"/>
      <c r="F285" s="42"/>
      <c r="G285" s="42"/>
      <c r="H285" s="44"/>
      <c r="I285" s="50"/>
      <c r="J285" s="44"/>
      <c r="K285" s="44"/>
      <c r="L285" s="44" t="str">
        <f aca="false">CONCATENATE(H285,M285)</f>
        <v/>
      </c>
      <c r="M285" s="45" t="str">
        <f aca="false">IF(OR(ISBLANK(J285),ISBLANK(K285)),IF(OR(H285="ALI",H285="AIE"),"L",IF(ISBLANK(H285),"","A")),IF(H285="EE",IF(K285&gt;=3,IF(J285&gt;=5,"H","A"),IF(K285&gt;=2,IF(J285&gt;=16,"H",IF(J285&lt;=4,"L","A")),IF(J285&lt;=15,"L","A"))),IF(OR(H285="SE",H285="CE"),IF(K285&gt;=4,IF(J285&gt;=6,"H","A"),IF(K285&gt;=2,IF(J285&gt;=20,"H",IF(J285&lt;=5,"L","A")),IF(J285&lt;=19,"L","A"))),IF(OR(H285="ALI",H285="AIE"),IF(K285&gt;=6,IF(J285&gt;=20,"H","A"),IF(K285&gt;=2,IF(J285&gt;=51,"H",IF(J285&lt;=19,"L","A")),IF(J285&lt;=50,"L","A")))))))</f>
        <v/>
      </c>
      <c r="N285" s="46" t="str">
        <f aca="false">IF(M285="L","Baixa",IF(M285="A","Média",IF(M285="","","Alta")))</f>
        <v/>
      </c>
      <c r="O285" s="47" t="str">
        <f aca="false">IF(ISBLANK(H285),"",IF(H285="ALI",IF(M285="L",7,IF(M285="A",10,15)),IF(H285="AIE",IF(M285="L",5,IF(M285="A",7,10)),IF(H285="SE",IF(M285="L",4,IF(M285="A",5,7)),IF(OR(H285="EE",H285="CE"),IF(M285="L",3,IF(M285="A",4,6)))))))</f>
        <v/>
      </c>
      <c r="P285" s="48" t="str">
        <f aca="false">IF(I285="I",O285*Contagem!$W$15,IF(I285="E",O285*Contagem!$W$17,IF(I285="A",O285*Contagem!$W$16,IF(I285="T",O285*Contagem!$W$18,""))))</f>
        <v/>
      </c>
      <c r="Q285" s="49"/>
    </row>
    <row r="286" customFormat="false" ht="12" hidden="false" customHeight="true" outlineLevel="0" collapsed="false">
      <c r="A286" s="40" t="n">
        <f aca="false">IF(H286="",IF(C286="",A285,A285+1),A285)</f>
        <v>38</v>
      </c>
      <c r="B286" s="41" t="str">
        <f aca="false">IF(A286=A285,"",CONCATENATE("F",A286))</f>
        <v>F38</v>
      </c>
      <c r="C286" s="42" t="s">
        <v>496</v>
      </c>
      <c r="D286" s="42"/>
      <c r="E286" s="42"/>
      <c r="F286" s="42"/>
      <c r="G286" s="42"/>
      <c r="H286" s="44"/>
      <c r="I286" s="50"/>
      <c r="J286" s="44"/>
      <c r="K286" s="44"/>
      <c r="L286" s="44" t="str">
        <f aca="false">CONCATENATE(H286,M286)</f>
        <v/>
      </c>
      <c r="M286" s="45" t="str">
        <f aca="false">IF(OR(ISBLANK(J286),ISBLANK(K286)),IF(OR(H286="ALI",H286="AIE"),"L",IF(ISBLANK(H286),"","A")),IF(H286="EE",IF(K286&gt;=3,IF(J286&gt;=5,"H","A"),IF(K286&gt;=2,IF(J286&gt;=16,"H",IF(J286&lt;=4,"L","A")),IF(J286&lt;=15,"L","A"))),IF(OR(H286="SE",H286="CE"),IF(K286&gt;=4,IF(J286&gt;=6,"H","A"),IF(K286&gt;=2,IF(J286&gt;=20,"H",IF(J286&lt;=5,"L","A")),IF(J286&lt;=19,"L","A"))),IF(OR(H286="ALI",H286="AIE"),IF(K286&gt;=6,IF(J286&gt;=20,"H","A"),IF(K286&gt;=2,IF(J286&gt;=51,"H",IF(J286&lt;=19,"L","A")),IF(J286&lt;=50,"L","A")))))))</f>
        <v/>
      </c>
      <c r="N286" s="46" t="str">
        <f aca="false">IF(M286="L","Baixa",IF(M286="A","Média",IF(M286="","","Alta")))</f>
        <v/>
      </c>
      <c r="O286" s="47" t="str">
        <f aca="false">IF(ISBLANK(H286),"",IF(H286="ALI",IF(M286="L",7,IF(M286="A",10,15)),IF(H286="AIE",IF(M286="L",5,IF(M286="A",7,10)),IF(H286="SE",IF(M286="L",4,IF(M286="A",5,7)),IF(OR(H286="EE",H286="CE"),IF(M286="L",3,IF(M286="A",4,6)))))))</f>
        <v/>
      </c>
      <c r="P286" s="48" t="str">
        <f aca="false">IF(I286="I",O286*Contagem!$W$15,IF(I286="E",O286*Contagem!$W$17,IF(I286="A",O286*Contagem!$W$16,IF(I286="T",O286*Contagem!$W$18,""))))</f>
        <v/>
      </c>
      <c r="Q286" s="49"/>
    </row>
    <row r="287" customFormat="false" ht="12" hidden="false" customHeight="true" outlineLevel="0" collapsed="false">
      <c r="A287" s="40" t="n">
        <f aca="false">IF(H287="",IF(C287="",A286,A286+1),A286)</f>
        <v>38</v>
      </c>
      <c r="B287" s="41" t="str">
        <f aca="false">IF(A287=A286,"",CONCATENATE("F",A287))</f>
        <v/>
      </c>
      <c r="C287" s="42" t="s">
        <v>497</v>
      </c>
      <c r="D287" s="42"/>
      <c r="E287" s="42"/>
      <c r="F287" s="42"/>
      <c r="G287" s="42"/>
      <c r="H287" s="44" t="s">
        <v>55</v>
      </c>
      <c r="I287" s="50" t="s">
        <v>56</v>
      </c>
      <c r="J287" s="44" t="n">
        <v>15</v>
      </c>
      <c r="K287" s="44" t="n">
        <v>3</v>
      </c>
      <c r="L287" s="44" t="str">
        <f aca="false">CONCATENATE(H287,M287)</f>
        <v>ALIL</v>
      </c>
      <c r="M287" s="45" t="str">
        <f aca="false">IF(OR(ISBLANK(J287),ISBLANK(K287)),IF(OR(H287="ALI",H287="AIE"),"L",IF(ISBLANK(H287),"","A")),IF(H287="EE",IF(K287&gt;=3,IF(J287&gt;=5,"H","A"),IF(K287&gt;=2,IF(J287&gt;=16,"H",IF(J287&lt;=4,"L","A")),IF(J287&lt;=15,"L","A"))),IF(OR(H287="SE",H287="CE"),IF(K287&gt;=4,IF(J287&gt;=6,"H","A"),IF(K287&gt;=2,IF(J287&gt;=20,"H",IF(J287&lt;=5,"L","A")),IF(J287&lt;=19,"L","A"))),IF(OR(H287="ALI",H287="AIE"),IF(K287&gt;=6,IF(J287&gt;=20,"H","A"),IF(K287&gt;=2,IF(J287&gt;=51,"H",IF(J287&lt;=19,"L","A")),IF(J287&lt;=50,"L","A")))))))</f>
        <v>L</v>
      </c>
      <c r="N287" s="46" t="str">
        <f aca="false">IF(M287="L","Baixa",IF(M287="A","Média",IF(M287="","","Alta")))</f>
        <v>Baixa</v>
      </c>
      <c r="O287" s="47" t="n">
        <f aca="false">IF(ISBLANK(H287),"",IF(H287="ALI",IF(M287="L",7,IF(M287="A",10,15)),IF(H287="AIE",IF(M287="L",5,IF(M287="A",7,10)),IF(H287="SE",IF(M287="L",4,IF(M287="A",5,7)),IF(OR(H287="EE",H287="CE"),IF(M287="L",3,IF(M287="A",4,6)))))))</f>
        <v>7</v>
      </c>
      <c r="P287" s="48" t="n">
        <f aca="false">IF(I287="I",O287*Contagem!$W$15,IF(I287="E",O287*Contagem!$W$17,IF(I287="A",O287*Contagem!$W$16,IF(I287="T",O287*Contagem!$W$18,""))))</f>
        <v>7</v>
      </c>
      <c r="Q287" s="49" t="s">
        <v>498</v>
      </c>
    </row>
    <row r="288" customFormat="false" ht="12" hidden="false" customHeight="true" outlineLevel="0" collapsed="false">
      <c r="A288" s="40" t="n">
        <f aca="false">IF(H288="",IF(C288="",A287,A287+1),A287)</f>
        <v>38</v>
      </c>
      <c r="B288" s="41" t="str">
        <f aca="false">IF(A288=A287,"",CONCATENATE("F",A288))</f>
        <v/>
      </c>
      <c r="C288" s="42"/>
      <c r="D288" s="42"/>
      <c r="E288" s="42"/>
      <c r="F288" s="42"/>
      <c r="G288" s="42"/>
      <c r="H288" s="44"/>
      <c r="I288" s="50"/>
      <c r="J288" s="44"/>
      <c r="K288" s="44"/>
      <c r="L288" s="44" t="str">
        <f aca="false">CONCATENATE(H288,M288)</f>
        <v/>
      </c>
      <c r="M288" s="45" t="str">
        <f aca="false">IF(OR(ISBLANK(J288),ISBLANK(K288)),IF(OR(H288="ALI",H288="AIE"),"L",IF(ISBLANK(H288),"","A")),IF(H288="EE",IF(K288&gt;=3,IF(J288&gt;=5,"H","A"),IF(K288&gt;=2,IF(J288&gt;=16,"H",IF(J288&lt;=4,"L","A")),IF(J288&lt;=15,"L","A"))),IF(OR(H288="SE",H288="CE"),IF(K288&gt;=4,IF(J288&gt;=6,"H","A"),IF(K288&gt;=2,IF(J288&gt;=20,"H",IF(J288&lt;=5,"L","A")),IF(J288&lt;=19,"L","A"))),IF(OR(H288="ALI",H288="AIE"),IF(K288&gt;=6,IF(J288&gt;=20,"H","A"),IF(K288&gt;=2,IF(J288&gt;=51,"H",IF(J288&lt;=19,"L","A")),IF(J288&lt;=50,"L","A")))))))</f>
        <v/>
      </c>
      <c r="N288" s="46" t="str">
        <f aca="false">IF(M288="L","Baixa",IF(M288="A","Média",IF(M288="","","Alta")))</f>
        <v/>
      </c>
      <c r="O288" s="47" t="str">
        <f aca="false">IF(ISBLANK(H288),"",IF(H288="ALI",IF(M288="L",7,IF(M288="A",10,15)),IF(H288="AIE",IF(M288="L",5,IF(M288="A",7,10)),IF(H288="SE",IF(M288="L",4,IF(M288="A",5,7)),IF(OR(H288="EE",H288="CE"),IF(M288="L",3,IF(M288="A",4,6)))))))</f>
        <v/>
      </c>
      <c r="P288" s="48" t="str">
        <f aca="false">IF(I288="I",O288*Contagem!$W$15,IF(I288="E",O288*Contagem!$W$17,IF(I288="A",O288*Contagem!$W$16,IF(I288="T",O288*Contagem!$W$18,""))))</f>
        <v/>
      </c>
      <c r="Q288" s="49"/>
    </row>
    <row r="289" customFormat="false" ht="12" hidden="false" customHeight="true" outlineLevel="0" collapsed="false">
      <c r="A289" s="40" t="n">
        <f aca="false">IF(H289="",IF(C289="",A288,A288+1),A288)</f>
        <v>39</v>
      </c>
      <c r="B289" s="41" t="str">
        <f aca="false">IF(A289=A288,"",CONCATENATE("F",A289))</f>
        <v>F39</v>
      </c>
      <c r="C289" s="42" t="s">
        <v>499</v>
      </c>
      <c r="D289" s="42"/>
      <c r="E289" s="42"/>
      <c r="F289" s="42"/>
      <c r="G289" s="42"/>
      <c r="H289" s="44"/>
      <c r="I289" s="50"/>
      <c r="J289" s="44"/>
      <c r="K289" s="44"/>
      <c r="L289" s="44" t="str">
        <f aca="false">CONCATENATE(H289,M289)</f>
        <v/>
      </c>
      <c r="M289" s="45" t="str">
        <f aca="false">IF(OR(ISBLANK(J289),ISBLANK(K289)),IF(OR(H289="ALI",H289="AIE"),"L",IF(ISBLANK(H289),"","A")),IF(H289="EE",IF(K289&gt;=3,IF(J289&gt;=5,"H","A"),IF(K289&gt;=2,IF(J289&gt;=16,"H",IF(J289&lt;=4,"L","A")),IF(J289&lt;=15,"L","A"))),IF(OR(H289="SE",H289="CE"),IF(K289&gt;=4,IF(J289&gt;=6,"H","A"),IF(K289&gt;=2,IF(J289&gt;=20,"H",IF(J289&lt;=5,"L","A")),IF(J289&lt;=19,"L","A"))),IF(OR(H289="ALI",H289="AIE"),IF(K289&gt;=6,IF(J289&gt;=20,"H","A"),IF(K289&gt;=2,IF(J289&gt;=51,"H",IF(J289&lt;=19,"L","A")),IF(J289&lt;=50,"L","A")))))))</f>
        <v/>
      </c>
      <c r="N289" s="46" t="str">
        <f aca="false">IF(M289="L","Baixa",IF(M289="A","Média",IF(M289="","","Alta")))</f>
        <v/>
      </c>
      <c r="O289" s="47" t="str">
        <f aca="false">IF(ISBLANK(H289),"",IF(H289="ALI",IF(M289="L",7,IF(M289="A",10,15)),IF(H289="AIE",IF(M289="L",5,IF(M289="A",7,10)),IF(H289="SE",IF(M289="L",4,IF(M289="A",5,7)),IF(OR(H289="EE",H289="CE"),IF(M289="L",3,IF(M289="A",4,6)))))))</f>
        <v/>
      </c>
      <c r="P289" s="48" t="str">
        <f aca="false">IF(I289="I",O289*Contagem!$W$15,IF(I289="E",O289*Contagem!$W$17,IF(I289="A",O289*Contagem!$W$16,IF(I289="T",O289*Contagem!$W$18,""))))</f>
        <v/>
      </c>
      <c r="Q289" s="49"/>
    </row>
    <row r="290" customFormat="false" ht="12" hidden="false" customHeight="true" outlineLevel="0" collapsed="false">
      <c r="A290" s="40" t="n">
        <f aca="false">IF(H290="",IF(C290="",A289,A289+1),A289)</f>
        <v>39</v>
      </c>
      <c r="B290" s="41" t="str">
        <f aca="false">IF(A290=A289,"",CONCATENATE("F",A290))</f>
        <v/>
      </c>
      <c r="C290" s="42" t="s">
        <v>500</v>
      </c>
      <c r="D290" s="42"/>
      <c r="E290" s="42"/>
      <c r="F290" s="42"/>
      <c r="G290" s="42"/>
      <c r="H290" s="44" t="s">
        <v>55</v>
      </c>
      <c r="I290" s="50" t="s">
        <v>56</v>
      </c>
      <c r="J290" s="44" t="n">
        <v>11</v>
      </c>
      <c r="K290" s="44" t="n">
        <v>1</v>
      </c>
      <c r="L290" s="44" t="str">
        <f aca="false">CONCATENATE(H290,M290)</f>
        <v>ALIL</v>
      </c>
      <c r="M290" s="45" t="str">
        <f aca="false">IF(OR(ISBLANK(J290),ISBLANK(K290)),IF(OR(H290="ALI",H290="AIE"),"L",IF(ISBLANK(H290),"","A")),IF(H290="EE",IF(K290&gt;=3,IF(J290&gt;=5,"H","A"),IF(K290&gt;=2,IF(J290&gt;=16,"H",IF(J290&lt;=4,"L","A")),IF(J290&lt;=15,"L","A"))),IF(OR(H290="SE",H290="CE"),IF(K290&gt;=4,IF(J290&gt;=6,"H","A"),IF(K290&gt;=2,IF(J290&gt;=20,"H",IF(J290&lt;=5,"L","A")),IF(J290&lt;=19,"L","A"))),IF(OR(H290="ALI",H290="AIE"),IF(K290&gt;=6,IF(J290&gt;=20,"H","A"),IF(K290&gt;=2,IF(J290&gt;=51,"H",IF(J290&lt;=19,"L","A")),IF(J290&lt;=50,"L","A")))))))</f>
        <v>L</v>
      </c>
      <c r="N290" s="46" t="str">
        <f aca="false">IF(M290="L","Baixa",IF(M290="A","Média",IF(M290="","","Alta")))</f>
        <v>Baixa</v>
      </c>
      <c r="O290" s="47" t="n">
        <f aca="false">IF(ISBLANK(H290),"",IF(H290="ALI",IF(M290="L",7,IF(M290="A",10,15)),IF(H290="AIE",IF(M290="L",5,IF(M290="A",7,10)),IF(H290="SE",IF(M290="L",4,IF(M290="A",5,7)),IF(OR(H290="EE",H290="CE"),IF(M290="L",3,IF(M290="A",4,6)))))))</f>
        <v>7</v>
      </c>
      <c r="P290" s="48" t="n">
        <f aca="false">IF(I290="I",O290*Contagem!$W$15,IF(I290="E",O290*Contagem!$W$17,IF(I290="A",O290*Contagem!$W$16,IF(I290="T",O290*Contagem!$W$18,""))))</f>
        <v>7</v>
      </c>
      <c r="Q290" s="49" t="s">
        <v>501</v>
      </c>
    </row>
    <row r="291" customFormat="false" ht="12" hidden="false" customHeight="true" outlineLevel="0" collapsed="false">
      <c r="A291" s="40" t="n">
        <f aca="false">IF(H291="",IF(C291="",A290,A290+1),A290)</f>
        <v>39</v>
      </c>
      <c r="B291" s="41" t="str">
        <f aca="false">IF(A291=A290,"",CONCATENATE("F",A291))</f>
        <v/>
      </c>
      <c r="C291" s="42" t="s">
        <v>502</v>
      </c>
      <c r="D291" s="42"/>
      <c r="E291" s="42"/>
      <c r="F291" s="42"/>
      <c r="G291" s="42"/>
      <c r="H291" s="44" t="s">
        <v>59</v>
      </c>
      <c r="I291" s="50" t="s">
        <v>56</v>
      </c>
      <c r="J291" s="44" t="n">
        <v>26</v>
      </c>
      <c r="K291" s="44" t="n">
        <v>1</v>
      </c>
      <c r="L291" s="44" t="str">
        <f aca="false">CONCATENATE(H291,M291)</f>
        <v>AIEL</v>
      </c>
      <c r="M291" s="45" t="str">
        <f aca="false">IF(OR(ISBLANK(J291),ISBLANK(K291)),IF(OR(H291="ALI",H291="AIE"),"L",IF(ISBLANK(H291),"","A")),IF(H291="EE",IF(K291&gt;=3,IF(J291&gt;=5,"H","A"),IF(K291&gt;=2,IF(J291&gt;=16,"H",IF(J291&lt;=4,"L","A")),IF(J291&lt;=15,"L","A"))),IF(OR(H291="SE",H291="CE"),IF(K291&gt;=4,IF(J291&gt;=6,"H","A"),IF(K291&gt;=2,IF(J291&gt;=20,"H",IF(J291&lt;=5,"L","A")),IF(J291&lt;=19,"L","A"))),IF(OR(H291="ALI",H291="AIE"),IF(K291&gt;=6,IF(J291&gt;=20,"H","A"),IF(K291&gt;=2,IF(J291&gt;=51,"H",IF(J291&lt;=19,"L","A")),IF(J291&lt;=50,"L","A")))))))</f>
        <v>L</v>
      </c>
      <c r="N291" s="46" t="str">
        <f aca="false">IF(M291="L","Baixa",IF(M291="A","Média",IF(M291="","","Alta")))</f>
        <v>Baixa</v>
      </c>
      <c r="O291" s="47" t="n">
        <f aca="false">IF(ISBLANK(H291),"",IF(H291="ALI",IF(M291="L",7,IF(M291="A",10,15)),IF(H291="AIE",IF(M291="L",5,IF(M291="A",7,10)),IF(H291="SE",IF(M291="L",4,IF(M291="A",5,7)),IF(OR(H291="EE",H291="CE"),IF(M291="L",3,IF(M291="A",4,6)))))))</f>
        <v>5</v>
      </c>
      <c r="P291" s="48" t="n">
        <f aca="false">IF(I291="I",O291*Contagem!$W$15,IF(I291="E",O291*Contagem!$W$17,IF(I291="A",O291*Contagem!$W$16,IF(I291="T",O291*Contagem!$W$18,""))))</f>
        <v>5</v>
      </c>
      <c r="Q291" s="49" t="s">
        <v>503</v>
      </c>
    </row>
    <row r="292" customFormat="false" ht="12" hidden="false" customHeight="true" outlineLevel="0" collapsed="false">
      <c r="A292" s="40" t="n">
        <f aca="false">IF(H292="",IF(C292="",A291,A291+1),A291)</f>
        <v>39</v>
      </c>
      <c r="B292" s="41" t="str">
        <f aca="false">IF(A292=A291,"",CONCATENATE("F",A292))</f>
        <v/>
      </c>
      <c r="C292" s="42" t="s">
        <v>504</v>
      </c>
      <c r="D292" s="42"/>
      <c r="E292" s="42"/>
      <c r="F292" s="42"/>
      <c r="G292" s="42"/>
      <c r="H292" s="44" t="s">
        <v>99</v>
      </c>
      <c r="I292" s="50" t="s">
        <v>56</v>
      </c>
      <c r="J292" s="44" t="n">
        <v>26</v>
      </c>
      <c r="K292" s="44" t="n">
        <v>11</v>
      </c>
      <c r="L292" s="44" t="str">
        <f aca="false">CONCATENATE(H292,M292)</f>
        <v>SEH</v>
      </c>
      <c r="M292" s="45" t="str">
        <f aca="false">IF(OR(ISBLANK(J292),ISBLANK(K292)),IF(OR(H292="ALI",H292="AIE"),"L",IF(ISBLANK(H292),"","A")),IF(H292="EE",IF(K292&gt;=3,IF(J292&gt;=5,"H","A"),IF(K292&gt;=2,IF(J292&gt;=16,"H",IF(J292&lt;=4,"L","A")),IF(J292&lt;=15,"L","A"))),IF(OR(H292="SE",H292="CE"),IF(K292&gt;=4,IF(J292&gt;=6,"H","A"),IF(K292&gt;=2,IF(J292&gt;=20,"H",IF(J292&lt;=5,"L","A")),IF(J292&lt;=19,"L","A"))),IF(OR(H292="ALI",H292="AIE"),IF(K292&gt;=6,IF(J292&gt;=20,"H","A"),IF(K292&gt;=2,IF(J292&gt;=51,"H",IF(J292&lt;=19,"L","A")),IF(J292&lt;=50,"L","A")))))))</f>
        <v>H</v>
      </c>
      <c r="N292" s="46" t="str">
        <f aca="false">IF(M292="L","Baixa",IF(M292="A","Média",IF(M292="","","Alta")))</f>
        <v>Alta</v>
      </c>
      <c r="O292" s="47" t="n">
        <f aca="false">IF(ISBLANK(H292),"",IF(H292="ALI",IF(M292="L",7,IF(M292="A",10,15)),IF(H292="AIE",IF(M292="L",5,IF(M292="A",7,10)),IF(H292="SE",IF(M292="L",4,IF(M292="A",5,7)),IF(OR(H292="EE",H292="CE"),IF(M292="L",3,IF(M292="A",4,6)))))))</f>
        <v>7</v>
      </c>
      <c r="P292" s="48" t="n">
        <f aca="false">IF(I292="I",O292*Contagem!$W$15,IF(I292="E",O292*Contagem!$W$17,IF(I292="A",O292*Contagem!$W$16,IF(I292="T",O292*Contagem!$W$18,""))))</f>
        <v>7</v>
      </c>
      <c r="Q292" s="49" t="s">
        <v>505</v>
      </c>
    </row>
    <row r="293" customFormat="false" ht="12" hidden="false" customHeight="true" outlineLevel="0" collapsed="false">
      <c r="A293" s="40" t="n">
        <f aca="false">IF(H293="",IF(C293="",A292,A292+1),A292)</f>
        <v>39</v>
      </c>
      <c r="B293" s="41" t="str">
        <f aca="false">IF(A293=A292,"",CONCATENATE("F",A293))</f>
        <v/>
      </c>
      <c r="C293" s="42" t="s">
        <v>506</v>
      </c>
      <c r="D293" s="42"/>
      <c r="E293" s="42"/>
      <c r="F293" s="42"/>
      <c r="G293" s="42"/>
      <c r="H293" s="44" t="s">
        <v>99</v>
      </c>
      <c r="I293" s="50" t="s">
        <v>56</v>
      </c>
      <c r="J293" s="44" t="n">
        <v>17</v>
      </c>
      <c r="K293" s="44" t="n">
        <v>6</v>
      </c>
      <c r="L293" s="44" t="str">
        <f aca="false">CONCATENATE(H293,M293)</f>
        <v>SEH</v>
      </c>
      <c r="M293" s="45" t="str">
        <f aca="false">IF(OR(ISBLANK(J293),ISBLANK(K293)),IF(OR(H293="ALI",H293="AIE"),"L",IF(ISBLANK(H293),"","A")),IF(H293="EE",IF(K293&gt;=3,IF(J293&gt;=5,"H","A"),IF(K293&gt;=2,IF(J293&gt;=16,"H",IF(J293&lt;=4,"L","A")),IF(J293&lt;=15,"L","A"))),IF(OR(H293="SE",H293="CE"),IF(K293&gt;=4,IF(J293&gt;=6,"H","A"),IF(K293&gt;=2,IF(J293&gt;=20,"H",IF(J293&lt;=5,"L","A")),IF(J293&lt;=19,"L","A"))),IF(OR(H293="ALI",H293="AIE"),IF(K293&gt;=6,IF(J293&gt;=20,"H","A"),IF(K293&gt;=2,IF(J293&gt;=51,"H",IF(J293&lt;=19,"L","A")),IF(J293&lt;=50,"L","A")))))))</f>
        <v>H</v>
      </c>
      <c r="N293" s="46" t="str">
        <f aca="false">IF(M293="L","Baixa",IF(M293="A","Média",IF(M293="","","Alta")))</f>
        <v>Alta</v>
      </c>
      <c r="O293" s="47" t="n">
        <f aca="false">IF(ISBLANK(H293),"",IF(H293="ALI",IF(M293="L",7,IF(M293="A",10,15)),IF(H293="AIE",IF(M293="L",5,IF(M293="A",7,10)),IF(H293="SE",IF(M293="L",4,IF(M293="A",5,7)),IF(OR(H293="EE",H293="CE"),IF(M293="L",3,IF(M293="A",4,6)))))))</f>
        <v>7</v>
      </c>
      <c r="P293" s="48" t="n">
        <f aca="false">IF(I293="I",O293*Contagem!$W$15,IF(I293="E",O293*Contagem!$W$17,IF(I293="A",O293*Contagem!$W$16,IF(I293="T",O293*Contagem!$W$18,""))))</f>
        <v>7</v>
      </c>
      <c r="Q293" s="49" t="s">
        <v>507</v>
      </c>
    </row>
    <row r="294" customFormat="false" ht="12" hidden="false" customHeight="true" outlineLevel="0" collapsed="false">
      <c r="A294" s="40" t="n">
        <f aca="false">IF(H294="",IF(C294="",A293,A293+1),A293)</f>
        <v>39</v>
      </c>
      <c r="B294" s="41" t="str">
        <f aca="false">IF(A294=A293,"",CONCATENATE("F",A294))</f>
        <v/>
      </c>
      <c r="C294" s="42" t="s">
        <v>508</v>
      </c>
      <c r="D294" s="42"/>
      <c r="E294" s="42"/>
      <c r="F294" s="42"/>
      <c r="G294" s="42"/>
      <c r="H294" s="44" t="s">
        <v>99</v>
      </c>
      <c r="I294" s="50" t="s">
        <v>56</v>
      </c>
      <c r="J294" s="44" t="n">
        <v>25</v>
      </c>
      <c r="K294" s="44" t="n">
        <v>11</v>
      </c>
      <c r="L294" s="44" t="str">
        <f aca="false">CONCATENATE(H294,M294)</f>
        <v>SEH</v>
      </c>
      <c r="M294" s="45" t="str">
        <f aca="false">IF(OR(ISBLANK(J294),ISBLANK(K294)),IF(OR(H294="ALI",H294="AIE"),"L",IF(ISBLANK(H294),"","A")),IF(H294="EE",IF(K294&gt;=3,IF(J294&gt;=5,"H","A"),IF(K294&gt;=2,IF(J294&gt;=16,"H",IF(J294&lt;=4,"L","A")),IF(J294&lt;=15,"L","A"))),IF(OR(H294="SE",H294="CE"),IF(K294&gt;=4,IF(J294&gt;=6,"H","A"),IF(K294&gt;=2,IF(J294&gt;=20,"H",IF(J294&lt;=5,"L","A")),IF(J294&lt;=19,"L","A"))),IF(OR(H294="ALI",H294="AIE"),IF(K294&gt;=6,IF(J294&gt;=20,"H","A"),IF(K294&gt;=2,IF(J294&gt;=51,"H",IF(J294&lt;=19,"L","A")),IF(J294&lt;=50,"L","A")))))))</f>
        <v>H</v>
      </c>
      <c r="N294" s="46" t="str">
        <f aca="false">IF(M294="L","Baixa",IF(M294="A","Média",IF(M294="","","Alta")))</f>
        <v>Alta</v>
      </c>
      <c r="O294" s="47" t="n">
        <f aca="false">IF(ISBLANK(H294),"",IF(H294="ALI",IF(M294="L",7,IF(M294="A",10,15)),IF(H294="AIE",IF(M294="L",5,IF(M294="A",7,10)),IF(H294="SE",IF(M294="L",4,IF(M294="A",5,7)),IF(OR(H294="EE",H294="CE"),IF(M294="L",3,IF(M294="A",4,6)))))))</f>
        <v>7</v>
      </c>
      <c r="P294" s="48" t="n">
        <f aca="false">IF(I294="I",O294*Contagem!$W$15,IF(I294="E",O294*Contagem!$W$17,IF(I294="A",O294*Contagem!$W$16,IF(I294="T",O294*Contagem!$W$18,""))))</f>
        <v>7</v>
      </c>
      <c r="Q294" s="49" t="s">
        <v>509</v>
      </c>
    </row>
    <row r="295" customFormat="false" ht="12" hidden="false" customHeight="true" outlineLevel="0" collapsed="false">
      <c r="A295" s="40" t="n">
        <f aca="false">IF(H295="",IF(C295="",A294,A294+1),A294)</f>
        <v>39</v>
      </c>
      <c r="B295" s="41" t="str">
        <f aca="false">IF(A295=A294,"",CONCATENATE("F",A295))</f>
        <v/>
      </c>
      <c r="C295" s="42" t="s">
        <v>510</v>
      </c>
      <c r="D295" s="42"/>
      <c r="E295" s="42"/>
      <c r="F295" s="42"/>
      <c r="G295" s="42"/>
      <c r="H295" s="44" t="s">
        <v>80</v>
      </c>
      <c r="I295" s="50" t="s">
        <v>56</v>
      </c>
      <c r="J295" s="44" t="n">
        <v>22</v>
      </c>
      <c r="K295" s="44" t="n">
        <v>1</v>
      </c>
      <c r="L295" s="44" t="str">
        <f aca="false">CONCATENATE(H295,M295)</f>
        <v>CEA</v>
      </c>
      <c r="M295" s="45" t="str">
        <f aca="false">IF(OR(ISBLANK(J295),ISBLANK(K295)),IF(OR(H295="ALI",H295="AIE"),"L",IF(ISBLANK(H295),"","A")),IF(H295="EE",IF(K295&gt;=3,IF(J295&gt;=5,"H","A"),IF(K295&gt;=2,IF(J295&gt;=16,"H",IF(J295&lt;=4,"L","A")),IF(J295&lt;=15,"L","A"))),IF(OR(H295="SE",H295="CE"),IF(K295&gt;=4,IF(J295&gt;=6,"H","A"),IF(K295&gt;=2,IF(J295&gt;=20,"H",IF(J295&lt;=5,"L","A")),IF(J295&lt;=19,"L","A"))),IF(OR(H295="ALI",H295="AIE"),IF(K295&gt;=6,IF(J295&gt;=20,"H","A"),IF(K295&gt;=2,IF(J295&gt;=51,"H",IF(J295&lt;=19,"L","A")),IF(J295&lt;=50,"L","A")))))))</f>
        <v>A</v>
      </c>
      <c r="N295" s="46" t="str">
        <f aca="false">IF(M295="L","Baixa",IF(M295="A","Média",IF(M295="","","Alta")))</f>
        <v>Média</v>
      </c>
      <c r="O295" s="47" t="n">
        <f aca="false">IF(ISBLANK(H295),"",IF(H295="ALI",IF(M295="L",7,IF(M295="A",10,15)),IF(H295="AIE",IF(M295="L",5,IF(M295="A",7,10)),IF(H295="SE",IF(M295="L",4,IF(M295="A",5,7)),IF(OR(H295="EE",H295="CE"),IF(M295="L",3,IF(M295="A",4,6)))))))</f>
        <v>4</v>
      </c>
      <c r="P295" s="48" t="n">
        <f aca="false">IF(I295="I",O295*Contagem!$W$15,IF(I295="E",O295*Contagem!$W$17,IF(I295="A",O295*Contagem!$W$16,IF(I295="T",O295*Contagem!$W$18,""))))</f>
        <v>4</v>
      </c>
      <c r="Q295" s="49" t="s">
        <v>511</v>
      </c>
    </row>
    <row r="296" customFormat="false" ht="12" hidden="false" customHeight="true" outlineLevel="0" collapsed="false">
      <c r="A296" s="40" t="n">
        <f aca="false">IF(H296="",IF(C296="",A295,A295+1),A295)</f>
        <v>39</v>
      </c>
      <c r="B296" s="41" t="str">
        <f aca="false">IF(A296=A295,"",CONCATENATE("F",A296))</f>
        <v/>
      </c>
      <c r="C296" s="42"/>
      <c r="D296" s="42"/>
      <c r="E296" s="42"/>
      <c r="F296" s="42"/>
      <c r="G296" s="42"/>
      <c r="H296" s="44"/>
      <c r="I296" s="50"/>
      <c r="J296" s="44"/>
      <c r="K296" s="44"/>
      <c r="L296" s="44" t="str">
        <f aca="false">CONCATENATE(H296,M296)</f>
        <v/>
      </c>
      <c r="M296" s="45" t="str">
        <f aca="false">IF(OR(ISBLANK(J296),ISBLANK(K296)),IF(OR(H296="ALI",H296="AIE"),"L",IF(ISBLANK(H296),"","A")),IF(H296="EE",IF(K296&gt;=3,IF(J296&gt;=5,"H","A"),IF(K296&gt;=2,IF(J296&gt;=16,"H",IF(J296&lt;=4,"L","A")),IF(J296&lt;=15,"L","A"))),IF(OR(H296="SE",H296="CE"),IF(K296&gt;=4,IF(J296&gt;=6,"H","A"),IF(K296&gt;=2,IF(J296&gt;=20,"H",IF(J296&lt;=5,"L","A")),IF(J296&lt;=19,"L","A"))),IF(OR(H296="ALI",H296="AIE"),IF(K296&gt;=6,IF(J296&gt;=20,"H","A"),IF(K296&gt;=2,IF(J296&gt;=51,"H",IF(J296&lt;=19,"L","A")),IF(J296&lt;=50,"L","A")))))))</f>
        <v/>
      </c>
      <c r="N296" s="46" t="str">
        <f aca="false">IF(M296="L","Baixa",IF(M296="A","Média",IF(M296="","","Alta")))</f>
        <v/>
      </c>
      <c r="O296" s="47" t="str">
        <f aca="false">IF(ISBLANK(H296),"",IF(H296="ALI",IF(M296="L",7,IF(M296="A",10,15)),IF(H296="AIE",IF(M296="L",5,IF(M296="A",7,10)),IF(H296="SE",IF(M296="L",4,IF(M296="A",5,7)),IF(OR(H296="EE",H296="CE"),IF(M296="L",3,IF(M296="A",4,6)))))))</f>
        <v/>
      </c>
      <c r="P296" s="48" t="str">
        <f aca="false">IF(I296="I",O296*Contagem!$W$15,IF(I296="E",O296*Contagem!$W$17,IF(I296="A",O296*Contagem!$W$16,IF(I296="T",O296*Contagem!$W$18,""))))</f>
        <v/>
      </c>
      <c r="Q296" s="49"/>
    </row>
    <row r="297" customFormat="false" ht="12" hidden="false" customHeight="true" outlineLevel="0" collapsed="false">
      <c r="A297" s="40" t="n">
        <f aca="false">IF(H297="",IF(C297="",A296,A296+1),A296)</f>
        <v>40</v>
      </c>
      <c r="B297" s="41" t="str">
        <f aca="false">IF(A297=A296,"",CONCATENATE("F",A297))</f>
        <v>F40</v>
      </c>
      <c r="C297" s="42" t="s">
        <v>512</v>
      </c>
      <c r="D297" s="42"/>
      <c r="E297" s="42"/>
      <c r="F297" s="42"/>
      <c r="G297" s="42"/>
      <c r="H297" s="44"/>
      <c r="I297" s="50"/>
      <c r="J297" s="44"/>
      <c r="K297" s="44"/>
      <c r="L297" s="44" t="str">
        <f aca="false">CONCATENATE(H297,M297)</f>
        <v/>
      </c>
      <c r="M297" s="45" t="str">
        <f aca="false">IF(OR(ISBLANK(J297),ISBLANK(K297)),IF(OR(H297="ALI",H297="AIE"),"L",IF(ISBLANK(H297),"","A")),IF(H297="EE",IF(K297&gt;=3,IF(J297&gt;=5,"H","A"),IF(K297&gt;=2,IF(J297&gt;=16,"H",IF(J297&lt;=4,"L","A")),IF(J297&lt;=15,"L","A"))),IF(OR(H297="SE",H297="CE"),IF(K297&gt;=4,IF(J297&gt;=6,"H","A"),IF(K297&gt;=2,IF(J297&gt;=20,"H",IF(J297&lt;=5,"L","A")),IF(J297&lt;=19,"L","A"))),IF(OR(H297="ALI",H297="AIE"),IF(K297&gt;=6,IF(J297&gt;=20,"H","A"),IF(K297&gt;=2,IF(J297&gt;=51,"H",IF(J297&lt;=19,"L","A")),IF(J297&lt;=50,"L","A")))))))</f>
        <v/>
      </c>
      <c r="N297" s="46" t="str">
        <f aca="false">IF(M297="L","Baixa",IF(M297="A","Média",IF(M297="","","Alta")))</f>
        <v/>
      </c>
      <c r="O297" s="47" t="str">
        <f aca="false">IF(ISBLANK(H297),"",IF(H297="ALI",IF(M297="L",7,IF(M297="A",10,15)),IF(H297="AIE",IF(M297="L",5,IF(M297="A",7,10)),IF(H297="SE",IF(M297="L",4,IF(M297="A",5,7)),IF(OR(H297="EE",H297="CE"),IF(M297="L",3,IF(M297="A",4,6)))))))</f>
        <v/>
      </c>
      <c r="P297" s="48" t="str">
        <f aca="false">IF(I297="I",O297*Contagem!$W$15,IF(I297="E",O297*Contagem!$W$17,IF(I297="A",O297*Contagem!$W$16,IF(I297="T",O297*Contagem!$W$18,""))))</f>
        <v/>
      </c>
      <c r="Q297" s="49"/>
    </row>
    <row r="298" customFormat="false" ht="12" hidden="false" customHeight="true" outlineLevel="0" collapsed="false">
      <c r="A298" s="40" t="n">
        <f aca="false">IF(H298="",IF(C298="",A297,A297+1),A297)</f>
        <v>40</v>
      </c>
      <c r="B298" s="41" t="str">
        <f aca="false">IF(A298=A297,"",CONCATENATE("F",A298))</f>
        <v/>
      </c>
      <c r="C298" s="42" t="s">
        <v>513</v>
      </c>
      <c r="D298" s="42"/>
      <c r="E298" s="42"/>
      <c r="F298" s="42"/>
      <c r="G298" s="42"/>
      <c r="H298" s="44" t="s">
        <v>55</v>
      </c>
      <c r="I298" s="50" t="s">
        <v>56</v>
      </c>
      <c r="J298" s="44" t="n">
        <v>9</v>
      </c>
      <c r="K298" s="44" t="n">
        <v>2</v>
      </c>
      <c r="L298" s="44" t="str">
        <f aca="false">CONCATENATE(H298,M298)</f>
        <v>ALIL</v>
      </c>
      <c r="M298" s="45" t="str">
        <f aca="false">IF(OR(ISBLANK(J298),ISBLANK(K298)),IF(OR(H298="ALI",H298="AIE"),"L",IF(ISBLANK(H298),"","A")),IF(H298="EE",IF(K298&gt;=3,IF(J298&gt;=5,"H","A"),IF(K298&gt;=2,IF(J298&gt;=16,"H",IF(J298&lt;=4,"L","A")),IF(J298&lt;=15,"L","A"))),IF(OR(H298="SE",H298="CE"),IF(K298&gt;=4,IF(J298&gt;=6,"H","A"),IF(K298&gt;=2,IF(J298&gt;=20,"H",IF(J298&lt;=5,"L","A")),IF(J298&lt;=19,"L","A"))),IF(OR(H298="ALI",H298="AIE"),IF(K298&gt;=6,IF(J298&gt;=20,"H","A"),IF(K298&gt;=2,IF(J298&gt;=51,"H",IF(J298&lt;=19,"L","A")),IF(J298&lt;=50,"L","A")))))))</f>
        <v>L</v>
      </c>
      <c r="N298" s="46" t="str">
        <f aca="false">IF(M298="L","Baixa",IF(M298="A","Média",IF(M298="","","Alta")))</f>
        <v>Baixa</v>
      </c>
      <c r="O298" s="47" t="n">
        <f aca="false">IF(ISBLANK(H298),"",IF(H298="ALI",IF(M298="L",7,IF(M298="A",10,15)),IF(H298="AIE",IF(M298="L",5,IF(M298="A",7,10)),IF(H298="SE",IF(M298="L",4,IF(M298="A",5,7)),IF(OR(H298="EE",H298="CE"),IF(M298="L",3,IF(M298="A",4,6)))))))</f>
        <v>7</v>
      </c>
      <c r="P298" s="48" t="n">
        <f aca="false">IF(I298="I",O298*Contagem!$W$15,IF(I298="E",O298*Contagem!$W$17,IF(I298="A",O298*Contagem!$W$16,IF(I298="T",O298*Contagem!$W$18,""))))</f>
        <v>7</v>
      </c>
      <c r="Q298" s="49" t="s">
        <v>514</v>
      </c>
    </row>
    <row r="299" customFormat="false" ht="12" hidden="false" customHeight="true" outlineLevel="0" collapsed="false">
      <c r="A299" s="40" t="n">
        <f aca="false">IF(H299="",IF(C299="",A298,A298+1),A298)</f>
        <v>40</v>
      </c>
      <c r="B299" s="41" t="str">
        <f aca="false">IF(A299=A298,"",CONCATENATE("F",A299))</f>
        <v/>
      </c>
      <c r="C299" s="42"/>
      <c r="D299" s="42"/>
      <c r="E299" s="42"/>
      <c r="F299" s="42"/>
      <c r="G299" s="42"/>
      <c r="H299" s="44"/>
      <c r="I299" s="50"/>
      <c r="J299" s="44"/>
      <c r="K299" s="44"/>
      <c r="L299" s="44" t="str">
        <f aca="false">CONCATENATE(H299,M299)</f>
        <v/>
      </c>
      <c r="M299" s="45" t="str">
        <f aca="false">IF(OR(ISBLANK(J299),ISBLANK(K299)),IF(OR(H299="ALI",H299="AIE"),"L",IF(ISBLANK(H299),"","A")),IF(H299="EE",IF(K299&gt;=3,IF(J299&gt;=5,"H","A"),IF(K299&gt;=2,IF(J299&gt;=16,"H",IF(J299&lt;=4,"L","A")),IF(J299&lt;=15,"L","A"))),IF(OR(H299="SE",H299="CE"),IF(K299&gt;=4,IF(J299&gt;=6,"H","A"),IF(K299&gt;=2,IF(J299&gt;=20,"H",IF(J299&lt;=5,"L","A")),IF(J299&lt;=19,"L","A"))),IF(OR(H299="ALI",H299="AIE"),IF(K299&gt;=6,IF(J299&gt;=20,"H","A"),IF(K299&gt;=2,IF(J299&gt;=51,"H",IF(J299&lt;=19,"L","A")),IF(J299&lt;=50,"L","A")))))))</f>
        <v/>
      </c>
      <c r="N299" s="46" t="str">
        <f aca="false">IF(M299="L","Baixa",IF(M299="A","Média",IF(M299="","","Alta")))</f>
        <v/>
      </c>
      <c r="O299" s="47" t="str">
        <f aca="false">IF(ISBLANK(H299),"",IF(H299="ALI",IF(M299="L",7,IF(M299="A",10,15)),IF(H299="AIE",IF(M299="L",5,IF(M299="A",7,10)),IF(H299="SE",IF(M299="L",4,IF(M299="A",5,7)),IF(OR(H299="EE",H299="CE"),IF(M299="L",3,IF(M299="A",4,6)))))))</f>
        <v/>
      </c>
      <c r="P299" s="48" t="str">
        <f aca="false">IF(I299="I",O299*Contagem!$W$15,IF(I299="E",O299*Contagem!$W$17,IF(I299="A",O299*Contagem!$W$16,IF(I299="T",O299*Contagem!$W$18,""))))</f>
        <v/>
      </c>
      <c r="Q299" s="49"/>
    </row>
    <row r="300" customFormat="false" ht="12" hidden="false" customHeight="true" outlineLevel="0" collapsed="false">
      <c r="A300" s="40" t="n">
        <f aca="false">IF(H300="",IF(C300="",A299,A299+1),A299)</f>
        <v>41</v>
      </c>
      <c r="B300" s="41" t="str">
        <f aca="false">IF(A300=A299,"",CONCATENATE("F",A300))</f>
        <v>F41</v>
      </c>
      <c r="C300" s="42" t="s">
        <v>515</v>
      </c>
      <c r="D300" s="42"/>
      <c r="E300" s="42"/>
      <c r="F300" s="42"/>
      <c r="G300" s="42"/>
      <c r="H300" s="44"/>
      <c r="I300" s="50"/>
      <c r="J300" s="44"/>
      <c r="K300" s="44"/>
      <c r="L300" s="44" t="str">
        <f aca="false">CONCATENATE(H300,M300)</f>
        <v/>
      </c>
      <c r="M300" s="45" t="str">
        <f aca="false">IF(OR(ISBLANK(J300),ISBLANK(K300)),IF(OR(H300="ALI",H300="AIE"),"L",IF(ISBLANK(H300),"","A")),IF(H300="EE",IF(K300&gt;=3,IF(J300&gt;=5,"H","A"),IF(K300&gt;=2,IF(J300&gt;=16,"H",IF(J300&lt;=4,"L","A")),IF(J300&lt;=15,"L","A"))),IF(OR(H300="SE",H300="CE"),IF(K300&gt;=4,IF(J300&gt;=6,"H","A"),IF(K300&gt;=2,IF(J300&gt;=20,"H",IF(J300&lt;=5,"L","A")),IF(J300&lt;=19,"L","A"))),IF(OR(H300="ALI",H300="AIE"),IF(K300&gt;=6,IF(J300&gt;=20,"H","A"),IF(K300&gt;=2,IF(J300&gt;=51,"H",IF(J300&lt;=19,"L","A")),IF(J300&lt;=50,"L","A")))))))</f>
        <v/>
      </c>
      <c r="N300" s="46" t="str">
        <f aca="false">IF(M300="L","Baixa",IF(M300="A","Média",IF(M300="","","Alta")))</f>
        <v/>
      </c>
      <c r="O300" s="47" t="str">
        <f aca="false">IF(ISBLANK(H300),"",IF(H300="ALI",IF(M300="L",7,IF(M300="A",10,15)),IF(H300="AIE",IF(M300="L",5,IF(M300="A",7,10)),IF(H300="SE",IF(M300="L",4,IF(M300="A",5,7)),IF(OR(H300="EE",H300="CE"),IF(M300="L",3,IF(M300="A",4,6)))))))</f>
        <v/>
      </c>
      <c r="P300" s="48" t="str">
        <f aca="false">IF(I300="I",O300*Contagem!$W$15,IF(I300="E",O300*Contagem!$W$17,IF(I300="A",O300*Contagem!$W$16,IF(I300="T",O300*Contagem!$W$18,""))))</f>
        <v/>
      </c>
      <c r="Q300" s="49"/>
    </row>
    <row r="301" customFormat="false" ht="12" hidden="false" customHeight="true" outlineLevel="0" collapsed="false">
      <c r="A301" s="40" t="n">
        <f aca="false">IF(H301="",IF(C301="",A300,A300+1),A300)</f>
        <v>41</v>
      </c>
      <c r="B301" s="41" t="str">
        <f aca="false">IF(A301=A300,"",CONCATENATE("F",A301))</f>
        <v/>
      </c>
      <c r="C301" s="42" t="s">
        <v>516</v>
      </c>
      <c r="D301" s="42"/>
      <c r="E301" s="42"/>
      <c r="F301" s="42"/>
      <c r="G301" s="42"/>
      <c r="H301" s="44" t="s">
        <v>55</v>
      </c>
      <c r="I301" s="50" t="s">
        <v>56</v>
      </c>
      <c r="J301" s="44" t="n">
        <v>5</v>
      </c>
      <c r="K301" s="44" t="n">
        <v>1</v>
      </c>
      <c r="L301" s="44" t="str">
        <f aca="false">CONCATENATE(H301,M301)</f>
        <v>ALIL</v>
      </c>
      <c r="M301" s="45" t="str">
        <f aca="false">IF(OR(ISBLANK(J301),ISBLANK(K301)),IF(OR(H301="ALI",H301="AIE"),"L",IF(ISBLANK(H301),"","A")),IF(H301="EE",IF(K301&gt;=3,IF(J301&gt;=5,"H","A"),IF(K301&gt;=2,IF(J301&gt;=16,"H",IF(J301&lt;=4,"L","A")),IF(J301&lt;=15,"L","A"))),IF(OR(H301="SE",H301="CE"),IF(K301&gt;=4,IF(J301&gt;=6,"H","A"),IF(K301&gt;=2,IF(J301&gt;=20,"H",IF(J301&lt;=5,"L","A")),IF(J301&lt;=19,"L","A"))),IF(OR(H301="ALI",H301="AIE"),IF(K301&gt;=6,IF(J301&gt;=20,"H","A"),IF(K301&gt;=2,IF(J301&gt;=51,"H",IF(J301&lt;=19,"L","A")),IF(J301&lt;=50,"L","A")))))))</f>
        <v>L</v>
      </c>
      <c r="N301" s="46" t="str">
        <f aca="false">IF(M301="L","Baixa",IF(M301="A","Média",IF(M301="","","Alta")))</f>
        <v>Baixa</v>
      </c>
      <c r="O301" s="47" t="n">
        <f aca="false">IF(ISBLANK(H301),"",IF(H301="ALI",IF(M301="L",7,IF(M301="A",10,15)),IF(H301="AIE",IF(M301="L",5,IF(M301="A",7,10)),IF(H301="SE",IF(M301="L",4,IF(M301="A",5,7)),IF(OR(H301="EE",H301="CE"),IF(M301="L",3,IF(M301="A",4,6)))))))</f>
        <v>7</v>
      </c>
      <c r="P301" s="48" t="n">
        <f aca="false">IF(I301="I",O301*Contagem!$W$15,IF(I301="E",O301*Contagem!$W$17,IF(I301="A",O301*Contagem!$W$16,IF(I301="T",O301*Contagem!$W$18,""))))</f>
        <v>7</v>
      </c>
      <c r="Q301" s="49" t="s">
        <v>517</v>
      </c>
    </row>
    <row r="302" customFormat="false" ht="12" hidden="false" customHeight="true" outlineLevel="0" collapsed="false">
      <c r="A302" s="40" t="n">
        <f aca="false">IF(H302="",IF(C302="",A301,A301+1),A301)</f>
        <v>41</v>
      </c>
      <c r="B302" s="41" t="str">
        <f aca="false">IF(A302=A301,"",CONCATENATE("F",A302))</f>
        <v/>
      </c>
      <c r="C302" s="42" t="s">
        <v>518</v>
      </c>
      <c r="D302" s="42"/>
      <c r="E302" s="42"/>
      <c r="F302" s="42"/>
      <c r="G302" s="42"/>
      <c r="H302" s="44" t="s">
        <v>80</v>
      </c>
      <c r="I302" s="50" t="s">
        <v>56</v>
      </c>
      <c r="J302" s="44" t="n">
        <v>20</v>
      </c>
      <c r="K302" s="44" t="n">
        <v>1</v>
      </c>
      <c r="L302" s="44" t="str">
        <f aca="false">CONCATENATE(H302,M302)</f>
        <v>CEA</v>
      </c>
      <c r="M302" s="45" t="str">
        <f aca="false">IF(OR(ISBLANK(J302),ISBLANK(K302)),IF(OR(H302="ALI",H302="AIE"),"L",IF(ISBLANK(H302),"","A")),IF(H302="EE",IF(K302&gt;=3,IF(J302&gt;=5,"H","A"),IF(K302&gt;=2,IF(J302&gt;=16,"H",IF(J302&lt;=4,"L","A")),IF(J302&lt;=15,"L","A"))),IF(OR(H302="SE",H302="CE"),IF(K302&gt;=4,IF(J302&gt;=6,"H","A"),IF(K302&gt;=2,IF(J302&gt;=20,"H",IF(J302&lt;=5,"L","A")),IF(J302&lt;=19,"L","A"))),IF(OR(H302="ALI",H302="AIE"),IF(K302&gt;=6,IF(J302&gt;=20,"H","A"),IF(K302&gt;=2,IF(J302&gt;=51,"H",IF(J302&lt;=19,"L","A")),IF(J302&lt;=50,"L","A")))))))</f>
        <v>A</v>
      </c>
      <c r="N302" s="46" t="str">
        <f aca="false">IF(M302="L","Baixa",IF(M302="A","Média",IF(M302="","","Alta")))</f>
        <v>Média</v>
      </c>
      <c r="O302" s="47" t="n">
        <f aca="false">IF(ISBLANK(H302),"",IF(H302="ALI",IF(M302="L",7,IF(M302="A",10,15)),IF(H302="AIE",IF(M302="L",5,IF(M302="A",7,10)),IF(H302="SE",IF(M302="L",4,IF(M302="A",5,7)),IF(OR(H302="EE",H302="CE"),IF(M302="L",3,IF(M302="A",4,6)))))))</f>
        <v>4</v>
      </c>
      <c r="P302" s="48" t="n">
        <f aca="false">IF(I302="I",O302*Contagem!$W$15,IF(I302="E",O302*Contagem!$W$17,IF(I302="A",O302*Contagem!$W$16,IF(I302="T",O302*Contagem!$W$18,""))))</f>
        <v>4</v>
      </c>
      <c r="Q302" s="49" t="s">
        <v>519</v>
      </c>
    </row>
    <row r="303" customFormat="false" ht="12" hidden="false" customHeight="true" outlineLevel="0" collapsed="false">
      <c r="A303" s="40" t="n">
        <f aca="false">IF(H303="",IF(C303="",A302,A302+1),A302)</f>
        <v>41</v>
      </c>
      <c r="B303" s="41" t="str">
        <f aca="false">IF(A303=A302,"",CONCATENATE("F",A303))</f>
        <v/>
      </c>
      <c r="C303" s="42" t="s">
        <v>520</v>
      </c>
      <c r="D303" s="42"/>
      <c r="E303" s="42"/>
      <c r="F303" s="42"/>
      <c r="G303" s="42"/>
      <c r="H303" s="44" t="s">
        <v>62</v>
      </c>
      <c r="I303" s="50" t="s">
        <v>56</v>
      </c>
      <c r="J303" s="44" t="n">
        <v>15</v>
      </c>
      <c r="K303" s="44" t="n">
        <v>5</v>
      </c>
      <c r="L303" s="44" t="str">
        <f aca="false">CONCATENATE(H303,M303)</f>
        <v>EEH</v>
      </c>
      <c r="M303" s="45" t="str">
        <f aca="false">IF(OR(ISBLANK(J303),ISBLANK(K303)),IF(OR(H303="ALI",H303="AIE"),"L",IF(ISBLANK(H303),"","A")),IF(H303="EE",IF(K303&gt;=3,IF(J303&gt;=5,"H","A"),IF(K303&gt;=2,IF(J303&gt;=16,"H",IF(J303&lt;=4,"L","A")),IF(J303&lt;=15,"L","A"))),IF(OR(H303="SE",H303="CE"),IF(K303&gt;=4,IF(J303&gt;=6,"H","A"),IF(K303&gt;=2,IF(J303&gt;=20,"H",IF(J303&lt;=5,"L","A")),IF(J303&lt;=19,"L","A"))),IF(OR(H303="ALI",H303="AIE"),IF(K303&gt;=6,IF(J303&gt;=20,"H","A"),IF(K303&gt;=2,IF(J303&gt;=51,"H",IF(J303&lt;=19,"L","A")),IF(J303&lt;=50,"L","A")))))))</f>
        <v>H</v>
      </c>
      <c r="N303" s="46" t="str">
        <f aca="false">IF(M303="L","Baixa",IF(M303="A","Média",IF(M303="","","Alta")))</f>
        <v>Alta</v>
      </c>
      <c r="O303" s="47" t="n">
        <f aca="false">IF(ISBLANK(H303),"",IF(H303="ALI",IF(M303="L",7,IF(M303="A",10,15)),IF(H303="AIE",IF(M303="L",5,IF(M303="A",7,10)),IF(H303="SE",IF(M303="L",4,IF(M303="A",5,7)),IF(OR(H303="EE",H303="CE"),IF(M303="L",3,IF(M303="A",4,6)))))))</f>
        <v>6</v>
      </c>
      <c r="P303" s="48" t="n">
        <f aca="false">IF(I303="I",O303*Contagem!$W$15,IF(I303="E",O303*Contagem!$W$17,IF(I303="A",O303*Contagem!$W$16,IF(I303="T",O303*Contagem!$W$18,""))))</f>
        <v>6</v>
      </c>
      <c r="Q303" s="49" t="s">
        <v>521</v>
      </c>
    </row>
    <row r="304" customFormat="false" ht="12" hidden="false" customHeight="true" outlineLevel="0" collapsed="false">
      <c r="A304" s="40" t="n">
        <f aca="false">IF(H304="",IF(C304="",A303,A303+1),A303)</f>
        <v>41</v>
      </c>
      <c r="B304" s="41" t="str">
        <f aca="false">IF(A304=A303,"",CONCATENATE("F",A304))</f>
        <v/>
      </c>
      <c r="C304" s="42" t="s">
        <v>522</v>
      </c>
      <c r="D304" s="42"/>
      <c r="E304" s="42"/>
      <c r="F304" s="42"/>
      <c r="G304" s="42"/>
      <c r="H304" s="44" t="s">
        <v>62</v>
      </c>
      <c r="I304" s="50" t="s">
        <v>56</v>
      </c>
      <c r="J304" s="44" t="n">
        <v>2</v>
      </c>
      <c r="K304" s="44" t="n">
        <v>2</v>
      </c>
      <c r="L304" s="44" t="str">
        <f aca="false">CONCATENATE(H304,M304)</f>
        <v>EEL</v>
      </c>
      <c r="M304" s="45" t="str">
        <f aca="false">IF(OR(ISBLANK(J304),ISBLANK(K304)),IF(OR(H304="ALI",H304="AIE"),"L",IF(ISBLANK(H304),"","A")),IF(H304="EE",IF(K304&gt;=3,IF(J304&gt;=5,"H","A"),IF(K304&gt;=2,IF(J304&gt;=16,"H",IF(J304&lt;=4,"L","A")),IF(J304&lt;=15,"L","A"))),IF(OR(H304="SE",H304="CE"),IF(K304&gt;=4,IF(J304&gt;=6,"H","A"),IF(K304&gt;=2,IF(J304&gt;=20,"H",IF(J304&lt;=5,"L","A")),IF(J304&lt;=19,"L","A"))),IF(OR(H304="ALI",H304="AIE"),IF(K304&gt;=6,IF(J304&gt;=20,"H","A"),IF(K304&gt;=2,IF(J304&gt;=51,"H",IF(J304&lt;=19,"L","A")),IF(J304&lt;=50,"L","A")))))))</f>
        <v>L</v>
      </c>
      <c r="N304" s="46" t="str">
        <f aca="false">IF(M304="L","Baixa",IF(M304="A","Média",IF(M304="","","Alta")))</f>
        <v>Baixa</v>
      </c>
      <c r="O304" s="47" t="n">
        <f aca="false">IF(ISBLANK(H304),"",IF(H304="ALI",IF(M304="L",7,IF(M304="A",10,15)),IF(H304="AIE",IF(M304="L",5,IF(M304="A",7,10)),IF(H304="SE",IF(M304="L",4,IF(M304="A",5,7)),IF(OR(H304="EE",H304="CE"),IF(M304="L",3,IF(M304="A",4,6)))))))</f>
        <v>3</v>
      </c>
      <c r="P304" s="48" t="n">
        <f aca="false">IF(I304="I",O304*Contagem!$W$15,IF(I304="E",O304*Contagem!$W$17,IF(I304="A",O304*Contagem!$W$16,IF(I304="T",O304*Contagem!$W$18,""))))</f>
        <v>3</v>
      </c>
      <c r="Q304" s="49" t="s">
        <v>523</v>
      </c>
    </row>
    <row r="305" customFormat="false" ht="12" hidden="false" customHeight="true" outlineLevel="0" collapsed="false">
      <c r="A305" s="40" t="n">
        <f aca="false">IF(H305="",IF(C305="",A304,A304+1),A304)</f>
        <v>41</v>
      </c>
      <c r="B305" s="41" t="str">
        <f aca="false">IF(A305=A304,"",CONCATENATE("F",A305))</f>
        <v/>
      </c>
      <c r="C305" s="42"/>
      <c r="D305" s="42"/>
      <c r="E305" s="42"/>
      <c r="F305" s="42"/>
      <c r="G305" s="42"/>
      <c r="H305" s="44"/>
      <c r="I305" s="50"/>
      <c r="J305" s="44"/>
      <c r="K305" s="44"/>
      <c r="L305" s="44" t="str">
        <f aca="false">CONCATENATE(H305,M305)</f>
        <v/>
      </c>
      <c r="M305" s="45" t="str">
        <f aca="false">IF(OR(ISBLANK(J305),ISBLANK(K305)),IF(OR(H305="ALI",H305="AIE"),"L",IF(ISBLANK(H305),"","A")),IF(H305="EE",IF(K305&gt;=3,IF(J305&gt;=5,"H","A"),IF(K305&gt;=2,IF(J305&gt;=16,"H",IF(J305&lt;=4,"L","A")),IF(J305&lt;=15,"L","A"))),IF(OR(H305="SE",H305="CE"),IF(K305&gt;=4,IF(J305&gt;=6,"H","A"),IF(K305&gt;=2,IF(J305&gt;=20,"H",IF(J305&lt;=5,"L","A")),IF(J305&lt;=19,"L","A"))),IF(OR(H305="ALI",H305="AIE"),IF(K305&gt;=6,IF(J305&gt;=20,"H","A"),IF(K305&gt;=2,IF(J305&gt;=51,"H",IF(J305&lt;=19,"L","A")),IF(J305&lt;=50,"L","A")))))))</f>
        <v/>
      </c>
      <c r="N305" s="46" t="str">
        <f aca="false">IF(M305="L","Baixa",IF(M305="A","Média",IF(M305="","","Alta")))</f>
        <v/>
      </c>
      <c r="O305" s="47" t="str">
        <f aca="false">IF(ISBLANK(H305),"",IF(H305="ALI",IF(M305="L",7,IF(M305="A",10,15)),IF(H305="AIE",IF(M305="L",5,IF(M305="A",7,10)),IF(H305="SE",IF(M305="L",4,IF(M305="A",5,7)),IF(OR(H305="EE",H305="CE"),IF(M305="L",3,IF(M305="A",4,6)))))))</f>
        <v/>
      </c>
      <c r="P305" s="48" t="str">
        <f aca="false">IF(I305="I",O305*Contagem!$W$15,IF(I305="E",O305*Contagem!$W$17,IF(I305="A",O305*Contagem!$W$16,IF(I305="T",O305*Contagem!$W$18,""))))</f>
        <v/>
      </c>
      <c r="Q305" s="49"/>
    </row>
    <row r="306" customFormat="false" ht="12" hidden="false" customHeight="true" outlineLevel="0" collapsed="false">
      <c r="A306" s="40" t="n">
        <f aca="false">IF(H306="",IF(C306="",A305,A305+1),A305)</f>
        <v>42</v>
      </c>
      <c r="B306" s="41" t="str">
        <f aca="false">IF(A306=A305,"",CONCATENATE("F",A306))</f>
        <v>F42</v>
      </c>
      <c r="C306" s="42" t="s">
        <v>524</v>
      </c>
      <c r="D306" s="42"/>
      <c r="E306" s="42"/>
      <c r="F306" s="42"/>
      <c r="G306" s="42"/>
      <c r="H306" s="44"/>
      <c r="I306" s="50"/>
      <c r="J306" s="44"/>
      <c r="K306" s="44"/>
      <c r="L306" s="44" t="str">
        <f aca="false">CONCATENATE(H306,M306)</f>
        <v/>
      </c>
      <c r="M306" s="45" t="str">
        <f aca="false">IF(OR(ISBLANK(J306),ISBLANK(K306)),IF(OR(H306="ALI",H306="AIE"),"L",IF(ISBLANK(H306),"","A")),IF(H306="EE",IF(K306&gt;=3,IF(J306&gt;=5,"H","A"),IF(K306&gt;=2,IF(J306&gt;=16,"H",IF(J306&lt;=4,"L","A")),IF(J306&lt;=15,"L","A"))),IF(OR(H306="SE",H306="CE"),IF(K306&gt;=4,IF(J306&gt;=6,"H","A"),IF(K306&gt;=2,IF(J306&gt;=20,"H",IF(J306&lt;=5,"L","A")),IF(J306&lt;=19,"L","A"))),IF(OR(H306="ALI",H306="AIE"),IF(K306&gt;=6,IF(J306&gt;=20,"H","A"),IF(K306&gt;=2,IF(J306&gt;=51,"H",IF(J306&lt;=19,"L","A")),IF(J306&lt;=50,"L","A")))))))</f>
        <v/>
      </c>
      <c r="N306" s="46" t="str">
        <f aca="false">IF(M306="L","Baixa",IF(M306="A","Média",IF(M306="","","Alta")))</f>
        <v/>
      </c>
      <c r="O306" s="47" t="str">
        <f aca="false">IF(ISBLANK(H306),"",IF(H306="ALI",IF(M306="L",7,IF(M306="A",10,15)),IF(H306="AIE",IF(M306="L",5,IF(M306="A",7,10)),IF(H306="SE",IF(M306="L",4,IF(M306="A",5,7)),IF(OR(H306="EE",H306="CE"),IF(M306="L",3,IF(M306="A",4,6)))))))</f>
        <v/>
      </c>
      <c r="P306" s="48" t="str">
        <f aca="false">IF(I306="I",O306*Contagem!$W$15,IF(I306="E",O306*Contagem!$W$17,IF(I306="A",O306*Contagem!$W$16,IF(I306="T",O306*Contagem!$W$18,""))))</f>
        <v/>
      </c>
      <c r="Q306" s="49"/>
    </row>
    <row r="307" customFormat="false" ht="12" hidden="false" customHeight="true" outlineLevel="0" collapsed="false">
      <c r="A307" s="40" t="n">
        <f aca="false">IF(H307="",IF(C307="",A306,A306+1),A306)</f>
        <v>42</v>
      </c>
      <c r="B307" s="41" t="str">
        <f aca="false">IF(A307=A306,"",CONCATENATE("F",A307))</f>
        <v/>
      </c>
      <c r="C307" s="42" t="s">
        <v>525</v>
      </c>
      <c r="D307" s="42"/>
      <c r="E307" s="42"/>
      <c r="F307" s="42"/>
      <c r="G307" s="42"/>
      <c r="H307" s="44" t="s">
        <v>55</v>
      </c>
      <c r="I307" s="50" t="s">
        <v>56</v>
      </c>
      <c r="J307" s="44" t="n">
        <v>26</v>
      </c>
      <c r="K307" s="44" t="n">
        <v>3</v>
      </c>
      <c r="L307" s="44" t="str">
        <f aca="false">CONCATENATE(H307,M307)</f>
        <v>ALIA</v>
      </c>
      <c r="M307" s="45" t="str">
        <f aca="false">IF(OR(ISBLANK(J307),ISBLANK(K307)),IF(OR(H307="ALI",H307="AIE"),"L",IF(ISBLANK(H307),"","A")),IF(H307="EE",IF(K307&gt;=3,IF(J307&gt;=5,"H","A"),IF(K307&gt;=2,IF(J307&gt;=16,"H",IF(J307&lt;=4,"L","A")),IF(J307&lt;=15,"L","A"))),IF(OR(H307="SE",H307="CE"),IF(K307&gt;=4,IF(J307&gt;=6,"H","A"),IF(K307&gt;=2,IF(J307&gt;=20,"H",IF(J307&lt;=5,"L","A")),IF(J307&lt;=19,"L","A"))),IF(OR(H307="ALI",H307="AIE"),IF(K307&gt;=6,IF(J307&gt;=20,"H","A"),IF(K307&gt;=2,IF(J307&gt;=51,"H",IF(J307&lt;=19,"L","A")),IF(J307&lt;=50,"L","A")))))))</f>
        <v>A</v>
      </c>
      <c r="N307" s="46" t="str">
        <f aca="false">IF(M307="L","Baixa",IF(M307="A","Média",IF(M307="","","Alta")))</f>
        <v>Média</v>
      </c>
      <c r="O307" s="47" t="n">
        <f aca="false">IF(ISBLANK(H307),"",IF(H307="ALI",IF(M307="L",7,IF(M307="A",10,15)),IF(H307="AIE",IF(M307="L",5,IF(M307="A",7,10)),IF(H307="SE",IF(M307="L",4,IF(M307="A",5,7)),IF(OR(H307="EE",H307="CE"),IF(M307="L",3,IF(M307="A",4,6)))))))</f>
        <v>10</v>
      </c>
      <c r="P307" s="48" t="n">
        <f aca="false">IF(I307="I",O307*Contagem!$W$15,IF(I307="E",O307*Contagem!$W$17,IF(I307="A",O307*Contagem!$W$16,IF(I307="T",O307*Contagem!$W$18,""))))</f>
        <v>10</v>
      </c>
      <c r="Q307" s="49" t="s">
        <v>526</v>
      </c>
    </row>
    <row r="308" customFormat="false" ht="12" hidden="false" customHeight="true" outlineLevel="0" collapsed="false">
      <c r="A308" s="40" t="n">
        <f aca="false">IF(H308="",IF(C308="",A307,A307+1),A307)</f>
        <v>42</v>
      </c>
      <c r="B308" s="41" t="str">
        <f aca="false">IF(A308=A307,"",CONCATENATE("F",A308))</f>
        <v/>
      </c>
      <c r="C308" s="42" t="s">
        <v>527</v>
      </c>
      <c r="D308" s="42"/>
      <c r="E308" s="42"/>
      <c r="F308" s="42"/>
      <c r="G308" s="42"/>
      <c r="H308" s="44" t="s">
        <v>59</v>
      </c>
      <c r="I308" s="50" t="s">
        <v>56</v>
      </c>
      <c r="J308" s="44" t="n">
        <v>5</v>
      </c>
      <c r="K308" s="44" t="n">
        <v>1</v>
      </c>
      <c r="L308" s="44" t="str">
        <f aca="false">CONCATENATE(H308,M308)</f>
        <v>AIEL</v>
      </c>
      <c r="M308" s="45" t="str">
        <f aca="false">IF(OR(ISBLANK(J308),ISBLANK(K308)),IF(OR(H308="ALI",H308="AIE"),"L",IF(ISBLANK(H308),"","A")),IF(H308="EE",IF(K308&gt;=3,IF(J308&gt;=5,"H","A"),IF(K308&gt;=2,IF(J308&gt;=16,"H",IF(J308&lt;=4,"L","A")),IF(J308&lt;=15,"L","A"))),IF(OR(H308="SE",H308="CE"),IF(K308&gt;=4,IF(J308&gt;=6,"H","A"),IF(K308&gt;=2,IF(J308&gt;=20,"H",IF(J308&lt;=5,"L","A")),IF(J308&lt;=19,"L","A"))),IF(OR(H308="ALI",H308="AIE"),IF(K308&gt;=6,IF(J308&gt;=20,"H","A"),IF(K308&gt;=2,IF(J308&gt;=51,"H",IF(J308&lt;=19,"L","A")),IF(J308&lt;=50,"L","A")))))))</f>
        <v>L</v>
      </c>
      <c r="N308" s="46" t="str">
        <f aca="false">IF(M308="L","Baixa",IF(M308="A","Média",IF(M308="","","Alta")))</f>
        <v>Baixa</v>
      </c>
      <c r="O308" s="47" t="n">
        <f aca="false">IF(ISBLANK(H308),"",IF(H308="ALI",IF(M308="L",7,IF(M308="A",10,15)),IF(H308="AIE",IF(M308="L",5,IF(M308="A",7,10)),IF(H308="SE",IF(M308="L",4,IF(M308="A",5,7)),IF(OR(H308="EE",H308="CE"),IF(M308="L",3,IF(M308="A",4,6)))))))</f>
        <v>5</v>
      </c>
      <c r="P308" s="48" t="n">
        <f aca="false">IF(I308="I",O308*Contagem!$W$15,IF(I308="E",O308*Contagem!$W$17,IF(I308="A",O308*Contagem!$W$16,IF(I308="T",O308*Contagem!$W$18,""))))</f>
        <v>5</v>
      </c>
      <c r="Q308" s="49" t="s">
        <v>528</v>
      </c>
    </row>
    <row r="309" customFormat="false" ht="12" hidden="false" customHeight="true" outlineLevel="0" collapsed="false">
      <c r="A309" s="40" t="n">
        <f aca="false">IF(H309="",IF(C309="",A308,A308+1),A308)</f>
        <v>42</v>
      </c>
      <c r="B309" s="41" t="str">
        <f aca="false">IF(A309=A308,"",CONCATENATE("F",A309))</f>
        <v/>
      </c>
      <c r="C309" s="42" t="s">
        <v>529</v>
      </c>
      <c r="D309" s="42"/>
      <c r="E309" s="42"/>
      <c r="F309" s="42"/>
      <c r="G309" s="42"/>
      <c r="H309" s="44" t="s">
        <v>80</v>
      </c>
      <c r="I309" s="50" t="s">
        <v>56</v>
      </c>
      <c r="J309" s="44" t="n">
        <v>8</v>
      </c>
      <c r="K309" s="44" t="n">
        <v>1</v>
      </c>
      <c r="L309" s="44" t="str">
        <f aca="false">CONCATENATE(H309,M309)</f>
        <v>CEL</v>
      </c>
      <c r="M309" s="45" t="str">
        <f aca="false">IF(OR(ISBLANK(J309),ISBLANK(K309)),IF(OR(H309="ALI",H309="AIE"),"L",IF(ISBLANK(H309),"","A")),IF(H309="EE",IF(K309&gt;=3,IF(J309&gt;=5,"H","A"),IF(K309&gt;=2,IF(J309&gt;=16,"H",IF(J309&lt;=4,"L","A")),IF(J309&lt;=15,"L","A"))),IF(OR(H309="SE",H309="CE"),IF(K309&gt;=4,IF(J309&gt;=6,"H","A"),IF(K309&gt;=2,IF(J309&gt;=20,"H",IF(J309&lt;=5,"L","A")),IF(J309&lt;=19,"L","A"))),IF(OR(H309="ALI",H309="AIE"),IF(K309&gt;=6,IF(J309&gt;=20,"H","A"),IF(K309&gt;=2,IF(J309&gt;=51,"H",IF(J309&lt;=19,"L","A")),IF(J309&lt;=50,"L","A")))))))</f>
        <v>L</v>
      </c>
      <c r="N309" s="46" t="str">
        <f aca="false">IF(M309="L","Baixa",IF(M309="A","Média",IF(M309="","","Alta")))</f>
        <v>Baixa</v>
      </c>
      <c r="O309" s="47" t="n">
        <f aca="false">IF(ISBLANK(H309),"",IF(H309="ALI",IF(M309="L",7,IF(M309="A",10,15)),IF(H309="AIE",IF(M309="L",5,IF(M309="A",7,10)),IF(H309="SE",IF(M309="L",4,IF(M309="A",5,7)),IF(OR(H309="EE",H309="CE"),IF(M309="L",3,IF(M309="A",4,6)))))))</f>
        <v>3</v>
      </c>
      <c r="P309" s="48" t="n">
        <f aca="false">IF(I309="I",O309*Contagem!$W$15,IF(I309="E",O309*Contagem!$W$17,IF(I309="A",O309*Contagem!$W$16,IF(I309="T",O309*Contagem!$W$18,""))))</f>
        <v>3</v>
      </c>
      <c r="Q309" s="49" t="s">
        <v>530</v>
      </c>
    </row>
    <row r="310" customFormat="false" ht="12" hidden="false" customHeight="true" outlineLevel="0" collapsed="false">
      <c r="A310" s="40" t="n">
        <f aca="false">IF(H310="",IF(C310="",A309,A309+1),A309)</f>
        <v>42</v>
      </c>
      <c r="B310" s="41" t="str">
        <f aca="false">IF(A310=A309,"",CONCATENATE("F",A310))</f>
        <v/>
      </c>
      <c r="C310" s="42" t="s">
        <v>531</v>
      </c>
      <c r="D310" s="42"/>
      <c r="E310" s="42"/>
      <c r="F310" s="42"/>
      <c r="G310" s="42"/>
      <c r="H310" s="44" t="s">
        <v>80</v>
      </c>
      <c r="I310" s="50" t="s">
        <v>56</v>
      </c>
      <c r="J310" s="44" t="n">
        <v>12</v>
      </c>
      <c r="K310" s="44" t="n">
        <v>1</v>
      </c>
      <c r="L310" s="44" t="str">
        <f aca="false">CONCATENATE(H310,M310)</f>
        <v>CEL</v>
      </c>
      <c r="M310" s="45" t="str">
        <f aca="false">IF(OR(ISBLANK(J310),ISBLANK(K310)),IF(OR(H310="ALI",H310="AIE"),"L",IF(ISBLANK(H310),"","A")),IF(H310="EE",IF(K310&gt;=3,IF(J310&gt;=5,"H","A"),IF(K310&gt;=2,IF(J310&gt;=16,"H",IF(J310&lt;=4,"L","A")),IF(J310&lt;=15,"L","A"))),IF(OR(H310="SE",H310="CE"),IF(K310&gt;=4,IF(J310&gt;=6,"H","A"),IF(K310&gt;=2,IF(J310&gt;=20,"H",IF(J310&lt;=5,"L","A")),IF(J310&lt;=19,"L","A"))),IF(OR(H310="ALI",H310="AIE"),IF(K310&gt;=6,IF(J310&gt;=20,"H","A"),IF(K310&gt;=2,IF(J310&gt;=51,"H",IF(J310&lt;=19,"L","A")),IF(J310&lt;=50,"L","A")))))))</f>
        <v>L</v>
      </c>
      <c r="N310" s="46" t="str">
        <f aca="false">IF(M310="L","Baixa",IF(M310="A","Média",IF(M310="","","Alta")))</f>
        <v>Baixa</v>
      </c>
      <c r="O310" s="47" t="n">
        <f aca="false">IF(ISBLANK(H310),"",IF(H310="ALI",IF(M310="L",7,IF(M310="A",10,15)),IF(H310="AIE",IF(M310="L",5,IF(M310="A",7,10)),IF(H310="SE",IF(M310="L",4,IF(M310="A",5,7)),IF(OR(H310="EE",H310="CE"),IF(M310="L",3,IF(M310="A",4,6)))))))</f>
        <v>3</v>
      </c>
      <c r="P310" s="48" t="n">
        <f aca="false">IF(I310="I",O310*Contagem!$W$15,IF(I310="E",O310*Contagem!$W$17,IF(I310="A",O310*Contagem!$W$16,IF(I310="T",O310*Contagem!$W$18,""))))</f>
        <v>3</v>
      </c>
      <c r="Q310" s="49" t="s">
        <v>532</v>
      </c>
    </row>
    <row r="311" customFormat="false" ht="12" hidden="false" customHeight="true" outlineLevel="0" collapsed="false">
      <c r="A311" s="40" t="n">
        <f aca="false">IF(H311="",IF(C311="",A310,A310+1),A310)</f>
        <v>42</v>
      </c>
      <c r="B311" s="41" t="str">
        <f aca="false">IF(A311=A310,"",CONCATENATE("F",A311))</f>
        <v/>
      </c>
      <c r="C311" s="42" t="s">
        <v>533</v>
      </c>
      <c r="D311" s="42"/>
      <c r="E311" s="42"/>
      <c r="F311" s="42"/>
      <c r="G311" s="42"/>
      <c r="H311" s="44" t="s">
        <v>62</v>
      </c>
      <c r="I311" s="50" t="s">
        <v>56</v>
      </c>
      <c r="J311" s="44" t="n">
        <v>18</v>
      </c>
      <c r="K311" s="44" t="n">
        <v>1</v>
      </c>
      <c r="L311" s="44" t="str">
        <f aca="false">CONCATENATE(H311,M311)</f>
        <v>EEA</v>
      </c>
      <c r="M311" s="45" t="str">
        <f aca="false">IF(OR(ISBLANK(J311),ISBLANK(K311)),IF(OR(H311="ALI",H311="AIE"),"L",IF(ISBLANK(H311),"","A")),IF(H311="EE",IF(K311&gt;=3,IF(J311&gt;=5,"H","A"),IF(K311&gt;=2,IF(J311&gt;=16,"H",IF(J311&lt;=4,"L","A")),IF(J311&lt;=15,"L","A"))),IF(OR(H311="SE",H311="CE"),IF(K311&gt;=4,IF(J311&gt;=6,"H","A"),IF(K311&gt;=2,IF(J311&gt;=20,"H",IF(J311&lt;=5,"L","A")),IF(J311&lt;=19,"L","A"))),IF(OR(H311="ALI",H311="AIE"),IF(K311&gt;=6,IF(J311&gt;=20,"H","A"),IF(K311&gt;=2,IF(J311&gt;=51,"H",IF(J311&lt;=19,"L","A")),IF(J311&lt;=50,"L","A")))))))</f>
        <v>A</v>
      </c>
      <c r="N311" s="46" t="str">
        <f aca="false">IF(M311="L","Baixa",IF(M311="A","Média",IF(M311="","","Alta")))</f>
        <v>Média</v>
      </c>
      <c r="O311" s="47" t="n">
        <f aca="false">IF(ISBLANK(H311),"",IF(H311="ALI",IF(M311="L",7,IF(M311="A",10,15)),IF(H311="AIE",IF(M311="L",5,IF(M311="A",7,10)),IF(H311="SE",IF(M311="L",4,IF(M311="A",5,7)),IF(OR(H311="EE",H311="CE"),IF(M311="L",3,IF(M311="A",4,6)))))))</f>
        <v>4</v>
      </c>
      <c r="P311" s="48" t="n">
        <f aca="false">IF(I311="I",O311*Contagem!$W$15,IF(I311="E",O311*Contagem!$W$17,IF(I311="A",O311*Contagem!$W$16,IF(I311="T",O311*Contagem!$W$18,""))))</f>
        <v>4</v>
      </c>
      <c r="Q311" s="49" t="s">
        <v>534</v>
      </c>
    </row>
    <row r="312" customFormat="false" ht="12" hidden="false" customHeight="true" outlineLevel="0" collapsed="false">
      <c r="A312" s="40" t="n">
        <f aca="false">IF(H312="",IF(C312="",A311,A311+1),A311)</f>
        <v>42</v>
      </c>
      <c r="B312" s="41" t="str">
        <f aca="false">IF(A312=A311,"",CONCATENATE("F",A312))</f>
        <v/>
      </c>
      <c r="C312" s="42" t="s">
        <v>535</v>
      </c>
      <c r="D312" s="42"/>
      <c r="E312" s="42"/>
      <c r="F312" s="42"/>
      <c r="G312" s="42"/>
      <c r="H312" s="44" t="s">
        <v>80</v>
      </c>
      <c r="I312" s="50" t="s">
        <v>56</v>
      </c>
      <c r="J312" s="44" t="n">
        <v>30</v>
      </c>
      <c r="K312" s="44" t="n">
        <v>2</v>
      </c>
      <c r="L312" s="44" t="str">
        <f aca="false">CONCATENATE(H312,M312)</f>
        <v>CEH</v>
      </c>
      <c r="M312" s="45" t="str">
        <f aca="false">IF(OR(ISBLANK(J312),ISBLANK(K312)),IF(OR(H312="ALI",H312="AIE"),"L",IF(ISBLANK(H312),"","A")),IF(H312="EE",IF(K312&gt;=3,IF(J312&gt;=5,"H","A"),IF(K312&gt;=2,IF(J312&gt;=16,"H",IF(J312&lt;=4,"L","A")),IF(J312&lt;=15,"L","A"))),IF(OR(H312="SE",H312="CE"),IF(K312&gt;=4,IF(J312&gt;=6,"H","A"),IF(K312&gt;=2,IF(J312&gt;=20,"H",IF(J312&lt;=5,"L","A")),IF(J312&lt;=19,"L","A"))),IF(OR(H312="ALI",H312="AIE"),IF(K312&gt;=6,IF(J312&gt;=20,"H","A"),IF(K312&gt;=2,IF(J312&gt;=51,"H",IF(J312&lt;=19,"L","A")),IF(J312&lt;=50,"L","A")))))))</f>
        <v>H</v>
      </c>
      <c r="N312" s="46" t="str">
        <f aca="false">IF(M312="L","Baixa",IF(M312="A","Média",IF(M312="","","Alta")))</f>
        <v>Alta</v>
      </c>
      <c r="O312" s="47" t="n">
        <f aca="false">IF(ISBLANK(H312),"",IF(H312="ALI",IF(M312="L",7,IF(M312="A",10,15)),IF(H312="AIE",IF(M312="L",5,IF(M312="A",7,10)),IF(H312="SE",IF(M312="L",4,IF(M312="A",5,7)),IF(OR(H312="EE",H312="CE"),IF(M312="L",3,IF(M312="A",4,6)))))))</f>
        <v>6</v>
      </c>
      <c r="P312" s="48" t="n">
        <f aca="false">IF(I312="I",O312*Contagem!$W$15,IF(I312="E",O312*Contagem!$W$17,IF(I312="A",O312*Contagem!$W$16,IF(I312="T",O312*Contagem!$W$18,""))))</f>
        <v>6</v>
      </c>
      <c r="Q312" s="49" t="s">
        <v>536</v>
      </c>
    </row>
    <row r="313" customFormat="false" ht="12" hidden="false" customHeight="true" outlineLevel="0" collapsed="false">
      <c r="A313" s="40" t="n">
        <f aca="false">IF(H313="",IF(C313="",A312,A312+1),A312)</f>
        <v>42</v>
      </c>
      <c r="B313" s="41" t="str">
        <f aca="false">IF(A313=A312,"",CONCATENATE("F",A313))</f>
        <v/>
      </c>
      <c r="C313" s="42" t="s">
        <v>537</v>
      </c>
      <c r="D313" s="42"/>
      <c r="E313" s="42"/>
      <c r="F313" s="42"/>
      <c r="G313" s="42"/>
      <c r="H313" s="44" t="s">
        <v>62</v>
      </c>
      <c r="I313" s="50" t="s">
        <v>56</v>
      </c>
      <c r="J313" s="44" t="n">
        <v>17</v>
      </c>
      <c r="K313" s="44" t="n">
        <v>1</v>
      </c>
      <c r="L313" s="44" t="str">
        <f aca="false">CONCATENATE(H313,M313)</f>
        <v>EEA</v>
      </c>
      <c r="M313" s="45" t="str">
        <f aca="false">IF(OR(ISBLANK(J313),ISBLANK(K313)),IF(OR(H313="ALI",H313="AIE"),"L",IF(ISBLANK(H313),"","A")),IF(H313="EE",IF(K313&gt;=3,IF(J313&gt;=5,"H","A"),IF(K313&gt;=2,IF(J313&gt;=16,"H",IF(J313&lt;=4,"L","A")),IF(J313&lt;=15,"L","A"))),IF(OR(H313="SE",H313="CE"),IF(K313&gt;=4,IF(J313&gt;=6,"H","A"),IF(K313&gt;=2,IF(J313&gt;=20,"H",IF(J313&lt;=5,"L","A")),IF(J313&lt;=19,"L","A"))),IF(OR(H313="ALI",H313="AIE"),IF(K313&gt;=6,IF(J313&gt;=20,"H","A"),IF(K313&gt;=2,IF(J313&gt;=51,"H",IF(J313&lt;=19,"L","A")),IF(J313&lt;=50,"L","A")))))))</f>
        <v>A</v>
      </c>
      <c r="N313" s="46" t="str">
        <f aca="false">IF(M313="L","Baixa",IF(M313="A","Média",IF(M313="","","Alta")))</f>
        <v>Média</v>
      </c>
      <c r="O313" s="47" t="n">
        <f aca="false">IF(ISBLANK(H313),"",IF(H313="ALI",IF(M313="L",7,IF(M313="A",10,15)),IF(H313="AIE",IF(M313="L",5,IF(M313="A",7,10)),IF(H313="SE",IF(M313="L",4,IF(M313="A",5,7)),IF(OR(H313="EE",H313="CE"),IF(M313="L",3,IF(M313="A",4,6)))))))</f>
        <v>4</v>
      </c>
      <c r="P313" s="48" t="n">
        <f aca="false">IF(I313="I",O313*Contagem!$W$15,IF(I313="E",O313*Contagem!$W$17,IF(I313="A",O313*Contagem!$W$16,IF(I313="T",O313*Contagem!$W$18,""))))</f>
        <v>4</v>
      </c>
      <c r="Q313" s="49" t="s">
        <v>538</v>
      </c>
    </row>
    <row r="314" customFormat="false" ht="12" hidden="false" customHeight="true" outlineLevel="0" collapsed="false">
      <c r="A314" s="40" t="n">
        <f aca="false">IF(H314="",IF(C314="",A313,A313+1),A313)</f>
        <v>42</v>
      </c>
      <c r="B314" s="41" t="str">
        <f aca="false">IF(A314=A313,"",CONCATENATE("F",A314))</f>
        <v/>
      </c>
      <c r="C314" s="42" t="s">
        <v>539</v>
      </c>
      <c r="D314" s="42"/>
      <c r="E314" s="42"/>
      <c r="F314" s="42"/>
      <c r="G314" s="42"/>
      <c r="H314" s="44" t="s">
        <v>62</v>
      </c>
      <c r="I314" s="50" t="s">
        <v>56</v>
      </c>
      <c r="J314" s="44" t="n">
        <v>5</v>
      </c>
      <c r="K314" s="44" t="n">
        <v>1</v>
      </c>
      <c r="L314" s="44" t="str">
        <f aca="false">CONCATENATE(H314,M314)</f>
        <v>EEL</v>
      </c>
      <c r="M314" s="45" t="str">
        <f aca="false">IF(OR(ISBLANK(J314),ISBLANK(K314)),IF(OR(H314="ALI",H314="AIE"),"L",IF(ISBLANK(H314),"","A")),IF(H314="EE",IF(K314&gt;=3,IF(J314&gt;=5,"H","A"),IF(K314&gt;=2,IF(J314&gt;=16,"H",IF(J314&lt;=4,"L","A")),IF(J314&lt;=15,"L","A"))),IF(OR(H314="SE",H314="CE"),IF(K314&gt;=4,IF(J314&gt;=6,"H","A"),IF(K314&gt;=2,IF(J314&gt;=20,"H",IF(J314&lt;=5,"L","A")),IF(J314&lt;=19,"L","A"))),IF(OR(H314="ALI",H314="AIE"),IF(K314&gt;=6,IF(J314&gt;=20,"H","A"),IF(K314&gt;=2,IF(J314&gt;=51,"H",IF(J314&lt;=19,"L","A")),IF(J314&lt;=50,"L","A")))))))</f>
        <v>L</v>
      </c>
      <c r="N314" s="46" t="str">
        <f aca="false">IF(M314="L","Baixa",IF(M314="A","Média",IF(M314="","","Alta")))</f>
        <v>Baixa</v>
      </c>
      <c r="O314" s="47" t="n">
        <f aca="false">IF(ISBLANK(H314),"",IF(H314="ALI",IF(M314="L",7,IF(M314="A",10,15)),IF(H314="AIE",IF(M314="L",5,IF(M314="A",7,10)),IF(H314="SE",IF(M314="L",4,IF(M314="A",5,7)),IF(OR(H314="EE",H314="CE"),IF(M314="L",3,IF(M314="A",4,6)))))))</f>
        <v>3</v>
      </c>
      <c r="P314" s="48" t="n">
        <f aca="false">IF(I314="I",O314*Contagem!$W$15,IF(I314="E",O314*Contagem!$W$17,IF(I314="A",O314*Contagem!$W$16,IF(I314="T",O314*Contagem!$W$18,""))))</f>
        <v>3</v>
      </c>
      <c r="Q314" s="49" t="s">
        <v>540</v>
      </c>
    </row>
    <row r="315" customFormat="false" ht="12" hidden="false" customHeight="true" outlineLevel="0" collapsed="false">
      <c r="A315" s="40" t="n">
        <f aca="false">IF(H315="",IF(C315="",A314,A314+1),A314)</f>
        <v>42</v>
      </c>
      <c r="B315" s="41" t="str">
        <f aca="false">IF(A315=A314,"",CONCATENATE("F",A315))</f>
        <v/>
      </c>
      <c r="C315" s="42" t="s">
        <v>541</v>
      </c>
      <c r="D315" s="42"/>
      <c r="E315" s="42"/>
      <c r="F315" s="42"/>
      <c r="G315" s="42"/>
      <c r="H315" s="44" t="s">
        <v>62</v>
      </c>
      <c r="I315" s="50" t="s">
        <v>56</v>
      </c>
      <c r="J315" s="44" t="n">
        <v>5</v>
      </c>
      <c r="K315" s="44" t="n">
        <v>2</v>
      </c>
      <c r="L315" s="44" t="str">
        <f aca="false">CONCATENATE(H315,M315)</f>
        <v>EEA</v>
      </c>
      <c r="M315" s="45" t="str">
        <f aca="false">IF(OR(ISBLANK(J315),ISBLANK(K315)),IF(OR(H315="ALI",H315="AIE"),"L",IF(ISBLANK(H315),"","A")),IF(H315="EE",IF(K315&gt;=3,IF(J315&gt;=5,"H","A"),IF(K315&gt;=2,IF(J315&gt;=16,"H",IF(J315&lt;=4,"L","A")),IF(J315&lt;=15,"L","A"))),IF(OR(H315="SE",H315="CE"),IF(K315&gt;=4,IF(J315&gt;=6,"H","A"),IF(K315&gt;=2,IF(J315&gt;=20,"H",IF(J315&lt;=5,"L","A")),IF(J315&lt;=19,"L","A"))),IF(OR(H315="ALI",H315="AIE"),IF(K315&gt;=6,IF(J315&gt;=20,"H","A"),IF(K315&gt;=2,IF(J315&gt;=51,"H",IF(J315&lt;=19,"L","A")),IF(J315&lt;=50,"L","A")))))))</f>
        <v>A</v>
      </c>
      <c r="N315" s="46" t="str">
        <f aca="false">IF(M315="L","Baixa",IF(M315="A","Média",IF(M315="","","Alta")))</f>
        <v>Média</v>
      </c>
      <c r="O315" s="47" t="n">
        <f aca="false">IF(ISBLANK(H315),"",IF(H315="ALI",IF(M315="L",7,IF(M315="A",10,15)),IF(H315="AIE",IF(M315="L",5,IF(M315="A",7,10)),IF(H315="SE",IF(M315="L",4,IF(M315="A",5,7)),IF(OR(H315="EE",H315="CE"),IF(M315="L",3,IF(M315="A",4,6)))))))</f>
        <v>4</v>
      </c>
      <c r="P315" s="48" t="n">
        <f aca="false">IF(I315="I",O315*Contagem!$W$15,IF(I315="E",O315*Contagem!$W$17,IF(I315="A",O315*Contagem!$W$16,IF(I315="T",O315*Contagem!$W$18,""))))</f>
        <v>4</v>
      </c>
      <c r="Q315" s="49" t="s">
        <v>542</v>
      </c>
    </row>
    <row r="316" customFormat="false" ht="12" hidden="false" customHeight="true" outlineLevel="0" collapsed="false">
      <c r="A316" s="40" t="n">
        <f aca="false">IF(H316="",IF(C316="",A315,A315+1),A315)</f>
        <v>42</v>
      </c>
      <c r="B316" s="41" t="str">
        <f aca="false">IF(A316=A315,"",CONCATENATE("F",A316))</f>
        <v/>
      </c>
      <c r="C316" s="42" t="s">
        <v>543</v>
      </c>
      <c r="D316" s="42"/>
      <c r="E316" s="42"/>
      <c r="F316" s="42"/>
      <c r="G316" s="42"/>
      <c r="H316" s="44" t="s">
        <v>62</v>
      </c>
      <c r="I316" s="50" t="s">
        <v>56</v>
      </c>
      <c r="J316" s="44" t="n">
        <v>5</v>
      </c>
      <c r="K316" s="44" t="n">
        <v>2</v>
      </c>
      <c r="L316" s="44" t="str">
        <f aca="false">CONCATENATE(H316,M316)</f>
        <v>EEA</v>
      </c>
      <c r="M316" s="45" t="str">
        <f aca="false">IF(OR(ISBLANK(J316),ISBLANK(K316)),IF(OR(H316="ALI",H316="AIE"),"L",IF(ISBLANK(H316),"","A")),IF(H316="EE",IF(K316&gt;=3,IF(J316&gt;=5,"H","A"),IF(K316&gt;=2,IF(J316&gt;=16,"H",IF(J316&lt;=4,"L","A")),IF(J316&lt;=15,"L","A"))),IF(OR(H316="SE",H316="CE"),IF(K316&gt;=4,IF(J316&gt;=6,"H","A"),IF(K316&gt;=2,IF(J316&gt;=20,"H",IF(J316&lt;=5,"L","A")),IF(J316&lt;=19,"L","A"))),IF(OR(H316="ALI",H316="AIE"),IF(K316&gt;=6,IF(J316&gt;=20,"H","A"),IF(K316&gt;=2,IF(J316&gt;=51,"H",IF(J316&lt;=19,"L","A")),IF(J316&lt;=50,"L","A")))))))</f>
        <v>A</v>
      </c>
      <c r="N316" s="46" t="str">
        <f aca="false">IF(M316="L","Baixa",IF(M316="A","Média",IF(M316="","","Alta")))</f>
        <v>Média</v>
      </c>
      <c r="O316" s="47" t="n">
        <f aca="false">IF(ISBLANK(H316),"",IF(H316="ALI",IF(M316="L",7,IF(M316="A",10,15)),IF(H316="AIE",IF(M316="L",5,IF(M316="A",7,10)),IF(H316="SE",IF(M316="L",4,IF(M316="A",5,7)),IF(OR(H316="EE",H316="CE"),IF(M316="L",3,IF(M316="A",4,6)))))))</f>
        <v>4</v>
      </c>
      <c r="P316" s="48" t="n">
        <f aca="false">IF(I316="I",O316*Contagem!$W$15,IF(I316="E",O316*Contagem!$W$17,IF(I316="A",O316*Contagem!$W$16,IF(I316="T",O316*Contagem!$W$18,""))))</f>
        <v>4</v>
      </c>
      <c r="Q316" s="49" t="s">
        <v>544</v>
      </c>
    </row>
    <row r="317" customFormat="false" ht="12" hidden="false" customHeight="true" outlineLevel="0" collapsed="false">
      <c r="A317" s="40" t="n">
        <f aca="false">IF(H317="",IF(C317="",A316,A316+1),A316)</f>
        <v>42</v>
      </c>
      <c r="B317" s="41" t="str">
        <f aca="false">IF(A317=A316,"",CONCATENATE("F",A317))</f>
        <v/>
      </c>
      <c r="C317" s="42"/>
      <c r="D317" s="42"/>
      <c r="E317" s="42"/>
      <c r="F317" s="42"/>
      <c r="G317" s="42"/>
      <c r="H317" s="44"/>
      <c r="I317" s="50"/>
      <c r="J317" s="44"/>
      <c r="K317" s="44"/>
      <c r="L317" s="44" t="str">
        <f aca="false">CONCATENATE(H317,M317)</f>
        <v/>
      </c>
      <c r="M317" s="45" t="str">
        <f aca="false">IF(OR(ISBLANK(J317),ISBLANK(K317)),IF(OR(H317="ALI",H317="AIE"),"L",IF(ISBLANK(H317),"","A")),IF(H317="EE",IF(K317&gt;=3,IF(J317&gt;=5,"H","A"),IF(K317&gt;=2,IF(J317&gt;=16,"H",IF(J317&lt;=4,"L","A")),IF(J317&lt;=15,"L","A"))),IF(OR(H317="SE",H317="CE"),IF(K317&gt;=4,IF(J317&gt;=6,"H","A"),IF(K317&gt;=2,IF(J317&gt;=20,"H",IF(J317&lt;=5,"L","A")),IF(J317&lt;=19,"L","A"))),IF(OR(H317="ALI",H317="AIE"),IF(K317&gt;=6,IF(J317&gt;=20,"H","A"),IF(K317&gt;=2,IF(J317&gt;=51,"H",IF(J317&lt;=19,"L","A")),IF(J317&lt;=50,"L","A")))))))</f>
        <v/>
      </c>
      <c r="N317" s="46" t="str">
        <f aca="false">IF(M317="L","Baixa",IF(M317="A","Média",IF(M317="","","Alta")))</f>
        <v/>
      </c>
      <c r="O317" s="47" t="str">
        <f aca="false">IF(ISBLANK(H317),"",IF(H317="ALI",IF(M317="L",7,IF(M317="A",10,15)),IF(H317="AIE",IF(M317="L",5,IF(M317="A",7,10)),IF(H317="SE",IF(M317="L",4,IF(M317="A",5,7)),IF(OR(H317="EE",H317="CE"),IF(M317="L",3,IF(M317="A",4,6)))))))</f>
        <v/>
      </c>
      <c r="P317" s="48" t="str">
        <f aca="false">IF(I317="I",O317*Contagem!$W$15,IF(I317="E",O317*Contagem!$W$17,IF(I317="A",O317*Contagem!$W$16,IF(I317="T",O317*Contagem!$W$18,""))))</f>
        <v/>
      </c>
      <c r="Q317" s="49"/>
    </row>
    <row r="318" customFormat="false" ht="12" hidden="false" customHeight="true" outlineLevel="0" collapsed="false">
      <c r="A318" s="40" t="n">
        <f aca="false">IF(H318="",IF(C318="",A317,A317+1),A317)</f>
        <v>43</v>
      </c>
      <c r="B318" s="41" t="str">
        <f aca="false">IF(A318=A317,"",CONCATENATE("F",A318))</f>
        <v>F43</v>
      </c>
      <c r="C318" s="42" t="s">
        <v>545</v>
      </c>
      <c r="D318" s="42"/>
      <c r="E318" s="42"/>
      <c r="F318" s="42"/>
      <c r="G318" s="42"/>
      <c r="H318" s="44"/>
      <c r="I318" s="50"/>
      <c r="J318" s="44"/>
      <c r="K318" s="44"/>
      <c r="L318" s="44" t="str">
        <f aca="false">CONCATENATE(H318,M318)</f>
        <v/>
      </c>
      <c r="M318" s="45" t="str">
        <f aca="false">IF(OR(ISBLANK(J318),ISBLANK(K318)),IF(OR(H318="ALI",H318="AIE"),"L",IF(ISBLANK(H318),"","A")),IF(H318="EE",IF(K318&gt;=3,IF(J318&gt;=5,"H","A"),IF(K318&gt;=2,IF(J318&gt;=16,"H",IF(J318&lt;=4,"L","A")),IF(J318&lt;=15,"L","A"))),IF(OR(H318="SE",H318="CE"),IF(K318&gt;=4,IF(J318&gt;=6,"H","A"),IF(K318&gt;=2,IF(J318&gt;=20,"H",IF(J318&lt;=5,"L","A")),IF(J318&lt;=19,"L","A"))),IF(OR(H318="ALI",H318="AIE"),IF(K318&gt;=6,IF(J318&gt;=20,"H","A"),IF(K318&gt;=2,IF(J318&gt;=51,"H",IF(J318&lt;=19,"L","A")),IF(J318&lt;=50,"L","A")))))))</f>
        <v/>
      </c>
      <c r="N318" s="46" t="str">
        <f aca="false">IF(M318="L","Baixa",IF(M318="A","Média",IF(M318="","","Alta")))</f>
        <v/>
      </c>
      <c r="O318" s="47" t="str">
        <f aca="false">IF(ISBLANK(H318),"",IF(H318="ALI",IF(M318="L",7,IF(M318="A",10,15)),IF(H318="AIE",IF(M318="L",5,IF(M318="A",7,10)),IF(H318="SE",IF(M318="L",4,IF(M318="A",5,7)),IF(OR(H318="EE",H318="CE"),IF(M318="L",3,IF(M318="A",4,6)))))))</f>
        <v/>
      </c>
      <c r="P318" s="48" t="str">
        <f aca="false">IF(I318="I",O318*Contagem!$W$15,IF(I318="E",O318*Contagem!$W$17,IF(I318="A",O318*Contagem!$W$16,IF(I318="T",O318*Contagem!$W$18,""))))</f>
        <v/>
      </c>
      <c r="Q318" s="49"/>
    </row>
    <row r="319" customFormat="false" ht="12" hidden="false" customHeight="true" outlineLevel="0" collapsed="false">
      <c r="A319" s="40" t="n">
        <f aca="false">IF(H319="",IF(C319="",A318,A318+1),A318)</f>
        <v>43</v>
      </c>
      <c r="B319" s="41" t="str">
        <f aca="false">IF(A319=A318,"",CONCATENATE("F",A319))</f>
        <v/>
      </c>
      <c r="C319" s="42" t="s">
        <v>546</v>
      </c>
      <c r="D319" s="42"/>
      <c r="E319" s="42"/>
      <c r="F319" s="42"/>
      <c r="G319" s="42"/>
      <c r="H319" s="44" t="s">
        <v>99</v>
      </c>
      <c r="I319" s="50" t="s">
        <v>56</v>
      </c>
      <c r="J319" s="44" t="n">
        <v>12</v>
      </c>
      <c r="K319" s="44" t="n">
        <v>3</v>
      </c>
      <c r="L319" s="44" t="str">
        <f aca="false">CONCATENATE(H319,M319)</f>
        <v>SEA</v>
      </c>
      <c r="M319" s="45" t="str">
        <f aca="false">IF(OR(ISBLANK(J319),ISBLANK(K319)),IF(OR(H319="ALI",H319="AIE"),"L",IF(ISBLANK(H319),"","A")),IF(H319="EE",IF(K319&gt;=3,IF(J319&gt;=5,"H","A"),IF(K319&gt;=2,IF(J319&gt;=16,"H",IF(J319&lt;=4,"L","A")),IF(J319&lt;=15,"L","A"))),IF(OR(H319="SE",H319="CE"),IF(K319&gt;=4,IF(J319&gt;=6,"H","A"),IF(K319&gt;=2,IF(J319&gt;=20,"H",IF(J319&lt;=5,"L","A")),IF(J319&lt;=19,"L","A"))),IF(OR(H319="ALI",H319="AIE"),IF(K319&gt;=6,IF(J319&gt;=20,"H","A"),IF(K319&gt;=2,IF(J319&gt;=51,"H",IF(J319&lt;=19,"L","A")),IF(J319&lt;=50,"L","A")))))))</f>
        <v>A</v>
      </c>
      <c r="N319" s="46" t="str">
        <f aca="false">IF(M319="L","Baixa",IF(M319="A","Média",IF(M319="","","Alta")))</f>
        <v>Média</v>
      </c>
      <c r="O319" s="47" t="n">
        <f aca="false">IF(ISBLANK(H319),"",IF(H319="ALI",IF(M319="L",7,IF(M319="A",10,15)),IF(H319="AIE",IF(M319="L",5,IF(M319="A",7,10)),IF(H319="SE",IF(M319="L",4,IF(M319="A",5,7)),IF(OR(H319="EE",H319="CE"),IF(M319="L",3,IF(M319="A",4,6)))))))</f>
        <v>5</v>
      </c>
      <c r="P319" s="48" t="n">
        <f aca="false">IF(I319="I",O319*Contagem!$W$15,IF(I319="E",O319*Contagem!$W$17,IF(I319="A",O319*Contagem!$W$16,IF(I319="T",O319*Contagem!$W$18,""))))</f>
        <v>5</v>
      </c>
      <c r="Q319" s="49" t="s">
        <v>547</v>
      </c>
    </row>
    <row r="320" customFormat="false" ht="12" hidden="false" customHeight="true" outlineLevel="0" collapsed="false">
      <c r="A320" s="40" t="n">
        <f aca="false">IF(H320="",IF(C320="",A319,A319+1),A319)</f>
        <v>43</v>
      </c>
      <c r="B320" s="41" t="str">
        <f aca="false">IF(A320=A319,"",CONCATENATE("F",A320))</f>
        <v/>
      </c>
      <c r="C320" s="42"/>
      <c r="D320" s="42"/>
      <c r="E320" s="42"/>
      <c r="F320" s="42"/>
      <c r="G320" s="42"/>
      <c r="H320" s="44"/>
      <c r="I320" s="50"/>
      <c r="J320" s="44"/>
      <c r="K320" s="44"/>
      <c r="L320" s="44" t="str">
        <f aca="false">CONCATENATE(H320,M320)</f>
        <v/>
      </c>
      <c r="M320" s="45" t="str">
        <f aca="false">IF(OR(ISBLANK(J320),ISBLANK(K320)),IF(OR(H320="ALI",H320="AIE"),"L",IF(ISBLANK(H320),"","A")),IF(H320="EE",IF(K320&gt;=3,IF(J320&gt;=5,"H","A"),IF(K320&gt;=2,IF(J320&gt;=16,"H",IF(J320&lt;=4,"L","A")),IF(J320&lt;=15,"L","A"))),IF(OR(H320="SE",H320="CE"),IF(K320&gt;=4,IF(J320&gt;=6,"H","A"),IF(K320&gt;=2,IF(J320&gt;=20,"H",IF(J320&lt;=5,"L","A")),IF(J320&lt;=19,"L","A"))),IF(OR(H320="ALI",H320="AIE"),IF(K320&gt;=6,IF(J320&gt;=20,"H","A"),IF(K320&gt;=2,IF(J320&gt;=51,"H",IF(J320&lt;=19,"L","A")),IF(J320&lt;=50,"L","A")))))))</f>
        <v/>
      </c>
      <c r="N320" s="46" t="str">
        <f aca="false">IF(M320="L","Baixa",IF(M320="A","Média",IF(M320="","","Alta")))</f>
        <v/>
      </c>
      <c r="O320" s="47" t="str">
        <f aca="false">IF(ISBLANK(H320),"",IF(H320="ALI",IF(M320="L",7,IF(M320="A",10,15)),IF(H320="AIE",IF(M320="L",5,IF(M320="A",7,10)),IF(H320="SE",IF(M320="L",4,IF(M320="A",5,7)),IF(OR(H320="EE",H320="CE"),IF(M320="L",3,IF(M320="A",4,6)))))))</f>
        <v/>
      </c>
      <c r="P320" s="48" t="str">
        <f aca="false">IF(I320="I",O320*Contagem!$W$15,IF(I320="E",O320*Contagem!$W$17,IF(I320="A",O320*Contagem!$W$16,IF(I320="T",O320*Contagem!$W$18,""))))</f>
        <v/>
      </c>
      <c r="Q320" s="49"/>
    </row>
    <row r="321" customFormat="false" ht="12" hidden="false" customHeight="true" outlineLevel="0" collapsed="false">
      <c r="A321" s="40" t="n">
        <f aca="false">IF(H321="",IF(C321="",A320,A320+1),A320)</f>
        <v>44</v>
      </c>
      <c r="B321" s="41" t="str">
        <f aca="false">IF(A321=A320,"",CONCATENATE("F",A321))</f>
        <v>F44</v>
      </c>
      <c r="C321" s="42" t="s">
        <v>548</v>
      </c>
      <c r="D321" s="42"/>
      <c r="E321" s="42"/>
      <c r="F321" s="42"/>
      <c r="G321" s="42"/>
      <c r="H321" s="44"/>
      <c r="I321" s="50"/>
      <c r="J321" s="44"/>
      <c r="K321" s="44"/>
      <c r="L321" s="44" t="str">
        <f aca="false">CONCATENATE(H321,M321)</f>
        <v/>
      </c>
      <c r="M321" s="45" t="str">
        <f aca="false">IF(OR(ISBLANK(J321),ISBLANK(K321)),IF(OR(H321="ALI",H321="AIE"),"L",IF(ISBLANK(H321),"","A")),IF(H321="EE",IF(K321&gt;=3,IF(J321&gt;=5,"H","A"),IF(K321&gt;=2,IF(J321&gt;=16,"H",IF(J321&lt;=4,"L","A")),IF(J321&lt;=15,"L","A"))),IF(OR(H321="SE",H321="CE"),IF(K321&gt;=4,IF(J321&gt;=6,"H","A"),IF(K321&gt;=2,IF(J321&gt;=20,"H",IF(J321&lt;=5,"L","A")),IF(J321&lt;=19,"L","A"))),IF(OR(H321="ALI",H321="AIE"),IF(K321&gt;=6,IF(J321&gt;=20,"H","A"),IF(K321&gt;=2,IF(J321&gt;=51,"H",IF(J321&lt;=19,"L","A")),IF(J321&lt;=50,"L","A")))))))</f>
        <v/>
      </c>
      <c r="N321" s="46" t="str">
        <f aca="false">IF(M321="L","Baixa",IF(M321="A","Média",IF(M321="","","Alta")))</f>
        <v/>
      </c>
      <c r="O321" s="47" t="str">
        <f aca="false">IF(ISBLANK(H321),"",IF(H321="ALI",IF(M321="L",7,IF(M321="A",10,15)),IF(H321="AIE",IF(M321="L",5,IF(M321="A",7,10)),IF(H321="SE",IF(M321="L",4,IF(M321="A",5,7)),IF(OR(H321="EE",H321="CE"),IF(M321="L",3,IF(M321="A",4,6)))))))</f>
        <v/>
      </c>
      <c r="P321" s="48" t="str">
        <f aca="false">IF(I321="I",O321*Contagem!$W$15,IF(I321="E",O321*Contagem!$W$17,IF(I321="A",O321*Contagem!$W$16,IF(I321="T",O321*Contagem!$W$18,""))))</f>
        <v/>
      </c>
      <c r="Q321" s="49"/>
    </row>
    <row r="322" customFormat="false" ht="12" hidden="false" customHeight="true" outlineLevel="0" collapsed="false">
      <c r="A322" s="40" t="n">
        <f aca="false">IF(H322="",IF(C322="",A321,A321+1),A321)</f>
        <v>44</v>
      </c>
      <c r="B322" s="41" t="str">
        <f aca="false">IF(A322=A321,"",CONCATENATE("F",A322))</f>
        <v/>
      </c>
      <c r="C322" s="42" t="s">
        <v>549</v>
      </c>
      <c r="D322" s="42"/>
      <c r="E322" s="42"/>
      <c r="F322" s="42"/>
      <c r="G322" s="42"/>
      <c r="H322" s="44" t="s">
        <v>99</v>
      </c>
      <c r="I322" s="50" t="s">
        <v>56</v>
      </c>
      <c r="J322" s="44" t="n">
        <v>7</v>
      </c>
      <c r="K322" s="44" t="n">
        <v>3</v>
      </c>
      <c r="L322" s="44" t="str">
        <f aca="false">CONCATENATE(H322,M322)</f>
        <v>SEA</v>
      </c>
      <c r="M322" s="45" t="str">
        <f aca="false">IF(OR(ISBLANK(J322),ISBLANK(K322)),IF(OR(H322="ALI",H322="AIE"),"L",IF(ISBLANK(H322),"","A")),IF(H322="EE",IF(K322&gt;=3,IF(J322&gt;=5,"H","A"),IF(K322&gt;=2,IF(J322&gt;=16,"H",IF(J322&lt;=4,"L","A")),IF(J322&lt;=15,"L","A"))),IF(OR(H322="SE",H322="CE"),IF(K322&gt;=4,IF(J322&gt;=6,"H","A"),IF(K322&gt;=2,IF(J322&gt;=20,"H",IF(J322&lt;=5,"L","A")),IF(J322&lt;=19,"L","A"))),IF(OR(H322="ALI",H322="AIE"),IF(K322&gt;=6,IF(J322&gt;=20,"H","A"),IF(K322&gt;=2,IF(J322&gt;=51,"H",IF(J322&lt;=19,"L","A")),IF(J322&lt;=50,"L","A")))))))</f>
        <v>A</v>
      </c>
      <c r="N322" s="46" t="str">
        <f aca="false">IF(M322="L","Baixa",IF(M322="A","Média",IF(M322="","","Alta")))</f>
        <v>Média</v>
      </c>
      <c r="O322" s="47" t="n">
        <f aca="false">IF(ISBLANK(H322),"",IF(H322="ALI",IF(M322="L",7,IF(M322="A",10,15)),IF(H322="AIE",IF(M322="L",5,IF(M322="A",7,10)),IF(H322="SE",IF(M322="L",4,IF(M322="A",5,7)),IF(OR(H322="EE",H322="CE"),IF(M322="L",3,IF(M322="A",4,6)))))))</f>
        <v>5</v>
      </c>
      <c r="P322" s="48" t="n">
        <f aca="false">IF(I322="I",O322*Contagem!$W$15,IF(I322="E",O322*Contagem!$W$17,IF(I322="A",O322*Contagem!$W$16,IF(I322="T",O322*Contagem!$W$18,""))))</f>
        <v>5</v>
      </c>
      <c r="Q322" s="49" t="s">
        <v>550</v>
      </c>
    </row>
    <row r="323" customFormat="false" ht="12" hidden="false" customHeight="true" outlineLevel="0" collapsed="false">
      <c r="A323" s="40" t="n">
        <f aca="false">IF(H323="",IF(C323="",A322,A322+1),A322)</f>
        <v>44</v>
      </c>
      <c r="B323" s="41" t="str">
        <f aca="false">IF(A323=A322,"",CONCATENATE("F",A323))</f>
        <v/>
      </c>
      <c r="C323" s="42" t="s">
        <v>551</v>
      </c>
      <c r="D323" s="42"/>
      <c r="E323" s="42"/>
      <c r="F323" s="42"/>
      <c r="G323" s="42"/>
      <c r="H323" s="44" t="s">
        <v>99</v>
      </c>
      <c r="I323" s="50" t="s">
        <v>56</v>
      </c>
      <c r="J323" s="44" t="n">
        <v>10</v>
      </c>
      <c r="K323" s="44" t="n">
        <v>4</v>
      </c>
      <c r="L323" s="44" t="str">
        <f aca="false">CONCATENATE(H323,M323)</f>
        <v>SEH</v>
      </c>
      <c r="M323" s="45" t="str">
        <f aca="false">IF(OR(ISBLANK(J323),ISBLANK(K323)),IF(OR(H323="ALI",H323="AIE"),"L",IF(ISBLANK(H323),"","A")),IF(H323="EE",IF(K323&gt;=3,IF(J323&gt;=5,"H","A"),IF(K323&gt;=2,IF(J323&gt;=16,"H",IF(J323&lt;=4,"L","A")),IF(J323&lt;=15,"L","A"))),IF(OR(H323="SE",H323="CE"),IF(K323&gt;=4,IF(J323&gt;=6,"H","A"),IF(K323&gt;=2,IF(J323&gt;=20,"H",IF(J323&lt;=5,"L","A")),IF(J323&lt;=19,"L","A"))),IF(OR(H323="ALI",H323="AIE"),IF(K323&gt;=6,IF(J323&gt;=20,"H","A"),IF(K323&gt;=2,IF(J323&gt;=51,"H",IF(J323&lt;=19,"L","A")),IF(J323&lt;=50,"L","A")))))))</f>
        <v>H</v>
      </c>
      <c r="N323" s="46" t="str">
        <f aca="false">IF(M323="L","Baixa",IF(M323="A","Média",IF(M323="","","Alta")))</f>
        <v>Alta</v>
      </c>
      <c r="O323" s="47" t="n">
        <f aca="false">IF(ISBLANK(H323),"",IF(H323="ALI",IF(M323="L",7,IF(M323="A",10,15)),IF(H323="AIE",IF(M323="L",5,IF(M323="A",7,10)),IF(H323="SE",IF(M323="L",4,IF(M323="A",5,7)),IF(OR(H323="EE",H323="CE"),IF(M323="L",3,IF(M323="A",4,6)))))))</f>
        <v>7</v>
      </c>
      <c r="P323" s="48" t="n">
        <f aca="false">IF(I323="I",O323*Contagem!$W$15,IF(I323="E",O323*Contagem!$W$17,IF(I323="A",O323*Contagem!$W$16,IF(I323="T",O323*Contagem!$W$18,""))))</f>
        <v>7</v>
      </c>
      <c r="Q323" s="49" t="s">
        <v>552</v>
      </c>
    </row>
    <row r="324" customFormat="false" ht="12" hidden="false" customHeight="true" outlineLevel="0" collapsed="false">
      <c r="A324" s="40" t="n">
        <f aca="false">IF(H324="",IF(C324="",A323,A323+1),A323)</f>
        <v>44</v>
      </c>
      <c r="B324" s="41" t="str">
        <f aca="false">IF(A324=A323,"",CONCATENATE("F",A324))</f>
        <v/>
      </c>
      <c r="C324" s="42" t="s">
        <v>553</v>
      </c>
      <c r="D324" s="42"/>
      <c r="E324" s="42"/>
      <c r="F324" s="42"/>
      <c r="G324" s="42"/>
      <c r="H324" s="44" t="s">
        <v>80</v>
      </c>
      <c r="I324" s="50" t="s">
        <v>56</v>
      </c>
      <c r="J324" s="44" t="n">
        <v>12</v>
      </c>
      <c r="K324" s="44" t="n">
        <v>4</v>
      </c>
      <c r="L324" s="44" t="str">
        <f aca="false">CONCATENATE(H324,M324)</f>
        <v>CEH</v>
      </c>
      <c r="M324" s="45" t="str">
        <f aca="false">IF(OR(ISBLANK(J324),ISBLANK(K324)),IF(OR(H324="ALI",H324="AIE"),"L",IF(ISBLANK(H324),"","A")),IF(H324="EE",IF(K324&gt;=3,IF(J324&gt;=5,"H","A"),IF(K324&gt;=2,IF(J324&gt;=16,"H",IF(J324&lt;=4,"L","A")),IF(J324&lt;=15,"L","A"))),IF(OR(H324="SE",H324="CE"),IF(K324&gt;=4,IF(J324&gt;=6,"H","A"),IF(K324&gt;=2,IF(J324&gt;=20,"H",IF(J324&lt;=5,"L","A")),IF(J324&lt;=19,"L","A"))),IF(OR(H324="ALI",H324="AIE"),IF(K324&gt;=6,IF(J324&gt;=20,"H","A"),IF(K324&gt;=2,IF(J324&gt;=51,"H",IF(J324&lt;=19,"L","A")),IF(J324&lt;=50,"L","A")))))))</f>
        <v>H</v>
      </c>
      <c r="N324" s="46" t="str">
        <f aca="false">IF(M324="L","Baixa",IF(M324="A","Média",IF(M324="","","Alta")))</f>
        <v>Alta</v>
      </c>
      <c r="O324" s="47" t="n">
        <f aca="false">IF(ISBLANK(H324),"",IF(H324="ALI",IF(M324="L",7,IF(M324="A",10,15)),IF(H324="AIE",IF(M324="L",5,IF(M324="A",7,10)),IF(H324="SE",IF(M324="L",4,IF(M324="A",5,7)),IF(OR(H324="EE",H324="CE"),IF(M324="L",3,IF(M324="A",4,6)))))))</f>
        <v>6</v>
      </c>
      <c r="P324" s="48" t="n">
        <f aca="false">IF(I324="I",O324*Contagem!$W$15,IF(I324="E",O324*Contagem!$W$17,IF(I324="A",O324*Contagem!$W$16,IF(I324="T",O324*Contagem!$W$18,""))))</f>
        <v>6</v>
      </c>
      <c r="Q324" s="49" t="s">
        <v>554</v>
      </c>
    </row>
    <row r="325" customFormat="false" ht="12" hidden="false" customHeight="true" outlineLevel="0" collapsed="false">
      <c r="A325" s="40" t="n">
        <f aca="false">IF(H325="",IF(C325="",A324,A324+1),A324)</f>
        <v>44</v>
      </c>
      <c r="B325" s="41" t="str">
        <f aca="false">IF(A325=A324,"",CONCATENATE("F",A325))</f>
        <v/>
      </c>
      <c r="C325" s="42" t="s">
        <v>555</v>
      </c>
      <c r="D325" s="42"/>
      <c r="E325" s="42"/>
      <c r="F325" s="42"/>
      <c r="G325" s="42"/>
      <c r="H325" s="44" t="s">
        <v>62</v>
      </c>
      <c r="I325" s="50" t="s">
        <v>56</v>
      </c>
      <c r="J325" s="44" t="n">
        <v>8</v>
      </c>
      <c r="K325" s="44" t="n">
        <v>4</v>
      </c>
      <c r="L325" s="44" t="str">
        <f aca="false">CONCATENATE(H325,M325)</f>
        <v>EEH</v>
      </c>
      <c r="M325" s="45" t="str">
        <f aca="false">IF(OR(ISBLANK(J325),ISBLANK(K325)),IF(OR(H325="ALI",H325="AIE"),"L",IF(ISBLANK(H325),"","A")),IF(H325="EE",IF(K325&gt;=3,IF(J325&gt;=5,"H","A"),IF(K325&gt;=2,IF(J325&gt;=16,"H",IF(J325&lt;=4,"L","A")),IF(J325&lt;=15,"L","A"))),IF(OR(H325="SE",H325="CE"),IF(K325&gt;=4,IF(J325&gt;=6,"H","A"),IF(K325&gt;=2,IF(J325&gt;=20,"H",IF(J325&lt;=5,"L","A")),IF(J325&lt;=19,"L","A"))),IF(OR(H325="ALI",H325="AIE"),IF(K325&gt;=6,IF(J325&gt;=20,"H","A"),IF(K325&gt;=2,IF(J325&gt;=51,"H",IF(J325&lt;=19,"L","A")),IF(J325&lt;=50,"L","A")))))))</f>
        <v>H</v>
      </c>
      <c r="N325" s="46" t="str">
        <f aca="false">IF(M325="L","Baixa",IF(M325="A","Média",IF(M325="","","Alta")))</f>
        <v>Alta</v>
      </c>
      <c r="O325" s="47" t="n">
        <f aca="false">IF(ISBLANK(H325),"",IF(H325="ALI",IF(M325="L",7,IF(M325="A",10,15)),IF(H325="AIE",IF(M325="L",5,IF(M325="A",7,10)),IF(H325="SE",IF(M325="L",4,IF(M325="A",5,7)),IF(OR(H325="EE",H325="CE"),IF(M325="L",3,IF(M325="A",4,6)))))))</f>
        <v>6</v>
      </c>
      <c r="P325" s="48" t="n">
        <f aca="false">IF(I325="I",O325*Contagem!$W$15,IF(I325="E",O325*Contagem!$W$17,IF(I325="A",O325*Contagem!$W$16,IF(I325="T",O325*Contagem!$W$18,""))))</f>
        <v>6</v>
      </c>
      <c r="Q325" s="49" t="s">
        <v>556</v>
      </c>
    </row>
    <row r="326" customFormat="false" ht="12" hidden="false" customHeight="true" outlineLevel="0" collapsed="false">
      <c r="A326" s="40" t="n">
        <f aca="false">IF(H326="",IF(C326="",A325,A325+1),A325)</f>
        <v>44</v>
      </c>
      <c r="B326" s="41" t="str">
        <f aca="false">IF(A326=A325,"",CONCATENATE("F",A326))</f>
        <v/>
      </c>
      <c r="C326" s="42"/>
      <c r="D326" s="42"/>
      <c r="E326" s="42"/>
      <c r="F326" s="42"/>
      <c r="G326" s="42"/>
      <c r="H326" s="44"/>
      <c r="I326" s="50"/>
      <c r="J326" s="44"/>
      <c r="K326" s="44"/>
      <c r="L326" s="44" t="str">
        <f aca="false">CONCATENATE(H326,M326)</f>
        <v/>
      </c>
      <c r="M326" s="45" t="str">
        <f aca="false">IF(OR(ISBLANK(J326),ISBLANK(K326)),IF(OR(H326="ALI",H326="AIE"),"L",IF(ISBLANK(H326),"","A")),IF(H326="EE",IF(K326&gt;=3,IF(J326&gt;=5,"H","A"),IF(K326&gt;=2,IF(J326&gt;=16,"H",IF(J326&lt;=4,"L","A")),IF(J326&lt;=15,"L","A"))),IF(OR(H326="SE",H326="CE"),IF(K326&gt;=4,IF(J326&gt;=6,"H","A"),IF(K326&gt;=2,IF(J326&gt;=20,"H",IF(J326&lt;=5,"L","A")),IF(J326&lt;=19,"L","A"))),IF(OR(H326="ALI",H326="AIE"),IF(K326&gt;=6,IF(J326&gt;=20,"H","A"),IF(K326&gt;=2,IF(J326&gt;=51,"H",IF(J326&lt;=19,"L","A")),IF(J326&lt;=50,"L","A")))))))</f>
        <v/>
      </c>
      <c r="N326" s="46" t="str">
        <f aca="false">IF(M326="L","Baixa",IF(M326="A","Média",IF(M326="","","Alta")))</f>
        <v/>
      </c>
      <c r="O326" s="47" t="str">
        <f aca="false">IF(ISBLANK(H326),"",IF(H326="ALI",IF(M326="L",7,IF(M326="A",10,15)),IF(H326="AIE",IF(M326="L",5,IF(M326="A",7,10)),IF(H326="SE",IF(M326="L",4,IF(M326="A",5,7)),IF(OR(H326="EE",H326="CE"),IF(M326="L",3,IF(M326="A",4,6)))))))</f>
        <v/>
      </c>
      <c r="P326" s="48" t="str">
        <f aca="false">IF(I326="I",O326*Contagem!$W$15,IF(I326="E",O326*Contagem!$W$17,IF(I326="A",O326*Contagem!$W$16,IF(I326="T",O326*Contagem!$W$18,""))))</f>
        <v/>
      </c>
      <c r="Q326" s="49"/>
    </row>
    <row r="327" customFormat="false" ht="12" hidden="false" customHeight="true" outlineLevel="0" collapsed="false">
      <c r="A327" s="40" t="n">
        <f aca="false">IF(H327="",IF(C327="",A326,A326+1),A326)</f>
        <v>45</v>
      </c>
      <c r="B327" s="41" t="str">
        <f aca="false">IF(A327=A326,"",CONCATENATE("F",A327))</f>
        <v>F45</v>
      </c>
      <c r="C327" s="42" t="s">
        <v>557</v>
      </c>
      <c r="D327" s="42"/>
      <c r="E327" s="42"/>
      <c r="F327" s="42"/>
      <c r="G327" s="42"/>
      <c r="H327" s="44"/>
      <c r="I327" s="50"/>
      <c r="J327" s="44"/>
      <c r="K327" s="44"/>
      <c r="L327" s="44" t="str">
        <f aca="false">CONCATENATE(H327,M327)</f>
        <v/>
      </c>
      <c r="M327" s="45" t="str">
        <f aca="false">IF(OR(ISBLANK(J327),ISBLANK(K327)),IF(OR(H327="ALI",H327="AIE"),"L",IF(ISBLANK(H327),"","A")),IF(H327="EE",IF(K327&gt;=3,IF(J327&gt;=5,"H","A"),IF(K327&gt;=2,IF(J327&gt;=16,"H",IF(J327&lt;=4,"L","A")),IF(J327&lt;=15,"L","A"))),IF(OR(H327="SE",H327="CE"),IF(K327&gt;=4,IF(J327&gt;=6,"H","A"),IF(K327&gt;=2,IF(J327&gt;=20,"H",IF(J327&lt;=5,"L","A")),IF(J327&lt;=19,"L","A"))),IF(OR(H327="ALI",H327="AIE"),IF(K327&gt;=6,IF(J327&gt;=20,"H","A"),IF(K327&gt;=2,IF(J327&gt;=51,"H",IF(J327&lt;=19,"L","A")),IF(J327&lt;=50,"L","A")))))))</f>
        <v/>
      </c>
      <c r="N327" s="46" t="str">
        <f aca="false">IF(M327="L","Baixa",IF(M327="A","Média",IF(M327="","","Alta")))</f>
        <v/>
      </c>
      <c r="O327" s="47" t="str">
        <f aca="false">IF(ISBLANK(H327),"",IF(H327="ALI",IF(M327="L",7,IF(M327="A",10,15)),IF(H327="AIE",IF(M327="L",5,IF(M327="A",7,10)),IF(H327="SE",IF(M327="L",4,IF(M327="A",5,7)),IF(OR(H327="EE",H327="CE"),IF(M327="L",3,IF(M327="A",4,6)))))))</f>
        <v/>
      </c>
      <c r="P327" s="48" t="str">
        <f aca="false">IF(I327="I",O327*Contagem!$W$15,IF(I327="E",O327*Contagem!$W$17,IF(I327="A",O327*Contagem!$W$16,IF(I327="T",O327*Contagem!$W$18,""))))</f>
        <v/>
      </c>
      <c r="Q327" s="49"/>
    </row>
    <row r="328" customFormat="false" ht="12" hidden="false" customHeight="true" outlineLevel="0" collapsed="false">
      <c r="A328" s="40" t="n">
        <f aca="false">IF(H328="",IF(C328="",A327,A327+1),A327)</f>
        <v>45</v>
      </c>
      <c r="B328" s="41" t="str">
        <f aca="false">IF(A328=A327,"",CONCATENATE("F",A328))</f>
        <v/>
      </c>
      <c r="C328" s="42" t="s">
        <v>558</v>
      </c>
      <c r="D328" s="42"/>
      <c r="E328" s="42"/>
      <c r="F328" s="42"/>
      <c r="G328" s="42"/>
      <c r="H328" s="44" t="s">
        <v>55</v>
      </c>
      <c r="I328" s="50" t="s">
        <v>56</v>
      </c>
      <c r="J328" s="44" t="n">
        <v>86</v>
      </c>
      <c r="K328" s="44" t="n">
        <v>5</v>
      </c>
      <c r="L328" s="44" t="str">
        <f aca="false">CONCATENATE(H328,M328)</f>
        <v>ALIH</v>
      </c>
      <c r="M328" s="45" t="str">
        <f aca="false">IF(OR(ISBLANK(J328),ISBLANK(K328)),IF(OR(H328="ALI",H328="AIE"),"L",IF(ISBLANK(H328),"","A")),IF(H328="EE",IF(K328&gt;=3,IF(J328&gt;=5,"H","A"),IF(K328&gt;=2,IF(J328&gt;=16,"H",IF(J328&lt;=4,"L","A")),IF(J328&lt;=15,"L","A"))),IF(OR(H328="SE",H328="CE"),IF(K328&gt;=4,IF(J328&gt;=6,"H","A"),IF(K328&gt;=2,IF(J328&gt;=20,"H",IF(J328&lt;=5,"L","A")),IF(J328&lt;=19,"L","A"))),IF(OR(H328="ALI",H328="AIE"),IF(K328&gt;=6,IF(J328&gt;=20,"H","A"),IF(K328&gt;=2,IF(J328&gt;=51,"H",IF(J328&lt;=19,"L","A")),IF(J328&lt;=50,"L","A")))))))</f>
        <v>H</v>
      </c>
      <c r="N328" s="46" t="str">
        <f aca="false">IF(M328="L","Baixa",IF(M328="A","Média",IF(M328="","","Alta")))</f>
        <v>Alta</v>
      </c>
      <c r="O328" s="47" t="n">
        <f aca="false">IF(ISBLANK(H328),"",IF(H328="ALI",IF(M328="L",7,IF(M328="A",10,15)),IF(H328="AIE",IF(M328="L",5,IF(M328="A",7,10)),IF(H328="SE",IF(M328="L",4,IF(M328="A",5,7)),IF(OR(H328="EE",H328="CE"),IF(M328="L",3,IF(M328="A",4,6)))))))</f>
        <v>15</v>
      </c>
      <c r="P328" s="48" t="n">
        <f aca="false">IF(I328="I",O328*Contagem!$W$15,IF(I328="E",O328*Contagem!$W$17,IF(I328="A",O328*Contagem!$W$16,IF(I328="T",O328*Contagem!$W$18,""))))</f>
        <v>15</v>
      </c>
      <c r="Q328" s="49" t="s">
        <v>559</v>
      </c>
    </row>
    <row r="329" customFormat="false" ht="12" hidden="false" customHeight="true" outlineLevel="0" collapsed="false">
      <c r="A329" s="40" t="n">
        <f aca="false">IF(H329="",IF(C329="",A328,A328+1),A328)</f>
        <v>45</v>
      </c>
      <c r="B329" s="41" t="str">
        <f aca="false">IF(A329=A328,"",CONCATENATE("F",A329))</f>
        <v/>
      </c>
      <c r="C329" s="42" t="s">
        <v>560</v>
      </c>
      <c r="D329" s="42"/>
      <c r="E329" s="42"/>
      <c r="F329" s="42"/>
      <c r="G329" s="42"/>
      <c r="H329" s="44" t="s">
        <v>62</v>
      </c>
      <c r="I329" s="50" t="s">
        <v>56</v>
      </c>
      <c r="J329" s="44" t="n">
        <v>6</v>
      </c>
      <c r="K329" s="44" t="n">
        <v>3</v>
      </c>
      <c r="L329" s="44" t="str">
        <f aca="false">CONCATENATE(H329,M329)</f>
        <v>EEH</v>
      </c>
      <c r="M329" s="45" t="str">
        <f aca="false">IF(OR(ISBLANK(J329),ISBLANK(K329)),IF(OR(H329="ALI",H329="AIE"),"L",IF(ISBLANK(H329),"","A")),IF(H329="EE",IF(K329&gt;=3,IF(J329&gt;=5,"H","A"),IF(K329&gt;=2,IF(J329&gt;=16,"H",IF(J329&lt;=4,"L","A")),IF(J329&lt;=15,"L","A"))),IF(OR(H329="SE",H329="CE"),IF(K329&gt;=4,IF(J329&gt;=6,"H","A"),IF(K329&gt;=2,IF(J329&gt;=20,"H",IF(J329&lt;=5,"L","A")),IF(J329&lt;=19,"L","A"))),IF(OR(H329="ALI",H329="AIE"),IF(K329&gt;=6,IF(J329&gt;=20,"H","A"),IF(K329&gt;=2,IF(J329&gt;=51,"H",IF(J329&lt;=19,"L","A")),IF(J329&lt;=50,"L","A")))))))</f>
        <v>H</v>
      </c>
      <c r="N329" s="46" t="str">
        <f aca="false">IF(M329="L","Baixa",IF(M329="A","Média",IF(M329="","","Alta")))</f>
        <v>Alta</v>
      </c>
      <c r="O329" s="47" t="n">
        <f aca="false">IF(ISBLANK(H329),"",IF(H329="ALI",IF(M329="L",7,IF(M329="A",10,15)),IF(H329="AIE",IF(M329="L",5,IF(M329="A",7,10)),IF(H329="SE",IF(M329="L",4,IF(M329="A",5,7)),IF(OR(H329="EE",H329="CE"),IF(M329="L",3,IF(M329="A",4,6)))))))</f>
        <v>6</v>
      </c>
      <c r="P329" s="48" t="n">
        <f aca="false">IF(I329="I",O329*Contagem!$W$15,IF(I329="E",O329*Contagem!$W$17,IF(I329="A",O329*Contagem!$W$16,IF(I329="T",O329*Contagem!$W$18,""))))</f>
        <v>6</v>
      </c>
      <c r="Q329" s="49" t="s">
        <v>561</v>
      </c>
    </row>
    <row r="330" customFormat="false" ht="12" hidden="false" customHeight="true" outlineLevel="0" collapsed="false">
      <c r="A330" s="40" t="n">
        <f aca="false">IF(H330="",IF(C330="",A329,A329+1),A329)</f>
        <v>45</v>
      </c>
      <c r="B330" s="41" t="str">
        <f aca="false">IF(A330=A329,"",CONCATENATE("F",A330))</f>
        <v/>
      </c>
      <c r="C330" s="42" t="s">
        <v>562</v>
      </c>
      <c r="D330" s="42"/>
      <c r="E330" s="42"/>
      <c r="F330" s="42"/>
      <c r="G330" s="42"/>
      <c r="H330" s="44" t="s">
        <v>80</v>
      </c>
      <c r="I330" s="50" t="s">
        <v>56</v>
      </c>
      <c r="J330" s="44" t="n">
        <v>11</v>
      </c>
      <c r="K330" s="44" t="n">
        <v>4</v>
      </c>
      <c r="L330" s="44" t="str">
        <f aca="false">CONCATENATE(H330,M330)</f>
        <v>CEH</v>
      </c>
      <c r="M330" s="45" t="str">
        <f aca="false">IF(OR(ISBLANK(J330),ISBLANK(K330)),IF(OR(H330="ALI",H330="AIE"),"L",IF(ISBLANK(H330),"","A")),IF(H330="EE",IF(K330&gt;=3,IF(J330&gt;=5,"H","A"),IF(K330&gt;=2,IF(J330&gt;=16,"H",IF(J330&lt;=4,"L","A")),IF(J330&lt;=15,"L","A"))),IF(OR(H330="SE",H330="CE"),IF(K330&gt;=4,IF(J330&gt;=6,"H","A"),IF(K330&gt;=2,IF(J330&gt;=20,"H",IF(J330&lt;=5,"L","A")),IF(J330&lt;=19,"L","A"))),IF(OR(H330="ALI",H330="AIE"),IF(K330&gt;=6,IF(J330&gt;=20,"H","A"),IF(K330&gt;=2,IF(J330&gt;=51,"H",IF(J330&lt;=19,"L","A")),IF(J330&lt;=50,"L","A")))))))</f>
        <v>H</v>
      </c>
      <c r="N330" s="46" t="str">
        <f aca="false">IF(M330="L","Baixa",IF(M330="A","Média",IF(M330="","","Alta")))</f>
        <v>Alta</v>
      </c>
      <c r="O330" s="47" t="n">
        <f aca="false">IF(ISBLANK(H330),"",IF(H330="ALI",IF(M330="L",7,IF(M330="A",10,15)),IF(H330="AIE",IF(M330="L",5,IF(M330="A",7,10)),IF(H330="SE",IF(M330="L",4,IF(M330="A",5,7)),IF(OR(H330="EE",H330="CE"),IF(M330="L",3,IF(M330="A",4,6)))))))</f>
        <v>6</v>
      </c>
      <c r="P330" s="48" t="n">
        <f aca="false">IF(I330="I",O330*Contagem!$W$15,IF(I330="E",O330*Contagem!$W$17,IF(I330="A",O330*Contagem!$W$16,IF(I330="T",O330*Contagem!$W$18,""))))</f>
        <v>6</v>
      </c>
      <c r="Q330" s="49" t="s">
        <v>563</v>
      </c>
    </row>
    <row r="331" customFormat="false" ht="12" hidden="false" customHeight="true" outlineLevel="0" collapsed="false">
      <c r="A331" s="40" t="n">
        <f aca="false">IF(H331="",IF(C331="",A330,A330+1),A330)</f>
        <v>45</v>
      </c>
      <c r="B331" s="41" t="str">
        <f aca="false">IF(A331=A330,"",CONCATENATE("F",A331))</f>
        <v/>
      </c>
      <c r="C331" s="42" t="s">
        <v>564</v>
      </c>
      <c r="D331" s="42"/>
      <c r="E331" s="42"/>
      <c r="F331" s="42"/>
      <c r="G331" s="42"/>
      <c r="H331" s="44" t="s">
        <v>80</v>
      </c>
      <c r="I331" s="50" t="s">
        <v>56</v>
      </c>
      <c r="J331" s="44" t="n">
        <v>35</v>
      </c>
      <c r="K331" s="44" t="n">
        <v>6</v>
      </c>
      <c r="L331" s="44" t="str">
        <f aca="false">CONCATENATE(H331,M331)</f>
        <v>CEH</v>
      </c>
      <c r="M331" s="45" t="str">
        <f aca="false">IF(OR(ISBLANK(J331),ISBLANK(K331)),IF(OR(H331="ALI",H331="AIE"),"L",IF(ISBLANK(H331),"","A")),IF(H331="EE",IF(K331&gt;=3,IF(J331&gt;=5,"H","A"),IF(K331&gt;=2,IF(J331&gt;=16,"H",IF(J331&lt;=4,"L","A")),IF(J331&lt;=15,"L","A"))),IF(OR(H331="SE",H331="CE"),IF(K331&gt;=4,IF(J331&gt;=6,"H","A"),IF(K331&gt;=2,IF(J331&gt;=20,"H",IF(J331&lt;=5,"L","A")),IF(J331&lt;=19,"L","A"))),IF(OR(H331="ALI",H331="AIE"),IF(K331&gt;=6,IF(J331&gt;=20,"H","A"),IF(K331&gt;=2,IF(J331&gt;=51,"H",IF(J331&lt;=19,"L","A")),IF(J331&lt;=50,"L","A")))))))</f>
        <v>H</v>
      </c>
      <c r="N331" s="46" t="str">
        <f aca="false">IF(M331="L","Baixa",IF(M331="A","Média",IF(M331="","","Alta")))</f>
        <v>Alta</v>
      </c>
      <c r="O331" s="47" t="n">
        <f aca="false">IF(ISBLANK(H331),"",IF(H331="ALI",IF(M331="L",7,IF(M331="A",10,15)),IF(H331="AIE",IF(M331="L",5,IF(M331="A",7,10)),IF(H331="SE",IF(M331="L",4,IF(M331="A",5,7)),IF(OR(H331="EE",H331="CE"),IF(M331="L",3,IF(M331="A",4,6)))))))</f>
        <v>6</v>
      </c>
      <c r="P331" s="48" t="n">
        <f aca="false">IF(I331="I",O331*Contagem!$W$15,IF(I331="E",O331*Contagem!$W$17,IF(I331="A",O331*Contagem!$W$16,IF(I331="T",O331*Contagem!$W$18,""))))</f>
        <v>6</v>
      </c>
      <c r="Q331" s="49" t="s">
        <v>565</v>
      </c>
    </row>
    <row r="332" customFormat="false" ht="12" hidden="false" customHeight="true" outlineLevel="0" collapsed="false">
      <c r="A332" s="40" t="n">
        <f aca="false">IF(H332="",IF(C332="",A331,A331+1),A331)</f>
        <v>45</v>
      </c>
      <c r="B332" s="41" t="str">
        <f aca="false">IF(A332=A331,"",CONCATENATE("F",A332))</f>
        <v/>
      </c>
      <c r="C332" s="42" t="s">
        <v>566</v>
      </c>
      <c r="D332" s="42"/>
      <c r="E332" s="42"/>
      <c r="F332" s="42"/>
      <c r="G332" s="42"/>
      <c r="H332" s="44" t="s">
        <v>62</v>
      </c>
      <c r="I332" s="50" t="s">
        <v>56</v>
      </c>
      <c r="J332" s="44" t="n">
        <v>21</v>
      </c>
      <c r="K332" s="44" t="n">
        <v>4</v>
      </c>
      <c r="L332" s="44" t="str">
        <f aca="false">CONCATENATE(H332,M332)</f>
        <v>EEH</v>
      </c>
      <c r="M332" s="45" t="str">
        <f aca="false">IF(OR(ISBLANK(J332),ISBLANK(K332)),IF(OR(H332="ALI",H332="AIE"),"L",IF(ISBLANK(H332),"","A")),IF(H332="EE",IF(K332&gt;=3,IF(J332&gt;=5,"H","A"),IF(K332&gt;=2,IF(J332&gt;=16,"H",IF(J332&lt;=4,"L","A")),IF(J332&lt;=15,"L","A"))),IF(OR(H332="SE",H332="CE"),IF(K332&gt;=4,IF(J332&gt;=6,"H","A"),IF(K332&gt;=2,IF(J332&gt;=20,"H",IF(J332&lt;=5,"L","A")),IF(J332&lt;=19,"L","A"))),IF(OR(H332="ALI",H332="AIE"),IF(K332&gt;=6,IF(J332&gt;=20,"H","A"),IF(K332&gt;=2,IF(J332&gt;=51,"H",IF(J332&lt;=19,"L","A")),IF(J332&lt;=50,"L","A")))))))</f>
        <v>H</v>
      </c>
      <c r="N332" s="46" t="str">
        <f aca="false">IF(M332="L","Baixa",IF(M332="A","Média",IF(M332="","","Alta")))</f>
        <v>Alta</v>
      </c>
      <c r="O332" s="47" t="n">
        <f aca="false">IF(ISBLANK(H332),"",IF(H332="ALI",IF(M332="L",7,IF(M332="A",10,15)),IF(H332="AIE",IF(M332="L",5,IF(M332="A",7,10)),IF(H332="SE",IF(M332="L",4,IF(M332="A",5,7)),IF(OR(H332="EE",H332="CE"),IF(M332="L",3,IF(M332="A",4,6)))))))</f>
        <v>6</v>
      </c>
      <c r="P332" s="48" t="n">
        <f aca="false">IF(I332="I",O332*Contagem!$W$15,IF(I332="E",O332*Contagem!$W$17,IF(I332="A",O332*Contagem!$W$16,IF(I332="T",O332*Contagem!$W$18,""))))</f>
        <v>6</v>
      </c>
      <c r="Q332" s="49" t="s">
        <v>567</v>
      </c>
    </row>
    <row r="333" customFormat="false" ht="12" hidden="false" customHeight="true" outlineLevel="0" collapsed="false">
      <c r="A333" s="40" t="n">
        <f aca="false">IF(H333="",IF(C333="",A332,A332+1),A332)</f>
        <v>45</v>
      </c>
      <c r="B333" s="41" t="str">
        <f aca="false">IF(A333=A332,"",CONCATENATE("F",A333))</f>
        <v/>
      </c>
      <c r="C333" s="42" t="s">
        <v>568</v>
      </c>
      <c r="D333" s="42"/>
      <c r="E333" s="42"/>
      <c r="F333" s="42"/>
      <c r="G333" s="42"/>
      <c r="H333" s="44" t="s">
        <v>62</v>
      </c>
      <c r="I333" s="50" t="s">
        <v>56</v>
      </c>
      <c r="J333" s="44" t="n">
        <v>7</v>
      </c>
      <c r="K333" s="44" t="n">
        <v>3</v>
      </c>
      <c r="L333" s="44" t="str">
        <f aca="false">CONCATENATE(H333,M333)</f>
        <v>EEH</v>
      </c>
      <c r="M333" s="45" t="str">
        <f aca="false">IF(OR(ISBLANK(J333),ISBLANK(K333)),IF(OR(H333="ALI",H333="AIE"),"L",IF(ISBLANK(H333),"","A")),IF(H333="EE",IF(K333&gt;=3,IF(J333&gt;=5,"H","A"),IF(K333&gt;=2,IF(J333&gt;=16,"H",IF(J333&lt;=4,"L","A")),IF(J333&lt;=15,"L","A"))),IF(OR(H333="SE",H333="CE"),IF(K333&gt;=4,IF(J333&gt;=6,"H","A"),IF(K333&gt;=2,IF(J333&gt;=20,"H",IF(J333&lt;=5,"L","A")),IF(J333&lt;=19,"L","A"))),IF(OR(H333="ALI",H333="AIE"),IF(K333&gt;=6,IF(J333&gt;=20,"H","A"),IF(K333&gt;=2,IF(J333&gt;=51,"H",IF(J333&lt;=19,"L","A")),IF(J333&lt;=50,"L","A")))))))</f>
        <v>H</v>
      </c>
      <c r="N333" s="46" t="str">
        <f aca="false">IF(M333="L","Baixa",IF(M333="A","Média",IF(M333="","","Alta")))</f>
        <v>Alta</v>
      </c>
      <c r="O333" s="47" t="n">
        <f aca="false">IF(ISBLANK(H333),"",IF(H333="ALI",IF(M333="L",7,IF(M333="A",10,15)),IF(H333="AIE",IF(M333="L",5,IF(M333="A",7,10)),IF(H333="SE",IF(M333="L",4,IF(M333="A",5,7)),IF(OR(H333="EE",H333="CE"),IF(M333="L",3,IF(M333="A",4,6)))))))</f>
        <v>6</v>
      </c>
      <c r="P333" s="48" t="n">
        <f aca="false">IF(I333="I",O333*Contagem!$W$15,IF(I333="E",O333*Contagem!$W$17,IF(I333="A",O333*Contagem!$W$16,IF(I333="T",O333*Contagem!$W$18,""))))</f>
        <v>6</v>
      </c>
      <c r="Q333" s="49" t="s">
        <v>569</v>
      </c>
    </row>
    <row r="334" customFormat="false" ht="12" hidden="false" customHeight="true" outlineLevel="0" collapsed="false">
      <c r="A334" s="40" t="n">
        <f aca="false">IF(H334="",IF(C334="",A333,A333+1),A333)</f>
        <v>45</v>
      </c>
      <c r="B334" s="41" t="str">
        <f aca="false">IF(A334=A333,"",CONCATENATE("F",A334))</f>
        <v/>
      </c>
      <c r="C334" s="42" t="s">
        <v>570</v>
      </c>
      <c r="D334" s="42"/>
      <c r="E334" s="42"/>
      <c r="F334" s="42"/>
      <c r="G334" s="42"/>
      <c r="H334" s="44" t="s">
        <v>62</v>
      </c>
      <c r="I334" s="50" t="s">
        <v>56</v>
      </c>
      <c r="J334" s="44" t="n">
        <v>9</v>
      </c>
      <c r="K334" s="44" t="n">
        <v>3</v>
      </c>
      <c r="L334" s="44" t="str">
        <f aca="false">CONCATENATE(H334,M334)</f>
        <v>EEH</v>
      </c>
      <c r="M334" s="45" t="str">
        <f aca="false">IF(OR(ISBLANK(J334),ISBLANK(K334)),IF(OR(H334="ALI",H334="AIE"),"L",IF(ISBLANK(H334),"","A")),IF(H334="EE",IF(K334&gt;=3,IF(J334&gt;=5,"H","A"),IF(K334&gt;=2,IF(J334&gt;=16,"H",IF(J334&lt;=4,"L","A")),IF(J334&lt;=15,"L","A"))),IF(OR(H334="SE",H334="CE"),IF(K334&gt;=4,IF(J334&gt;=6,"H","A"),IF(K334&gt;=2,IF(J334&gt;=20,"H",IF(J334&lt;=5,"L","A")),IF(J334&lt;=19,"L","A"))),IF(OR(H334="ALI",H334="AIE"),IF(K334&gt;=6,IF(J334&gt;=20,"H","A"),IF(K334&gt;=2,IF(J334&gt;=51,"H",IF(J334&lt;=19,"L","A")),IF(J334&lt;=50,"L","A")))))))</f>
        <v>H</v>
      </c>
      <c r="N334" s="46" t="str">
        <f aca="false">IF(M334="L","Baixa",IF(M334="A","Média",IF(M334="","","Alta")))</f>
        <v>Alta</v>
      </c>
      <c r="O334" s="47" t="n">
        <f aca="false">IF(ISBLANK(H334),"",IF(H334="ALI",IF(M334="L",7,IF(M334="A",10,15)),IF(H334="AIE",IF(M334="L",5,IF(M334="A",7,10)),IF(H334="SE",IF(M334="L",4,IF(M334="A",5,7)),IF(OR(H334="EE",H334="CE"),IF(M334="L",3,IF(M334="A",4,6)))))))</f>
        <v>6</v>
      </c>
      <c r="P334" s="48" t="n">
        <f aca="false">IF(I334="I",O334*Contagem!$W$15,IF(I334="E",O334*Contagem!$W$17,IF(I334="A",O334*Contagem!$W$16,IF(I334="T",O334*Contagem!$W$18,""))))</f>
        <v>6</v>
      </c>
      <c r="Q334" s="49" t="s">
        <v>571</v>
      </c>
    </row>
    <row r="335" customFormat="false" ht="12" hidden="false" customHeight="true" outlineLevel="0" collapsed="false">
      <c r="A335" s="40" t="n">
        <f aca="false">IF(H335="",IF(C335="",A334,A334+1),A334)</f>
        <v>45</v>
      </c>
      <c r="B335" s="41" t="str">
        <f aca="false">IF(A335=A334,"",CONCATENATE("F",A335))</f>
        <v/>
      </c>
      <c r="C335" s="42" t="s">
        <v>572</v>
      </c>
      <c r="D335" s="42"/>
      <c r="E335" s="42"/>
      <c r="F335" s="42"/>
      <c r="G335" s="42"/>
      <c r="H335" s="44" t="s">
        <v>80</v>
      </c>
      <c r="I335" s="50" t="s">
        <v>56</v>
      </c>
      <c r="J335" s="44" t="n">
        <v>4</v>
      </c>
      <c r="K335" s="44" t="n">
        <v>1</v>
      </c>
      <c r="L335" s="44" t="str">
        <f aca="false">CONCATENATE(H335,M335)</f>
        <v>CEL</v>
      </c>
      <c r="M335" s="45" t="str">
        <f aca="false">IF(OR(ISBLANK(J335),ISBLANK(K335)),IF(OR(H335="ALI",H335="AIE"),"L",IF(ISBLANK(H335),"","A")),IF(H335="EE",IF(K335&gt;=3,IF(J335&gt;=5,"H","A"),IF(K335&gt;=2,IF(J335&gt;=16,"H",IF(J335&lt;=4,"L","A")),IF(J335&lt;=15,"L","A"))),IF(OR(H335="SE",H335="CE"),IF(K335&gt;=4,IF(J335&gt;=6,"H","A"),IF(K335&gt;=2,IF(J335&gt;=20,"H",IF(J335&lt;=5,"L","A")),IF(J335&lt;=19,"L","A"))),IF(OR(H335="ALI",H335="AIE"),IF(K335&gt;=6,IF(J335&gt;=20,"H","A"),IF(K335&gt;=2,IF(J335&gt;=51,"H",IF(J335&lt;=19,"L","A")),IF(J335&lt;=50,"L","A")))))))</f>
        <v>L</v>
      </c>
      <c r="N335" s="46" t="str">
        <f aca="false">IF(M335="L","Baixa",IF(M335="A","Média",IF(M335="","","Alta")))</f>
        <v>Baixa</v>
      </c>
      <c r="O335" s="47" t="n">
        <f aca="false">IF(ISBLANK(H335),"",IF(H335="ALI",IF(M335="L",7,IF(M335="A",10,15)),IF(H335="AIE",IF(M335="L",5,IF(M335="A",7,10)),IF(H335="SE",IF(M335="L",4,IF(M335="A",5,7)),IF(OR(H335="EE",H335="CE"),IF(M335="L",3,IF(M335="A",4,6)))))))</f>
        <v>3</v>
      </c>
      <c r="P335" s="48" t="n">
        <f aca="false">IF(I335="I",O335*Contagem!$W$15,IF(I335="E",O335*Contagem!$W$17,IF(I335="A",O335*Contagem!$W$16,IF(I335="T",O335*Contagem!$W$18,""))))</f>
        <v>3</v>
      </c>
      <c r="Q335" s="49" t="s">
        <v>573</v>
      </c>
    </row>
    <row r="336" customFormat="false" ht="12" hidden="false" customHeight="true" outlineLevel="0" collapsed="false">
      <c r="A336" s="40" t="n">
        <f aca="false">IF(H336="",IF(C336="",A335,A335+1),A335)</f>
        <v>45</v>
      </c>
      <c r="B336" s="41" t="str">
        <f aca="false">IF(A336=A335,"",CONCATENATE("F",A336))</f>
        <v/>
      </c>
      <c r="C336" s="42" t="s">
        <v>574</v>
      </c>
      <c r="D336" s="42"/>
      <c r="E336" s="42"/>
      <c r="F336" s="42"/>
      <c r="G336" s="42"/>
      <c r="H336" s="44" t="s">
        <v>62</v>
      </c>
      <c r="I336" s="50" t="s">
        <v>56</v>
      </c>
      <c r="J336" s="44" t="n">
        <v>6</v>
      </c>
      <c r="K336" s="44" t="n">
        <v>1</v>
      </c>
      <c r="L336" s="44" t="str">
        <f aca="false">CONCATENATE(H336,M336)</f>
        <v>EEL</v>
      </c>
      <c r="M336" s="45" t="str">
        <f aca="false">IF(OR(ISBLANK(J336),ISBLANK(K336)),IF(OR(H336="ALI",H336="AIE"),"L",IF(ISBLANK(H336),"","A")),IF(H336="EE",IF(K336&gt;=3,IF(J336&gt;=5,"H","A"),IF(K336&gt;=2,IF(J336&gt;=16,"H",IF(J336&lt;=4,"L","A")),IF(J336&lt;=15,"L","A"))),IF(OR(H336="SE",H336="CE"),IF(K336&gt;=4,IF(J336&gt;=6,"H","A"),IF(K336&gt;=2,IF(J336&gt;=20,"H",IF(J336&lt;=5,"L","A")),IF(J336&lt;=19,"L","A"))),IF(OR(H336="ALI",H336="AIE"),IF(K336&gt;=6,IF(J336&gt;=20,"H","A"),IF(K336&gt;=2,IF(J336&gt;=51,"H",IF(J336&lt;=19,"L","A")),IF(J336&lt;=50,"L","A")))))))</f>
        <v>L</v>
      </c>
      <c r="N336" s="46" t="str">
        <f aca="false">IF(M336="L","Baixa",IF(M336="A","Média",IF(M336="","","Alta")))</f>
        <v>Baixa</v>
      </c>
      <c r="O336" s="47" t="n">
        <f aca="false">IF(ISBLANK(H336),"",IF(H336="ALI",IF(M336="L",7,IF(M336="A",10,15)),IF(H336="AIE",IF(M336="L",5,IF(M336="A",7,10)),IF(H336="SE",IF(M336="L",4,IF(M336="A",5,7)),IF(OR(H336="EE",H336="CE"),IF(M336="L",3,IF(M336="A",4,6)))))))</f>
        <v>3</v>
      </c>
      <c r="P336" s="48" t="n">
        <f aca="false">IF(I336="I",O336*Contagem!$W$15,IF(I336="E",O336*Contagem!$W$17,IF(I336="A",O336*Contagem!$W$16,IF(I336="T",O336*Contagem!$W$18,""))))</f>
        <v>3</v>
      </c>
      <c r="Q336" s="49" t="s">
        <v>575</v>
      </c>
    </row>
    <row r="337" customFormat="false" ht="12" hidden="false" customHeight="true" outlineLevel="0" collapsed="false">
      <c r="A337" s="40" t="n">
        <f aca="false">IF(H337="",IF(C337="",A336,A336+1),A336)</f>
        <v>45</v>
      </c>
      <c r="B337" s="41" t="str">
        <f aca="false">IF(A337=A336,"",CONCATENATE("F",A337))</f>
        <v/>
      </c>
      <c r="C337" s="42" t="s">
        <v>576</v>
      </c>
      <c r="D337" s="42"/>
      <c r="E337" s="42"/>
      <c r="F337" s="42"/>
      <c r="G337" s="42"/>
      <c r="H337" s="44" t="s">
        <v>99</v>
      </c>
      <c r="I337" s="50" t="s">
        <v>56</v>
      </c>
      <c r="J337" s="44" t="n">
        <v>7</v>
      </c>
      <c r="K337" s="44" t="n">
        <v>7</v>
      </c>
      <c r="L337" s="44" t="str">
        <f aca="false">CONCATENATE(H337,M337)</f>
        <v>SEH</v>
      </c>
      <c r="M337" s="45" t="str">
        <f aca="false">IF(OR(ISBLANK(J337),ISBLANK(K337)),IF(OR(H337="ALI",H337="AIE"),"L",IF(ISBLANK(H337),"","A")),IF(H337="EE",IF(K337&gt;=3,IF(J337&gt;=5,"H","A"),IF(K337&gt;=2,IF(J337&gt;=16,"H",IF(J337&lt;=4,"L","A")),IF(J337&lt;=15,"L","A"))),IF(OR(H337="SE",H337="CE"),IF(K337&gt;=4,IF(J337&gt;=6,"H","A"),IF(K337&gt;=2,IF(J337&gt;=20,"H",IF(J337&lt;=5,"L","A")),IF(J337&lt;=19,"L","A"))),IF(OR(H337="ALI",H337="AIE"),IF(K337&gt;=6,IF(J337&gt;=20,"H","A"),IF(K337&gt;=2,IF(J337&gt;=51,"H",IF(J337&lt;=19,"L","A")),IF(J337&lt;=50,"L","A")))))))</f>
        <v>H</v>
      </c>
      <c r="N337" s="46" t="str">
        <f aca="false">IF(M337="L","Baixa",IF(M337="A","Média",IF(M337="","","Alta")))</f>
        <v>Alta</v>
      </c>
      <c r="O337" s="47" t="n">
        <f aca="false">IF(ISBLANK(H337),"",IF(H337="ALI",IF(M337="L",7,IF(M337="A",10,15)),IF(H337="AIE",IF(M337="L",5,IF(M337="A",7,10)),IF(H337="SE",IF(M337="L",4,IF(M337="A",5,7)),IF(OR(H337="EE",H337="CE"),IF(M337="L",3,IF(M337="A",4,6)))))))</f>
        <v>7</v>
      </c>
      <c r="P337" s="48" t="n">
        <f aca="false">IF(I337="I",O337*Contagem!$W$15,IF(I337="E",O337*Contagem!$W$17,IF(I337="A",O337*Contagem!$W$16,IF(I337="T",O337*Contagem!$W$18,""))))</f>
        <v>7</v>
      </c>
      <c r="Q337" s="49" t="s">
        <v>577</v>
      </c>
    </row>
    <row r="338" customFormat="false" ht="12" hidden="false" customHeight="true" outlineLevel="0" collapsed="false">
      <c r="A338" s="40" t="n">
        <f aca="false">IF(H338="",IF(C338="",A337,A337+1),A337)</f>
        <v>45</v>
      </c>
      <c r="B338" s="41" t="str">
        <f aca="false">IF(A338=A337,"",CONCATENATE("F",A338))</f>
        <v/>
      </c>
      <c r="C338" s="42" t="s">
        <v>578</v>
      </c>
      <c r="D338" s="42"/>
      <c r="E338" s="42"/>
      <c r="F338" s="42"/>
      <c r="G338" s="42"/>
      <c r="H338" s="44" t="s">
        <v>62</v>
      </c>
      <c r="I338" s="50" t="s">
        <v>56</v>
      </c>
      <c r="J338" s="44" t="n">
        <v>8</v>
      </c>
      <c r="K338" s="44" t="n">
        <v>4</v>
      </c>
      <c r="L338" s="44" t="str">
        <f aca="false">CONCATENATE(H338,M338)</f>
        <v>EEH</v>
      </c>
      <c r="M338" s="45" t="str">
        <f aca="false">IF(OR(ISBLANK(J338),ISBLANK(K338)),IF(OR(H338="ALI",H338="AIE"),"L",IF(ISBLANK(H338),"","A")),IF(H338="EE",IF(K338&gt;=3,IF(J338&gt;=5,"H","A"),IF(K338&gt;=2,IF(J338&gt;=16,"H",IF(J338&lt;=4,"L","A")),IF(J338&lt;=15,"L","A"))),IF(OR(H338="SE",H338="CE"),IF(K338&gt;=4,IF(J338&gt;=6,"H","A"),IF(K338&gt;=2,IF(J338&gt;=20,"H",IF(J338&lt;=5,"L","A")),IF(J338&lt;=19,"L","A"))),IF(OR(H338="ALI",H338="AIE"),IF(K338&gt;=6,IF(J338&gt;=20,"H","A"),IF(K338&gt;=2,IF(J338&gt;=51,"H",IF(J338&lt;=19,"L","A")),IF(J338&lt;=50,"L","A")))))))</f>
        <v>H</v>
      </c>
      <c r="N338" s="46" t="str">
        <f aca="false">IF(M338="L","Baixa",IF(M338="A","Média",IF(M338="","","Alta")))</f>
        <v>Alta</v>
      </c>
      <c r="O338" s="47" t="n">
        <f aca="false">IF(ISBLANK(H338),"",IF(H338="ALI",IF(M338="L",7,IF(M338="A",10,15)),IF(H338="AIE",IF(M338="L",5,IF(M338="A",7,10)),IF(H338="SE",IF(M338="L",4,IF(M338="A",5,7)),IF(OR(H338="EE",H338="CE"),IF(M338="L",3,IF(M338="A",4,6)))))))</f>
        <v>6</v>
      </c>
      <c r="P338" s="48" t="n">
        <f aca="false">IF(I338="I",O338*Contagem!$W$15,IF(I338="E",O338*Contagem!$W$17,IF(I338="A",O338*Contagem!$W$16,IF(I338="T",O338*Contagem!$W$18,""))))</f>
        <v>6</v>
      </c>
      <c r="Q338" s="49" t="s">
        <v>579</v>
      </c>
    </row>
    <row r="339" customFormat="false" ht="12" hidden="false" customHeight="true" outlineLevel="0" collapsed="false">
      <c r="A339" s="40" t="n">
        <f aca="false">IF(H339="",IF(C339="",A338,A338+1),A338)</f>
        <v>45</v>
      </c>
      <c r="B339" s="41" t="str">
        <f aca="false">IF(A339=A338,"",CONCATENATE("F",A339))</f>
        <v/>
      </c>
      <c r="C339" s="42" t="s">
        <v>580</v>
      </c>
      <c r="D339" s="42"/>
      <c r="E339" s="42"/>
      <c r="F339" s="42"/>
      <c r="G339" s="42"/>
      <c r="H339" s="44" t="s">
        <v>62</v>
      </c>
      <c r="I339" s="50" t="s">
        <v>56</v>
      </c>
      <c r="J339" s="44" t="n">
        <v>6</v>
      </c>
      <c r="K339" s="44" t="n">
        <v>2</v>
      </c>
      <c r="L339" s="44" t="str">
        <f aca="false">CONCATENATE(H339,M339)</f>
        <v>EEA</v>
      </c>
      <c r="M339" s="45" t="str">
        <f aca="false">IF(OR(ISBLANK(J339),ISBLANK(K339)),IF(OR(H339="ALI",H339="AIE"),"L",IF(ISBLANK(H339),"","A")),IF(H339="EE",IF(K339&gt;=3,IF(J339&gt;=5,"H","A"),IF(K339&gt;=2,IF(J339&gt;=16,"H",IF(J339&lt;=4,"L","A")),IF(J339&lt;=15,"L","A"))),IF(OR(H339="SE",H339="CE"),IF(K339&gt;=4,IF(J339&gt;=6,"H","A"),IF(K339&gt;=2,IF(J339&gt;=20,"H",IF(J339&lt;=5,"L","A")),IF(J339&lt;=19,"L","A"))),IF(OR(H339="ALI",H339="AIE"),IF(K339&gt;=6,IF(J339&gt;=20,"H","A"),IF(K339&gt;=2,IF(J339&gt;=51,"H",IF(J339&lt;=19,"L","A")),IF(J339&lt;=50,"L","A")))))))</f>
        <v>A</v>
      </c>
      <c r="N339" s="46" t="str">
        <f aca="false">IF(M339="L","Baixa",IF(M339="A","Média",IF(M339="","","Alta")))</f>
        <v>Média</v>
      </c>
      <c r="O339" s="47" t="n">
        <f aca="false">IF(ISBLANK(H339),"",IF(H339="ALI",IF(M339="L",7,IF(M339="A",10,15)),IF(H339="AIE",IF(M339="L",5,IF(M339="A",7,10)),IF(H339="SE",IF(M339="L",4,IF(M339="A",5,7)),IF(OR(H339="EE",H339="CE"),IF(M339="L",3,IF(M339="A",4,6)))))))</f>
        <v>4</v>
      </c>
      <c r="P339" s="48" t="n">
        <f aca="false">IF(I339="I",O339*Contagem!$W$15,IF(I339="E",O339*Contagem!$W$17,IF(I339="A",O339*Contagem!$W$16,IF(I339="T",O339*Contagem!$W$18,""))))</f>
        <v>4</v>
      </c>
      <c r="Q339" s="49" t="s">
        <v>581</v>
      </c>
    </row>
    <row r="340" customFormat="false" ht="12" hidden="false" customHeight="true" outlineLevel="0" collapsed="false">
      <c r="A340" s="40" t="n">
        <f aca="false">IF(H340="",IF(C340="",A339,A339+1),A339)</f>
        <v>45</v>
      </c>
      <c r="B340" s="41" t="str">
        <f aca="false">IF(A340=A339,"",CONCATENATE("F",A340))</f>
        <v/>
      </c>
      <c r="C340" s="42" t="s">
        <v>582</v>
      </c>
      <c r="D340" s="42"/>
      <c r="E340" s="42"/>
      <c r="F340" s="42"/>
      <c r="G340" s="42"/>
      <c r="H340" s="44" t="s">
        <v>99</v>
      </c>
      <c r="I340" s="50" t="s">
        <v>56</v>
      </c>
      <c r="J340" s="44" t="n">
        <v>25</v>
      </c>
      <c r="K340" s="44" t="n">
        <v>4</v>
      </c>
      <c r="L340" s="44" t="str">
        <f aca="false">CONCATENATE(H340,M340)</f>
        <v>SEH</v>
      </c>
      <c r="M340" s="45" t="str">
        <f aca="false">IF(OR(ISBLANK(J340),ISBLANK(K340)),IF(OR(H340="ALI",H340="AIE"),"L",IF(ISBLANK(H340),"","A")),IF(H340="EE",IF(K340&gt;=3,IF(J340&gt;=5,"H","A"),IF(K340&gt;=2,IF(J340&gt;=16,"H",IF(J340&lt;=4,"L","A")),IF(J340&lt;=15,"L","A"))),IF(OR(H340="SE",H340="CE"),IF(K340&gt;=4,IF(J340&gt;=6,"H","A"),IF(K340&gt;=2,IF(J340&gt;=20,"H",IF(J340&lt;=5,"L","A")),IF(J340&lt;=19,"L","A"))),IF(OR(H340="ALI",H340="AIE"),IF(K340&gt;=6,IF(J340&gt;=20,"H","A"),IF(K340&gt;=2,IF(J340&gt;=51,"H",IF(J340&lt;=19,"L","A")),IF(J340&lt;=50,"L","A")))))))</f>
        <v>H</v>
      </c>
      <c r="N340" s="46" t="str">
        <f aca="false">IF(M340="L","Baixa",IF(M340="A","Média",IF(M340="","","Alta")))</f>
        <v>Alta</v>
      </c>
      <c r="O340" s="47" t="n">
        <f aca="false">IF(ISBLANK(H340),"",IF(H340="ALI",IF(M340="L",7,IF(M340="A",10,15)),IF(H340="AIE",IF(M340="L",5,IF(M340="A",7,10)),IF(H340="SE",IF(M340="L",4,IF(M340="A",5,7)),IF(OR(H340="EE",H340="CE"),IF(M340="L",3,IF(M340="A",4,6)))))))</f>
        <v>7</v>
      </c>
      <c r="P340" s="48" t="n">
        <f aca="false">IF(I340="I",O340*Contagem!$W$15,IF(I340="E",O340*Contagem!$W$17,IF(I340="A",O340*Contagem!$W$16,IF(I340="T",O340*Contagem!$W$18,""))))</f>
        <v>7</v>
      </c>
      <c r="Q340" s="49" t="s">
        <v>583</v>
      </c>
    </row>
    <row r="341" customFormat="false" ht="12" hidden="false" customHeight="true" outlineLevel="0" collapsed="false">
      <c r="A341" s="40" t="n">
        <f aca="false">IF(H341="",IF(C341="",A340,A340+1),A340)</f>
        <v>45</v>
      </c>
      <c r="B341" s="41" t="str">
        <f aca="false">IF(A341=A340,"",CONCATENATE("F",A341))</f>
        <v/>
      </c>
      <c r="C341" s="42" t="s">
        <v>584</v>
      </c>
      <c r="D341" s="42"/>
      <c r="E341" s="42"/>
      <c r="F341" s="42"/>
      <c r="G341" s="42"/>
      <c r="H341" s="44" t="s">
        <v>99</v>
      </c>
      <c r="I341" s="50" t="s">
        <v>56</v>
      </c>
      <c r="J341" s="44" t="n">
        <v>14</v>
      </c>
      <c r="K341" s="44" t="n">
        <v>2</v>
      </c>
      <c r="L341" s="44" t="str">
        <f aca="false">CONCATENATE(H341,M341)</f>
        <v>SEA</v>
      </c>
      <c r="M341" s="45" t="str">
        <f aca="false">IF(OR(ISBLANK(J341),ISBLANK(K341)),IF(OR(H341="ALI",H341="AIE"),"L",IF(ISBLANK(H341),"","A")),IF(H341="EE",IF(K341&gt;=3,IF(J341&gt;=5,"H","A"),IF(K341&gt;=2,IF(J341&gt;=16,"H",IF(J341&lt;=4,"L","A")),IF(J341&lt;=15,"L","A"))),IF(OR(H341="SE",H341="CE"),IF(K341&gt;=4,IF(J341&gt;=6,"H","A"),IF(K341&gt;=2,IF(J341&gt;=20,"H",IF(J341&lt;=5,"L","A")),IF(J341&lt;=19,"L","A"))),IF(OR(H341="ALI",H341="AIE"),IF(K341&gt;=6,IF(J341&gt;=20,"H","A"),IF(K341&gt;=2,IF(J341&gt;=51,"H",IF(J341&lt;=19,"L","A")),IF(J341&lt;=50,"L","A")))))))</f>
        <v>A</v>
      </c>
      <c r="N341" s="46" t="str">
        <f aca="false">IF(M341="L","Baixa",IF(M341="A","Média",IF(M341="","","Alta")))</f>
        <v>Média</v>
      </c>
      <c r="O341" s="47" t="n">
        <f aca="false">IF(ISBLANK(H341),"",IF(H341="ALI",IF(M341="L",7,IF(M341="A",10,15)),IF(H341="AIE",IF(M341="L",5,IF(M341="A",7,10)),IF(H341="SE",IF(M341="L",4,IF(M341="A",5,7)),IF(OR(H341="EE",H341="CE"),IF(M341="L",3,IF(M341="A",4,6)))))))</f>
        <v>5</v>
      </c>
      <c r="P341" s="48" t="n">
        <f aca="false">IF(I341="I",O341*Contagem!$W$15,IF(I341="E",O341*Contagem!$W$17,IF(I341="A",O341*Contagem!$W$16,IF(I341="T",O341*Contagem!$W$18,""))))</f>
        <v>5</v>
      </c>
      <c r="Q341" s="49" t="s">
        <v>585</v>
      </c>
    </row>
    <row r="342" customFormat="false" ht="12" hidden="false" customHeight="true" outlineLevel="0" collapsed="false">
      <c r="A342" s="40" t="n">
        <f aca="false">IF(H342="",IF(C342="",A341,A341+1),A341)</f>
        <v>45</v>
      </c>
      <c r="B342" s="41" t="str">
        <f aca="false">IF(A342=A341,"",CONCATENATE("F",A342))</f>
        <v/>
      </c>
      <c r="C342" s="42" t="s">
        <v>586</v>
      </c>
      <c r="D342" s="42"/>
      <c r="E342" s="42"/>
      <c r="F342" s="42"/>
      <c r="G342" s="42"/>
      <c r="H342" s="44" t="s">
        <v>99</v>
      </c>
      <c r="I342" s="50" t="s">
        <v>56</v>
      </c>
      <c r="J342" s="44" t="n">
        <v>8</v>
      </c>
      <c r="K342" s="44" t="n">
        <v>2</v>
      </c>
      <c r="L342" s="44" t="str">
        <f aca="false">CONCATENATE(H342,M342)</f>
        <v>SEA</v>
      </c>
      <c r="M342" s="45" t="str">
        <f aca="false">IF(OR(ISBLANK(J342),ISBLANK(K342)),IF(OR(H342="ALI",H342="AIE"),"L",IF(ISBLANK(H342),"","A")),IF(H342="EE",IF(K342&gt;=3,IF(J342&gt;=5,"H","A"),IF(K342&gt;=2,IF(J342&gt;=16,"H",IF(J342&lt;=4,"L","A")),IF(J342&lt;=15,"L","A"))),IF(OR(H342="SE",H342="CE"),IF(K342&gt;=4,IF(J342&gt;=6,"H","A"),IF(K342&gt;=2,IF(J342&gt;=20,"H",IF(J342&lt;=5,"L","A")),IF(J342&lt;=19,"L","A"))),IF(OR(H342="ALI",H342="AIE"),IF(K342&gt;=6,IF(J342&gt;=20,"H","A"),IF(K342&gt;=2,IF(J342&gt;=51,"H",IF(J342&lt;=19,"L","A")),IF(J342&lt;=50,"L","A")))))))</f>
        <v>A</v>
      </c>
      <c r="N342" s="46" t="str">
        <f aca="false">IF(M342="L","Baixa",IF(M342="A","Média",IF(M342="","","Alta")))</f>
        <v>Média</v>
      </c>
      <c r="O342" s="47" t="n">
        <f aca="false">IF(ISBLANK(H342),"",IF(H342="ALI",IF(M342="L",7,IF(M342="A",10,15)),IF(H342="AIE",IF(M342="L",5,IF(M342="A",7,10)),IF(H342="SE",IF(M342="L",4,IF(M342="A",5,7)),IF(OR(H342="EE",H342="CE"),IF(M342="L",3,IF(M342="A",4,6)))))))</f>
        <v>5</v>
      </c>
      <c r="P342" s="48" t="n">
        <f aca="false">IF(I342="I",O342*Contagem!$W$15,IF(I342="E",O342*Contagem!$W$17,IF(I342="A",O342*Contagem!$W$16,IF(I342="T",O342*Contagem!$W$18,""))))</f>
        <v>5</v>
      </c>
      <c r="Q342" s="49" t="s">
        <v>587</v>
      </c>
    </row>
    <row r="343" customFormat="false" ht="12" hidden="false" customHeight="true" outlineLevel="0" collapsed="false">
      <c r="A343" s="40" t="n">
        <f aca="false">IF(H343="",IF(C343="",A342,A342+1),A342)</f>
        <v>45</v>
      </c>
      <c r="B343" s="41" t="str">
        <f aca="false">IF(A343=A342,"",CONCATENATE("F",A343))</f>
        <v/>
      </c>
      <c r="C343" s="42"/>
      <c r="D343" s="42"/>
      <c r="E343" s="42"/>
      <c r="F343" s="42"/>
      <c r="G343" s="42"/>
      <c r="H343" s="44"/>
      <c r="I343" s="50"/>
      <c r="J343" s="44"/>
      <c r="K343" s="44"/>
      <c r="L343" s="44" t="str">
        <f aca="false">CONCATENATE(H343,M343)</f>
        <v/>
      </c>
      <c r="M343" s="45" t="str">
        <f aca="false">IF(OR(ISBLANK(J343),ISBLANK(K343)),IF(OR(H343="ALI",H343="AIE"),"L",IF(ISBLANK(H343),"","A")),IF(H343="EE",IF(K343&gt;=3,IF(J343&gt;=5,"H","A"),IF(K343&gt;=2,IF(J343&gt;=16,"H",IF(J343&lt;=4,"L","A")),IF(J343&lt;=15,"L","A"))),IF(OR(H343="SE",H343="CE"),IF(K343&gt;=4,IF(J343&gt;=6,"H","A"),IF(K343&gt;=2,IF(J343&gt;=20,"H",IF(J343&lt;=5,"L","A")),IF(J343&lt;=19,"L","A"))),IF(OR(H343="ALI",H343="AIE"),IF(K343&gt;=6,IF(J343&gt;=20,"H","A"),IF(K343&gt;=2,IF(J343&gt;=51,"H",IF(J343&lt;=19,"L","A")),IF(J343&lt;=50,"L","A")))))))</f>
        <v/>
      </c>
      <c r="N343" s="46" t="str">
        <f aca="false">IF(M343="L","Baixa",IF(M343="A","Média",IF(M343="","","Alta")))</f>
        <v/>
      </c>
      <c r="O343" s="47" t="str">
        <f aca="false">IF(ISBLANK(H343),"",IF(H343="ALI",IF(M343="L",7,IF(M343="A",10,15)),IF(H343="AIE",IF(M343="L",5,IF(M343="A",7,10)),IF(H343="SE",IF(M343="L",4,IF(M343="A",5,7)),IF(OR(H343="EE",H343="CE"),IF(M343="L",3,IF(M343="A",4,6)))))))</f>
        <v/>
      </c>
      <c r="P343" s="48" t="str">
        <f aca="false">IF(I343="I",O343*Contagem!$W$15,IF(I343="E",O343*Contagem!$W$17,IF(I343="A",O343*Contagem!$W$16,IF(I343="T",O343*Contagem!$W$18,""))))</f>
        <v/>
      </c>
      <c r="Q343" s="49"/>
    </row>
    <row r="344" customFormat="false" ht="12" hidden="false" customHeight="true" outlineLevel="0" collapsed="false">
      <c r="A344" s="40" t="n">
        <f aca="false">IF(H344="",IF(C344="",A343,A343+1),A343)</f>
        <v>46</v>
      </c>
      <c r="B344" s="41" t="str">
        <f aca="false">IF(A344=A343,"",CONCATENATE("F",A344))</f>
        <v>F46</v>
      </c>
      <c r="C344" s="42" t="s">
        <v>588</v>
      </c>
      <c r="D344" s="42"/>
      <c r="E344" s="42"/>
      <c r="F344" s="42"/>
      <c r="G344" s="42"/>
      <c r="H344" s="44"/>
      <c r="I344" s="50"/>
      <c r="J344" s="44"/>
      <c r="K344" s="44"/>
      <c r="L344" s="44" t="str">
        <f aca="false">CONCATENATE(H344,M344)</f>
        <v/>
      </c>
      <c r="M344" s="45" t="str">
        <f aca="false">IF(OR(ISBLANK(J344),ISBLANK(K344)),IF(OR(H344="ALI",H344="AIE"),"L",IF(ISBLANK(H344),"","A")),IF(H344="EE",IF(K344&gt;=3,IF(J344&gt;=5,"H","A"),IF(K344&gt;=2,IF(J344&gt;=16,"H",IF(J344&lt;=4,"L","A")),IF(J344&lt;=15,"L","A"))),IF(OR(H344="SE",H344="CE"),IF(K344&gt;=4,IF(J344&gt;=6,"H","A"),IF(K344&gt;=2,IF(J344&gt;=20,"H",IF(J344&lt;=5,"L","A")),IF(J344&lt;=19,"L","A"))),IF(OR(H344="ALI",H344="AIE"),IF(K344&gt;=6,IF(J344&gt;=20,"H","A"),IF(K344&gt;=2,IF(J344&gt;=51,"H",IF(J344&lt;=19,"L","A")),IF(J344&lt;=50,"L","A")))))))</f>
        <v/>
      </c>
      <c r="N344" s="46" t="str">
        <f aca="false">IF(M344="L","Baixa",IF(M344="A","Média",IF(M344="","","Alta")))</f>
        <v/>
      </c>
      <c r="O344" s="47" t="str">
        <f aca="false">IF(ISBLANK(H344),"",IF(H344="ALI",IF(M344="L",7,IF(M344="A",10,15)),IF(H344="AIE",IF(M344="L",5,IF(M344="A",7,10)),IF(H344="SE",IF(M344="L",4,IF(M344="A",5,7)),IF(OR(H344="EE",H344="CE"),IF(M344="L",3,IF(M344="A",4,6)))))))</f>
        <v/>
      </c>
      <c r="P344" s="48" t="str">
        <f aca="false">IF(I344="I",O344*Contagem!$W$15,IF(I344="E",O344*Contagem!$W$17,IF(I344="A",O344*Contagem!$W$16,IF(I344="T",O344*Contagem!$W$18,""))))</f>
        <v/>
      </c>
      <c r="Q344" s="49"/>
    </row>
    <row r="345" customFormat="false" ht="12" hidden="false" customHeight="true" outlineLevel="0" collapsed="false">
      <c r="A345" s="40" t="n">
        <f aca="false">IF(H345="",IF(C345="",A344,A344+1),A344)</f>
        <v>46</v>
      </c>
      <c r="B345" s="41" t="str">
        <f aca="false">IF(A345=A344,"",CONCATENATE("F",A345))</f>
        <v/>
      </c>
      <c r="C345" s="42" t="s">
        <v>589</v>
      </c>
      <c r="D345" s="42"/>
      <c r="E345" s="42"/>
      <c r="F345" s="42"/>
      <c r="G345" s="42"/>
      <c r="H345" s="44" t="s">
        <v>80</v>
      </c>
      <c r="I345" s="50" t="s">
        <v>56</v>
      </c>
      <c r="J345" s="44" t="n">
        <v>6</v>
      </c>
      <c r="K345" s="44" t="n">
        <v>2</v>
      </c>
      <c r="L345" s="44" t="str">
        <f aca="false">CONCATENATE(H345,M345)</f>
        <v>CEA</v>
      </c>
      <c r="M345" s="45" t="str">
        <f aca="false">IF(OR(ISBLANK(J345),ISBLANK(K345)),IF(OR(H345="ALI",H345="AIE"),"L",IF(ISBLANK(H345),"","A")),IF(H345="EE",IF(K345&gt;=3,IF(J345&gt;=5,"H","A"),IF(K345&gt;=2,IF(J345&gt;=16,"H",IF(J345&lt;=4,"L","A")),IF(J345&lt;=15,"L","A"))),IF(OR(H345="SE",H345="CE"),IF(K345&gt;=4,IF(J345&gt;=6,"H","A"),IF(K345&gt;=2,IF(J345&gt;=20,"H",IF(J345&lt;=5,"L","A")),IF(J345&lt;=19,"L","A"))),IF(OR(H345="ALI",H345="AIE"),IF(K345&gt;=6,IF(J345&gt;=20,"H","A"),IF(K345&gt;=2,IF(J345&gt;=51,"H",IF(J345&lt;=19,"L","A")),IF(J345&lt;=50,"L","A")))))))</f>
        <v>A</v>
      </c>
      <c r="N345" s="46" t="str">
        <f aca="false">IF(M345="L","Baixa",IF(M345="A","Média",IF(M345="","","Alta")))</f>
        <v>Média</v>
      </c>
      <c r="O345" s="47" t="n">
        <f aca="false">IF(ISBLANK(H345),"",IF(H345="ALI",IF(M345="L",7,IF(M345="A",10,15)),IF(H345="AIE",IF(M345="L",5,IF(M345="A",7,10)),IF(H345="SE",IF(M345="L",4,IF(M345="A",5,7)),IF(OR(H345="EE",H345="CE"),IF(M345="L",3,IF(M345="A",4,6)))))))</f>
        <v>4</v>
      </c>
      <c r="P345" s="48" t="n">
        <f aca="false">IF(I345="I",O345*Contagem!$W$15,IF(I345="E",O345*Contagem!$W$17,IF(I345="A",O345*Contagem!$W$16,IF(I345="T",O345*Contagem!$W$18,""))))</f>
        <v>4</v>
      </c>
      <c r="Q345" s="49" t="s">
        <v>590</v>
      </c>
    </row>
    <row r="346" customFormat="false" ht="12" hidden="false" customHeight="true" outlineLevel="0" collapsed="false">
      <c r="A346" s="40" t="n">
        <f aca="false">IF(H346="",IF(C346="",A345,A345+1),A345)</f>
        <v>46</v>
      </c>
      <c r="B346" s="41" t="str">
        <f aca="false">IF(A346=A345,"",CONCATENATE("F",A346))</f>
        <v/>
      </c>
      <c r="C346" s="42" t="s">
        <v>591</v>
      </c>
      <c r="D346" s="42"/>
      <c r="E346" s="42"/>
      <c r="F346" s="42"/>
      <c r="G346" s="42"/>
      <c r="H346" s="44" t="s">
        <v>62</v>
      </c>
      <c r="I346" s="50" t="s">
        <v>56</v>
      </c>
      <c r="J346" s="44" t="n">
        <v>7</v>
      </c>
      <c r="K346" s="44" t="n">
        <v>2</v>
      </c>
      <c r="L346" s="44" t="str">
        <f aca="false">CONCATENATE(H346,M346)</f>
        <v>EEA</v>
      </c>
      <c r="M346" s="45" t="str">
        <f aca="false">IF(OR(ISBLANK(J346),ISBLANK(K346)),IF(OR(H346="ALI",H346="AIE"),"L",IF(ISBLANK(H346),"","A")),IF(H346="EE",IF(K346&gt;=3,IF(J346&gt;=5,"H","A"),IF(K346&gt;=2,IF(J346&gt;=16,"H",IF(J346&lt;=4,"L","A")),IF(J346&lt;=15,"L","A"))),IF(OR(H346="SE",H346="CE"),IF(K346&gt;=4,IF(J346&gt;=6,"H","A"),IF(K346&gt;=2,IF(J346&gt;=20,"H",IF(J346&lt;=5,"L","A")),IF(J346&lt;=19,"L","A"))),IF(OR(H346="ALI",H346="AIE"),IF(K346&gt;=6,IF(J346&gt;=20,"H","A"),IF(K346&gt;=2,IF(J346&gt;=51,"H",IF(J346&lt;=19,"L","A")),IF(J346&lt;=50,"L","A")))))))</f>
        <v>A</v>
      </c>
      <c r="N346" s="46" t="str">
        <f aca="false">IF(M346="L","Baixa",IF(M346="A","Média",IF(M346="","","Alta")))</f>
        <v>Média</v>
      </c>
      <c r="O346" s="47" t="n">
        <f aca="false">IF(ISBLANK(H346),"",IF(H346="ALI",IF(M346="L",7,IF(M346="A",10,15)),IF(H346="AIE",IF(M346="L",5,IF(M346="A",7,10)),IF(H346="SE",IF(M346="L",4,IF(M346="A",5,7)),IF(OR(H346="EE",H346="CE"),IF(M346="L",3,IF(M346="A",4,6)))))))</f>
        <v>4</v>
      </c>
      <c r="P346" s="48" t="n">
        <f aca="false">IF(I346="I",O346*Contagem!$W$15,IF(I346="E",O346*Contagem!$W$17,IF(I346="A",O346*Contagem!$W$16,IF(I346="T",O346*Contagem!$W$18,""))))</f>
        <v>4</v>
      </c>
      <c r="Q346" s="49" t="s">
        <v>592</v>
      </c>
    </row>
    <row r="347" customFormat="false" ht="12" hidden="false" customHeight="true" outlineLevel="0" collapsed="false">
      <c r="A347" s="40" t="n">
        <f aca="false">IF(H347="",IF(C347="",A346,A346+1),A346)</f>
        <v>46</v>
      </c>
      <c r="B347" s="41" t="str">
        <f aca="false">IF(A347=A346,"",CONCATENATE("F",A347))</f>
        <v/>
      </c>
      <c r="C347" s="42" t="s">
        <v>593</v>
      </c>
      <c r="D347" s="42"/>
      <c r="E347" s="42"/>
      <c r="F347" s="42"/>
      <c r="G347" s="42"/>
      <c r="H347" s="44" t="s">
        <v>80</v>
      </c>
      <c r="I347" s="50" t="s">
        <v>56</v>
      </c>
      <c r="J347" s="44" t="n">
        <v>12</v>
      </c>
      <c r="K347" s="44" t="n">
        <v>2</v>
      </c>
      <c r="L347" s="44" t="str">
        <f aca="false">CONCATENATE(H347,M347)</f>
        <v>CEA</v>
      </c>
      <c r="M347" s="45" t="str">
        <f aca="false">IF(OR(ISBLANK(J347),ISBLANK(K347)),IF(OR(H347="ALI",H347="AIE"),"L",IF(ISBLANK(H347),"","A")),IF(H347="EE",IF(K347&gt;=3,IF(J347&gt;=5,"H","A"),IF(K347&gt;=2,IF(J347&gt;=16,"H",IF(J347&lt;=4,"L","A")),IF(J347&lt;=15,"L","A"))),IF(OR(H347="SE",H347="CE"),IF(K347&gt;=4,IF(J347&gt;=6,"H","A"),IF(K347&gt;=2,IF(J347&gt;=20,"H",IF(J347&lt;=5,"L","A")),IF(J347&lt;=19,"L","A"))),IF(OR(H347="ALI",H347="AIE"),IF(K347&gt;=6,IF(J347&gt;=20,"H","A"),IF(K347&gt;=2,IF(J347&gt;=51,"H",IF(J347&lt;=19,"L","A")),IF(J347&lt;=50,"L","A")))))))</f>
        <v>A</v>
      </c>
      <c r="N347" s="46" t="str">
        <f aca="false">IF(M347="L","Baixa",IF(M347="A","Média",IF(M347="","","Alta")))</f>
        <v>Média</v>
      </c>
      <c r="O347" s="47" t="n">
        <f aca="false">IF(ISBLANK(H347),"",IF(H347="ALI",IF(M347="L",7,IF(M347="A",10,15)),IF(H347="AIE",IF(M347="L",5,IF(M347="A",7,10)),IF(H347="SE",IF(M347="L",4,IF(M347="A",5,7)),IF(OR(H347="EE",H347="CE"),IF(M347="L",3,IF(M347="A",4,6)))))))</f>
        <v>4</v>
      </c>
      <c r="P347" s="48" t="n">
        <f aca="false">IF(I347="I",O347*Contagem!$W$15,IF(I347="E",O347*Contagem!$W$17,IF(I347="A",O347*Contagem!$W$16,IF(I347="T",O347*Contagem!$W$18,""))))</f>
        <v>4</v>
      </c>
      <c r="Q347" s="49" t="s">
        <v>594</v>
      </c>
    </row>
    <row r="348" customFormat="false" ht="12" hidden="false" customHeight="true" outlineLevel="0" collapsed="false">
      <c r="A348" s="40" t="n">
        <f aca="false">IF(H348="",IF(C348="",A347,A347+1),A347)</f>
        <v>46</v>
      </c>
      <c r="B348" s="41" t="str">
        <f aca="false">IF(A348=A347,"",CONCATENATE("F",A348))</f>
        <v/>
      </c>
      <c r="C348" s="42"/>
      <c r="D348" s="42"/>
      <c r="E348" s="42"/>
      <c r="F348" s="42"/>
      <c r="G348" s="42"/>
      <c r="H348" s="44"/>
      <c r="I348" s="50"/>
      <c r="J348" s="44"/>
      <c r="K348" s="44"/>
      <c r="L348" s="44" t="str">
        <f aca="false">CONCATENATE(H348,M348)</f>
        <v/>
      </c>
      <c r="M348" s="45" t="str">
        <f aca="false">IF(OR(ISBLANK(J348),ISBLANK(K348)),IF(OR(H348="ALI",H348="AIE"),"L",IF(ISBLANK(H348),"","A")),IF(H348="EE",IF(K348&gt;=3,IF(J348&gt;=5,"H","A"),IF(K348&gt;=2,IF(J348&gt;=16,"H",IF(J348&lt;=4,"L","A")),IF(J348&lt;=15,"L","A"))),IF(OR(H348="SE",H348="CE"),IF(K348&gt;=4,IF(J348&gt;=6,"H","A"),IF(K348&gt;=2,IF(J348&gt;=20,"H",IF(J348&lt;=5,"L","A")),IF(J348&lt;=19,"L","A"))),IF(OR(H348="ALI",H348="AIE"),IF(K348&gt;=6,IF(J348&gt;=20,"H","A"),IF(K348&gt;=2,IF(J348&gt;=51,"H",IF(J348&lt;=19,"L","A")),IF(J348&lt;=50,"L","A")))))))</f>
        <v/>
      </c>
      <c r="N348" s="46" t="str">
        <f aca="false">IF(M348="L","Baixa",IF(M348="A","Média",IF(M348="","","Alta")))</f>
        <v/>
      </c>
      <c r="O348" s="47" t="str">
        <f aca="false">IF(ISBLANK(H348),"",IF(H348="ALI",IF(M348="L",7,IF(M348="A",10,15)),IF(H348="AIE",IF(M348="L",5,IF(M348="A",7,10)),IF(H348="SE",IF(M348="L",4,IF(M348="A",5,7)),IF(OR(H348="EE",H348="CE"),IF(M348="L",3,IF(M348="A",4,6)))))))</f>
        <v/>
      </c>
      <c r="P348" s="48" t="str">
        <f aca="false">IF(I348="I",O348*Contagem!$W$15,IF(I348="E",O348*Contagem!$W$17,IF(I348="A",O348*Contagem!$W$16,IF(I348="T",O348*Contagem!$W$18,""))))</f>
        <v/>
      </c>
      <c r="Q348" s="49"/>
    </row>
    <row r="349" customFormat="false" ht="12" hidden="false" customHeight="true" outlineLevel="0" collapsed="false">
      <c r="A349" s="40" t="n">
        <f aca="false">IF(H349="",IF(C349="",A348,A348+1),A348)</f>
        <v>47</v>
      </c>
      <c r="B349" s="41" t="str">
        <f aca="false">IF(A349=A348,"",CONCATENATE("F",A349))</f>
        <v>F47</v>
      </c>
      <c r="C349" s="42" t="s">
        <v>595</v>
      </c>
      <c r="D349" s="42"/>
      <c r="E349" s="42"/>
      <c r="F349" s="42"/>
      <c r="G349" s="42"/>
      <c r="H349" s="44"/>
      <c r="I349" s="50"/>
      <c r="J349" s="44"/>
      <c r="K349" s="44"/>
      <c r="L349" s="44" t="str">
        <f aca="false">CONCATENATE(H349,M349)</f>
        <v/>
      </c>
      <c r="M349" s="45" t="str">
        <f aca="false">IF(OR(ISBLANK(J349),ISBLANK(K349)),IF(OR(H349="ALI",H349="AIE"),"L",IF(ISBLANK(H349),"","A")),IF(H349="EE",IF(K349&gt;=3,IF(J349&gt;=5,"H","A"),IF(K349&gt;=2,IF(J349&gt;=16,"H",IF(J349&lt;=4,"L","A")),IF(J349&lt;=15,"L","A"))),IF(OR(H349="SE",H349="CE"),IF(K349&gt;=4,IF(J349&gt;=6,"H","A"),IF(K349&gt;=2,IF(J349&gt;=20,"H",IF(J349&lt;=5,"L","A")),IF(J349&lt;=19,"L","A"))),IF(OR(H349="ALI",H349="AIE"),IF(K349&gt;=6,IF(J349&gt;=20,"H","A"),IF(K349&gt;=2,IF(J349&gt;=51,"H",IF(J349&lt;=19,"L","A")),IF(J349&lt;=50,"L","A")))))))</f>
        <v/>
      </c>
      <c r="N349" s="46" t="str">
        <f aca="false">IF(M349="L","Baixa",IF(M349="A","Média",IF(M349="","","Alta")))</f>
        <v/>
      </c>
      <c r="O349" s="47" t="str">
        <f aca="false">IF(ISBLANK(H349),"",IF(H349="ALI",IF(M349="L",7,IF(M349="A",10,15)),IF(H349="AIE",IF(M349="L",5,IF(M349="A",7,10)),IF(H349="SE",IF(M349="L",4,IF(M349="A",5,7)),IF(OR(H349="EE",H349="CE"),IF(M349="L",3,IF(M349="A",4,6)))))))</f>
        <v/>
      </c>
      <c r="P349" s="48" t="str">
        <f aca="false">IF(I349="I",O349*Contagem!$W$15,IF(I349="E",O349*Contagem!$W$17,IF(I349="A",O349*Contagem!$W$16,IF(I349="T",O349*Contagem!$W$18,""))))</f>
        <v/>
      </c>
      <c r="Q349" s="49"/>
    </row>
    <row r="350" customFormat="false" ht="12" hidden="false" customHeight="true" outlineLevel="0" collapsed="false">
      <c r="A350" s="40" t="n">
        <f aca="false">IF(H350="",IF(C350="",A349,A349+1),A349)</f>
        <v>47</v>
      </c>
      <c r="B350" s="41" t="str">
        <f aca="false">IF(A350=A349,"",CONCATENATE("F",A350))</f>
        <v/>
      </c>
      <c r="C350" s="42" t="s">
        <v>596</v>
      </c>
      <c r="D350" s="42"/>
      <c r="E350" s="42"/>
      <c r="F350" s="42"/>
      <c r="G350" s="42"/>
      <c r="H350" s="44" t="s">
        <v>62</v>
      </c>
      <c r="I350" s="50" t="s">
        <v>56</v>
      </c>
      <c r="J350" s="44" t="n">
        <v>24</v>
      </c>
      <c r="K350" s="44" t="n">
        <v>8</v>
      </c>
      <c r="L350" s="44" t="str">
        <f aca="false">CONCATENATE(H350,M350)</f>
        <v>EEH</v>
      </c>
      <c r="M350" s="45" t="str">
        <f aca="false">IF(OR(ISBLANK(J350),ISBLANK(K350)),IF(OR(H350="ALI",H350="AIE"),"L",IF(ISBLANK(H350),"","A")),IF(H350="EE",IF(K350&gt;=3,IF(J350&gt;=5,"H","A"),IF(K350&gt;=2,IF(J350&gt;=16,"H",IF(J350&lt;=4,"L","A")),IF(J350&lt;=15,"L","A"))),IF(OR(H350="SE",H350="CE"),IF(K350&gt;=4,IF(J350&gt;=6,"H","A"),IF(K350&gt;=2,IF(J350&gt;=20,"H",IF(J350&lt;=5,"L","A")),IF(J350&lt;=19,"L","A"))),IF(OR(H350="ALI",H350="AIE"),IF(K350&gt;=6,IF(J350&gt;=20,"H","A"),IF(K350&gt;=2,IF(J350&gt;=51,"H",IF(J350&lt;=19,"L","A")),IF(J350&lt;=50,"L","A")))))))</f>
        <v>H</v>
      </c>
      <c r="N350" s="46" t="str">
        <f aca="false">IF(M350="L","Baixa",IF(M350="A","Média",IF(M350="","","Alta")))</f>
        <v>Alta</v>
      </c>
      <c r="O350" s="47" t="n">
        <f aca="false">IF(ISBLANK(H350),"",IF(H350="ALI",IF(M350="L",7,IF(M350="A",10,15)),IF(H350="AIE",IF(M350="L",5,IF(M350="A",7,10)),IF(H350="SE",IF(M350="L",4,IF(M350="A",5,7)),IF(OR(H350="EE",H350="CE"),IF(M350="L",3,IF(M350="A",4,6)))))))</f>
        <v>6</v>
      </c>
      <c r="P350" s="48" t="n">
        <f aca="false">IF(I350="I",O350*Contagem!$W$15,IF(I350="E",O350*Contagem!$W$17,IF(I350="A",O350*Contagem!$W$16,IF(I350="T",O350*Contagem!$W$18,""))))</f>
        <v>6</v>
      </c>
      <c r="Q350" s="49" t="s">
        <v>597</v>
      </c>
    </row>
    <row r="351" customFormat="false" ht="12" hidden="false" customHeight="true" outlineLevel="0" collapsed="false">
      <c r="A351" s="40" t="n">
        <f aca="false">IF(H351="",IF(C351="",A350,A350+1),A350)</f>
        <v>47</v>
      </c>
      <c r="B351" s="41" t="str">
        <f aca="false">IF(A351=A350,"",CONCATENATE("F",A351))</f>
        <v/>
      </c>
      <c r="C351" s="42"/>
      <c r="D351" s="42"/>
      <c r="E351" s="42"/>
      <c r="F351" s="42"/>
      <c r="G351" s="42"/>
      <c r="H351" s="44"/>
      <c r="I351" s="50"/>
      <c r="J351" s="44"/>
      <c r="K351" s="44"/>
      <c r="L351" s="44" t="str">
        <f aca="false">CONCATENATE(H351,M351)</f>
        <v/>
      </c>
      <c r="M351" s="45" t="str">
        <f aca="false">IF(OR(ISBLANK(J351),ISBLANK(K351)),IF(OR(H351="ALI",H351="AIE"),"L",IF(ISBLANK(H351),"","A")),IF(H351="EE",IF(K351&gt;=3,IF(J351&gt;=5,"H","A"),IF(K351&gt;=2,IF(J351&gt;=16,"H",IF(J351&lt;=4,"L","A")),IF(J351&lt;=15,"L","A"))),IF(OR(H351="SE",H351="CE"),IF(K351&gt;=4,IF(J351&gt;=6,"H","A"),IF(K351&gt;=2,IF(J351&gt;=20,"H",IF(J351&lt;=5,"L","A")),IF(J351&lt;=19,"L","A"))),IF(OR(H351="ALI",H351="AIE"),IF(K351&gt;=6,IF(J351&gt;=20,"H","A"),IF(K351&gt;=2,IF(J351&gt;=51,"H",IF(J351&lt;=19,"L","A")),IF(J351&lt;=50,"L","A")))))))</f>
        <v/>
      </c>
      <c r="N351" s="46" t="str">
        <f aca="false">IF(M351="L","Baixa",IF(M351="A","Média",IF(M351="","","Alta")))</f>
        <v/>
      </c>
      <c r="O351" s="47" t="str">
        <f aca="false">IF(ISBLANK(H351),"",IF(H351="ALI",IF(M351="L",7,IF(M351="A",10,15)),IF(H351="AIE",IF(M351="L",5,IF(M351="A",7,10)),IF(H351="SE",IF(M351="L",4,IF(M351="A",5,7)),IF(OR(H351="EE",H351="CE"),IF(M351="L",3,IF(M351="A",4,6)))))))</f>
        <v/>
      </c>
      <c r="P351" s="48" t="str">
        <f aca="false">IF(I351="I",O351*Contagem!$W$15,IF(I351="E",O351*Contagem!$W$17,IF(I351="A",O351*Contagem!$W$16,IF(I351="T",O351*Contagem!$W$18,""))))</f>
        <v/>
      </c>
      <c r="Q351" s="49"/>
    </row>
    <row r="352" customFormat="false" ht="12" hidden="false" customHeight="true" outlineLevel="0" collapsed="false">
      <c r="A352" s="40" t="n">
        <f aca="false">IF(H352="",IF(C352="",A351,A351+1),A351)</f>
        <v>48</v>
      </c>
      <c r="B352" s="41" t="str">
        <f aca="false">IF(A352=A351,"",CONCATENATE("F",A352))</f>
        <v>F48</v>
      </c>
      <c r="C352" s="42" t="s">
        <v>598</v>
      </c>
      <c r="D352" s="42"/>
      <c r="E352" s="42"/>
      <c r="F352" s="42"/>
      <c r="G352" s="42"/>
      <c r="H352" s="44"/>
      <c r="I352" s="50"/>
      <c r="J352" s="44"/>
      <c r="K352" s="44"/>
      <c r="L352" s="44" t="str">
        <f aca="false">CONCATENATE(H352,M352)</f>
        <v/>
      </c>
      <c r="M352" s="45" t="str">
        <f aca="false">IF(OR(ISBLANK(J352),ISBLANK(K352)),IF(OR(H352="ALI",H352="AIE"),"L",IF(ISBLANK(H352),"","A")),IF(H352="EE",IF(K352&gt;=3,IF(J352&gt;=5,"H","A"),IF(K352&gt;=2,IF(J352&gt;=16,"H",IF(J352&lt;=4,"L","A")),IF(J352&lt;=15,"L","A"))),IF(OR(H352="SE",H352="CE"),IF(K352&gt;=4,IF(J352&gt;=6,"H","A"),IF(K352&gt;=2,IF(J352&gt;=20,"H",IF(J352&lt;=5,"L","A")),IF(J352&lt;=19,"L","A"))),IF(OR(H352="ALI",H352="AIE"),IF(K352&gt;=6,IF(J352&gt;=20,"H","A"),IF(K352&gt;=2,IF(J352&gt;=51,"H",IF(J352&lt;=19,"L","A")),IF(J352&lt;=50,"L","A")))))))</f>
        <v/>
      </c>
      <c r="N352" s="46" t="str">
        <f aca="false">IF(M352="L","Baixa",IF(M352="A","Média",IF(M352="","","Alta")))</f>
        <v/>
      </c>
      <c r="O352" s="47" t="str">
        <f aca="false">IF(ISBLANK(H352),"",IF(H352="ALI",IF(M352="L",7,IF(M352="A",10,15)),IF(H352="AIE",IF(M352="L",5,IF(M352="A",7,10)),IF(H352="SE",IF(M352="L",4,IF(M352="A",5,7)),IF(OR(H352="EE",H352="CE"),IF(M352="L",3,IF(M352="A",4,6)))))))</f>
        <v/>
      </c>
      <c r="P352" s="48" t="str">
        <f aca="false">IF(I352="I",O352*Contagem!$W$15,IF(I352="E",O352*Contagem!$W$17,IF(I352="A",O352*Contagem!$W$16,IF(I352="T",O352*Contagem!$W$18,""))))</f>
        <v/>
      </c>
      <c r="Q352" s="49"/>
    </row>
    <row r="353" customFormat="false" ht="12" hidden="false" customHeight="true" outlineLevel="0" collapsed="false">
      <c r="A353" s="40" t="n">
        <f aca="false">IF(H353="",IF(C353="",A352,A352+1),A352)</f>
        <v>48</v>
      </c>
      <c r="B353" s="41" t="str">
        <f aca="false">IF(A353=A352,"",CONCATENATE("F",A353))</f>
        <v/>
      </c>
      <c r="C353" s="42" t="s">
        <v>599</v>
      </c>
      <c r="D353" s="42"/>
      <c r="E353" s="42"/>
      <c r="F353" s="42"/>
      <c r="G353" s="42"/>
      <c r="H353" s="44" t="s">
        <v>55</v>
      </c>
      <c r="I353" s="50" t="s">
        <v>56</v>
      </c>
      <c r="J353" s="44" t="n">
        <v>17</v>
      </c>
      <c r="K353" s="44" t="n">
        <v>2</v>
      </c>
      <c r="L353" s="44" t="str">
        <f aca="false">CONCATENATE(H353,M353)</f>
        <v>ALIL</v>
      </c>
      <c r="M353" s="45" t="str">
        <f aca="false">IF(OR(ISBLANK(J353),ISBLANK(K353)),IF(OR(H353="ALI",H353="AIE"),"L",IF(ISBLANK(H353),"","A")),IF(H353="EE",IF(K353&gt;=3,IF(J353&gt;=5,"H","A"),IF(K353&gt;=2,IF(J353&gt;=16,"H",IF(J353&lt;=4,"L","A")),IF(J353&lt;=15,"L","A"))),IF(OR(H353="SE",H353="CE"),IF(K353&gt;=4,IF(J353&gt;=6,"H","A"),IF(K353&gt;=2,IF(J353&gt;=20,"H",IF(J353&lt;=5,"L","A")),IF(J353&lt;=19,"L","A"))),IF(OR(H353="ALI",H353="AIE"),IF(K353&gt;=6,IF(J353&gt;=20,"H","A"),IF(K353&gt;=2,IF(J353&gt;=51,"H",IF(J353&lt;=19,"L","A")),IF(J353&lt;=50,"L","A")))))))</f>
        <v>L</v>
      </c>
      <c r="N353" s="46" t="str">
        <f aca="false">IF(M353="L","Baixa",IF(M353="A","Média",IF(M353="","","Alta")))</f>
        <v>Baixa</v>
      </c>
      <c r="O353" s="47" t="n">
        <f aca="false">IF(ISBLANK(H353),"",IF(H353="ALI",IF(M353="L",7,IF(M353="A",10,15)),IF(H353="AIE",IF(M353="L",5,IF(M353="A",7,10)),IF(H353="SE",IF(M353="L",4,IF(M353="A",5,7)),IF(OR(H353="EE",H353="CE"),IF(M353="L",3,IF(M353="A",4,6)))))))</f>
        <v>7</v>
      </c>
      <c r="P353" s="48" t="n">
        <f aca="false">IF(I353="I",O353*Contagem!$W$15,IF(I353="E",O353*Contagem!$W$17,IF(I353="A",O353*Contagem!$W$16,IF(I353="T",O353*Contagem!$W$18,""))))</f>
        <v>7</v>
      </c>
      <c r="Q353" s="49" t="s">
        <v>600</v>
      </c>
    </row>
    <row r="354" customFormat="false" ht="12" hidden="false" customHeight="true" outlineLevel="0" collapsed="false">
      <c r="A354" s="40" t="n">
        <f aca="false">IF(H354="",IF(C354="",A353,A353+1),A353)</f>
        <v>48</v>
      </c>
      <c r="B354" s="41" t="str">
        <f aca="false">IF(A354=A353,"",CONCATENATE("F",A354))</f>
        <v/>
      </c>
      <c r="C354" s="42" t="s">
        <v>601</v>
      </c>
      <c r="D354" s="42"/>
      <c r="E354" s="42"/>
      <c r="F354" s="42"/>
      <c r="G354" s="42"/>
      <c r="H354" s="44" t="s">
        <v>55</v>
      </c>
      <c r="I354" s="50" t="s">
        <v>56</v>
      </c>
      <c r="J354" s="44" t="n">
        <v>6</v>
      </c>
      <c r="K354" s="44" t="n">
        <v>1</v>
      </c>
      <c r="L354" s="44" t="str">
        <f aca="false">CONCATENATE(H354,M354)</f>
        <v>ALIL</v>
      </c>
      <c r="M354" s="45" t="str">
        <f aca="false">IF(OR(ISBLANK(J354),ISBLANK(K354)),IF(OR(H354="ALI",H354="AIE"),"L",IF(ISBLANK(H354),"","A")),IF(H354="EE",IF(K354&gt;=3,IF(J354&gt;=5,"H","A"),IF(K354&gt;=2,IF(J354&gt;=16,"H",IF(J354&lt;=4,"L","A")),IF(J354&lt;=15,"L","A"))),IF(OR(H354="SE",H354="CE"),IF(K354&gt;=4,IF(J354&gt;=6,"H","A"),IF(K354&gt;=2,IF(J354&gt;=20,"H",IF(J354&lt;=5,"L","A")),IF(J354&lt;=19,"L","A"))),IF(OR(H354="ALI",H354="AIE"),IF(K354&gt;=6,IF(J354&gt;=20,"H","A"),IF(K354&gt;=2,IF(J354&gt;=51,"H",IF(J354&lt;=19,"L","A")),IF(J354&lt;=50,"L","A")))))))</f>
        <v>L</v>
      </c>
      <c r="N354" s="46" t="str">
        <f aca="false">IF(M354="L","Baixa",IF(M354="A","Média",IF(M354="","","Alta")))</f>
        <v>Baixa</v>
      </c>
      <c r="O354" s="47" t="n">
        <f aca="false">IF(ISBLANK(H354),"",IF(H354="ALI",IF(M354="L",7,IF(M354="A",10,15)),IF(H354="AIE",IF(M354="L",5,IF(M354="A",7,10)),IF(H354="SE",IF(M354="L",4,IF(M354="A",5,7)),IF(OR(H354="EE",H354="CE"),IF(M354="L",3,IF(M354="A",4,6)))))))</f>
        <v>7</v>
      </c>
      <c r="P354" s="48" t="n">
        <f aca="false">IF(I354="I",O354*Contagem!$W$15,IF(I354="E",O354*Contagem!$W$17,IF(I354="A",O354*Contagem!$W$16,IF(I354="T",O354*Contagem!$W$18,""))))</f>
        <v>7</v>
      </c>
      <c r="Q354" s="49" t="s">
        <v>602</v>
      </c>
    </row>
    <row r="355" customFormat="false" ht="12" hidden="false" customHeight="true" outlineLevel="0" collapsed="false">
      <c r="A355" s="40" t="n">
        <f aca="false">IF(H355="",IF(C355="",A354,A354+1),A354)</f>
        <v>48</v>
      </c>
      <c r="B355" s="41" t="str">
        <f aca="false">IF(A355=A354,"",CONCATENATE("F",A355))</f>
        <v/>
      </c>
      <c r="C355" s="42" t="s">
        <v>603</v>
      </c>
      <c r="D355" s="42"/>
      <c r="E355" s="42"/>
      <c r="F355" s="42"/>
      <c r="G355" s="42"/>
      <c r="H355" s="44" t="s">
        <v>80</v>
      </c>
      <c r="I355" s="50" t="s">
        <v>56</v>
      </c>
      <c r="J355" s="44" t="n">
        <v>12</v>
      </c>
      <c r="K355" s="44" t="n">
        <v>3</v>
      </c>
      <c r="L355" s="44" t="str">
        <f aca="false">CONCATENATE(H355,M355)</f>
        <v>CEA</v>
      </c>
      <c r="M355" s="45" t="str">
        <f aca="false">IF(OR(ISBLANK(J355),ISBLANK(K355)),IF(OR(H355="ALI",H355="AIE"),"L",IF(ISBLANK(H355),"","A")),IF(H355="EE",IF(K355&gt;=3,IF(J355&gt;=5,"H","A"),IF(K355&gt;=2,IF(J355&gt;=16,"H",IF(J355&lt;=4,"L","A")),IF(J355&lt;=15,"L","A"))),IF(OR(H355="SE",H355="CE"),IF(K355&gt;=4,IF(J355&gt;=6,"H","A"),IF(K355&gt;=2,IF(J355&gt;=20,"H",IF(J355&lt;=5,"L","A")),IF(J355&lt;=19,"L","A"))),IF(OR(H355="ALI",H355="AIE"),IF(K355&gt;=6,IF(J355&gt;=20,"H","A"),IF(K355&gt;=2,IF(J355&gt;=51,"H",IF(J355&lt;=19,"L","A")),IF(J355&lt;=50,"L","A")))))))</f>
        <v>A</v>
      </c>
      <c r="N355" s="46" t="str">
        <f aca="false">IF(M355="L","Baixa",IF(M355="A","Média",IF(M355="","","Alta")))</f>
        <v>Média</v>
      </c>
      <c r="O355" s="47" t="n">
        <f aca="false">IF(ISBLANK(H355),"",IF(H355="ALI",IF(M355="L",7,IF(M355="A",10,15)),IF(H355="AIE",IF(M355="L",5,IF(M355="A",7,10)),IF(H355="SE",IF(M355="L",4,IF(M355="A",5,7)),IF(OR(H355="EE",H355="CE"),IF(M355="L",3,IF(M355="A",4,6)))))))</f>
        <v>4</v>
      </c>
      <c r="P355" s="48" t="n">
        <f aca="false">IF(I355="I",O355*Contagem!$W$15,IF(I355="E",O355*Contagem!$W$17,IF(I355="A",O355*Contagem!$W$16,IF(I355="T",O355*Contagem!$W$18,""))))</f>
        <v>4</v>
      </c>
      <c r="Q355" s="49" t="s">
        <v>604</v>
      </c>
    </row>
    <row r="356" customFormat="false" ht="12" hidden="false" customHeight="true" outlineLevel="0" collapsed="false">
      <c r="A356" s="40" t="n">
        <f aca="false">IF(H356="",IF(C356="",A355,A355+1),A355)</f>
        <v>48</v>
      </c>
      <c r="B356" s="41" t="str">
        <f aca="false">IF(A356=A355,"",CONCATENATE("F",A356))</f>
        <v/>
      </c>
      <c r="C356" s="42" t="s">
        <v>605</v>
      </c>
      <c r="D356" s="42"/>
      <c r="E356" s="42"/>
      <c r="F356" s="42"/>
      <c r="G356" s="42"/>
      <c r="H356" s="44" t="s">
        <v>80</v>
      </c>
      <c r="I356" s="50" t="s">
        <v>56</v>
      </c>
      <c r="J356" s="44" t="n">
        <v>20</v>
      </c>
      <c r="K356" s="44" t="n">
        <v>4</v>
      </c>
      <c r="L356" s="44" t="str">
        <f aca="false">CONCATENATE(H356,M356)</f>
        <v>CEH</v>
      </c>
      <c r="M356" s="45" t="str">
        <f aca="false">IF(OR(ISBLANK(J356),ISBLANK(K356)),IF(OR(H356="ALI",H356="AIE"),"L",IF(ISBLANK(H356),"","A")),IF(H356="EE",IF(K356&gt;=3,IF(J356&gt;=5,"H","A"),IF(K356&gt;=2,IF(J356&gt;=16,"H",IF(J356&lt;=4,"L","A")),IF(J356&lt;=15,"L","A"))),IF(OR(H356="SE",H356="CE"),IF(K356&gt;=4,IF(J356&gt;=6,"H","A"),IF(K356&gt;=2,IF(J356&gt;=20,"H",IF(J356&lt;=5,"L","A")),IF(J356&lt;=19,"L","A"))),IF(OR(H356="ALI",H356="AIE"),IF(K356&gt;=6,IF(J356&gt;=20,"H","A"),IF(K356&gt;=2,IF(J356&gt;=51,"H",IF(J356&lt;=19,"L","A")),IF(J356&lt;=50,"L","A")))))))</f>
        <v>H</v>
      </c>
      <c r="N356" s="46" t="str">
        <f aca="false">IF(M356="L","Baixa",IF(M356="A","Média",IF(M356="","","Alta")))</f>
        <v>Alta</v>
      </c>
      <c r="O356" s="47" t="n">
        <f aca="false">IF(ISBLANK(H356),"",IF(H356="ALI",IF(M356="L",7,IF(M356="A",10,15)),IF(H356="AIE",IF(M356="L",5,IF(M356="A",7,10)),IF(H356="SE",IF(M356="L",4,IF(M356="A",5,7)),IF(OR(H356="EE",H356="CE"),IF(M356="L",3,IF(M356="A",4,6)))))))</f>
        <v>6</v>
      </c>
      <c r="P356" s="48" t="n">
        <f aca="false">IF(I356="I",O356*Contagem!$W$15,IF(I356="E",O356*Contagem!$W$17,IF(I356="A",O356*Contagem!$W$16,IF(I356="T",O356*Contagem!$W$18,""))))</f>
        <v>6</v>
      </c>
      <c r="Q356" s="49" t="s">
        <v>606</v>
      </c>
    </row>
    <row r="357" customFormat="false" ht="12" hidden="false" customHeight="true" outlineLevel="0" collapsed="false">
      <c r="A357" s="40" t="n">
        <f aca="false">IF(H357="",IF(C357="",A356,A356+1),A356)</f>
        <v>48</v>
      </c>
      <c r="B357" s="41" t="str">
        <f aca="false">IF(A357=A356,"",CONCATENATE("F",A357))</f>
        <v/>
      </c>
      <c r="C357" s="42"/>
      <c r="D357" s="42"/>
      <c r="E357" s="42"/>
      <c r="F357" s="42"/>
      <c r="G357" s="42"/>
      <c r="H357" s="44"/>
      <c r="I357" s="50"/>
      <c r="J357" s="44"/>
      <c r="K357" s="44"/>
      <c r="L357" s="44" t="str">
        <f aca="false">CONCATENATE(H357,M357)</f>
        <v/>
      </c>
      <c r="M357" s="45" t="str">
        <f aca="false">IF(OR(ISBLANK(J357),ISBLANK(K357)),IF(OR(H357="ALI",H357="AIE"),"L",IF(ISBLANK(H357),"","A")),IF(H357="EE",IF(K357&gt;=3,IF(J357&gt;=5,"H","A"),IF(K357&gt;=2,IF(J357&gt;=16,"H",IF(J357&lt;=4,"L","A")),IF(J357&lt;=15,"L","A"))),IF(OR(H357="SE",H357="CE"),IF(K357&gt;=4,IF(J357&gt;=6,"H","A"),IF(K357&gt;=2,IF(J357&gt;=20,"H",IF(J357&lt;=5,"L","A")),IF(J357&lt;=19,"L","A"))),IF(OR(H357="ALI",H357="AIE"),IF(K357&gt;=6,IF(J357&gt;=20,"H","A"),IF(K357&gt;=2,IF(J357&gt;=51,"H",IF(J357&lt;=19,"L","A")),IF(J357&lt;=50,"L","A")))))))</f>
        <v/>
      </c>
      <c r="N357" s="46" t="str">
        <f aca="false">IF(M357="L","Baixa",IF(M357="A","Média",IF(M357="","","Alta")))</f>
        <v/>
      </c>
      <c r="O357" s="47" t="str">
        <f aca="false">IF(ISBLANK(H357),"",IF(H357="ALI",IF(M357="L",7,IF(M357="A",10,15)),IF(H357="AIE",IF(M357="L",5,IF(M357="A",7,10)),IF(H357="SE",IF(M357="L",4,IF(M357="A",5,7)),IF(OR(H357="EE",H357="CE"),IF(M357="L",3,IF(M357="A",4,6)))))))</f>
        <v/>
      </c>
      <c r="P357" s="48" t="str">
        <f aca="false">IF(I357="I",O357*Contagem!$W$15,IF(I357="E",O357*Contagem!$W$17,IF(I357="A",O357*Contagem!$W$16,IF(I357="T",O357*Contagem!$W$18,""))))</f>
        <v/>
      </c>
      <c r="Q357" s="49"/>
    </row>
    <row r="358" customFormat="false" ht="12" hidden="false" customHeight="true" outlineLevel="0" collapsed="false">
      <c r="A358" s="40" t="n">
        <f aca="false">IF(H358="",IF(C358="",A357,A357+1),A357)</f>
        <v>49</v>
      </c>
      <c r="B358" s="41" t="str">
        <f aca="false">IF(A358=A357,"",CONCATENATE("F",A358))</f>
        <v>F49</v>
      </c>
      <c r="C358" s="42" t="s">
        <v>607</v>
      </c>
      <c r="D358" s="42"/>
      <c r="E358" s="42"/>
      <c r="F358" s="42"/>
      <c r="G358" s="42"/>
      <c r="H358" s="44"/>
      <c r="I358" s="50"/>
      <c r="J358" s="44"/>
      <c r="K358" s="44"/>
      <c r="L358" s="44" t="str">
        <f aca="false">CONCATENATE(H358,M358)</f>
        <v/>
      </c>
      <c r="M358" s="45" t="str">
        <f aca="false">IF(OR(ISBLANK(J358),ISBLANK(K358)),IF(OR(H358="ALI",H358="AIE"),"L",IF(ISBLANK(H358),"","A")),IF(H358="EE",IF(K358&gt;=3,IF(J358&gt;=5,"H","A"),IF(K358&gt;=2,IF(J358&gt;=16,"H",IF(J358&lt;=4,"L","A")),IF(J358&lt;=15,"L","A"))),IF(OR(H358="SE",H358="CE"),IF(K358&gt;=4,IF(J358&gt;=6,"H","A"),IF(K358&gt;=2,IF(J358&gt;=20,"H",IF(J358&lt;=5,"L","A")),IF(J358&lt;=19,"L","A"))),IF(OR(H358="ALI",H358="AIE"),IF(K358&gt;=6,IF(J358&gt;=20,"H","A"),IF(K358&gt;=2,IF(J358&gt;=51,"H",IF(J358&lt;=19,"L","A")),IF(J358&lt;=50,"L","A")))))))</f>
        <v/>
      </c>
      <c r="N358" s="46" t="str">
        <f aca="false">IF(M358="L","Baixa",IF(M358="A","Média",IF(M358="","","Alta")))</f>
        <v/>
      </c>
      <c r="O358" s="47" t="str">
        <f aca="false">IF(ISBLANK(H358),"",IF(H358="ALI",IF(M358="L",7,IF(M358="A",10,15)),IF(H358="AIE",IF(M358="L",5,IF(M358="A",7,10)),IF(H358="SE",IF(M358="L",4,IF(M358="A",5,7)),IF(OR(H358="EE",H358="CE"),IF(M358="L",3,IF(M358="A",4,6)))))))</f>
        <v/>
      </c>
      <c r="P358" s="48" t="str">
        <f aca="false">IF(I358="I",O358*Contagem!$W$15,IF(I358="E",O358*Contagem!$W$17,IF(I358="A",O358*Contagem!$W$16,IF(I358="T",O358*Contagem!$W$18,""))))</f>
        <v/>
      </c>
      <c r="Q358" s="49"/>
    </row>
    <row r="359" customFormat="false" ht="12" hidden="false" customHeight="true" outlineLevel="0" collapsed="false">
      <c r="A359" s="40" t="n">
        <f aca="false">IF(H359="",IF(C359="",A358,A358+1),A358)</f>
        <v>49</v>
      </c>
      <c r="B359" s="41" t="str">
        <f aca="false">IF(A359=A358,"",CONCATENATE("F",A359))</f>
        <v/>
      </c>
      <c r="C359" s="42" t="s">
        <v>608</v>
      </c>
      <c r="D359" s="42"/>
      <c r="E359" s="42"/>
      <c r="F359" s="42"/>
      <c r="G359" s="42"/>
      <c r="H359" s="44" t="s">
        <v>55</v>
      </c>
      <c r="I359" s="50" t="s">
        <v>56</v>
      </c>
      <c r="J359" s="44" t="n">
        <v>12</v>
      </c>
      <c r="K359" s="44" t="n">
        <v>1</v>
      </c>
      <c r="L359" s="44" t="str">
        <f aca="false">CONCATENATE(H359,M359)</f>
        <v>ALIL</v>
      </c>
      <c r="M359" s="45" t="str">
        <f aca="false">IF(OR(ISBLANK(J359),ISBLANK(K359)),IF(OR(H359="ALI",H359="AIE"),"L",IF(ISBLANK(H359),"","A")),IF(H359="EE",IF(K359&gt;=3,IF(J359&gt;=5,"H","A"),IF(K359&gt;=2,IF(J359&gt;=16,"H",IF(J359&lt;=4,"L","A")),IF(J359&lt;=15,"L","A"))),IF(OR(H359="SE",H359="CE"),IF(K359&gt;=4,IF(J359&gt;=6,"H","A"),IF(K359&gt;=2,IF(J359&gt;=20,"H",IF(J359&lt;=5,"L","A")),IF(J359&lt;=19,"L","A"))),IF(OR(H359="ALI",H359="AIE"),IF(K359&gt;=6,IF(J359&gt;=20,"H","A"),IF(K359&gt;=2,IF(J359&gt;=51,"H",IF(J359&lt;=19,"L","A")),IF(J359&lt;=50,"L","A")))))))</f>
        <v>L</v>
      </c>
      <c r="N359" s="46" t="str">
        <f aca="false">IF(M359="L","Baixa",IF(M359="A","Média",IF(M359="","","Alta")))</f>
        <v>Baixa</v>
      </c>
      <c r="O359" s="47" t="n">
        <f aca="false">IF(ISBLANK(H359),"",IF(H359="ALI",IF(M359="L",7,IF(M359="A",10,15)),IF(H359="AIE",IF(M359="L",5,IF(M359="A",7,10)),IF(H359="SE",IF(M359="L",4,IF(M359="A",5,7)),IF(OR(H359="EE",H359="CE"),IF(M359="L",3,IF(M359="A",4,6)))))))</f>
        <v>7</v>
      </c>
      <c r="P359" s="48" t="n">
        <f aca="false">IF(I359="I",O359*Contagem!$W$15,IF(I359="E",O359*Contagem!$W$17,IF(I359="A",O359*Contagem!$W$16,IF(I359="T",O359*Contagem!$W$18,""))))</f>
        <v>7</v>
      </c>
      <c r="Q359" s="49" t="s">
        <v>609</v>
      </c>
    </row>
    <row r="360" customFormat="false" ht="12" hidden="false" customHeight="true" outlineLevel="0" collapsed="false">
      <c r="A360" s="40" t="n">
        <f aca="false">IF(H360="",IF(C360="",A359,A359+1),A359)</f>
        <v>49</v>
      </c>
      <c r="B360" s="41" t="str">
        <f aca="false">IF(A360=A359,"",CONCATENATE("F",A360))</f>
        <v/>
      </c>
      <c r="C360" s="42" t="s">
        <v>610</v>
      </c>
      <c r="D360" s="42"/>
      <c r="E360" s="42"/>
      <c r="F360" s="42"/>
      <c r="G360" s="42"/>
      <c r="H360" s="44" t="s">
        <v>80</v>
      </c>
      <c r="I360" s="50" t="s">
        <v>56</v>
      </c>
      <c r="J360" s="44" t="n">
        <v>26</v>
      </c>
      <c r="K360" s="44" t="n">
        <v>5</v>
      </c>
      <c r="L360" s="44" t="str">
        <f aca="false">CONCATENATE(H360,M360)</f>
        <v>CEH</v>
      </c>
      <c r="M360" s="45" t="str">
        <f aca="false">IF(OR(ISBLANK(J360),ISBLANK(K360)),IF(OR(H360="ALI",H360="AIE"),"L",IF(ISBLANK(H360),"","A")),IF(H360="EE",IF(K360&gt;=3,IF(J360&gt;=5,"H","A"),IF(K360&gt;=2,IF(J360&gt;=16,"H",IF(J360&lt;=4,"L","A")),IF(J360&lt;=15,"L","A"))),IF(OR(H360="SE",H360="CE"),IF(K360&gt;=4,IF(J360&gt;=6,"H","A"),IF(K360&gt;=2,IF(J360&gt;=20,"H",IF(J360&lt;=5,"L","A")),IF(J360&lt;=19,"L","A"))),IF(OR(H360="ALI",H360="AIE"),IF(K360&gt;=6,IF(J360&gt;=20,"H","A"),IF(K360&gt;=2,IF(J360&gt;=51,"H",IF(J360&lt;=19,"L","A")),IF(J360&lt;=50,"L","A")))))))</f>
        <v>H</v>
      </c>
      <c r="N360" s="46" t="str">
        <f aca="false">IF(M360="L","Baixa",IF(M360="A","Média",IF(M360="","","Alta")))</f>
        <v>Alta</v>
      </c>
      <c r="O360" s="47" t="n">
        <f aca="false">IF(ISBLANK(H360),"",IF(H360="ALI",IF(M360="L",7,IF(M360="A",10,15)),IF(H360="AIE",IF(M360="L",5,IF(M360="A",7,10)),IF(H360="SE",IF(M360="L",4,IF(M360="A",5,7)),IF(OR(H360="EE",H360="CE"),IF(M360="L",3,IF(M360="A",4,6)))))))</f>
        <v>6</v>
      </c>
      <c r="P360" s="48" t="n">
        <f aca="false">IF(I360="I",O360*Contagem!$W$15,IF(I360="E",O360*Contagem!$W$17,IF(I360="A",O360*Contagem!$W$16,IF(I360="T",O360*Contagem!$W$18,""))))</f>
        <v>6</v>
      </c>
      <c r="Q360" s="49" t="s">
        <v>611</v>
      </c>
    </row>
    <row r="361" customFormat="false" ht="12" hidden="false" customHeight="true" outlineLevel="0" collapsed="false">
      <c r="A361" s="40" t="n">
        <f aca="false">IF(H361="",IF(C361="",A360,A360+1),A360)</f>
        <v>49</v>
      </c>
      <c r="B361" s="41" t="str">
        <f aca="false">IF(A361=A360,"",CONCATENATE("F",A361))</f>
        <v/>
      </c>
      <c r="C361" s="42" t="s">
        <v>612</v>
      </c>
      <c r="D361" s="42"/>
      <c r="E361" s="42"/>
      <c r="F361" s="42"/>
      <c r="G361" s="42"/>
      <c r="H361" s="44" t="s">
        <v>80</v>
      </c>
      <c r="I361" s="50" t="s">
        <v>56</v>
      </c>
      <c r="J361" s="44" t="n">
        <v>22</v>
      </c>
      <c r="K361" s="44" t="n">
        <v>4</v>
      </c>
      <c r="L361" s="44" t="str">
        <f aca="false">CONCATENATE(H361,M361)</f>
        <v>CEH</v>
      </c>
      <c r="M361" s="45" t="str">
        <f aca="false">IF(OR(ISBLANK(J361),ISBLANK(K361)),IF(OR(H361="ALI",H361="AIE"),"L",IF(ISBLANK(H361),"","A")),IF(H361="EE",IF(K361&gt;=3,IF(J361&gt;=5,"H","A"),IF(K361&gt;=2,IF(J361&gt;=16,"H",IF(J361&lt;=4,"L","A")),IF(J361&lt;=15,"L","A"))),IF(OR(H361="SE",H361="CE"),IF(K361&gt;=4,IF(J361&gt;=6,"H","A"),IF(K361&gt;=2,IF(J361&gt;=20,"H",IF(J361&lt;=5,"L","A")),IF(J361&lt;=19,"L","A"))),IF(OR(H361="ALI",H361="AIE"),IF(K361&gt;=6,IF(J361&gt;=20,"H","A"),IF(K361&gt;=2,IF(J361&gt;=51,"H",IF(J361&lt;=19,"L","A")),IF(J361&lt;=50,"L","A")))))))</f>
        <v>H</v>
      </c>
      <c r="N361" s="46" t="str">
        <f aca="false">IF(M361="L","Baixa",IF(M361="A","Média",IF(M361="","","Alta")))</f>
        <v>Alta</v>
      </c>
      <c r="O361" s="47" t="n">
        <f aca="false">IF(ISBLANK(H361),"",IF(H361="ALI",IF(M361="L",7,IF(M361="A",10,15)),IF(H361="AIE",IF(M361="L",5,IF(M361="A",7,10)),IF(H361="SE",IF(M361="L",4,IF(M361="A",5,7)),IF(OR(H361="EE",H361="CE"),IF(M361="L",3,IF(M361="A",4,6)))))))</f>
        <v>6</v>
      </c>
      <c r="P361" s="48" t="n">
        <f aca="false">IF(I361="I",O361*Contagem!$W$15,IF(I361="E",O361*Contagem!$W$17,IF(I361="A",O361*Contagem!$W$16,IF(I361="T",O361*Contagem!$W$18,""))))</f>
        <v>6</v>
      </c>
      <c r="Q361" s="49" t="s">
        <v>613</v>
      </c>
    </row>
    <row r="362" customFormat="false" ht="12" hidden="false" customHeight="true" outlineLevel="0" collapsed="false">
      <c r="A362" s="40" t="n">
        <f aca="false">IF(H362="",IF(C362="",A361,A361+1),A361)</f>
        <v>49</v>
      </c>
      <c r="B362" s="41" t="str">
        <f aca="false">IF(A362=A361,"",CONCATENATE("F",A362))</f>
        <v/>
      </c>
      <c r="C362" s="42" t="s">
        <v>614</v>
      </c>
      <c r="D362" s="42"/>
      <c r="E362" s="42"/>
      <c r="F362" s="42"/>
      <c r="G362" s="42"/>
      <c r="H362" s="44" t="s">
        <v>80</v>
      </c>
      <c r="I362" s="50" t="s">
        <v>56</v>
      </c>
      <c r="J362" s="44" t="n">
        <v>31</v>
      </c>
      <c r="K362" s="44" t="n">
        <v>6</v>
      </c>
      <c r="L362" s="44" t="str">
        <f aca="false">CONCATENATE(H362,M362)</f>
        <v>CEH</v>
      </c>
      <c r="M362" s="45" t="str">
        <f aca="false">IF(OR(ISBLANK(J362),ISBLANK(K362)),IF(OR(H362="ALI",H362="AIE"),"L",IF(ISBLANK(H362),"","A")),IF(H362="EE",IF(K362&gt;=3,IF(J362&gt;=5,"H","A"),IF(K362&gt;=2,IF(J362&gt;=16,"H",IF(J362&lt;=4,"L","A")),IF(J362&lt;=15,"L","A"))),IF(OR(H362="SE",H362="CE"),IF(K362&gt;=4,IF(J362&gt;=6,"H","A"),IF(K362&gt;=2,IF(J362&gt;=20,"H",IF(J362&lt;=5,"L","A")),IF(J362&lt;=19,"L","A"))),IF(OR(H362="ALI",H362="AIE"),IF(K362&gt;=6,IF(J362&gt;=20,"H","A"),IF(K362&gt;=2,IF(J362&gt;=51,"H",IF(J362&lt;=19,"L","A")),IF(J362&lt;=50,"L","A")))))))</f>
        <v>H</v>
      </c>
      <c r="N362" s="46" t="str">
        <f aca="false">IF(M362="L","Baixa",IF(M362="A","Média",IF(M362="","","Alta")))</f>
        <v>Alta</v>
      </c>
      <c r="O362" s="47" t="n">
        <f aca="false">IF(ISBLANK(H362),"",IF(H362="ALI",IF(M362="L",7,IF(M362="A",10,15)),IF(H362="AIE",IF(M362="L",5,IF(M362="A",7,10)),IF(H362="SE",IF(M362="L",4,IF(M362="A",5,7)),IF(OR(H362="EE",H362="CE"),IF(M362="L",3,IF(M362="A",4,6)))))))</f>
        <v>6</v>
      </c>
      <c r="P362" s="48" t="n">
        <f aca="false">IF(I362="I",O362*Contagem!$W$15,IF(I362="E",O362*Contagem!$W$17,IF(I362="A",O362*Contagem!$W$16,IF(I362="T",O362*Contagem!$W$18,""))))</f>
        <v>6</v>
      </c>
      <c r="Q362" s="49" t="s">
        <v>615</v>
      </c>
    </row>
    <row r="363" customFormat="false" ht="12" hidden="false" customHeight="true" outlineLevel="0" collapsed="false">
      <c r="A363" s="40" t="n">
        <f aca="false">IF(H363="",IF(C363="",A362,A362+1),A362)</f>
        <v>49</v>
      </c>
      <c r="B363" s="41" t="str">
        <f aca="false">IF(A363=A362,"",CONCATENATE("F",A363))</f>
        <v/>
      </c>
      <c r="C363" s="42" t="s">
        <v>616</v>
      </c>
      <c r="D363" s="42"/>
      <c r="E363" s="42"/>
      <c r="F363" s="42"/>
      <c r="G363" s="42"/>
      <c r="H363" s="44" t="s">
        <v>80</v>
      </c>
      <c r="I363" s="50" t="s">
        <v>56</v>
      </c>
      <c r="J363" s="44" t="n">
        <v>6</v>
      </c>
      <c r="K363" s="44" t="n">
        <v>2</v>
      </c>
      <c r="L363" s="44" t="str">
        <f aca="false">CONCATENATE(H363,M363)</f>
        <v>CEA</v>
      </c>
      <c r="M363" s="45" t="str">
        <f aca="false">IF(OR(ISBLANK(J363),ISBLANK(K363)),IF(OR(H363="ALI",H363="AIE"),"L",IF(ISBLANK(H363),"","A")),IF(H363="EE",IF(K363&gt;=3,IF(J363&gt;=5,"H","A"),IF(K363&gt;=2,IF(J363&gt;=16,"H",IF(J363&lt;=4,"L","A")),IF(J363&lt;=15,"L","A"))),IF(OR(H363="SE",H363="CE"),IF(K363&gt;=4,IF(J363&gt;=6,"H","A"),IF(K363&gt;=2,IF(J363&gt;=20,"H",IF(J363&lt;=5,"L","A")),IF(J363&lt;=19,"L","A"))),IF(OR(H363="ALI",H363="AIE"),IF(K363&gt;=6,IF(J363&gt;=20,"H","A"),IF(K363&gt;=2,IF(J363&gt;=51,"H",IF(J363&lt;=19,"L","A")),IF(J363&lt;=50,"L","A")))))))</f>
        <v>A</v>
      </c>
      <c r="N363" s="46" t="str">
        <f aca="false">IF(M363="L","Baixa",IF(M363="A","Média",IF(M363="","","Alta")))</f>
        <v>Média</v>
      </c>
      <c r="O363" s="47" t="n">
        <f aca="false">IF(ISBLANK(H363),"",IF(H363="ALI",IF(M363="L",7,IF(M363="A",10,15)),IF(H363="AIE",IF(M363="L",5,IF(M363="A",7,10)),IF(H363="SE",IF(M363="L",4,IF(M363="A",5,7)),IF(OR(H363="EE",H363="CE"),IF(M363="L",3,IF(M363="A",4,6)))))))</f>
        <v>4</v>
      </c>
      <c r="P363" s="48" t="n">
        <f aca="false">IF(I363="I",O363*Contagem!$W$15,IF(I363="E",O363*Contagem!$W$17,IF(I363="A",O363*Contagem!$W$16,IF(I363="T",O363*Contagem!$W$18,""))))</f>
        <v>4</v>
      </c>
      <c r="Q363" s="49" t="s">
        <v>617</v>
      </c>
    </row>
    <row r="364" customFormat="false" ht="12" hidden="false" customHeight="true" outlineLevel="0" collapsed="false">
      <c r="A364" s="40" t="n">
        <f aca="false">IF(H364="",IF(C364="",A363,A363+1),A363)</f>
        <v>49</v>
      </c>
      <c r="B364" s="41" t="str">
        <f aca="false">IF(A364=A363,"",CONCATENATE("F",A364))</f>
        <v/>
      </c>
      <c r="C364" s="42" t="s">
        <v>618</v>
      </c>
      <c r="D364" s="42"/>
      <c r="E364" s="42"/>
      <c r="F364" s="42"/>
      <c r="G364" s="42"/>
      <c r="H364" s="44" t="s">
        <v>80</v>
      </c>
      <c r="I364" s="50" t="s">
        <v>56</v>
      </c>
      <c r="J364" s="44" t="n">
        <v>15</v>
      </c>
      <c r="K364" s="44" t="n">
        <v>2</v>
      </c>
      <c r="L364" s="44" t="str">
        <f aca="false">CONCATENATE(H364,M364)</f>
        <v>CEA</v>
      </c>
      <c r="M364" s="45" t="str">
        <f aca="false">IF(OR(ISBLANK(J364),ISBLANK(K364)),IF(OR(H364="ALI",H364="AIE"),"L",IF(ISBLANK(H364),"","A")),IF(H364="EE",IF(K364&gt;=3,IF(J364&gt;=5,"H","A"),IF(K364&gt;=2,IF(J364&gt;=16,"H",IF(J364&lt;=4,"L","A")),IF(J364&lt;=15,"L","A"))),IF(OR(H364="SE",H364="CE"),IF(K364&gt;=4,IF(J364&gt;=6,"H","A"),IF(K364&gt;=2,IF(J364&gt;=20,"H",IF(J364&lt;=5,"L","A")),IF(J364&lt;=19,"L","A"))),IF(OR(H364="ALI",H364="AIE"),IF(K364&gt;=6,IF(J364&gt;=20,"H","A"),IF(K364&gt;=2,IF(J364&gt;=51,"H",IF(J364&lt;=19,"L","A")),IF(J364&lt;=50,"L","A")))))))</f>
        <v>A</v>
      </c>
      <c r="N364" s="46" t="str">
        <f aca="false">IF(M364="L","Baixa",IF(M364="A","Média",IF(M364="","","Alta")))</f>
        <v>Média</v>
      </c>
      <c r="O364" s="47" t="n">
        <f aca="false">IF(ISBLANK(H364),"",IF(H364="ALI",IF(M364="L",7,IF(M364="A",10,15)),IF(H364="AIE",IF(M364="L",5,IF(M364="A",7,10)),IF(H364="SE",IF(M364="L",4,IF(M364="A",5,7)),IF(OR(H364="EE",H364="CE"),IF(M364="L",3,IF(M364="A",4,6)))))))</f>
        <v>4</v>
      </c>
      <c r="P364" s="48" t="n">
        <f aca="false">IF(I364="I",O364*Contagem!$W$15,IF(I364="E",O364*Contagem!$W$17,IF(I364="A",O364*Contagem!$W$16,IF(I364="T",O364*Contagem!$W$18,""))))</f>
        <v>4</v>
      </c>
      <c r="Q364" s="49" t="s">
        <v>619</v>
      </c>
    </row>
    <row r="365" customFormat="false" ht="12" hidden="false" customHeight="true" outlineLevel="0" collapsed="false">
      <c r="A365" s="40" t="n">
        <f aca="false">IF(H365="",IF(C365="",A364,A364+1),A364)</f>
        <v>49</v>
      </c>
      <c r="B365" s="41" t="str">
        <f aca="false">IF(A365=A364,"",CONCATENATE("F",A365))</f>
        <v/>
      </c>
      <c r="C365" s="42" t="s">
        <v>620</v>
      </c>
      <c r="D365" s="42"/>
      <c r="E365" s="42"/>
      <c r="F365" s="42"/>
      <c r="G365" s="42"/>
      <c r="H365" s="44" t="s">
        <v>62</v>
      </c>
      <c r="I365" s="50" t="s">
        <v>56</v>
      </c>
      <c r="J365" s="44" t="n">
        <v>6</v>
      </c>
      <c r="K365" s="44" t="n">
        <v>1</v>
      </c>
      <c r="L365" s="44" t="str">
        <f aca="false">CONCATENATE(H365,M365)</f>
        <v>EEL</v>
      </c>
      <c r="M365" s="45" t="str">
        <f aca="false">IF(OR(ISBLANK(J365),ISBLANK(K365)),IF(OR(H365="ALI",H365="AIE"),"L",IF(ISBLANK(H365),"","A")),IF(H365="EE",IF(K365&gt;=3,IF(J365&gt;=5,"H","A"),IF(K365&gt;=2,IF(J365&gt;=16,"H",IF(J365&lt;=4,"L","A")),IF(J365&lt;=15,"L","A"))),IF(OR(H365="SE",H365="CE"),IF(K365&gt;=4,IF(J365&gt;=6,"H","A"),IF(K365&gt;=2,IF(J365&gt;=20,"H",IF(J365&lt;=5,"L","A")),IF(J365&lt;=19,"L","A"))),IF(OR(H365="ALI",H365="AIE"),IF(K365&gt;=6,IF(J365&gt;=20,"H","A"),IF(K365&gt;=2,IF(J365&gt;=51,"H",IF(J365&lt;=19,"L","A")),IF(J365&lt;=50,"L","A")))))))</f>
        <v>L</v>
      </c>
      <c r="N365" s="46" t="str">
        <f aca="false">IF(M365="L","Baixa",IF(M365="A","Média",IF(M365="","","Alta")))</f>
        <v>Baixa</v>
      </c>
      <c r="O365" s="47" t="n">
        <f aca="false">IF(ISBLANK(H365),"",IF(H365="ALI",IF(M365="L",7,IF(M365="A",10,15)),IF(H365="AIE",IF(M365="L",5,IF(M365="A",7,10)),IF(H365="SE",IF(M365="L",4,IF(M365="A",5,7)),IF(OR(H365="EE",H365="CE"),IF(M365="L",3,IF(M365="A",4,6)))))))</f>
        <v>3</v>
      </c>
      <c r="P365" s="48" t="n">
        <f aca="false">IF(I365="I",O365*Contagem!$W$15,IF(I365="E",O365*Contagem!$W$17,IF(I365="A",O365*Contagem!$W$16,IF(I365="T",O365*Contagem!$W$18,""))))</f>
        <v>3</v>
      </c>
      <c r="Q365" s="49" t="s">
        <v>621</v>
      </c>
    </row>
    <row r="366" customFormat="false" ht="12" hidden="false" customHeight="true" outlineLevel="0" collapsed="false">
      <c r="A366" s="40" t="n">
        <f aca="false">IF(H366="",IF(C366="",A365,A365+1),A365)</f>
        <v>49</v>
      </c>
      <c r="B366" s="41" t="str">
        <f aca="false">IF(A366=A365,"",CONCATENATE("F",A366))</f>
        <v/>
      </c>
      <c r="C366" s="42" t="s">
        <v>622</v>
      </c>
      <c r="D366" s="42"/>
      <c r="E366" s="42"/>
      <c r="F366" s="42"/>
      <c r="G366" s="42"/>
      <c r="H366" s="44" t="s">
        <v>62</v>
      </c>
      <c r="I366" s="50" t="s">
        <v>56</v>
      </c>
      <c r="J366" s="44" t="n">
        <v>7</v>
      </c>
      <c r="K366" s="44" t="n">
        <v>3</v>
      </c>
      <c r="L366" s="44" t="str">
        <f aca="false">CONCATENATE(H366,M366)</f>
        <v>EEH</v>
      </c>
      <c r="M366" s="45" t="str">
        <f aca="false">IF(OR(ISBLANK(J366),ISBLANK(K366)),IF(OR(H366="ALI",H366="AIE"),"L",IF(ISBLANK(H366),"","A")),IF(H366="EE",IF(K366&gt;=3,IF(J366&gt;=5,"H","A"),IF(K366&gt;=2,IF(J366&gt;=16,"H",IF(J366&lt;=4,"L","A")),IF(J366&lt;=15,"L","A"))),IF(OR(H366="SE",H366="CE"),IF(K366&gt;=4,IF(J366&gt;=6,"H","A"),IF(K366&gt;=2,IF(J366&gt;=20,"H",IF(J366&lt;=5,"L","A")),IF(J366&lt;=19,"L","A"))),IF(OR(H366="ALI",H366="AIE"),IF(K366&gt;=6,IF(J366&gt;=20,"H","A"),IF(K366&gt;=2,IF(J366&gt;=51,"H",IF(J366&lt;=19,"L","A")),IF(J366&lt;=50,"L","A")))))))</f>
        <v>H</v>
      </c>
      <c r="N366" s="46" t="str">
        <f aca="false">IF(M366="L","Baixa",IF(M366="A","Média",IF(M366="","","Alta")))</f>
        <v>Alta</v>
      </c>
      <c r="O366" s="47" t="n">
        <f aca="false">IF(ISBLANK(H366),"",IF(H366="ALI",IF(M366="L",7,IF(M366="A",10,15)),IF(H366="AIE",IF(M366="L",5,IF(M366="A",7,10)),IF(H366="SE",IF(M366="L",4,IF(M366="A",5,7)),IF(OR(H366="EE",H366="CE"),IF(M366="L",3,IF(M366="A",4,6)))))))</f>
        <v>6</v>
      </c>
      <c r="P366" s="48" t="n">
        <f aca="false">IF(I366="I",O366*Contagem!$W$15,IF(I366="E",O366*Contagem!$W$17,IF(I366="A",O366*Contagem!$W$16,IF(I366="T",O366*Contagem!$W$18,""))))</f>
        <v>6</v>
      </c>
      <c r="Q366" s="49" t="s">
        <v>623</v>
      </c>
    </row>
    <row r="367" customFormat="false" ht="12" hidden="false" customHeight="true" outlineLevel="0" collapsed="false">
      <c r="A367" s="40" t="n">
        <f aca="false">IF(H367="",IF(C367="",A366,A366+1),A366)</f>
        <v>49</v>
      </c>
      <c r="B367" s="41" t="str">
        <f aca="false">IF(A367=A366,"",CONCATENATE("F",A367))</f>
        <v/>
      </c>
      <c r="C367" s="42" t="s">
        <v>624</v>
      </c>
      <c r="D367" s="42"/>
      <c r="E367" s="42"/>
      <c r="F367" s="42"/>
      <c r="G367" s="42"/>
      <c r="H367" s="44" t="s">
        <v>62</v>
      </c>
      <c r="I367" s="50" t="s">
        <v>56</v>
      </c>
      <c r="J367" s="44" t="n">
        <v>5</v>
      </c>
      <c r="K367" s="44" t="n">
        <v>4</v>
      </c>
      <c r="L367" s="44" t="str">
        <f aca="false">CONCATENATE(H367,M367)</f>
        <v>EEH</v>
      </c>
      <c r="M367" s="45" t="str">
        <f aca="false">IF(OR(ISBLANK(J367),ISBLANK(K367)),IF(OR(H367="ALI",H367="AIE"),"L",IF(ISBLANK(H367),"","A")),IF(H367="EE",IF(K367&gt;=3,IF(J367&gt;=5,"H","A"),IF(K367&gt;=2,IF(J367&gt;=16,"H",IF(J367&lt;=4,"L","A")),IF(J367&lt;=15,"L","A"))),IF(OR(H367="SE",H367="CE"),IF(K367&gt;=4,IF(J367&gt;=6,"H","A"),IF(K367&gt;=2,IF(J367&gt;=20,"H",IF(J367&lt;=5,"L","A")),IF(J367&lt;=19,"L","A"))),IF(OR(H367="ALI",H367="AIE"),IF(K367&gt;=6,IF(J367&gt;=20,"H","A"),IF(K367&gt;=2,IF(J367&gt;=51,"H",IF(J367&lt;=19,"L","A")),IF(J367&lt;=50,"L","A")))))))</f>
        <v>H</v>
      </c>
      <c r="N367" s="46" t="str">
        <f aca="false">IF(M367="L","Baixa",IF(M367="A","Média",IF(M367="","","Alta")))</f>
        <v>Alta</v>
      </c>
      <c r="O367" s="47" t="n">
        <f aca="false">IF(ISBLANK(H367),"",IF(H367="ALI",IF(M367="L",7,IF(M367="A",10,15)),IF(H367="AIE",IF(M367="L",5,IF(M367="A",7,10)),IF(H367="SE",IF(M367="L",4,IF(M367="A",5,7)),IF(OR(H367="EE",H367="CE"),IF(M367="L",3,IF(M367="A",4,6)))))))</f>
        <v>6</v>
      </c>
      <c r="P367" s="48" t="n">
        <f aca="false">IF(I367="I",O367*Contagem!$W$15,IF(I367="E",O367*Contagem!$W$17,IF(I367="A",O367*Contagem!$W$16,IF(I367="T",O367*Contagem!$W$18,""))))</f>
        <v>6</v>
      </c>
      <c r="Q367" s="49" t="s">
        <v>625</v>
      </c>
    </row>
    <row r="368" customFormat="false" ht="12" hidden="false" customHeight="true" outlineLevel="0" collapsed="false">
      <c r="A368" s="40" t="n">
        <f aca="false">IF(H368="",IF(C368="",A367,A367+1),A367)</f>
        <v>49</v>
      </c>
      <c r="B368" s="41" t="str">
        <f aca="false">IF(A368=A367,"",CONCATENATE("F",A368))</f>
        <v/>
      </c>
      <c r="C368" s="42"/>
      <c r="D368" s="42"/>
      <c r="E368" s="42"/>
      <c r="F368" s="42"/>
      <c r="G368" s="42"/>
      <c r="H368" s="44"/>
      <c r="I368" s="50"/>
      <c r="J368" s="44"/>
      <c r="K368" s="44"/>
      <c r="L368" s="44" t="str">
        <f aca="false">CONCATENATE(H368,M368)</f>
        <v/>
      </c>
      <c r="M368" s="45" t="str">
        <f aca="false">IF(OR(ISBLANK(J368),ISBLANK(K368)),IF(OR(H368="ALI",H368="AIE"),"L",IF(ISBLANK(H368),"","A")),IF(H368="EE",IF(K368&gt;=3,IF(J368&gt;=5,"H","A"),IF(K368&gt;=2,IF(J368&gt;=16,"H",IF(J368&lt;=4,"L","A")),IF(J368&lt;=15,"L","A"))),IF(OR(H368="SE",H368="CE"),IF(K368&gt;=4,IF(J368&gt;=6,"H","A"),IF(K368&gt;=2,IF(J368&gt;=20,"H",IF(J368&lt;=5,"L","A")),IF(J368&lt;=19,"L","A"))),IF(OR(H368="ALI",H368="AIE"),IF(K368&gt;=6,IF(J368&gt;=20,"H","A"),IF(K368&gt;=2,IF(J368&gt;=51,"H",IF(J368&lt;=19,"L","A")),IF(J368&lt;=50,"L","A")))))))</f>
        <v/>
      </c>
      <c r="N368" s="46" t="str">
        <f aca="false">IF(M368="L","Baixa",IF(M368="A","Média",IF(M368="","","Alta")))</f>
        <v/>
      </c>
      <c r="O368" s="47" t="str">
        <f aca="false">IF(ISBLANK(H368),"",IF(H368="ALI",IF(M368="L",7,IF(M368="A",10,15)),IF(H368="AIE",IF(M368="L",5,IF(M368="A",7,10)),IF(H368="SE",IF(M368="L",4,IF(M368="A",5,7)),IF(OR(H368="EE",H368="CE"),IF(M368="L",3,IF(M368="A",4,6)))))))</f>
        <v/>
      </c>
      <c r="P368" s="48" t="str">
        <f aca="false">IF(I368="I",O368*Contagem!$W$15,IF(I368="E",O368*Contagem!$W$17,IF(I368="A",O368*Contagem!$W$16,IF(I368="T",O368*Contagem!$W$18,""))))</f>
        <v/>
      </c>
      <c r="Q368" s="49"/>
    </row>
    <row r="369" customFormat="false" ht="12" hidden="false" customHeight="true" outlineLevel="0" collapsed="false">
      <c r="A369" s="40" t="n">
        <f aca="false">IF(H369="",IF(C369="",A368,A368+1),A368)</f>
        <v>50</v>
      </c>
      <c r="B369" s="41" t="str">
        <f aca="false">IF(A369=A368,"",CONCATENATE("F",A369))</f>
        <v>F50</v>
      </c>
      <c r="C369" s="42" t="s">
        <v>626</v>
      </c>
      <c r="D369" s="42"/>
      <c r="E369" s="42"/>
      <c r="F369" s="42"/>
      <c r="G369" s="42"/>
      <c r="H369" s="44"/>
      <c r="I369" s="50"/>
      <c r="J369" s="44"/>
      <c r="K369" s="44"/>
      <c r="L369" s="44" t="str">
        <f aca="false">CONCATENATE(H369,M369)</f>
        <v/>
      </c>
      <c r="M369" s="45" t="str">
        <f aca="false">IF(OR(ISBLANK(J369),ISBLANK(K369)),IF(OR(H369="ALI",H369="AIE"),"L",IF(ISBLANK(H369),"","A")),IF(H369="EE",IF(K369&gt;=3,IF(J369&gt;=5,"H","A"),IF(K369&gt;=2,IF(J369&gt;=16,"H",IF(J369&lt;=4,"L","A")),IF(J369&lt;=15,"L","A"))),IF(OR(H369="SE",H369="CE"),IF(K369&gt;=4,IF(J369&gt;=6,"H","A"),IF(K369&gt;=2,IF(J369&gt;=20,"H",IF(J369&lt;=5,"L","A")),IF(J369&lt;=19,"L","A"))),IF(OR(H369="ALI",H369="AIE"),IF(K369&gt;=6,IF(J369&gt;=20,"H","A"),IF(K369&gt;=2,IF(J369&gt;=51,"H",IF(J369&lt;=19,"L","A")),IF(J369&lt;=50,"L","A")))))))</f>
        <v/>
      </c>
      <c r="N369" s="46" t="str">
        <f aca="false">IF(M369="L","Baixa",IF(M369="A","Média",IF(M369="","","Alta")))</f>
        <v/>
      </c>
      <c r="O369" s="47" t="str">
        <f aca="false">IF(ISBLANK(H369),"",IF(H369="ALI",IF(M369="L",7,IF(M369="A",10,15)),IF(H369="AIE",IF(M369="L",5,IF(M369="A",7,10)),IF(H369="SE",IF(M369="L",4,IF(M369="A",5,7)),IF(OR(H369="EE",H369="CE"),IF(M369="L",3,IF(M369="A",4,6)))))))</f>
        <v/>
      </c>
      <c r="P369" s="48" t="str">
        <f aca="false">IF(I369="I",O369*Contagem!$W$15,IF(I369="E",O369*Contagem!$W$17,IF(I369="A",O369*Contagem!$W$16,IF(I369="T",O369*Contagem!$W$18,""))))</f>
        <v/>
      </c>
      <c r="Q369" s="49"/>
    </row>
    <row r="370" customFormat="false" ht="12" hidden="false" customHeight="true" outlineLevel="0" collapsed="false">
      <c r="A370" s="40" t="n">
        <f aca="false">IF(H370="",IF(C370="",A369,A369+1),A369)</f>
        <v>50</v>
      </c>
      <c r="B370" s="41" t="str">
        <f aca="false">IF(A370=A369,"",CONCATENATE("F",A370))</f>
        <v/>
      </c>
      <c r="C370" s="42" t="s">
        <v>627</v>
      </c>
      <c r="D370" s="42"/>
      <c r="E370" s="42"/>
      <c r="F370" s="42"/>
      <c r="G370" s="42"/>
      <c r="H370" s="44" t="s">
        <v>80</v>
      </c>
      <c r="I370" s="50" t="s">
        <v>56</v>
      </c>
      <c r="J370" s="44" t="n">
        <v>20</v>
      </c>
      <c r="K370" s="44" t="n">
        <v>4</v>
      </c>
      <c r="L370" s="44" t="str">
        <f aca="false">CONCATENATE(H370,M370)</f>
        <v>CEH</v>
      </c>
      <c r="M370" s="45" t="str">
        <f aca="false">IF(OR(ISBLANK(J370),ISBLANK(K370)),IF(OR(H370="ALI",H370="AIE"),"L",IF(ISBLANK(H370),"","A")),IF(H370="EE",IF(K370&gt;=3,IF(J370&gt;=5,"H","A"),IF(K370&gt;=2,IF(J370&gt;=16,"H",IF(J370&lt;=4,"L","A")),IF(J370&lt;=15,"L","A"))),IF(OR(H370="SE",H370="CE"),IF(K370&gt;=4,IF(J370&gt;=6,"H","A"),IF(K370&gt;=2,IF(J370&gt;=20,"H",IF(J370&lt;=5,"L","A")),IF(J370&lt;=19,"L","A"))),IF(OR(H370="ALI",H370="AIE"),IF(K370&gt;=6,IF(J370&gt;=20,"H","A"),IF(K370&gt;=2,IF(J370&gt;=51,"H",IF(J370&lt;=19,"L","A")),IF(J370&lt;=50,"L","A")))))))</f>
        <v>H</v>
      </c>
      <c r="N370" s="46" t="str">
        <f aca="false">IF(M370="L","Baixa",IF(M370="A","Média",IF(M370="","","Alta")))</f>
        <v>Alta</v>
      </c>
      <c r="O370" s="47" t="n">
        <f aca="false">IF(ISBLANK(H370),"",IF(H370="ALI",IF(M370="L",7,IF(M370="A",10,15)),IF(H370="AIE",IF(M370="L",5,IF(M370="A",7,10)),IF(H370="SE",IF(M370="L",4,IF(M370="A",5,7)),IF(OR(H370="EE",H370="CE"),IF(M370="L",3,IF(M370="A",4,6)))))))</f>
        <v>6</v>
      </c>
      <c r="P370" s="48" t="n">
        <f aca="false">IF(I370="I",O370*Contagem!$W$15,IF(I370="E",O370*Contagem!$W$17,IF(I370="A",O370*Contagem!$W$16,IF(I370="T",O370*Contagem!$W$18,""))))</f>
        <v>6</v>
      </c>
      <c r="Q370" s="49" t="s">
        <v>628</v>
      </c>
    </row>
    <row r="371" customFormat="false" ht="12" hidden="false" customHeight="true" outlineLevel="0" collapsed="false">
      <c r="A371" s="40" t="n">
        <f aca="false">IF(H371="",IF(C371="",A370,A370+1),A370)</f>
        <v>50</v>
      </c>
      <c r="B371" s="41" t="str">
        <f aca="false">IF(A371=A370,"",CONCATENATE("F",A371))</f>
        <v/>
      </c>
      <c r="C371" s="42" t="s">
        <v>629</v>
      </c>
      <c r="D371" s="42"/>
      <c r="E371" s="42"/>
      <c r="F371" s="42"/>
      <c r="G371" s="42"/>
      <c r="H371" s="44" t="s">
        <v>62</v>
      </c>
      <c r="I371" s="50" t="s">
        <v>56</v>
      </c>
      <c r="J371" s="44" t="n">
        <v>4</v>
      </c>
      <c r="K371" s="44" t="n">
        <v>2</v>
      </c>
      <c r="L371" s="44" t="str">
        <f aca="false">CONCATENATE(H371,M371)</f>
        <v>EEL</v>
      </c>
      <c r="M371" s="45" t="str">
        <f aca="false">IF(OR(ISBLANK(J371),ISBLANK(K371)),IF(OR(H371="ALI",H371="AIE"),"L",IF(ISBLANK(H371),"","A")),IF(H371="EE",IF(K371&gt;=3,IF(J371&gt;=5,"H","A"),IF(K371&gt;=2,IF(J371&gt;=16,"H",IF(J371&lt;=4,"L","A")),IF(J371&lt;=15,"L","A"))),IF(OR(H371="SE",H371="CE"),IF(K371&gt;=4,IF(J371&gt;=6,"H","A"),IF(K371&gt;=2,IF(J371&gt;=20,"H",IF(J371&lt;=5,"L","A")),IF(J371&lt;=19,"L","A"))),IF(OR(H371="ALI",H371="AIE"),IF(K371&gt;=6,IF(J371&gt;=20,"H","A"),IF(K371&gt;=2,IF(J371&gt;=51,"H",IF(J371&lt;=19,"L","A")),IF(J371&lt;=50,"L","A")))))))</f>
        <v>L</v>
      </c>
      <c r="N371" s="46" t="str">
        <f aca="false">IF(M371="L","Baixa",IF(M371="A","Média",IF(M371="","","Alta")))</f>
        <v>Baixa</v>
      </c>
      <c r="O371" s="47" t="n">
        <f aca="false">IF(ISBLANK(H371),"",IF(H371="ALI",IF(M371="L",7,IF(M371="A",10,15)),IF(H371="AIE",IF(M371="L",5,IF(M371="A",7,10)),IF(H371="SE",IF(M371="L",4,IF(M371="A",5,7)),IF(OR(H371="EE",H371="CE"),IF(M371="L",3,IF(M371="A",4,6)))))))</f>
        <v>3</v>
      </c>
      <c r="P371" s="48" t="n">
        <f aca="false">IF(I371="I",O371*Contagem!$W$15,IF(I371="E",O371*Contagem!$W$17,IF(I371="A",O371*Contagem!$W$16,IF(I371="T",O371*Contagem!$W$18,""))))</f>
        <v>3</v>
      </c>
      <c r="Q371" s="49" t="s">
        <v>630</v>
      </c>
    </row>
    <row r="372" customFormat="false" ht="12" hidden="false" customHeight="true" outlineLevel="0" collapsed="false">
      <c r="A372" s="40" t="n">
        <f aca="false">IF(H372="",IF(C372="",A371,A371+1),A371)</f>
        <v>50</v>
      </c>
      <c r="B372" s="41" t="str">
        <f aca="false">IF(A372=A371,"",CONCATENATE("F",A372))</f>
        <v/>
      </c>
      <c r="C372" s="42" t="s">
        <v>631</v>
      </c>
      <c r="D372" s="42"/>
      <c r="E372" s="42"/>
      <c r="F372" s="42"/>
      <c r="G372" s="42"/>
      <c r="H372" s="44" t="s">
        <v>80</v>
      </c>
      <c r="I372" s="50" t="s">
        <v>56</v>
      </c>
      <c r="J372" s="44" t="n">
        <v>13</v>
      </c>
      <c r="K372" s="44" t="n">
        <v>3</v>
      </c>
      <c r="L372" s="44" t="str">
        <f aca="false">CONCATENATE(H372,M372)</f>
        <v>CEA</v>
      </c>
      <c r="M372" s="45" t="str">
        <f aca="false">IF(OR(ISBLANK(J372),ISBLANK(K372)),IF(OR(H372="ALI",H372="AIE"),"L",IF(ISBLANK(H372),"","A")),IF(H372="EE",IF(K372&gt;=3,IF(J372&gt;=5,"H","A"),IF(K372&gt;=2,IF(J372&gt;=16,"H",IF(J372&lt;=4,"L","A")),IF(J372&lt;=15,"L","A"))),IF(OR(H372="SE",H372="CE"),IF(K372&gt;=4,IF(J372&gt;=6,"H","A"),IF(K372&gt;=2,IF(J372&gt;=20,"H",IF(J372&lt;=5,"L","A")),IF(J372&lt;=19,"L","A"))),IF(OR(H372="ALI",H372="AIE"),IF(K372&gt;=6,IF(J372&gt;=20,"H","A"),IF(K372&gt;=2,IF(J372&gt;=51,"H",IF(J372&lt;=19,"L","A")),IF(J372&lt;=50,"L","A")))))))</f>
        <v>A</v>
      </c>
      <c r="N372" s="46" t="str">
        <f aca="false">IF(M372="L","Baixa",IF(M372="A","Média",IF(M372="","","Alta")))</f>
        <v>Média</v>
      </c>
      <c r="O372" s="47" t="n">
        <f aca="false">IF(ISBLANK(H372),"",IF(H372="ALI",IF(M372="L",7,IF(M372="A",10,15)),IF(H372="AIE",IF(M372="L",5,IF(M372="A",7,10)),IF(H372="SE",IF(M372="L",4,IF(M372="A",5,7)),IF(OR(H372="EE",H372="CE"),IF(M372="L",3,IF(M372="A",4,6)))))))</f>
        <v>4</v>
      </c>
      <c r="P372" s="48" t="n">
        <f aca="false">IF(I372="I",O372*Contagem!$W$15,IF(I372="E",O372*Contagem!$W$17,IF(I372="A",O372*Contagem!$W$16,IF(I372="T",O372*Contagem!$W$18,""))))</f>
        <v>4</v>
      </c>
      <c r="Q372" s="49" t="s">
        <v>632</v>
      </c>
    </row>
    <row r="373" customFormat="false" ht="12" hidden="false" customHeight="true" outlineLevel="0" collapsed="false">
      <c r="A373" s="40" t="n">
        <f aca="false">IF(H373="",IF(C373="",A372,A372+1),A372)</f>
        <v>50</v>
      </c>
      <c r="B373" s="41" t="str">
        <f aca="false">IF(A373=A372,"",CONCATENATE("F",A373))</f>
        <v/>
      </c>
      <c r="C373" s="42" t="s">
        <v>633</v>
      </c>
      <c r="D373" s="42"/>
      <c r="E373" s="42"/>
      <c r="F373" s="42"/>
      <c r="G373" s="42"/>
      <c r="H373" s="44" t="s">
        <v>99</v>
      </c>
      <c r="I373" s="50" t="s">
        <v>56</v>
      </c>
      <c r="J373" s="44" t="n">
        <v>9</v>
      </c>
      <c r="K373" s="44" t="n">
        <v>2</v>
      </c>
      <c r="L373" s="44" t="str">
        <f aca="false">CONCATENATE(H373,M373)</f>
        <v>SEA</v>
      </c>
      <c r="M373" s="45" t="str">
        <f aca="false">IF(OR(ISBLANK(J373),ISBLANK(K373)),IF(OR(H373="ALI",H373="AIE"),"L",IF(ISBLANK(H373),"","A")),IF(H373="EE",IF(K373&gt;=3,IF(J373&gt;=5,"H","A"),IF(K373&gt;=2,IF(J373&gt;=16,"H",IF(J373&lt;=4,"L","A")),IF(J373&lt;=15,"L","A"))),IF(OR(H373="SE",H373="CE"),IF(K373&gt;=4,IF(J373&gt;=6,"H","A"),IF(K373&gt;=2,IF(J373&gt;=20,"H",IF(J373&lt;=5,"L","A")),IF(J373&lt;=19,"L","A"))),IF(OR(H373="ALI",H373="AIE"),IF(K373&gt;=6,IF(J373&gt;=20,"H","A"),IF(K373&gt;=2,IF(J373&gt;=51,"H",IF(J373&lt;=19,"L","A")),IF(J373&lt;=50,"L","A")))))))</f>
        <v>A</v>
      </c>
      <c r="N373" s="46" t="str">
        <f aca="false">IF(M373="L","Baixa",IF(M373="A","Média",IF(M373="","","Alta")))</f>
        <v>Média</v>
      </c>
      <c r="O373" s="47" t="n">
        <f aca="false">IF(ISBLANK(H373),"",IF(H373="ALI",IF(M373="L",7,IF(M373="A",10,15)),IF(H373="AIE",IF(M373="L",5,IF(M373="A",7,10)),IF(H373="SE",IF(M373="L",4,IF(M373="A",5,7)),IF(OR(H373="EE",H373="CE"),IF(M373="L",3,IF(M373="A",4,6)))))))</f>
        <v>5</v>
      </c>
      <c r="P373" s="48" t="n">
        <f aca="false">IF(I373="I",O373*Contagem!$W$15,IF(I373="E",O373*Contagem!$W$17,IF(I373="A",O373*Contagem!$W$16,IF(I373="T",O373*Contagem!$W$18,""))))</f>
        <v>5</v>
      </c>
      <c r="Q373" s="49" t="s">
        <v>634</v>
      </c>
    </row>
    <row r="374" customFormat="false" ht="12" hidden="false" customHeight="true" outlineLevel="0" collapsed="false">
      <c r="A374" s="40" t="n">
        <f aca="false">IF(H374="",IF(C374="",A373,A373+1),A373)</f>
        <v>50</v>
      </c>
      <c r="B374" s="41" t="str">
        <f aca="false">IF(A374=A373,"",CONCATENATE("F",A374))</f>
        <v/>
      </c>
      <c r="C374" s="42" t="s">
        <v>635</v>
      </c>
      <c r="D374" s="42"/>
      <c r="E374" s="42"/>
      <c r="F374" s="42"/>
      <c r="G374" s="42"/>
      <c r="H374" s="44" t="s">
        <v>62</v>
      </c>
      <c r="I374" s="50" t="s">
        <v>56</v>
      </c>
      <c r="J374" s="44" t="n">
        <v>5</v>
      </c>
      <c r="K374" s="44" t="n">
        <v>2</v>
      </c>
      <c r="L374" s="44" t="str">
        <f aca="false">CONCATENATE(H374,M374)</f>
        <v>EEA</v>
      </c>
      <c r="M374" s="45" t="str">
        <f aca="false">IF(OR(ISBLANK(J374),ISBLANK(K374)),IF(OR(H374="ALI",H374="AIE"),"L",IF(ISBLANK(H374),"","A")),IF(H374="EE",IF(K374&gt;=3,IF(J374&gt;=5,"H","A"),IF(K374&gt;=2,IF(J374&gt;=16,"H",IF(J374&lt;=4,"L","A")),IF(J374&lt;=15,"L","A"))),IF(OR(H374="SE",H374="CE"),IF(K374&gt;=4,IF(J374&gt;=6,"H","A"),IF(K374&gt;=2,IF(J374&gt;=20,"H",IF(J374&lt;=5,"L","A")),IF(J374&lt;=19,"L","A"))),IF(OR(H374="ALI",H374="AIE"),IF(K374&gt;=6,IF(J374&gt;=20,"H","A"),IF(K374&gt;=2,IF(J374&gt;=51,"H",IF(J374&lt;=19,"L","A")),IF(J374&lt;=50,"L","A")))))))</f>
        <v>A</v>
      </c>
      <c r="N374" s="46" t="str">
        <f aca="false">IF(M374="L","Baixa",IF(M374="A","Média",IF(M374="","","Alta")))</f>
        <v>Média</v>
      </c>
      <c r="O374" s="47" t="n">
        <f aca="false">IF(ISBLANK(H374),"",IF(H374="ALI",IF(M374="L",7,IF(M374="A",10,15)),IF(H374="AIE",IF(M374="L",5,IF(M374="A",7,10)),IF(H374="SE",IF(M374="L",4,IF(M374="A",5,7)),IF(OR(H374="EE",H374="CE"),IF(M374="L",3,IF(M374="A",4,6)))))))</f>
        <v>4</v>
      </c>
      <c r="P374" s="48" t="n">
        <f aca="false">IF(I374="I",O374*Contagem!$W$15,IF(I374="E",O374*Contagem!$W$17,IF(I374="A",O374*Contagem!$W$16,IF(I374="T",O374*Contagem!$W$18,""))))</f>
        <v>4</v>
      </c>
      <c r="Q374" s="49" t="s">
        <v>636</v>
      </c>
    </row>
    <row r="375" customFormat="false" ht="12" hidden="false" customHeight="true" outlineLevel="0" collapsed="false">
      <c r="A375" s="40" t="n">
        <f aca="false">IF(H375="",IF(C375="",A374,A374+1),A374)</f>
        <v>50</v>
      </c>
      <c r="B375" s="41" t="str">
        <f aca="false">IF(A375=A374,"",CONCATENATE("F",A375))</f>
        <v/>
      </c>
      <c r="C375" s="42" t="s">
        <v>637</v>
      </c>
      <c r="D375" s="42"/>
      <c r="E375" s="42"/>
      <c r="F375" s="42"/>
      <c r="G375" s="42"/>
      <c r="H375" s="44" t="s">
        <v>62</v>
      </c>
      <c r="I375" s="50" t="s">
        <v>56</v>
      </c>
      <c r="J375" s="44" t="n">
        <v>6</v>
      </c>
      <c r="K375" s="44" t="n">
        <v>2</v>
      </c>
      <c r="L375" s="44" t="str">
        <f aca="false">CONCATENATE(H375,M375)</f>
        <v>EEA</v>
      </c>
      <c r="M375" s="45" t="str">
        <f aca="false">IF(OR(ISBLANK(J375),ISBLANK(K375)),IF(OR(H375="ALI",H375="AIE"),"L",IF(ISBLANK(H375),"","A")),IF(H375="EE",IF(K375&gt;=3,IF(J375&gt;=5,"H","A"),IF(K375&gt;=2,IF(J375&gt;=16,"H",IF(J375&lt;=4,"L","A")),IF(J375&lt;=15,"L","A"))),IF(OR(H375="SE",H375="CE"),IF(K375&gt;=4,IF(J375&gt;=6,"H","A"),IF(K375&gt;=2,IF(J375&gt;=20,"H",IF(J375&lt;=5,"L","A")),IF(J375&lt;=19,"L","A"))),IF(OR(H375="ALI",H375="AIE"),IF(K375&gt;=6,IF(J375&gt;=20,"H","A"),IF(K375&gt;=2,IF(J375&gt;=51,"H",IF(J375&lt;=19,"L","A")),IF(J375&lt;=50,"L","A")))))))</f>
        <v>A</v>
      </c>
      <c r="N375" s="46" t="str">
        <f aca="false">IF(M375="L","Baixa",IF(M375="A","Média",IF(M375="","","Alta")))</f>
        <v>Média</v>
      </c>
      <c r="O375" s="47" t="n">
        <f aca="false">IF(ISBLANK(H375),"",IF(H375="ALI",IF(M375="L",7,IF(M375="A",10,15)),IF(H375="AIE",IF(M375="L",5,IF(M375="A",7,10)),IF(H375="SE",IF(M375="L",4,IF(M375="A",5,7)),IF(OR(H375="EE",H375="CE"),IF(M375="L",3,IF(M375="A",4,6)))))))</f>
        <v>4</v>
      </c>
      <c r="P375" s="48" t="n">
        <f aca="false">IF(I375="I",O375*Contagem!$W$15,IF(I375="E",O375*Contagem!$W$17,IF(I375="A",O375*Contagem!$W$16,IF(I375="T",O375*Contagem!$W$18,""))))</f>
        <v>4</v>
      </c>
      <c r="Q375" s="49" t="s">
        <v>638</v>
      </c>
    </row>
    <row r="376" customFormat="false" ht="12" hidden="false" customHeight="true" outlineLevel="0" collapsed="false">
      <c r="A376" s="40" t="n">
        <f aca="false">IF(H376="",IF(C376="",A375,A375+1),A375)</f>
        <v>50</v>
      </c>
      <c r="B376" s="41" t="str">
        <f aca="false">IF(A376=A375,"",CONCATENATE("F",A376))</f>
        <v/>
      </c>
      <c r="C376" s="42" t="s">
        <v>639</v>
      </c>
      <c r="D376" s="42"/>
      <c r="E376" s="42"/>
      <c r="F376" s="42"/>
      <c r="G376" s="42"/>
      <c r="H376" s="44" t="s">
        <v>62</v>
      </c>
      <c r="I376" s="50" t="s">
        <v>56</v>
      </c>
      <c r="J376" s="44" t="n">
        <v>4</v>
      </c>
      <c r="K376" s="44" t="n">
        <v>2</v>
      </c>
      <c r="L376" s="44" t="str">
        <f aca="false">CONCATENATE(H376,M376)</f>
        <v>EEL</v>
      </c>
      <c r="M376" s="45" t="str">
        <f aca="false">IF(OR(ISBLANK(J376),ISBLANK(K376)),IF(OR(H376="ALI",H376="AIE"),"L",IF(ISBLANK(H376),"","A")),IF(H376="EE",IF(K376&gt;=3,IF(J376&gt;=5,"H","A"),IF(K376&gt;=2,IF(J376&gt;=16,"H",IF(J376&lt;=4,"L","A")),IF(J376&lt;=15,"L","A"))),IF(OR(H376="SE",H376="CE"),IF(K376&gt;=4,IF(J376&gt;=6,"H","A"),IF(K376&gt;=2,IF(J376&gt;=20,"H",IF(J376&lt;=5,"L","A")),IF(J376&lt;=19,"L","A"))),IF(OR(H376="ALI",H376="AIE"),IF(K376&gt;=6,IF(J376&gt;=20,"H","A"),IF(K376&gt;=2,IF(J376&gt;=51,"H",IF(J376&lt;=19,"L","A")),IF(J376&lt;=50,"L","A")))))))</f>
        <v>L</v>
      </c>
      <c r="N376" s="46" t="str">
        <f aca="false">IF(M376="L","Baixa",IF(M376="A","Média",IF(M376="","","Alta")))</f>
        <v>Baixa</v>
      </c>
      <c r="O376" s="47" t="n">
        <f aca="false">IF(ISBLANK(H376),"",IF(H376="ALI",IF(M376="L",7,IF(M376="A",10,15)),IF(H376="AIE",IF(M376="L",5,IF(M376="A",7,10)),IF(H376="SE",IF(M376="L",4,IF(M376="A",5,7)),IF(OR(H376="EE",H376="CE"),IF(M376="L",3,IF(M376="A",4,6)))))))</f>
        <v>3</v>
      </c>
      <c r="P376" s="48" t="n">
        <f aca="false">IF(I376="I",O376*Contagem!$W$15,IF(I376="E",O376*Contagem!$W$17,IF(I376="A",O376*Contagem!$W$16,IF(I376="T",O376*Contagem!$W$18,""))))</f>
        <v>3</v>
      </c>
      <c r="Q376" s="49" t="s">
        <v>640</v>
      </c>
    </row>
    <row r="377" customFormat="false" ht="12" hidden="false" customHeight="true" outlineLevel="0" collapsed="false">
      <c r="A377" s="40" t="n">
        <f aca="false">IF(H377="",IF(C377="",A376,A376+1),A376)</f>
        <v>50</v>
      </c>
      <c r="B377" s="41" t="str">
        <f aca="false">IF(A377=A376,"",CONCATENATE("F",A377))</f>
        <v/>
      </c>
      <c r="C377" s="42"/>
      <c r="D377" s="42"/>
      <c r="E377" s="42"/>
      <c r="F377" s="42"/>
      <c r="G377" s="42"/>
      <c r="H377" s="44"/>
      <c r="I377" s="50"/>
      <c r="J377" s="44"/>
      <c r="K377" s="44"/>
      <c r="L377" s="44" t="str">
        <f aca="false">CONCATENATE(H377,M377)</f>
        <v/>
      </c>
      <c r="M377" s="45" t="str">
        <f aca="false">IF(OR(ISBLANK(J377),ISBLANK(K377)),IF(OR(H377="ALI",H377="AIE"),"L",IF(ISBLANK(H377),"","A")),IF(H377="EE",IF(K377&gt;=3,IF(J377&gt;=5,"H","A"),IF(K377&gt;=2,IF(J377&gt;=16,"H",IF(J377&lt;=4,"L","A")),IF(J377&lt;=15,"L","A"))),IF(OR(H377="SE",H377="CE"),IF(K377&gt;=4,IF(J377&gt;=6,"H","A"),IF(K377&gt;=2,IF(J377&gt;=20,"H",IF(J377&lt;=5,"L","A")),IF(J377&lt;=19,"L","A"))),IF(OR(H377="ALI",H377="AIE"),IF(K377&gt;=6,IF(J377&gt;=20,"H","A"),IF(K377&gt;=2,IF(J377&gt;=51,"H",IF(J377&lt;=19,"L","A")),IF(J377&lt;=50,"L","A")))))))</f>
        <v/>
      </c>
      <c r="N377" s="46" t="str">
        <f aca="false">IF(M377="L","Baixa",IF(M377="A","Média",IF(M377="","","Alta")))</f>
        <v/>
      </c>
      <c r="O377" s="47" t="str">
        <f aca="false">IF(ISBLANK(H377),"",IF(H377="ALI",IF(M377="L",7,IF(M377="A",10,15)),IF(H377="AIE",IF(M377="L",5,IF(M377="A",7,10)),IF(H377="SE",IF(M377="L",4,IF(M377="A",5,7)),IF(OR(H377="EE",H377="CE"),IF(M377="L",3,IF(M377="A",4,6)))))))</f>
        <v/>
      </c>
      <c r="P377" s="48" t="str">
        <f aca="false">IF(I377="I",O377*Contagem!$W$15,IF(I377="E",O377*Contagem!$W$17,IF(I377="A",O377*Contagem!$W$16,IF(I377="T",O377*Contagem!$W$18,""))))</f>
        <v/>
      </c>
      <c r="Q377" s="49"/>
    </row>
    <row r="378" customFormat="false" ht="12" hidden="false" customHeight="true" outlineLevel="0" collapsed="false">
      <c r="A378" s="40" t="n">
        <f aca="false">IF(H378="",IF(C378="",A377,A377+1),A377)</f>
        <v>51</v>
      </c>
      <c r="B378" s="41" t="str">
        <f aca="false">IF(A378=A377,"",CONCATENATE("F",A378))</f>
        <v>F51</v>
      </c>
      <c r="C378" s="42" t="s">
        <v>641</v>
      </c>
      <c r="D378" s="42"/>
      <c r="E378" s="42"/>
      <c r="F378" s="42"/>
      <c r="G378" s="42"/>
      <c r="H378" s="44"/>
      <c r="I378" s="50"/>
      <c r="J378" s="44"/>
      <c r="K378" s="44"/>
      <c r="L378" s="44" t="str">
        <f aca="false">CONCATENATE(H378,M378)</f>
        <v/>
      </c>
      <c r="M378" s="45" t="str">
        <f aca="false">IF(OR(ISBLANK(J378),ISBLANK(K378)),IF(OR(H378="ALI",H378="AIE"),"L",IF(ISBLANK(H378),"","A")),IF(H378="EE",IF(K378&gt;=3,IF(J378&gt;=5,"H","A"),IF(K378&gt;=2,IF(J378&gt;=16,"H",IF(J378&lt;=4,"L","A")),IF(J378&lt;=15,"L","A"))),IF(OR(H378="SE",H378="CE"),IF(K378&gt;=4,IF(J378&gt;=6,"H","A"),IF(K378&gt;=2,IF(J378&gt;=20,"H",IF(J378&lt;=5,"L","A")),IF(J378&lt;=19,"L","A"))),IF(OR(H378="ALI",H378="AIE"),IF(K378&gt;=6,IF(J378&gt;=20,"H","A"),IF(K378&gt;=2,IF(J378&gt;=51,"H",IF(J378&lt;=19,"L","A")),IF(J378&lt;=50,"L","A")))))))</f>
        <v/>
      </c>
      <c r="N378" s="46" t="str">
        <f aca="false">IF(M378="L","Baixa",IF(M378="A","Média",IF(M378="","","Alta")))</f>
        <v/>
      </c>
      <c r="O378" s="47" t="str">
        <f aca="false">IF(ISBLANK(H378),"",IF(H378="ALI",IF(M378="L",7,IF(M378="A",10,15)),IF(H378="AIE",IF(M378="L",5,IF(M378="A",7,10)),IF(H378="SE",IF(M378="L",4,IF(M378="A",5,7)),IF(OR(H378="EE",H378="CE"),IF(M378="L",3,IF(M378="A",4,6)))))))</f>
        <v/>
      </c>
      <c r="P378" s="48" t="str">
        <f aca="false">IF(I378="I",O378*Contagem!$W$15,IF(I378="E",O378*Contagem!$W$17,IF(I378="A",O378*Contagem!$W$16,IF(I378="T",O378*Contagem!$W$18,""))))</f>
        <v/>
      </c>
      <c r="Q378" s="49"/>
    </row>
    <row r="379" customFormat="false" ht="12" hidden="false" customHeight="true" outlineLevel="0" collapsed="false">
      <c r="A379" s="40" t="n">
        <f aca="false">IF(H379="",IF(C379="",A378,A378+1),A378)</f>
        <v>51</v>
      </c>
      <c r="B379" s="41" t="str">
        <f aca="false">IF(A379=A378,"",CONCATENATE("F",A379))</f>
        <v/>
      </c>
      <c r="C379" s="42" t="s">
        <v>642</v>
      </c>
      <c r="D379" s="42"/>
      <c r="E379" s="42"/>
      <c r="F379" s="42"/>
      <c r="G379" s="42"/>
      <c r="H379" s="44" t="s">
        <v>55</v>
      </c>
      <c r="I379" s="50" t="s">
        <v>56</v>
      </c>
      <c r="J379" s="44" t="n">
        <v>28</v>
      </c>
      <c r="K379" s="44" t="n">
        <v>3</v>
      </c>
      <c r="L379" s="44" t="str">
        <f aca="false">CONCATENATE(H379,M379)</f>
        <v>ALIA</v>
      </c>
      <c r="M379" s="45" t="str">
        <f aca="false">IF(OR(ISBLANK(J379),ISBLANK(K379)),IF(OR(H379="ALI",H379="AIE"),"L",IF(ISBLANK(H379),"","A")),IF(H379="EE",IF(K379&gt;=3,IF(J379&gt;=5,"H","A"),IF(K379&gt;=2,IF(J379&gt;=16,"H",IF(J379&lt;=4,"L","A")),IF(J379&lt;=15,"L","A"))),IF(OR(H379="SE",H379="CE"),IF(K379&gt;=4,IF(J379&gt;=6,"H","A"),IF(K379&gt;=2,IF(J379&gt;=20,"H",IF(J379&lt;=5,"L","A")),IF(J379&lt;=19,"L","A"))),IF(OR(H379="ALI",H379="AIE"),IF(K379&gt;=6,IF(J379&gt;=20,"H","A"),IF(K379&gt;=2,IF(J379&gt;=51,"H",IF(J379&lt;=19,"L","A")),IF(J379&lt;=50,"L","A")))))))</f>
        <v>A</v>
      </c>
      <c r="N379" s="46" t="str">
        <f aca="false">IF(M379="L","Baixa",IF(M379="A","Média",IF(M379="","","Alta")))</f>
        <v>Média</v>
      </c>
      <c r="O379" s="47" t="n">
        <f aca="false">IF(ISBLANK(H379),"",IF(H379="ALI",IF(M379="L",7,IF(M379="A",10,15)),IF(H379="AIE",IF(M379="L",5,IF(M379="A",7,10)),IF(H379="SE",IF(M379="L",4,IF(M379="A",5,7)),IF(OR(H379="EE",H379="CE"),IF(M379="L",3,IF(M379="A",4,6)))))))</f>
        <v>10</v>
      </c>
      <c r="P379" s="48" t="n">
        <f aca="false">IF(I379="I",O379*Contagem!$W$15,IF(I379="E",O379*Contagem!$W$17,IF(I379="A",O379*Contagem!$W$16,IF(I379="T",O379*Contagem!$W$18,""))))</f>
        <v>10</v>
      </c>
      <c r="Q379" s="49" t="s">
        <v>643</v>
      </c>
    </row>
    <row r="380" customFormat="false" ht="12" hidden="false" customHeight="true" outlineLevel="0" collapsed="false">
      <c r="A380" s="40" t="n">
        <f aca="false">IF(H380="",IF(C380="",A379,A379+1),A379)</f>
        <v>51</v>
      </c>
      <c r="B380" s="41" t="str">
        <f aca="false">IF(A380=A379,"",CONCATENATE("F",A380))</f>
        <v/>
      </c>
      <c r="C380" s="42" t="s">
        <v>644</v>
      </c>
      <c r="D380" s="42"/>
      <c r="E380" s="42"/>
      <c r="F380" s="42"/>
      <c r="G380" s="42"/>
      <c r="H380" s="44" t="s">
        <v>55</v>
      </c>
      <c r="I380" s="50" t="s">
        <v>56</v>
      </c>
      <c r="J380" s="44" t="n">
        <v>10</v>
      </c>
      <c r="K380" s="44" t="n">
        <v>1</v>
      </c>
      <c r="L380" s="44" t="str">
        <f aca="false">CONCATENATE(H380,M380)</f>
        <v>ALIL</v>
      </c>
      <c r="M380" s="45" t="str">
        <f aca="false">IF(OR(ISBLANK(J380),ISBLANK(K380)),IF(OR(H380="ALI",H380="AIE"),"L",IF(ISBLANK(H380),"","A")),IF(H380="EE",IF(K380&gt;=3,IF(J380&gt;=5,"H","A"),IF(K380&gt;=2,IF(J380&gt;=16,"H",IF(J380&lt;=4,"L","A")),IF(J380&lt;=15,"L","A"))),IF(OR(H380="SE",H380="CE"),IF(K380&gt;=4,IF(J380&gt;=6,"H","A"),IF(K380&gt;=2,IF(J380&gt;=20,"H",IF(J380&lt;=5,"L","A")),IF(J380&lt;=19,"L","A"))),IF(OR(H380="ALI",H380="AIE"),IF(K380&gt;=6,IF(J380&gt;=20,"H","A"),IF(K380&gt;=2,IF(J380&gt;=51,"H",IF(J380&lt;=19,"L","A")),IF(J380&lt;=50,"L","A")))))))</f>
        <v>L</v>
      </c>
      <c r="N380" s="46" t="str">
        <f aca="false">IF(M380="L","Baixa",IF(M380="A","Média",IF(M380="","","Alta")))</f>
        <v>Baixa</v>
      </c>
      <c r="O380" s="47" t="n">
        <f aca="false">IF(ISBLANK(H380),"",IF(H380="ALI",IF(M380="L",7,IF(M380="A",10,15)),IF(H380="AIE",IF(M380="L",5,IF(M380="A",7,10)),IF(H380="SE",IF(M380="L",4,IF(M380="A",5,7)),IF(OR(H380="EE",H380="CE"),IF(M380="L",3,IF(M380="A",4,6)))))))</f>
        <v>7</v>
      </c>
      <c r="P380" s="48" t="n">
        <f aca="false">IF(I380="I",O380*Contagem!$W$15,IF(I380="E",O380*Contagem!$W$17,IF(I380="A",O380*Contagem!$W$16,IF(I380="T",O380*Contagem!$W$18,""))))</f>
        <v>7</v>
      </c>
      <c r="Q380" s="49" t="s">
        <v>645</v>
      </c>
    </row>
    <row r="381" customFormat="false" ht="12" hidden="false" customHeight="true" outlineLevel="0" collapsed="false">
      <c r="A381" s="40" t="n">
        <f aca="false">IF(H381="",IF(C381="",A380,A380+1),A380)</f>
        <v>51</v>
      </c>
      <c r="B381" s="41" t="str">
        <f aca="false">IF(A381=A380,"",CONCATENATE("F",A381))</f>
        <v/>
      </c>
      <c r="C381" s="42" t="s">
        <v>646</v>
      </c>
      <c r="D381" s="42"/>
      <c r="E381" s="42"/>
      <c r="F381" s="42"/>
      <c r="G381" s="42"/>
      <c r="H381" s="44" t="s">
        <v>55</v>
      </c>
      <c r="I381" s="50" t="s">
        <v>56</v>
      </c>
      <c r="J381" s="44" t="n">
        <v>5</v>
      </c>
      <c r="K381" s="44" t="n">
        <v>1</v>
      </c>
      <c r="L381" s="44" t="str">
        <f aca="false">CONCATENATE(H381,M381)</f>
        <v>ALIL</v>
      </c>
      <c r="M381" s="45" t="str">
        <f aca="false">IF(OR(ISBLANK(J381),ISBLANK(K381)),IF(OR(H381="ALI",H381="AIE"),"L",IF(ISBLANK(H381),"","A")),IF(H381="EE",IF(K381&gt;=3,IF(J381&gt;=5,"H","A"),IF(K381&gt;=2,IF(J381&gt;=16,"H",IF(J381&lt;=4,"L","A")),IF(J381&lt;=15,"L","A"))),IF(OR(H381="SE",H381="CE"),IF(K381&gt;=4,IF(J381&gt;=6,"H","A"),IF(K381&gt;=2,IF(J381&gt;=20,"H",IF(J381&lt;=5,"L","A")),IF(J381&lt;=19,"L","A"))),IF(OR(H381="ALI",H381="AIE"),IF(K381&gt;=6,IF(J381&gt;=20,"H","A"),IF(K381&gt;=2,IF(J381&gt;=51,"H",IF(J381&lt;=19,"L","A")),IF(J381&lt;=50,"L","A")))))))</f>
        <v>L</v>
      </c>
      <c r="N381" s="46" t="str">
        <f aca="false">IF(M381="L","Baixa",IF(M381="A","Média",IF(M381="","","Alta")))</f>
        <v>Baixa</v>
      </c>
      <c r="O381" s="47" t="n">
        <f aca="false">IF(ISBLANK(H381),"",IF(H381="ALI",IF(M381="L",7,IF(M381="A",10,15)),IF(H381="AIE",IF(M381="L",5,IF(M381="A",7,10)),IF(H381="SE",IF(M381="L",4,IF(M381="A",5,7)),IF(OR(H381="EE",H381="CE"),IF(M381="L",3,IF(M381="A",4,6)))))))</f>
        <v>7</v>
      </c>
      <c r="P381" s="48" t="n">
        <f aca="false">IF(I381="I",O381*Contagem!$W$15,IF(I381="E",O381*Contagem!$W$17,IF(I381="A",O381*Contagem!$W$16,IF(I381="T",O381*Contagem!$W$18,""))))</f>
        <v>7</v>
      </c>
      <c r="Q381" s="49" t="s">
        <v>647</v>
      </c>
    </row>
    <row r="382" customFormat="false" ht="12" hidden="false" customHeight="true" outlineLevel="0" collapsed="false">
      <c r="A382" s="40" t="n">
        <f aca="false">IF(H382="",IF(C382="",A381,A381+1),A381)</f>
        <v>51</v>
      </c>
      <c r="B382" s="41" t="str">
        <f aca="false">IF(A382=A381,"",CONCATENATE("F",A382))</f>
        <v/>
      </c>
      <c r="C382" s="42" t="s">
        <v>648</v>
      </c>
      <c r="D382" s="42"/>
      <c r="E382" s="42"/>
      <c r="F382" s="42"/>
      <c r="G382" s="42"/>
      <c r="H382" s="44" t="s">
        <v>80</v>
      </c>
      <c r="I382" s="50" t="s">
        <v>56</v>
      </c>
      <c r="J382" s="44" t="n">
        <v>48</v>
      </c>
      <c r="K382" s="44" t="n">
        <v>12</v>
      </c>
      <c r="L382" s="44" t="str">
        <f aca="false">CONCATENATE(H382,M382)</f>
        <v>CEH</v>
      </c>
      <c r="M382" s="45" t="str">
        <f aca="false">IF(OR(ISBLANK(J382),ISBLANK(K382)),IF(OR(H382="ALI",H382="AIE"),"L",IF(ISBLANK(H382),"","A")),IF(H382="EE",IF(K382&gt;=3,IF(J382&gt;=5,"H","A"),IF(K382&gt;=2,IF(J382&gt;=16,"H",IF(J382&lt;=4,"L","A")),IF(J382&lt;=15,"L","A"))),IF(OR(H382="SE",H382="CE"),IF(K382&gt;=4,IF(J382&gt;=6,"H","A"),IF(K382&gt;=2,IF(J382&gt;=20,"H",IF(J382&lt;=5,"L","A")),IF(J382&lt;=19,"L","A"))),IF(OR(H382="ALI",H382="AIE"),IF(K382&gt;=6,IF(J382&gt;=20,"H","A"),IF(K382&gt;=2,IF(J382&gt;=51,"H",IF(J382&lt;=19,"L","A")),IF(J382&lt;=50,"L","A")))))))</f>
        <v>H</v>
      </c>
      <c r="N382" s="46" t="str">
        <f aca="false">IF(M382="L","Baixa",IF(M382="A","Média",IF(M382="","","Alta")))</f>
        <v>Alta</v>
      </c>
      <c r="O382" s="47" t="n">
        <f aca="false">IF(ISBLANK(H382),"",IF(H382="ALI",IF(M382="L",7,IF(M382="A",10,15)),IF(H382="AIE",IF(M382="L",5,IF(M382="A",7,10)),IF(H382="SE",IF(M382="L",4,IF(M382="A",5,7)),IF(OR(H382="EE",H382="CE"),IF(M382="L",3,IF(M382="A",4,6)))))))</f>
        <v>6</v>
      </c>
      <c r="P382" s="48" t="n">
        <f aca="false">IF(I382="I",O382*Contagem!$W$15,IF(I382="E",O382*Contagem!$W$17,IF(I382="A",O382*Contagem!$W$16,IF(I382="T",O382*Contagem!$W$18,""))))</f>
        <v>6</v>
      </c>
      <c r="Q382" s="49" t="s">
        <v>649</v>
      </c>
    </row>
    <row r="383" customFormat="false" ht="12" hidden="false" customHeight="true" outlineLevel="0" collapsed="false">
      <c r="A383" s="40" t="n">
        <f aca="false">IF(H383="",IF(C383="",A382,A382+1),A382)</f>
        <v>51</v>
      </c>
      <c r="B383" s="41" t="str">
        <f aca="false">IF(A383=A382,"",CONCATENATE("F",A383))</f>
        <v/>
      </c>
      <c r="C383" s="42" t="s">
        <v>650</v>
      </c>
      <c r="D383" s="42"/>
      <c r="E383" s="42"/>
      <c r="F383" s="42"/>
      <c r="G383" s="42"/>
      <c r="H383" s="44" t="s">
        <v>62</v>
      </c>
      <c r="I383" s="50" t="s">
        <v>56</v>
      </c>
      <c r="J383" s="44" t="n">
        <v>13</v>
      </c>
      <c r="K383" s="44" t="n">
        <v>1</v>
      </c>
      <c r="L383" s="44" t="str">
        <f aca="false">CONCATENATE(H383,M383)</f>
        <v>EEL</v>
      </c>
      <c r="M383" s="45" t="str">
        <f aca="false">IF(OR(ISBLANK(J383),ISBLANK(K383)),IF(OR(H383="ALI",H383="AIE"),"L",IF(ISBLANK(H383),"","A")),IF(H383="EE",IF(K383&gt;=3,IF(J383&gt;=5,"H","A"),IF(K383&gt;=2,IF(J383&gt;=16,"H",IF(J383&lt;=4,"L","A")),IF(J383&lt;=15,"L","A"))),IF(OR(H383="SE",H383="CE"),IF(K383&gt;=4,IF(J383&gt;=6,"H","A"),IF(K383&gt;=2,IF(J383&gt;=20,"H",IF(J383&lt;=5,"L","A")),IF(J383&lt;=19,"L","A"))),IF(OR(H383="ALI",H383="AIE"),IF(K383&gt;=6,IF(J383&gt;=20,"H","A"),IF(K383&gt;=2,IF(J383&gt;=51,"H",IF(J383&lt;=19,"L","A")),IF(J383&lt;=50,"L","A")))))))</f>
        <v>L</v>
      </c>
      <c r="N383" s="46" t="str">
        <f aca="false">IF(M383="L","Baixa",IF(M383="A","Média",IF(M383="","","Alta")))</f>
        <v>Baixa</v>
      </c>
      <c r="O383" s="47" t="n">
        <f aca="false">IF(ISBLANK(H383),"",IF(H383="ALI",IF(M383="L",7,IF(M383="A",10,15)),IF(H383="AIE",IF(M383="L",5,IF(M383="A",7,10)),IF(H383="SE",IF(M383="L",4,IF(M383="A",5,7)),IF(OR(H383="EE",H383="CE"),IF(M383="L",3,IF(M383="A",4,6)))))))</f>
        <v>3</v>
      </c>
      <c r="P383" s="48" t="n">
        <f aca="false">IF(I383="I",O383*Contagem!$W$15,IF(I383="E",O383*Contagem!$W$17,IF(I383="A",O383*Contagem!$W$16,IF(I383="T",O383*Contagem!$W$18,""))))</f>
        <v>3</v>
      </c>
      <c r="Q383" s="49" t="s">
        <v>651</v>
      </c>
    </row>
    <row r="384" customFormat="false" ht="12" hidden="false" customHeight="true" outlineLevel="0" collapsed="false">
      <c r="A384" s="40" t="n">
        <f aca="false">IF(H384="",IF(C384="",A383,A383+1),A383)</f>
        <v>51</v>
      </c>
      <c r="B384" s="41" t="str">
        <f aca="false">IF(A384=A383,"",CONCATENATE("F",A384))</f>
        <v/>
      </c>
      <c r="C384" s="42" t="s">
        <v>652</v>
      </c>
      <c r="D384" s="42"/>
      <c r="E384" s="42"/>
      <c r="F384" s="42"/>
      <c r="G384" s="42"/>
      <c r="H384" s="44" t="s">
        <v>62</v>
      </c>
      <c r="I384" s="50" t="s">
        <v>56</v>
      </c>
      <c r="J384" s="44" t="n">
        <v>6</v>
      </c>
      <c r="K384" s="44" t="n">
        <v>1</v>
      </c>
      <c r="L384" s="44" t="str">
        <f aca="false">CONCATENATE(H384,M384)</f>
        <v>EEL</v>
      </c>
      <c r="M384" s="45" t="str">
        <f aca="false">IF(OR(ISBLANK(J384),ISBLANK(K384)),IF(OR(H384="ALI",H384="AIE"),"L",IF(ISBLANK(H384),"","A")),IF(H384="EE",IF(K384&gt;=3,IF(J384&gt;=5,"H","A"),IF(K384&gt;=2,IF(J384&gt;=16,"H",IF(J384&lt;=4,"L","A")),IF(J384&lt;=15,"L","A"))),IF(OR(H384="SE",H384="CE"),IF(K384&gt;=4,IF(J384&gt;=6,"H","A"),IF(K384&gt;=2,IF(J384&gt;=20,"H",IF(J384&lt;=5,"L","A")),IF(J384&lt;=19,"L","A"))),IF(OR(H384="ALI",H384="AIE"),IF(K384&gt;=6,IF(J384&gt;=20,"H","A"),IF(K384&gt;=2,IF(J384&gt;=51,"H",IF(J384&lt;=19,"L","A")),IF(J384&lt;=50,"L","A")))))))</f>
        <v>L</v>
      </c>
      <c r="N384" s="46" t="str">
        <f aca="false">IF(M384="L","Baixa",IF(M384="A","Média",IF(M384="","","Alta")))</f>
        <v>Baixa</v>
      </c>
      <c r="O384" s="47" t="n">
        <f aca="false">IF(ISBLANK(H384),"",IF(H384="ALI",IF(M384="L",7,IF(M384="A",10,15)),IF(H384="AIE",IF(M384="L",5,IF(M384="A",7,10)),IF(H384="SE",IF(M384="L",4,IF(M384="A",5,7)),IF(OR(H384="EE",H384="CE"),IF(M384="L",3,IF(M384="A",4,6)))))))</f>
        <v>3</v>
      </c>
      <c r="P384" s="48" t="n">
        <f aca="false">IF(I384="I",O384*Contagem!$W$15,IF(I384="E",O384*Contagem!$W$17,IF(I384="A",O384*Contagem!$W$16,IF(I384="T",O384*Contagem!$W$18,""))))</f>
        <v>3</v>
      </c>
      <c r="Q384" s="49" t="s">
        <v>653</v>
      </c>
    </row>
    <row r="385" customFormat="false" ht="12" hidden="false" customHeight="true" outlineLevel="0" collapsed="false">
      <c r="A385" s="40" t="n">
        <f aca="false">IF(H385="",IF(C385="",A384,A384+1),A384)</f>
        <v>51</v>
      </c>
      <c r="B385" s="41" t="str">
        <f aca="false">IF(A385=A384,"",CONCATENATE("F",A385))</f>
        <v/>
      </c>
      <c r="C385" s="42" t="s">
        <v>654</v>
      </c>
      <c r="D385" s="42"/>
      <c r="E385" s="42"/>
      <c r="F385" s="42"/>
      <c r="G385" s="42"/>
      <c r="H385" s="44" t="s">
        <v>80</v>
      </c>
      <c r="I385" s="50" t="s">
        <v>56</v>
      </c>
      <c r="J385" s="44" t="n">
        <v>5</v>
      </c>
      <c r="K385" s="44" t="n">
        <v>1</v>
      </c>
      <c r="L385" s="44" t="str">
        <f aca="false">CONCATENATE(H385,M385)</f>
        <v>CEL</v>
      </c>
      <c r="M385" s="45" t="str">
        <f aca="false">IF(OR(ISBLANK(J385),ISBLANK(K385)),IF(OR(H385="ALI",H385="AIE"),"L",IF(ISBLANK(H385),"","A")),IF(H385="EE",IF(K385&gt;=3,IF(J385&gt;=5,"H","A"),IF(K385&gt;=2,IF(J385&gt;=16,"H",IF(J385&lt;=4,"L","A")),IF(J385&lt;=15,"L","A"))),IF(OR(H385="SE",H385="CE"),IF(K385&gt;=4,IF(J385&gt;=6,"H","A"),IF(K385&gt;=2,IF(J385&gt;=20,"H",IF(J385&lt;=5,"L","A")),IF(J385&lt;=19,"L","A"))),IF(OR(H385="ALI",H385="AIE"),IF(K385&gt;=6,IF(J385&gt;=20,"H","A"),IF(K385&gt;=2,IF(J385&gt;=51,"H",IF(J385&lt;=19,"L","A")),IF(J385&lt;=50,"L","A")))))))</f>
        <v>L</v>
      </c>
      <c r="N385" s="46" t="str">
        <f aca="false">IF(M385="L","Baixa",IF(M385="A","Média",IF(M385="","","Alta")))</f>
        <v>Baixa</v>
      </c>
      <c r="O385" s="47" t="n">
        <f aca="false">IF(ISBLANK(H385),"",IF(H385="ALI",IF(M385="L",7,IF(M385="A",10,15)),IF(H385="AIE",IF(M385="L",5,IF(M385="A",7,10)),IF(H385="SE",IF(M385="L",4,IF(M385="A",5,7)),IF(OR(H385="EE",H385="CE"),IF(M385="L",3,IF(M385="A",4,6)))))))</f>
        <v>3</v>
      </c>
      <c r="P385" s="48" t="n">
        <f aca="false">IF(I385="I",O385*Contagem!$W$15,IF(I385="E",O385*Contagem!$W$17,IF(I385="A",O385*Contagem!$W$16,IF(I385="T",O385*Contagem!$W$18,""))))</f>
        <v>3</v>
      </c>
      <c r="Q385" s="49" t="s">
        <v>655</v>
      </c>
    </row>
    <row r="386" customFormat="false" ht="12" hidden="false" customHeight="true" outlineLevel="0" collapsed="false">
      <c r="A386" s="40" t="n">
        <f aca="false">IF(H386="",IF(C386="",A385,A385+1),A385)</f>
        <v>51</v>
      </c>
      <c r="B386" s="41" t="str">
        <f aca="false">IF(A386=A385,"",CONCATENATE("F",A386))</f>
        <v/>
      </c>
      <c r="C386" s="42" t="s">
        <v>656</v>
      </c>
      <c r="D386" s="42"/>
      <c r="E386" s="42"/>
      <c r="F386" s="42"/>
      <c r="G386" s="42"/>
      <c r="H386" s="44" t="s">
        <v>80</v>
      </c>
      <c r="I386" s="50" t="s">
        <v>56</v>
      </c>
      <c r="J386" s="44" t="n">
        <v>12</v>
      </c>
      <c r="K386" s="44" t="n">
        <v>3</v>
      </c>
      <c r="L386" s="44" t="str">
        <f aca="false">CONCATENATE(H386,M386)</f>
        <v>CEA</v>
      </c>
      <c r="M386" s="45" t="str">
        <f aca="false">IF(OR(ISBLANK(J386),ISBLANK(K386)),IF(OR(H386="ALI",H386="AIE"),"L",IF(ISBLANK(H386),"","A")),IF(H386="EE",IF(K386&gt;=3,IF(J386&gt;=5,"H","A"),IF(K386&gt;=2,IF(J386&gt;=16,"H",IF(J386&lt;=4,"L","A")),IF(J386&lt;=15,"L","A"))),IF(OR(H386="SE",H386="CE"),IF(K386&gt;=4,IF(J386&gt;=6,"H","A"),IF(K386&gt;=2,IF(J386&gt;=20,"H",IF(J386&lt;=5,"L","A")),IF(J386&lt;=19,"L","A"))),IF(OR(H386="ALI",H386="AIE"),IF(K386&gt;=6,IF(J386&gt;=20,"H","A"),IF(K386&gt;=2,IF(J386&gt;=51,"H",IF(J386&lt;=19,"L","A")),IF(J386&lt;=50,"L","A")))))))</f>
        <v>A</v>
      </c>
      <c r="N386" s="46" t="str">
        <f aca="false">IF(M386="L","Baixa",IF(M386="A","Média",IF(M386="","","Alta")))</f>
        <v>Média</v>
      </c>
      <c r="O386" s="47" t="n">
        <f aca="false">IF(ISBLANK(H386),"",IF(H386="ALI",IF(M386="L",7,IF(M386="A",10,15)),IF(H386="AIE",IF(M386="L",5,IF(M386="A",7,10)),IF(H386="SE",IF(M386="L",4,IF(M386="A",5,7)),IF(OR(H386="EE",H386="CE"),IF(M386="L",3,IF(M386="A",4,6)))))))</f>
        <v>4</v>
      </c>
      <c r="P386" s="48" t="n">
        <f aca="false">IF(I386="I",O386*Contagem!$W$15,IF(I386="E",O386*Contagem!$W$17,IF(I386="A",O386*Contagem!$W$16,IF(I386="T",O386*Contagem!$W$18,""))))</f>
        <v>4</v>
      </c>
      <c r="Q386" s="49" t="s">
        <v>657</v>
      </c>
    </row>
    <row r="387" customFormat="false" ht="12" hidden="false" customHeight="true" outlineLevel="0" collapsed="false">
      <c r="A387" s="40" t="n">
        <f aca="false">IF(H387="",IF(C387="",A386,A386+1),A386)</f>
        <v>51</v>
      </c>
      <c r="B387" s="41" t="str">
        <f aca="false">IF(A387=A386,"",CONCATENATE("F",A387))</f>
        <v/>
      </c>
      <c r="C387" s="42" t="s">
        <v>658</v>
      </c>
      <c r="D387" s="42"/>
      <c r="E387" s="42"/>
      <c r="F387" s="42"/>
      <c r="G387" s="42"/>
      <c r="H387" s="44" t="s">
        <v>62</v>
      </c>
      <c r="I387" s="50" t="s">
        <v>56</v>
      </c>
      <c r="J387" s="44" t="n">
        <v>9</v>
      </c>
      <c r="K387" s="44" t="n">
        <v>4</v>
      </c>
      <c r="L387" s="44" t="str">
        <f aca="false">CONCATENATE(H387,M387)</f>
        <v>EEH</v>
      </c>
      <c r="M387" s="45" t="str">
        <f aca="false">IF(OR(ISBLANK(J387),ISBLANK(K387)),IF(OR(H387="ALI",H387="AIE"),"L",IF(ISBLANK(H387),"","A")),IF(H387="EE",IF(K387&gt;=3,IF(J387&gt;=5,"H","A"),IF(K387&gt;=2,IF(J387&gt;=16,"H",IF(J387&lt;=4,"L","A")),IF(J387&lt;=15,"L","A"))),IF(OR(H387="SE",H387="CE"),IF(K387&gt;=4,IF(J387&gt;=6,"H","A"),IF(K387&gt;=2,IF(J387&gt;=20,"H",IF(J387&lt;=5,"L","A")),IF(J387&lt;=19,"L","A"))),IF(OR(H387="ALI",H387="AIE"),IF(K387&gt;=6,IF(J387&gt;=20,"H","A"),IF(K387&gt;=2,IF(J387&gt;=51,"H",IF(J387&lt;=19,"L","A")),IF(J387&lt;=50,"L","A")))))))</f>
        <v>H</v>
      </c>
      <c r="N387" s="46" t="str">
        <f aca="false">IF(M387="L","Baixa",IF(M387="A","Média",IF(M387="","","Alta")))</f>
        <v>Alta</v>
      </c>
      <c r="O387" s="47" t="n">
        <f aca="false">IF(ISBLANK(H387),"",IF(H387="ALI",IF(M387="L",7,IF(M387="A",10,15)),IF(H387="AIE",IF(M387="L",5,IF(M387="A",7,10)),IF(H387="SE",IF(M387="L",4,IF(M387="A",5,7)),IF(OR(H387="EE",H387="CE"),IF(M387="L",3,IF(M387="A",4,6)))))))</f>
        <v>6</v>
      </c>
      <c r="P387" s="48" t="n">
        <f aca="false">IF(I387="I",O387*Contagem!$W$15,IF(I387="E",O387*Contagem!$W$17,IF(I387="A",O387*Contagem!$W$16,IF(I387="T",O387*Contagem!$W$18,""))))</f>
        <v>6</v>
      </c>
      <c r="Q387" s="49" t="s">
        <v>659</v>
      </c>
    </row>
    <row r="388" customFormat="false" ht="12" hidden="false" customHeight="true" outlineLevel="0" collapsed="false">
      <c r="A388" s="40" t="n">
        <f aca="false">IF(H388="",IF(C388="",A387,A387+1),A387)</f>
        <v>51</v>
      </c>
      <c r="B388" s="41" t="str">
        <f aca="false">IF(A388=A387,"",CONCATENATE("F",A388))</f>
        <v/>
      </c>
      <c r="C388" s="42" t="s">
        <v>660</v>
      </c>
      <c r="D388" s="42"/>
      <c r="E388" s="42"/>
      <c r="F388" s="42"/>
      <c r="G388" s="42"/>
      <c r="H388" s="44" t="s">
        <v>62</v>
      </c>
      <c r="I388" s="50" t="s">
        <v>56</v>
      </c>
      <c r="J388" s="44" t="n">
        <v>5</v>
      </c>
      <c r="K388" s="44" t="n">
        <v>4</v>
      </c>
      <c r="L388" s="44" t="str">
        <f aca="false">CONCATENATE(H388,M388)</f>
        <v>EEH</v>
      </c>
      <c r="M388" s="45" t="str">
        <f aca="false">IF(OR(ISBLANK(J388),ISBLANK(K388)),IF(OR(H388="ALI",H388="AIE"),"L",IF(ISBLANK(H388),"","A")),IF(H388="EE",IF(K388&gt;=3,IF(J388&gt;=5,"H","A"),IF(K388&gt;=2,IF(J388&gt;=16,"H",IF(J388&lt;=4,"L","A")),IF(J388&lt;=15,"L","A"))),IF(OR(H388="SE",H388="CE"),IF(K388&gt;=4,IF(J388&gt;=6,"H","A"),IF(K388&gt;=2,IF(J388&gt;=20,"H",IF(J388&lt;=5,"L","A")),IF(J388&lt;=19,"L","A"))),IF(OR(H388="ALI",H388="AIE"),IF(K388&gt;=6,IF(J388&gt;=20,"H","A"),IF(K388&gt;=2,IF(J388&gt;=51,"H",IF(J388&lt;=19,"L","A")),IF(J388&lt;=50,"L","A")))))))</f>
        <v>H</v>
      </c>
      <c r="N388" s="46" t="str">
        <f aca="false">IF(M388="L","Baixa",IF(M388="A","Média",IF(M388="","","Alta")))</f>
        <v>Alta</v>
      </c>
      <c r="O388" s="47" t="n">
        <f aca="false">IF(ISBLANK(H388),"",IF(H388="ALI",IF(M388="L",7,IF(M388="A",10,15)),IF(H388="AIE",IF(M388="L",5,IF(M388="A",7,10)),IF(H388="SE",IF(M388="L",4,IF(M388="A",5,7)),IF(OR(H388="EE",H388="CE"),IF(M388="L",3,IF(M388="A",4,6)))))))</f>
        <v>6</v>
      </c>
      <c r="P388" s="48" t="n">
        <f aca="false">IF(I388="I",O388*Contagem!$W$15,IF(I388="E",O388*Contagem!$W$17,IF(I388="A",O388*Contagem!$W$16,IF(I388="T",O388*Contagem!$W$18,""))))</f>
        <v>6</v>
      </c>
      <c r="Q388" s="49" t="s">
        <v>661</v>
      </c>
    </row>
    <row r="389" customFormat="false" ht="12" hidden="false" customHeight="true" outlineLevel="0" collapsed="false">
      <c r="A389" s="40" t="n">
        <f aca="false">IF(H389="",IF(C389="",A388,A388+1),A388)</f>
        <v>51</v>
      </c>
      <c r="B389" s="41" t="str">
        <f aca="false">IF(A389=A388,"",CONCATENATE("F",A389))</f>
        <v/>
      </c>
      <c r="C389" s="42" t="s">
        <v>662</v>
      </c>
      <c r="D389" s="42"/>
      <c r="E389" s="42"/>
      <c r="F389" s="42"/>
      <c r="G389" s="42"/>
      <c r="H389" s="44" t="s">
        <v>62</v>
      </c>
      <c r="I389" s="50" t="s">
        <v>56</v>
      </c>
      <c r="J389" s="44" t="n">
        <v>5</v>
      </c>
      <c r="K389" s="44" t="n">
        <v>2</v>
      </c>
      <c r="L389" s="44" t="str">
        <f aca="false">CONCATENATE(H389,M389)</f>
        <v>EEA</v>
      </c>
      <c r="M389" s="45" t="str">
        <f aca="false">IF(OR(ISBLANK(J389),ISBLANK(K389)),IF(OR(H389="ALI",H389="AIE"),"L",IF(ISBLANK(H389),"","A")),IF(H389="EE",IF(K389&gt;=3,IF(J389&gt;=5,"H","A"),IF(K389&gt;=2,IF(J389&gt;=16,"H",IF(J389&lt;=4,"L","A")),IF(J389&lt;=15,"L","A"))),IF(OR(H389="SE",H389="CE"),IF(K389&gt;=4,IF(J389&gt;=6,"H","A"),IF(K389&gt;=2,IF(J389&gt;=20,"H",IF(J389&lt;=5,"L","A")),IF(J389&lt;=19,"L","A"))),IF(OR(H389="ALI",H389="AIE"),IF(K389&gt;=6,IF(J389&gt;=20,"H","A"),IF(K389&gt;=2,IF(J389&gt;=51,"H",IF(J389&lt;=19,"L","A")),IF(J389&lt;=50,"L","A")))))))</f>
        <v>A</v>
      </c>
      <c r="N389" s="46" t="str">
        <f aca="false">IF(M389="L","Baixa",IF(M389="A","Média",IF(M389="","","Alta")))</f>
        <v>Média</v>
      </c>
      <c r="O389" s="47" t="n">
        <f aca="false">IF(ISBLANK(H389),"",IF(H389="ALI",IF(M389="L",7,IF(M389="A",10,15)),IF(H389="AIE",IF(M389="L",5,IF(M389="A",7,10)),IF(H389="SE",IF(M389="L",4,IF(M389="A",5,7)),IF(OR(H389="EE",H389="CE"),IF(M389="L",3,IF(M389="A",4,6)))))))</f>
        <v>4</v>
      </c>
      <c r="P389" s="48" t="n">
        <f aca="false">IF(I389="I",O389*Contagem!$W$15,IF(I389="E",O389*Contagem!$W$17,IF(I389="A",O389*Contagem!$W$16,IF(I389="T",O389*Contagem!$W$18,""))))</f>
        <v>4</v>
      </c>
      <c r="Q389" s="49" t="s">
        <v>663</v>
      </c>
    </row>
    <row r="390" customFormat="false" ht="12" hidden="false" customHeight="true" outlineLevel="0" collapsed="false">
      <c r="A390" s="40" t="n">
        <f aca="false">IF(H390="",IF(C390="",A389,A389+1),A389)</f>
        <v>51</v>
      </c>
      <c r="B390" s="41" t="str">
        <f aca="false">IF(A390=A389,"",CONCATENATE("F",A390))</f>
        <v/>
      </c>
      <c r="C390" s="42" t="s">
        <v>664</v>
      </c>
      <c r="D390" s="42"/>
      <c r="E390" s="42"/>
      <c r="F390" s="42"/>
      <c r="G390" s="42"/>
      <c r="H390" s="44" t="s">
        <v>62</v>
      </c>
      <c r="I390" s="50" t="s">
        <v>56</v>
      </c>
      <c r="J390" s="44" t="n">
        <v>5</v>
      </c>
      <c r="K390" s="44" t="n">
        <v>2</v>
      </c>
      <c r="L390" s="44" t="str">
        <f aca="false">CONCATENATE(H390,M390)</f>
        <v>EEA</v>
      </c>
      <c r="M390" s="45" t="str">
        <f aca="false">IF(OR(ISBLANK(J390),ISBLANK(K390)),IF(OR(H390="ALI",H390="AIE"),"L",IF(ISBLANK(H390),"","A")),IF(H390="EE",IF(K390&gt;=3,IF(J390&gt;=5,"H","A"),IF(K390&gt;=2,IF(J390&gt;=16,"H",IF(J390&lt;=4,"L","A")),IF(J390&lt;=15,"L","A"))),IF(OR(H390="SE",H390="CE"),IF(K390&gt;=4,IF(J390&gt;=6,"H","A"),IF(K390&gt;=2,IF(J390&gt;=20,"H",IF(J390&lt;=5,"L","A")),IF(J390&lt;=19,"L","A"))),IF(OR(H390="ALI",H390="AIE"),IF(K390&gt;=6,IF(J390&gt;=20,"H","A"),IF(K390&gt;=2,IF(J390&gt;=51,"H",IF(J390&lt;=19,"L","A")),IF(J390&lt;=50,"L","A")))))))</f>
        <v>A</v>
      </c>
      <c r="N390" s="46" t="str">
        <f aca="false">IF(M390="L","Baixa",IF(M390="A","Média",IF(M390="","","Alta")))</f>
        <v>Média</v>
      </c>
      <c r="O390" s="47" t="n">
        <f aca="false">IF(ISBLANK(H390),"",IF(H390="ALI",IF(M390="L",7,IF(M390="A",10,15)),IF(H390="AIE",IF(M390="L",5,IF(M390="A",7,10)),IF(H390="SE",IF(M390="L",4,IF(M390="A",5,7)),IF(OR(H390="EE",H390="CE"),IF(M390="L",3,IF(M390="A",4,6)))))))</f>
        <v>4</v>
      </c>
      <c r="P390" s="48" t="n">
        <f aca="false">IF(I390="I",O390*Contagem!$W$15,IF(I390="E",O390*Contagem!$W$17,IF(I390="A",O390*Contagem!$W$16,IF(I390="T",O390*Contagem!$W$18,""))))</f>
        <v>4</v>
      </c>
      <c r="Q390" s="49" t="s">
        <v>665</v>
      </c>
    </row>
    <row r="391" customFormat="false" ht="12" hidden="false" customHeight="true" outlineLevel="0" collapsed="false">
      <c r="A391" s="40" t="n">
        <f aca="false">IF(H391="",IF(C391="",A390,A390+1),A390)</f>
        <v>51</v>
      </c>
      <c r="B391" s="41" t="str">
        <f aca="false">IF(A391=A390,"",CONCATENATE("F",A391))</f>
        <v/>
      </c>
      <c r="C391" s="42"/>
      <c r="D391" s="42"/>
      <c r="E391" s="42"/>
      <c r="F391" s="42"/>
      <c r="G391" s="42"/>
      <c r="H391" s="44"/>
      <c r="I391" s="50"/>
      <c r="J391" s="44"/>
      <c r="K391" s="44"/>
      <c r="L391" s="44" t="str">
        <f aca="false">CONCATENATE(H391,M391)</f>
        <v/>
      </c>
      <c r="M391" s="45" t="str">
        <f aca="false">IF(OR(ISBLANK(J391),ISBLANK(K391)),IF(OR(H391="ALI",H391="AIE"),"L",IF(ISBLANK(H391),"","A")),IF(H391="EE",IF(K391&gt;=3,IF(J391&gt;=5,"H","A"),IF(K391&gt;=2,IF(J391&gt;=16,"H",IF(J391&lt;=4,"L","A")),IF(J391&lt;=15,"L","A"))),IF(OR(H391="SE",H391="CE"),IF(K391&gt;=4,IF(J391&gt;=6,"H","A"),IF(K391&gt;=2,IF(J391&gt;=20,"H",IF(J391&lt;=5,"L","A")),IF(J391&lt;=19,"L","A"))),IF(OR(H391="ALI",H391="AIE"),IF(K391&gt;=6,IF(J391&gt;=20,"H","A"),IF(K391&gt;=2,IF(J391&gt;=51,"H",IF(J391&lt;=19,"L","A")),IF(J391&lt;=50,"L","A")))))))</f>
        <v/>
      </c>
      <c r="N391" s="46" t="str">
        <f aca="false">IF(M391="L","Baixa",IF(M391="A","Média",IF(M391="","","Alta")))</f>
        <v/>
      </c>
      <c r="O391" s="47" t="str">
        <f aca="false">IF(ISBLANK(H391),"",IF(H391="ALI",IF(M391="L",7,IF(M391="A",10,15)),IF(H391="AIE",IF(M391="L",5,IF(M391="A",7,10)),IF(H391="SE",IF(M391="L",4,IF(M391="A",5,7)),IF(OR(H391="EE",H391="CE"),IF(M391="L",3,IF(M391="A",4,6)))))))</f>
        <v/>
      </c>
      <c r="P391" s="48" t="str">
        <f aca="false">IF(I391="I",O391*Contagem!$W$15,IF(I391="E",O391*Contagem!$W$17,IF(I391="A",O391*Contagem!$W$16,IF(I391="T",O391*Contagem!$W$18,""))))</f>
        <v/>
      </c>
      <c r="Q391" s="49"/>
    </row>
    <row r="392" customFormat="false" ht="12" hidden="false" customHeight="true" outlineLevel="0" collapsed="false">
      <c r="A392" s="40" t="n">
        <f aca="false">IF(H392="",IF(C392="",A391,A391+1),A391)</f>
        <v>52</v>
      </c>
      <c r="B392" s="41" t="str">
        <f aca="false">IF(A392=A391,"",CONCATENATE("F",A392))</f>
        <v>F52</v>
      </c>
      <c r="C392" s="42" t="s">
        <v>666</v>
      </c>
      <c r="D392" s="42"/>
      <c r="E392" s="42"/>
      <c r="F392" s="42"/>
      <c r="G392" s="42"/>
      <c r="H392" s="44"/>
      <c r="I392" s="50"/>
      <c r="J392" s="44"/>
      <c r="K392" s="44"/>
      <c r="L392" s="44" t="str">
        <f aca="false">CONCATENATE(H392,M392)</f>
        <v/>
      </c>
      <c r="M392" s="45" t="str">
        <f aca="false">IF(OR(ISBLANK(J392),ISBLANK(K392)),IF(OR(H392="ALI",H392="AIE"),"L",IF(ISBLANK(H392),"","A")),IF(H392="EE",IF(K392&gt;=3,IF(J392&gt;=5,"H","A"),IF(K392&gt;=2,IF(J392&gt;=16,"H",IF(J392&lt;=4,"L","A")),IF(J392&lt;=15,"L","A"))),IF(OR(H392="SE",H392="CE"),IF(K392&gt;=4,IF(J392&gt;=6,"H","A"),IF(K392&gt;=2,IF(J392&gt;=20,"H",IF(J392&lt;=5,"L","A")),IF(J392&lt;=19,"L","A"))),IF(OR(H392="ALI",H392="AIE"),IF(K392&gt;=6,IF(J392&gt;=20,"H","A"),IF(K392&gt;=2,IF(J392&gt;=51,"H",IF(J392&lt;=19,"L","A")),IF(J392&lt;=50,"L","A")))))))</f>
        <v/>
      </c>
      <c r="N392" s="46" t="str">
        <f aca="false">IF(M392="L","Baixa",IF(M392="A","Média",IF(M392="","","Alta")))</f>
        <v/>
      </c>
      <c r="O392" s="47" t="str">
        <f aca="false">IF(ISBLANK(H392),"",IF(H392="ALI",IF(M392="L",7,IF(M392="A",10,15)),IF(H392="AIE",IF(M392="L",5,IF(M392="A",7,10)),IF(H392="SE",IF(M392="L",4,IF(M392="A",5,7)),IF(OR(H392="EE",H392="CE"),IF(M392="L",3,IF(M392="A",4,6)))))))</f>
        <v/>
      </c>
      <c r="P392" s="48" t="str">
        <f aca="false">IF(I392="I",O392*Contagem!$W$15,IF(I392="E",O392*Contagem!$W$17,IF(I392="A",O392*Contagem!$W$16,IF(I392="T",O392*Contagem!$W$18,""))))</f>
        <v/>
      </c>
      <c r="Q392" s="49"/>
    </row>
    <row r="393" customFormat="false" ht="12" hidden="false" customHeight="true" outlineLevel="0" collapsed="false">
      <c r="A393" s="40" t="n">
        <f aca="false">IF(H393="",IF(C393="",A392,A392+1),A392)</f>
        <v>52</v>
      </c>
      <c r="B393" s="41" t="str">
        <f aca="false">IF(A393=A392,"",CONCATENATE("F",A393))</f>
        <v/>
      </c>
      <c r="C393" s="42" t="s">
        <v>667</v>
      </c>
      <c r="D393" s="42"/>
      <c r="E393" s="42"/>
      <c r="F393" s="42"/>
      <c r="G393" s="42"/>
      <c r="H393" s="44" t="s">
        <v>55</v>
      </c>
      <c r="I393" s="50" t="s">
        <v>56</v>
      </c>
      <c r="J393" s="44" t="n">
        <v>7</v>
      </c>
      <c r="K393" s="44" t="n">
        <v>1</v>
      </c>
      <c r="L393" s="44" t="str">
        <f aca="false">CONCATENATE(H393,M393)</f>
        <v>ALIL</v>
      </c>
      <c r="M393" s="45" t="str">
        <f aca="false">IF(OR(ISBLANK(J393),ISBLANK(K393)),IF(OR(H393="ALI",H393="AIE"),"L",IF(ISBLANK(H393),"","A")),IF(H393="EE",IF(K393&gt;=3,IF(J393&gt;=5,"H","A"),IF(K393&gt;=2,IF(J393&gt;=16,"H",IF(J393&lt;=4,"L","A")),IF(J393&lt;=15,"L","A"))),IF(OR(H393="SE",H393="CE"),IF(K393&gt;=4,IF(J393&gt;=6,"H","A"),IF(K393&gt;=2,IF(J393&gt;=20,"H",IF(J393&lt;=5,"L","A")),IF(J393&lt;=19,"L","A"))),IF(OR(H393="ALI",H393="AIE"),IF(K393&gt;=6,IF(J393&gt;=20,"H","A"),IF(K393&gt;=2,IF(J393&gt;=51,"H",IF(J393&lt;=19,"L","A")),IF(J393&lt;=50,"L","A")))))))</f>
        <v>L</v>
      </c>
      <c r="N393" s="46" t="str">
        <f aca="false">IF(M393="L","Baixa",IF(M393="A","Média",IF(M393="","","Alta")))</f>
        <v>Baixa</v>
      </c>
      <c r="O393" s="47" t="n">
        <f aca="false">IF(ISBLANK(H393),"",IF(H393="ALI",IF(M393="L",7,IF(M393="A",10,15)),IF(H393="AIE",IF(M393="L",5,IF(M393="A",7,10)),IF(H393="SE",IF(M393="L",4,IF(M393="A",5,7)),IF(OR(H393="EE",H393="CE"),IF(M393="L",3,IF(M393="A",4,6)))))))</f>
        <v>7</v>
      </c>
      <c r="P393" s="48" t="n">
        <f aca="false">IF(I393="I",O393*Contagem!$W$15,IF(I393="E",O393*Contagem!$W$17,IF(I393="A",O393*Contagem!$W$16,IF(I393="T",O393*Contagem!$W$18,""))))</f>
        <v>7</v>
      </c>
      <c r="Q393" s="49" t="s">
        <v>668</v>
      </c>
    </row>
    <row r="394" customFormat="false" ht="12" hidden="false" customHeight="true" outlineLevel="0" collapsed="false">
      <c r="A394" s="40" t="n">
        <f aca="false">IF(H394="",IF(C394="",A393,A393+1),A393)</f>
        <v>52</v>
      </c>
      <c r="B394" s="41" t="str">
        <f aca="false">IF(A394=A393,"",CONCATENATE("F",A394))</f>
        <v/>
      </c>
      <c r="C394" s="42" t="s">
        <v>669</v>
      </c>
      <c r="D394" s="42"/>
      <c r="E394" s="42"/>
      <c r="F394" s="42"/>
      <c r="G394" s="42"/>
      <c r="H394" s="44" t="s">
        <v>80</v>
      </c>
      <c r="I394" s="50" t="s">
        <v>56</v>
      </c>
      <c r="J394" s="44" t="n">
        <v>33</v>
      </c>
      <c r="K394" s="44" t="n">
        <v>4</v>
      </c>
      <c r="L394" s="44" t="str">
        <f aca="false">CONCATENATE(H394,M394)</f>
        <v>CEH</v>
      </c>
      <c r="M394" s="45" t="str">
        <f aca="false">IF(OR(ISBLANK(J394),ISBLANK(K394)),IF(OR(H394="ALI",H394="AIE"),"L",IF(ISBLANK(H394),"","A")),IF(H394="EE",IF(K394&gt;=3,IF(J394&gt;=5,"H","A"),IF(K394&gt;=2,IF(J394&gt;=16,"H",IF(J394&lt;=4,"L","A")),IF(J394&lt;=15,"L","A"))),IF(OR(H394="SE",H394="CE"),IF(K394&gt;=4,IF(J394&gt;=6,"H","A"),IF(K394&gt;=2,IF(J394&gt;=20,"H",IF(J394&lt;=5,"L","A")),IF(J394&lt;=19,"L","A"))),IF(OR(H394="ALI",H394="AIE"),IF(K394&gt;=6,IF(J394&gt;=20,"H","A"),IF(K394&gt;=2,IF(J394&gt;=51,"H",IF(J394&lt;=19,"L","A")),IF(J394&lt;=50,"L","A")))))))</f>
        <v>H</v>
      </c>
      <c r="N394" s="46" t="str">
        <f aca="false">IF(M394="L","Baixa",IF(M394="A","Média",IF(M394="","","Alta")))</f>
        <v>Alta</v>
      </c>
      <c r="O394" s="47" t="n">
        <f aca="false">IF(ISBLANK(H394),"",IF(H394="ALI",IF(M394="L",7,IF(M394="A",10,15)),IF(H394="AIE",IF(M394="L",5,IF(M394="A",7,10)),IF(H394="SE",IF(M394="L",4,IF(M394="A",5,7)),IF(OR(H394="EE",H394="CE"),IF(M394="L",3,IF(M394="A",4,6)))))))</f>
        <v>6</v>
      </c>
      <c r="P394" s="48" t="n">
        <f aca="false">IF(I394="I",O394*Contagem!$W$15,IF(I394="E",O394*Contagem!$W$17,IF(I394="A",O394*Contagem!$W$16,IF(I394="T",O394*Contagem!$W$18,""))))</f>
        <v>6</v>
      </c>
      <c r="Q394" s="49" t="s">
        <v>670</v>
      </c>
    </row>
    <row r="395" customFormat="false" ht="12" hidden="false" customHeight="true" outlineLevel="0" collapsed="false">
      <c r="A395" s="40" t="n">
        <f aca="false">IF(H395="",IF(C395="",A394,A394+1),A394)</f>
        <v>52</v>
      </c>
      <c r="B395" s="41" t="str">
        <f aca="false">IF(A395=A394,"",CONCATENATE("F",A395))</f>
        <v/>
      </c>
      <c r="C395" s="42" t="s">
        <v>671</v>
      </c>
      <c r="D395" s="42"/>
      <c r="E395" s="42"/>
      <c r="F395" s="42"/>
      <c r="G395" s="42"/>
      <c r="H395" s="44" t="s">
        <v>62</v>
      </c>
      <c r="I395" s="50" t="s">
        <v>56</v>
      </c>
      <c r="J395" s="44" t="n">
        <v>5</v>
      </c>
      <c r="K395" s="44" t="n">
        <v>3</v>
      </c>
      <c r="L395" s="44" t="str">
        <f aca="false">CONCATENATE(H395,M395)</f>
        <v>EEH</v>
      </c>
      <c r="M395" s="45" t="str">
        <f aca="false">IF(OR(ISBLANK(J395),ISBLANK(K395)),IF(OR(H395="ALI",H395="AIE"),"L",IF(ISBLANK(H395),"","A")),IF(H395="EE",IF(K395&gt;=3,IF(J395&gt;=5,"H","A"),IF(K395&gt;=2,IF(J395&gt;=16,"H",IF(J395&lt;=4,"L","A")),IF(J395&lt;=15,"L","A"))),IF(OR(H395="SE",H395="CE"),IF(K395&gt;=4,IF(J395&gt;=6,"H","A"),IF(K395&gt;=2,IF(J395&gt;=20,"H",IF(J395&lt;=5,"L","A")),IF(J395&lt;=19,"L","A"))),IF(OR(H395="ALI",H395="AIE"),IF(K395&gt;=6,IF(J395&gt;=20,"H","A"),IF(K395&gt;=2,IF(J395&gt;=51,"H",IF(J395&lt;=19,"L","A")),IF(J395&lt;=50,"L","A")))))))</f>
        <v>H</v>
      </c>
      <c r="N395" s="46" t="str">
        <f aca="false">IF(M395="L","Baixa",IF(M395="A","Média",IF(M395="","","Alta")))</f>
        <v>Alta</v>
      </c>
      <c r="O395" s="47" t="n">
        <f aca="false">IF(ISBLANK(H395),"",IF(H395="ALI",IF(M395="L",7,IF(M395="A",10,15)),IF(H395="AIE",IF(M395="L",5,IF(M395="A",7,10)),IF(H395="SE",IF(M395="L",4,IF(M395="A",5,7)),IF(OR(H395="EE",H395="CE"),IF(M395="L",3,IF(M395="A",4,6)))))))</f>
        <v>6</v>
      </c>
      <c r="P395" s="48" t="n">
        <f aca="false">IF(I395="I",O395*Contagem!$W$15,IF(I395="E",O395*Contagem!$W$17,IF(I395="A",O395*Contagem!$W$16,IF(I395="T",O395*Contagem!$W$18,""))))</f>
        <v>6</v>
      </c>
      <c r="Q395" s="49" t="s">
        <v>672</v>
      </c>
    </row>
    <row r="396" customFormat="false" ht="12" hidden="false" customHeight="true" outlineLevel="0" collapsed="false">
      <c r="A396" s="40" t="n">
        <f aca="false">IF(H396="",IF(C396="",A395,A395+1),A395)</f>
        <v>52</v>
      </c>
      <c r="B396" s="41" t="str">
        <f aca="false">IF(A396=A395,"",CONCATENATE("F",A396))</f>
        <v/>
      </c>
      <c r="C396" s="42" t="s">
        <v>673</v>
      </c>
      <c r="D396" s="42"/>
      <c r="E396" s="42"/>
      <c r="F396" s="42"/>
      <c r="G396" s="42"/>
      <c r="H396" s="44" t="s">
        <v>62</v>
      </c>
      <c r="I396" s="50" t="s">
        <v>56</v>
      </c>
      <c r="J396" s="44" t="n">
        <v>5</v>
      </c>
      <c r="K396" s="44" t="n">
        <v>4</v>
      </c>
      <c r="L396" s="44" t="str">
        <f aca="false">CONCATENATE(H396,M396)</f>
        <v>EEH</v>
      </c>
      <c r="M396" s="45" t="str">
        <f aca="false">IF(OR(ISBLANK(J396),ISBLANK(K396)),IF(OR(H396="ALI",H396="AIE"),"L",IF(ISBLANK(H396),"","A")),IF(H396="EE",IF(K396&gt;=3,IF(J396&gt;=5,"H","A"),IF(K396&gt;=2,IF(J396&gt;=16,"H",IF(J396&lt;=4,"L","A")),IF(J396&lt;=15,"L","A"))),IF(OR(H396="SE",H396="CE"),IF(K396&gt;=4,IF(J396&gt;=6,"H","A"),IF(K396&gt;=2,IF(J396&gt;=20,"H",IF(J396&lt;=5,"L","A")),IF(J396&lt;=19,"L","A"))),IF(OR(H396="ALI",H396="AIE"),IF(K396&gt;=6,IF(J396&gt;=20,"H","A"),IF(K396&gt;=2,IF(J396&gt;=51,"H",IF(J396&lt;=19,"L","A")),IF(J396&lt;=50,"L","A")))))))</f>
        <v>H</v>
      </c>
      <c r="N396" s="46" t="str">
        <f aca="false">IF(M396="L","Baixa",IF(M396="A","Média",IF(M396="","","Alta")))</f>
        <v>Alta</v>
      </c>
      <c r="O396" s="47" t="n">
        <f aca="false">IF(ISBLANK(H396),"",IF(H396="ALI",IF(M396="L",7,IF(M396="A",10,15)),IF(H396="AIE",IF(M396="L",5,IF(M396="A",7,10)),IF(H396="SE",IF(M396="L",4,IF(M396="A",5,7)),IF(OR(H396="EE",H396="CE"),IF(M396="L",3,IF(M396="A",4,6)))))))</f>
        <v>6</v>
      </c>
      <c r="P396" s="48" t="n">
        <f aca="false">IF(I396="I",O396*Contagem!$W$15,IF(I396="E",O396*Contagem!$W$17,IF(I396="A",O396*Contagem!$W$16,IF(I396="T",O396*Contagem!$W$18,""))))</f>
        <v>6</v>
      </c>
      <c r="Q396" s="49" t="s">
        <v>674</v>
      </c>
    </row>
    <row r="397" customFormat="false" ht="12" hidden="false" customHeight="true" outlineLevel="0" collapsed="false">
      <c r="A397" s="40" t="n">
        <f aca="false">IF(H397="",IF(C397="",A396,A396+1),A396)</f>
        <v>52</v>
      </c>
      <c r="B397" s="41" t="str">
        <f aca="false">IF(A397=A396,"",CONCATENATE("F",A397))</f>
        <v/>
      </c>
      <c r="C397" s="42"/>
      <c r="D397" s="42"/>
      <c r="E397" s="42"/>
      <c r="F397" s="42"/>
      <c r="G397" s="42"/>
      <c r="H397" s="44"/>
      <c r="I397" s="50"/>
      <c r="J397" s="44"/>
      <c r="K397" s="44"/>
      <c r="L397" s="44" t="str">
        <f aca="false">CONCATENATE(H397,M397)</f>
        <v/>
      </c>
      <c r="M397" s="45" t="str">
        <f aca="false">IF(OR(ISBLANK(J397),ISBLANK(K397)),IF(OR(H397="ALI",H397="AIE"),"L",IF(ISBLANK(H397),"","A")),IF(H397="EE",IF(K397&gt;=3,IF(J397&gt;=5,"H","A"),IF(K397&gt;=2,IF(J397&gt;=16,"H",IF(J397&lt;=4,"L","A")),IF(J397&lt;=15,"L","A"))),IF(OR(H397="SE",H397="CE"),IF(K397&gt;=4,IF(J397&gt;=6,"H","A"),IF(K397&gt;=2,IF(J397&gt;=20,"H",IF(J397&lt;=5,"L","A")),IF(J397&lt;=19,"L","A"))),IF(OR(H397="ALI",H397="AIE"),IF(K397&gt;=6,IF(J397&gt;=20,"H","A"),IF(K397&gt;=2,IF(J397&gt;=51,"H",IF(J397&lt;=19,"L","A")),IF(J397&lt;=50,"L","A")))))))</f>
        <v/>
      </c>
      <c r="N397" s="46" t="str">
        <f aca="false">IF(M397="L","Baixa",IF(M397="A","Média",IF(M397="","","Alta")))</f>
        <v/>
      </c>
      <c r="O397" s="47" t="str">
        <f aca="false">IF(ISBLANK(H397),"",IF(H397="ALI",IF(M397="L",7,IF(M397="A",10,15)),IF(H397="AIE",IF(M397="L",5,IF(M397="A",7,10)),IF(H397="SE",IF(M397="L",4,IF(M397="A",5,7)),IF(OR(H397="EE",H397="CE"),IF(M397="L",3,IF(M397="A",4,6)))))))</f>
        <v/>
      </c>
      <c r="P397" s="48" t="str">
        <f aca="false">IF(I397="I",O397*Contagem!$W$15,IF(I397="E",O397*Contagem!$W$17,IF(I397="A",O397*Contagem!$W$16,IF(I397="T",O397*Contagem!$W$18,""))))</f>
        <v/>
      </c>
      <c r="Q397" s="49"/>
    </row>
    <row r="398" customFormat="false" ht="12" hidden="false" customHeight="true" outlineLevel="0" collapsed="false">
      <c r="A398" s="40" t="n">
        <f aca="false">IF(H398="",IF(C398="",A397,A397+1),A397)</f>
        <v>53</v>
      </c>
      <c r="B398" s="41" t="str">
        <f aca="false">IF(A398=A397,"",CONCATENATE("F",A398))</f>
        <v>F53</v>
      </c>
      <c r="C398" s="42" t="s">
        <v>675</v>
      </c>
      <c r="D398" s="42"/>
      <c r="E398" s="42"/>
      <c r="F398" s="42"/>
      <c r="G398" s="42"/>
      <c r="H398" s="44"/>
      <c r="I398" s="50"/>
      <c r="J398" s="44"/>
      <c r="K398" s="44"/>
      <c r="L398" s="44" t="str">
        <f aca="false">CONCATENATE(H398,M398)</f>
        <v/>
      </c>
      <c r="M398" s="45" t="str">
        <f aca="false">IF(OR(ISBLANK(J398),ISBLANK(K398)),IF(OR(H398="ALI",H398="AIE"),"L",IF(ISBLANK(H398),"","A")),IF(H398="EE",IF(K398&gt;=3,IF(J398&gt;=5,"H","A"),IF(K398&gt;=2,IF(J398&gt;=16,"H",IF(J398&lt;=4,"L","A")),IF(J398&lt;=15,"L","A"))),IF(OR(H398="SE",H398="CE"),IF(K398&gt;=4,IF(J398&gt;=6,"H","A"),IF(K398&gt;=2,IF(J398&gt;=20,"H",IF(J398&lt;=5,"L","A")),IF(J398&lt;=19,"L","A"))),IF(OR(H398="ALI",H398="AIE"),IF(K398&gt;=6,IF(J398&gt;=20,"H","A"),IF(K398&gt;=2,IF(J398&gt;=51,"H",IF(J398&lt;=19,"L","A")),IF(J398&lt;=50,"L","A")))))))</f>
        <v/>
      </c>
      <c r="N398" s="46" t="str">
        <f aca="false">IF(M398="L","Baixa",IF(M398="A","Média",IF(M398="","","Alta")))</f>
        <v/>
      </c>
      <c r="O398" s="47" t="str">
        <f aca="false">IF(ISBLANK(H398),"",IF(H398="ALI",IF(M398="L",7,IF(M398="A",10,15)),IF(H398="AIE",IF(M398="L",5,IF(M398="A",7,10)),IF(H398="SE",IF(M398="L",4,IF(M398="A",5,7)),IF(OR(H398="EE",H398="CE"),IF(M398="L",3,IF(M398="A",4,6)))))))</f>
        <v/>
      </c>
      <c r="P398" s="48" t="str">
        <f aca="false">IF(I398="I",O398*Contagem!$W$15,IF(I398="E",O398*Contagem!$W$17,IF(I398="A",O398*Contagem!$W$16,IF(I398="T",O398*Contagem!$W$18,""))))</f>
        <v/>
      </c>
      <c r="Q398" s="49"/>
    </row>
    <row r="399" customFormat="false" ht="12" hidden="false" customHeight="true" outlineLevel="0" collapsed="false">
      <c r="A399" s="40" t="n">
        <f aca="false">IF(H399="",IF(C399="",A398,A398+1),A398)</f>
        <v>53</v>
      </c>
      <c r="B399" s="41" t="str">
        <f aca="false">IF(A399=A398,"",CONCATENATE("F",A399))</f>
        <v/>
      </c>
      <c r="C399" s="42" t="s">
        <v>676</v>
      </c>
      <c r="D399" s="42"/>
      <c r="E399" s="42"/>
      <c r="F399" s="42"/>
      <c r="G399" s="42"/>
      <c r="H399" s="44" t="s">
        <v>55</v>
      </c>
      <c r="I399" s="50" t="s">
        <v>56</v>
      </c>
      <c r="J399" s="44" t="n">
        <v>78</v>
      </c>
      <c r="K399" s="44" t="n">
        <v>3</v>
      </c>
      <c r="L399" s="44" t="str">
        <f aca="false">CONCATENATE(H399,M399)</f>
        <v>ALIH</v>
      </c>
      <c r="M399" s="45" t="str">
        <f aca="false">IF(OR(ISBLANK(J399),ISBLANK(K399)),IF(OR(H399="ALI",H399="AIE"),"L",IF(ISBLANK(H399),"","A")),IF(H399="EE",IF(K399&gt;=3,IF(J399&gt;=5,"H","A"),IF(K399&gt;=2,IF(J399&gt;=16,"H",IF(J399&lt;=4,"L","A")),IF(J399&lt;=15,"L","A"))),IF(OR(H399="SE",H399="CE"),IF(K399&gt;=4,IF(J399&gt;=6,"H","A"),IF(K399&gt;=2,IF(J399&gt;=20,"H",IF(J399&lt;=5,"L","A")),IF(J399&lt;=19,"L","A"))),IF(OR(H399="ALI",H399="AIE"),IF(K399&gt;=6,IF(J399&gt;=20,"H","A"),IF(K399&gt;=2,IF(J399&gt;=51,"H",IF(J399&lt;=19,"L","A")),IF(J399&lt;=50,"L","A")))))))</f>
        <v>H</v>
      </c>
      <c r="N399" s="46" t="str">
        <f aca="false">IF(M399="L","Baixa",IF(M399="A","Média",IF(M399="","","Alta")))</f>
        <v>Alta</v>
      </c>
      <c r="O399" s="47" t="n">
        <f aca="false">IF(ISBLANK(H399),"",IF(H399="ALI",IF(M399="L",7,IF(M399="A",10,15)),IF(H399="AIE",IF(M399="L",5,IF(M399="A",7,10)),IF(H399="SE",IF(M399="L",4,IF(M399="A",5,7)),IF(OR(H399="EE",H399="CE"),IF(M399="L",3,IF(M399="A",4,6)))))))</f>
        <v>15</v>
      </c>
      <c r="P399" s="48" t="n">
        <f aca="false">IF(I399="I",O399*Contagem!$W$15,IF(I399="E",O399*Contagem!$W$17,IF(I399="A",O399*Contagem!$W$16,IF(I399="T",O399*Contagem!$W$18,""))))</f>
        <v>15</v>
      </c>
      <c r="Q399" s="49" t="s">
        <v>677</v>
      </c>
    </row>
    <row r="400" customFormat="false" ht="12" hidden="false" customHeight="true" outlineLevel="0" collapsed="false">
      <c r="A400" s="40" t="n">
        <f aca="false">IF(H400="",IF(C400="",A399,A399+1),A399)</f>
        <v>53</v>
      </c>
      <c r="B400" s="41" t="str">
        <f aca="false">IF(A400=A399,"",CONCATENATE("F",A400))</f>
        <v/>
      </c>
      <c r="C400" s="42" t="s">
        <v>678</v>
      </c>
      <c r="D400" s="42"/>
      <c r="E400" s="42"/>
      <c r="F400" s="42"/>
      <c r="G400" s="42"/>
      <c r="H400" s="44" t="s">
        <v>80</v>
      </c>
      <c r="I400" s="50" t="s">
        <v>56</v>
      </c>
      <c r="J400" s="44" t="n">
        <v>18</v>
      </c>
      <c r="K400" s="44" t="n">
        <v>3</v>
      </c>
      <c r="L400" s="44" t="str">
        <f aca="false">CONCATENATE(H400,M400)</f>
        <v>CEA</v>
      </c>
      <c r="M400" s="45" t="str">
        <f aca="false">IF(OR(ISBLANK(J400),ISBLANK(K400)),IF(OR(H400="ALI",H400="AIE"),"L",IF(ISBLANK(H400),"","A")),IF(H400="EE",IF(K400&gt;=3,IF(J400&gt;=5,"H","A"),IF(K400&gt;=2,IF(J400&gt;=16,"H",IF(J400&lt;=4,"L","A")),IF(J400&lt;=15,"L","A"))),IF(OR(H400="SE",H400="CE"),IF(K400&gt;=4,IF(J400&gt;=6,"H","A"),IF(K400&gt;=2,IF(J400&gt;=20,"H",IF(J400&lt;=5,"L","A")),IF(J400&lt;=19,"L","A"))),IF(OR(H400="ALI",H400="AIE"),IF(K400&gt;=6,IF(J400&gt;=20,"H","A"),IF(K400&gt;=2,IF(J400&gt;=51,"H",IF(J400&lt;=19,"L","A")),IF(J400&lt;=50,"L","A")))))))</f>
        <v>A</v>
      </c>
      <c r="N400" s="46" t="str">
        <f aca="false">IF(M400="L","Baixa",IF(M400="A","Média",IF(M400="","","Alta")))</f>
        <v>Média</v>
      </c>
      <c r="O400" s="47" t="n">
        <f aca="false">IF(ISBLANK(H400),"",IF(H400="ALI",IF(M400="L",7,IF(M400="A",10,15)),IF(H400="AIE",IF(M400="L",5,IF(M400="A",7,10)),IF(H400="SE",IF(M400="L",4,IF(M400="A",5,7)),IF(OR(H400="EE",H400="CE"),IF(M400="L",3,IF(M400="A",4,6)))))))</f>
        <v>4</v>
      </c>
      <c r="P400" s="48" t="n">
        <f aca="false">IF(I400="I",O400*Contagem!$W$15,IF(I400="E",O400*Contagem!$W$17,IF(I400="A",O400*Contagem!$W$16,IF(I400="T",O400*Contagem!$W$18,""))))</f>
        <v>4</v>
      </c>
      <c r="Q400" s="49" t="s">
        <v>679</v>
      </c>
    </row>
    <row r="401" customFormat="false" ht="12" hidden="false" customHeight="true" outlineLevel="0" collapsed="false">
      <c r="A401" s="40" t="n">
        <f aca="false">IF(H401="",IF(C401="",A400,A400+1),A400)</f>
        <v>53</v>
      </c>
      <c r="B401" s="41" t="str">
        <f aca="false">IF(A401=A400,"",CONCATENATE("F",A401))</f>
        <v/>
      </c>
      <c r="C401" s="42" t="s">
        <v>680</v>
      </c>
      <c r="D401" s="42"/>
      <c r="E401" s="42"/>
      <c r="F401" s="42"/>
      <c r="G401" s="42"/>
      <c r="H401" s="44" t="s">
        <v>62</v>
      </c>
      <c r="I401" s="50" t="s">
        <v>56</v>
      </c>
      <c r="J401" s="44" t="n">
        <v>7</v>
      </c>
      <c r="K401" s="44" t="n">
        <v>3</v>
      </c>
      <c r="L401" s="44" t="str">
        <f aca="false">CONCATENATE(H401,M401)</f>
        <v>EEH</v>
      </c>
      <c r="M401" s="45" t="str">
        <f aca="false">IF(OR(ISBLANK(J401),ISBLANK(K401)),IF(OR(H401="ALI",H401="AIE"),"L",IF(ISBLANK(H401),"","A")),IF(H401="EE",IF(K401&gt;=3,IF(J401&gt;=5,"H","A"),IF(K401&gt;=2,IF(J401&gt;=16,"H",IF(J401&lt;=4,"L","A")),IF(J401&lt;=15,"L","A"))),IF(OR(H401="SE",H401="CE"),IF(K401&gt;=4,IF(J401&gt;=6,"H","A"),IF(K401&gt;=2,IF(J401&gt;=20,"H",IF(J401&lt;=5,"L","A")),IF(J401&lt;=19,"L","A"))),IF(OR(H401="ALI",H401="AIE"),IF(K401&gt;=6,IF(J401&gt;=20,"H","A"),IF(K401&gt;=2,IF(J401&gt;=51,"H",IF(J401&lt;=19,"L","A")),IF(J401&lt;=50,"L","A")))))))</f>
        <v>H</v>
      </c>
      <c r="N401" s="46" t="str">
        <f aca="false">IF(M401="L","Baixa",IF(M401="A","Média",IF(M401="","","Alta")))</f>
        <v>Alta</v>
      </c>
      <c r="O401" s="47" t="n">
        <f aca="false">IF(ISBLANK(H401),"",IF(H401="ALI",IF(M401="L",7,IF(M401="A",10,15)),IF(H401="AIE",IF(M401="L",5,IF(M401="A",7,10)),IF(H401="SE",IF(M401="L",4,IF(M401="A",5,7)),IF(OR(H401="EE",H401="CE"),IF(M401="L",3,IF(M401="A",4,6)))))))</f>
        <v>6</v>
      </c>
      <c r="P401" s="48" t="n">
        <f aca="false">IF(I401="I",O401*Contagem!$W$15,IF(I401="E",O401*Contagem!$W$17,IF(I401="A",O401*Contagem!$W$16,IF(I401="T",O401*Contagem!$W$18,""))))</f>
        <v>6</v>
      </c>
      <c r="Q401" s="49" t="s">
        <v>681</v>
      </c>
    </row>
    <row r="402" customFormat="false" ht="12" hidden="false" customHeight="true" outlineLevel="0" collapsed="false">
      <c r="A402" s="40" t="n">
        <f aca="false">IF(H402="",IF(C402="",A401,A401+1),A401)</f>
        <v>53</v>
      </c>
      <c r="B402" s="41" t="str">
        <f aca="false">IF(A402=A401,"",CONCATENATE("F",A402))</f>
        <v/>
      </c>
      <c r="C402" s="42" t="s">
        <v>682</v>
      </c>
      <c r="D402" s="42"/>
      <c r="E402" s="42"/>
      <c r="F402" s="42"/>
      <c r="G402" s="42"/>
      <c r="H402" s="44" t="s">
        <v>62</v>
      </c>
      <c r="I402" s="50" t="s">
        <v>56</v>
      </c>
      <c r="J402" s="44" t="n">
        <v>12</v>
      </c>
      <c r="K402" s="44" t="n">
        <v>2</v>
      </c>
      <c r="L402" s="44" t="str">
        <f aca="false">CONCATENATE(H402,M402)</f>
        <v>EEA</v>
      </c>
      <c r="M402" s="45" t="str">
        <f aca="false">IF(OR(ISBLANK(J402),ISBLANK(K402)),IF(OR(H402="ALI",H402="AIE"),"L",IF(ISBLANK(H402),"","A")),IF(H402="EE",IF(K402&gt;=3,IF(J402&gt;=5,"H","A"),IF(K402&gt;=2,IF(J402&gt;=16,"H",IF(J402&lt;=4,"L","A")),IF(J402&lt;=15,"L","A"))),IF(OR(H402="SE",H402="CE"),IF(K402&gt;=4,IF(J402&gt;=6,"H","A"),IF(K402&gt;=2,IF(J402&gt;=20,"H",IF(J402&lt;=5,"L","A")),IF(J402&lt;=19,"L","A"))),IF(OR(H402="ALI",H402="AIE"),IF(K402&gt;=6,IF(J402&gt;=20,"H","A"),IF(K402&gt;=2,IF(J402&gt;=51,"H",IF(J402&lt;=19,"L","A")),IF(J402&lt;=50,"L","A")))))))</f>
        <v>A</v>
      </c>
      <c r="N402" s="46" t="str">
        <f aca="false">IF(M402="L","Baixa",IF(M402="A","Média",IF(M402="","","Alta")))</f>
        <v>Média</v>
      </c>
      <c r="O402" s="47" t="n">
        <f aca="false">IF(ISBLANK(H402),"",IF(H402="ALI",IF(M402="L",7,IF(M402="A",10,15)),IF(H402="AIE",IF(M402="L",5,IF(M402="A",7,10)),IF(H402="SE",IF(M402="L",4,IF(M402="A",5,7)),IF(OR(H402="EE",H402="CE"),IF(M402="L",3,IF(M402="A",4,6)))))))</f>
        <v>4</v>
      </c>
      <c r="P402" s="48" t="n">
        <f aca="false">IF(I402="I",O402*Contagem!$W$15,IF(I402="E",O402*Contagem!$W$17,IF(I402="A",O402*Contagem!$W$16,IF(I402="T",O402*Contagem!$W$18,""))))</f>
        <v>4</v>
      </c>
      <c r="Q402" s="49" t="s">
        <v>683</v>
      </c>
    </row>
    <row r="403" customFormat="false" ht="12" hidden="false" customHeight="true" outlineLevel="0" collapsed="false">
      <c r="A403" s="40" t="n">
        <f aca="false">IF(H403="",IF(C403="",A402,A402+1),A402)</f>
        <v>53</v>
      </c>
      <c r="B403" s="41" t="str">
        <f aca="false">IF(A403=A402,"",CONCATENATE("F",A403))</f>
        <v/>
      </c>
      <c r="C403" s="42" t="s">
        <v>684</v>
      </c>
      <c r="D403" s="42"/>
      <c r="E403" s="42"/>
      <c r="F403" s="42"/>
      <c r="G403" s="42"/>
      <c r="H403" s="44" t="s">
        <v>80</v>
      </c>
      <c r="I403" s="50" t="s">
        <v>56</v>
      </c>
      <c r="J403" s="44" t="n">
        <v>76</v>
      </c>
      <c r="K403" s="44" t="n">
        <v>3</v>
      </c>
      <c r="L403" s="44" t="str">
        <f aca="false">CONCATENATE(H403,M403)</f>
        <v>CEH</v>
      </c>
      <c r="M403" s="45" t="str">
        <f aca="false">IF(OR(ISBLANK(J403),ISBLANK(K403)),IF(OR(H403="ALI",H403="AIE"),"L",IF(ISBLANK(H403),"","A")),IF(H403="EE",IF(K403&gt;=3,IF(J403&gt;=5,"H","A"),IF(K403&gt;=2,IF(J403&gt;=16,"H",IF(J403&lt;=4,"L","A")),IF(J403&lt;=15,"L","A"))),IF(OR(H403="SE",H403="CE"),IF(K403&gt;=4,IF(J403&gt;=6,"H","A"),IF(K403&gt;=2,IF(J403&gt;=20,"H",IF(J403&lt;=5,"L","A")),IF(J403&lt;=19,"L","A"))),IF(OR(H403="ALI",H403="AIE"),IF(K403&gt;=6,IF(J403&gt;=20,"H","A"),IF(K403&gt;=2,IF(J403&gt;=51,"H",IF(J403&lt;=19,"L","A")),IF(J403&lt;=50,"L","A")))))))</f>
        <v>H</v>
      </c>
      <c r="N403" s="46" t="str">
        <f aca="false">IF(M403="L","Baixa",IF(M403="A","Média",IF(M403="","","Alta")))</f>
        <v>Alta</v>
      </c>
      <c r="O403" s="47" t="n">
        <f aca="false">IF(ISBLANK(H403),"",IF(H403="ALI",IF(M403="L",7,IF(M403="A",10,15)),IF(H403="AIE",IF(M403="L",5,IF(M403="A",7,10)),IF(H403="SE",IF(M403="L",4,IF(M403="A",5,7)),IF(OR(H403="EE",H403="CE"),IF(M403="L",3,IF(M403="A",4,6)))))))</f>
        <v>6</v>
      </c>
      <c r="P403" s="48" t="n">
        <f aca="false">IF(I403="I",O403*Contagem!$W$15,IF(I403="E",O403*Contagem!$W$17,IF(I403="A",O403*Contagem!$W$16,IF(I403="T",O403*Contagem!$W$18,""))))</f>
        <v>6</v>
      </c>
      <c r="Q403" s="49" t="s">
        <v>685</v>
      </c>
    </row>
    <row r="404" customFormat="false" ht="12" hidden="false" customHeight="true" outlineLevel="0" collapsed="false">
      <c r="A404" s="40" t="n">
        <f aca="false">IF(H404="",IF(C404="",A403,A403+1),A403)</f>
        <v>53</v>
      </c>
      <c r="B404" s="41" t="str">
        <f aca="false">IF(A404=A403,"",CONCATENATE("F",A404))</f>
        <v/>
      </c>
      <c r="C404" s="42" t="s">
        <v>686</v>
      </c>
      <c r="D404" s="42"/>
      <c r="E404" s="42"/>
      <c r="F404" s="42"/>
      <c r="G404" s="42"/>
      <c r="H404" s="44" t="s">
        <v>62</v>
      </c>
      <c r="I404" s="50" t="s">
        <v>56</v>
      </c>
      <c r="J404" s="44" t="n">
        <v>53</v>
      </c>
      <c r="K404" s="44" t="n">
        <v>1</v>
      </c>
      <c r="L404" s="44" t="str">
        <f aca="false">CONCATENATE(H404,M404)</f>
        <v>EEA</v>
      </c>
      <c r="M404" s="45" t="str">
        <f aca="false">IF(OR(ISBLANK(J404),ISBLANK(K404)),IF(OR(H404="ALI",H404="AIE"),"L",IF(ISBLANK(H404),"","A")),IF(H404="EE",IF(K404&gt;=3,IF(J404&gt;=5,"H","A"),IF(K404&gt;=2,IF(J404&gt;=16,"H",IF(J404&lt;=4,"L","A")),IF(J404&lt;=15,"L","A"))),IF(OR(H404="SE",H404="CE"),IF(K404&gt;=4,IF(J404&gt;=6,"H","A"),IF(K404&gt;=2,IF(J404&gt;=20,"H",IF(J404&lt;=5,"L","A")),IF(J404&lt;=19,"L","A"))),IF(OR(H404="ALI",H404="AIE"),IF(K404&gt;=6,IF(J404&gt;=20,"H","A"),IF(K404&gt;=2,IF(J404&gt;=51,"H",IF(J404&lt;=19,"L","A")),IF(J404&lt;=50,"L","A")))))))</f>
        <v>A</v>
      </c>
      <c r="N404" s="46" t="str">
        <f aca="false">IF(M404="L","Baixa",IF(M404="A","Média",IF(M404="","","Alta")))</f>
        <v>Média</v>
      </c>
      <c r="O404" s="47" t="n">
        <f aca="false">IF(ISBLANK(H404),"",IF(H404="ALI",IF(M404="L",7,IF(M404="A",10,15)),IF(H404="AIE",IF(M404="L",5,IF(M404="A",7,10)),IF(H404="SE",IF(M404="L",4,IF(M404="A",5,7)),IF(OR(H404="EE",H404="CE"),IF(M404="L",3,IF(M404="A",4,6)))))))</f>
        <v>4</v>
      </c>
      <c r="P404" s="48" t="n">
        <f aca="false">IF(I404="I",O404*Contagem!$W$15,IF(I404="E",O404*Contagem!$W$17,IF(I404="A",O404*Contagem!$W$16,IF(I404="T",O404*Contagem!$W$18,""))))</f>
        <v>4</v>
      </c>
      <c r="Q404" s="49" t="s">
        <v>687</v>
      </c>
    </row>
    <row r="405" customFormat="false" ht="12" hidden="false" customHeight="true" outlineLevel="0" collapsed="false">
      <c r="A405" s="40" t="n">
        <f aca="false">IF(H405="",IF(C405="",A404,A404+1),A404)</f>
        <v>53</v>
      </c>
      <c r="B405" s="41" t="str">
        <f aca="false">IF(A405=A404,"",CONCATENATE("F",A405))</f>
        <v/>
      </c>
      <c r="C405" s="42" t="s">
        <v>688</v>
      </c>
      <c r="D405" s="42"/>
      <c r="E405" s="42"/>
      <c r="F405" s="42"/>
      <c r="G405" s="42"/>
      <c r="H405" s="44" t="s">
        <v>62</v>
      </c>
      <c r="I405" s="50" t="s">
        <v>56</v>
      </c>
      <c r="J405" s="44" t="n">
        <v>6</v>
      </c>
      <c r="K405" s="44" t="n">
        <v>2</v>
      </c>
      <c r="L405" s="44" t="str">
        <f aca="false">CONCATENATE(H405,M405)</f>
        <v>EEA</v>
      </c>
      <c r="M405" s="45" t="str">
        <f aca="false">IF(OR(ISBLANK(J405),ISBLANK(K405)),IF(OR(H405="ALI",H405="AIE"),"L",IF(ISBLANK(H405),"","A")),IF(H405="EE",IF(K405&gt;=3,IF(J405&gt;=5,"H","A"),IF(K405&gt;=2,IF(J405&gt;=16,"H",IF(J405&lt;=4,"L","A")),IF(J405&lt;=15,"L","A"))),IF(OR(H405="SE",H405="CE"),IF(K405&gt;=4,IF(J405&gt;=6,"H","A"),IF(K405&gt;=2,IF(J405&gt;=20,"H",IF(J405&lt;=5,"L","A")),IF(J405&lt;=19,"L","A"))),IF(OR(H405="ALI",H405="AIE"),IF(K405&gt;=6,IF(J405&gt;=20,"H","A"),IF(K405&gt;=2,IF(J405&gt;=51,"H",IF(J405&lt;=19,"L","A")),IF(J405&lt;=50,"L","A")))))))</f>
        <v>A</v>
      </c>
      <c r="N405" s="46" t="str">
        <f aca="false">IF(M405="L","Baixa",IF(M405="A","Média",IF(M405="","","Alta")))</f>
        <v>Média</v>
      </c>
      <c r="O405" s="47" t="n">
        <f aca="false">IF(ISBLANK(H405),"",IF(H405="ALI",IF(M405="L",7,IF(M405="A",10,15)),IF(H405="AIE",IF(M405="L",5,IF(M405="A",7,10)),IF(H405="SE",IF(M405="L",4,IF(M405="A",5,7)),IF(OR(H405="EE",H405="CE"),IF(M405="L",3,IF(M405="A",4,6)))))))</f>
        <v>4</v>
      </c>
      <c r="P405" s="48" t="n">
        <f aca="false">IF(I405="I",O405*Contagem!$W$15,IF(I405="E",O405*Contagem!$W$17,IF(I405="A",O405*Contagem!$W$16,IF(I405="T",O405*Contagem!$W$18,""))))</f>
        <v>4</v>
      </c>
      <c r="Q405" s="49" t="s">
        <v>689</v>
      </c>
    </row>
    <row r="406" customFormat="false" ht="12" hidden="false" customHeight="true" outlineLevel="0" collapsed="false">
      <c r="A406" s="40" t="n">
        <f aca="false">IF(H406="",IF(C406="",A405,A405+1),A405)</f>
        <v>53</v>
      </c>
      <c r="B406" s="41" t="str">
        <f aca="false">IF(A406=A405,"",CONCATENATE("F",A406))</f>
        <v/>
      </c>
      <c r="C406" s="42" t="s">
        <v>690</v>
      </c>
      <c r="D406" s="42"/>
      <c r="E406" s="42"/>
      <c r="F406" s="42"/>
      <c r="G406" s="42"/>
      <c r="H406" s="44" t="s">
        <v>62</v>
      </c>
      <c r="I406" s="50" t="s">
        <v>56</v>
      </c>
      <c r="J406" s="44" t="n">
        <v>4</v>
      </c>
      <c r="K406" s="44" t="n">
        <v>1</v>
      </c>
      <c r="L406" s="44" t="str">
        <f aca="false">CONCATENATE(H406,M406)</f>
        <v>EEL</v>
      </c>
      <c r="M406" s="45" t="str">
        <f aca="false">IF(OR(ISBLANK(J406),ISBLANK(K406)),IF(OR(H406="ALI",H406="AIE"),"L",IF(ISBLANK(H406),"","A")),IF(H406="EE",IF(K406&gt;=3,IF(J406&gt;=5,"H","A"),IF(K406&gt;=2,IF(J406&gt;=16,"H",IF(J406&lt;=4,"L","A")),IF(J406&lt;=15,"L","A"))),IF(OR(H406="SE",H406="CE"),IF(K406&gt;=4,IF(J406&gt;=6,"H","A"),IF(K406&gt;=2,IF(J406&gt;=20,"H",IF(J406&lt;=5,"L","A")),IF(J406&lt;=19,"L","A"))),IF(OR(H406="ALI",H406="AIE"),IF(K406&gt;=6,IF(J406&gt;=20,"H","A"),IF(K406&gt;=2,IF(J406&gt;=51,"H",IF(J406&lt;=19,"L","A")),IF(J406&lt;=50,"L","A")))))))</f>
        <v>L</v>
      </c>
      <c r="N406" s="46" t="str">
        <f aca="false">IF(M406="L","Baixa",IF(M406="A","Média",IF(M406="","","Alta")))</f>
        <v>Baixa</v>
      </c>
      <c r="O406" s="47" t="n">
        <f aca="false">IF(ISBLANK(H406),"",IF(H406="ALI",IF(M406="L",7,IF(M406="A",10,15)),IF(H406="AIE",IF(M406="L",5,IF(M406="A",7,10)),IF(H406="SE",IF(M406="L",4,IF(M406="A",5,7)),IF(OR(H406="EE",H406="CE"),IF(M406="L",3,IF(M406="A",4,6)))))))</f>
        <v>3</v>
      </c>
      <c r="P406" s="48" t="n">
        <f aca="false">IF(I406="I",O406*Contagem!$W$15,IF(I406="E",O406*Contagem!$W$17,IF(I406="A",O406*Contagem!$W$16,IF(I406="T",O406*Contagem!$W$18,""))))</f>
        <v>3</v>
      </c>
      <c r="Q406" s="49" t="s">
        <v>691</v>
      </c>
    </row>
    <row r="407" customFormat="false" ht="12" hidden="false" customHeight="true" outlineLevel="0" collapsed="false">
      <c r="A407" s="40" t="n">
        <f aca="false">IF(H407="",IF(C407="",A406,A406+1),A406)</f>
        <v>53</v>
      </c>
      <c r="B407" s="41" t="str">
        <f aca="false">IF(A407=A406,"",CONCATENATE("F",A407))</f>
        <v/>
      </c>
      <c r="C407" s="42" t="s">
        <v>692</v>
      </c>
      <c r="D407" s="42"/>
      <c r="E407" s="42"/>
      <c r="F407" s="42"/>
      <c r="G407" s="42"/>
      <c r="H407" s="44" t="s">
        <v>62</v>
      </c>
      <c r="I407" s="50" t="s">
        <v>56</v>
      </c>
      <c r="J407" s="44" t="n">
        <v>6</v>
      </c>
      <c r="K407" s="44" t="n">
        <v>1</v>
      </c>
      <c r="L407" s="44" t="str">
        <f aca="false">CONCATENATE(H407,M407)</f>
        <v>EEL</v>
      </c>
      <c r="M407" s="45" t="str">
        <f aca="false">IF(OR(ISBLANK(J407),ISBLANK(K407)),IF(OR(H407="ALI",H407="AIE"),"L",IF(ISBLANK(H407),"","A")),IF(H407="EE",IF(K407&gt;=3,IF(J407&gt;=5,"H","A"),IF(K407&gt;=2,IF(J407&gt;=16,"H",IF(J407&lt;=4,"L","A")),IF(J407&lt;=15,"L","A"))),IF(OR(H407="SE",H407="CE"),IF(K407&gt;=4,IF(J407&gt;=6,"H","A"),IF(K407&gt;=2,IF(J407&gt;=20,"H",IF(J407&lt;=5,"L","A")),IF(J407&lt;=19,"L","A"))),IF(OR(H407="ALI",H407="AIE"),IF(K407&gt;=6,IF(J407&gt;=20,"H","A"),IF(K407&gt;=2,IF(J407&gt;=51,"H",IF(J407&lt;=19,"L","A")),IF(J407&lt;=50,"L","A")))))))</f>
        <v>L</v>
      </c>
      <c r="N407" s="46" t="str">
        <f aca="false">IF(M407="L","Baixa",IF(M407="A","Média",IF(M407="","","Alta")))</f>
        <v>Baixa</v>
      </c>
      <c r="O407" s="47" t="n">
        <f aca="false">IF(ISBLANK(H407),"",IF(H407="ALI",IF(M407="L",7,IF(M407="A",10,15)),IF(H407="AIE",IF(M407="L",5,IF(M407="A",7,10)),IF(H407="SE",IF(M407="L",4,IF(M407="A",5,7)),IF(OR(H407="EE",H407="CE"),IF(M407="L",3,IF(M407="A",4,6)))))))</f>
        <v>3</v>
      </c>
      <c r="P407" s="48" t="n">
        <f aca="false">IF(I407="I",O407*Contagem!$W$15,IF(I407="E",O407*Contagem!$W$17,IF(I407="A",O407*Contagem!$W$16,IF(I407="T",O407*Contagem!$W$18,""))))</f>
        <v>3</v>
      </c>
      <c r="Q407" s="49" t="s">
        <v>693</v>
      </c>
    </row>
    <row r="408" customFormat="false" ht="12" hidden="false" customHeight="true" outlineLevel="0" collapsed="false">
      <c r="A408" s="40" t="n">
        <f aca="false">IF(H408="",IF(C408="",A407,A407+1),A407)</f>
        <v>53</v>
      </c>
      <c r="B408" s="41" t="str">
        <f aca="false">IF(A408=A407,"",CONCATENATE("F",A408))</f>
        <v/>
      </c>
      <c r="C408" s="42" t="s">
        <v>694</v>
      </c>
      <c r="D408" s="42"/>
      <c r="E408" s="42"/>
      <c r="F408" s="42"/>
      <c r="G408" s="42"/>
      <c r="H408" s="44" t="s">
        <v>62</v>
      </c>
      <c r="I408" s="50" t="s">
        <v>56</v>
      </c>
      <c r="J408" s="44" t="n">
        <v>3</v>
      </c>
      <c r="K408" s="44" t="n">
        <v>1</v>
      </c>
      <c r="L408" s="44" t="str">
        <f aca="false">CONCATENATE(H408,M408)</f>
        <v>EEL</v>
      </c>
      <c r="M408" s="45" t="str">
        <f aca="false">IF(OR(ISBLANK(J408),ISBLANK(K408)),IF(OR(H408="ALI",H408="AIE"),"L",IF(ISBLANK(H408),"","A")),IF(H408="EE",IF(K408&gt;=3,IF(J408&gt;=5,"H","A"),IF(K408&gt;=2,IF(J408&gt;=16,"H",IF(J408&lt;=4,"L","A")),IF(J408&lt;=15,"L","A"))),IF(OR(H408="SE",H408="CE"),IF(K408&gt;=4,IF(J408&gt;=6,"H","A"),IF(K408&gt;=2,IF(J408&gt;=20,"H",IF(J408&lt;=5,"L","A")),IF(J408&lt;=19,"L","A"))),IF(OR(H408="ALI",H408="AIE"),IF(K408&gt;=6,IF(J408&gt;=20,"H","A"),IF(K408&gt;=2,IF(J408&gt;=51,"H",IF(J408&lt;=19,"L","A")),IF(J408&lt;=50,"L","A")))))))</f>
        <v>L</v>
      </c>
      <c r="N408" s="46" t="str">
        <f aca="false">IF(M408="L","Baixa",IF(M408="A","Média",IF(M408="","","Alta")))</f>
        <v>Baixa</v>
      </c>
      <c r="O408" s="47" t="n">
        <f aca="false">IF(ISBLANK(H408),"",IF(H408="ALI",IF(M408="L",7,IF(M408="A",10,15)),IF(H408="AIE",IF(M408="L",5,IF(M408="A",7,10)),IF(H408="SE",IF(M408="L",4,IF(M408="A",5,7)),IF(OR(H408="EE",H408="CE"),IF(M408="L",3,IF(M408="A",4,6)))))))</f>
        <v>3</v>
      </c>
      <c r="P408" s="48" t="n">
        <f aca="false">IF(I408="I",O408*Contagem!$W$15,IF(I408="E",O408*Contagem!$W$17,IF(I408="A",O408*Contagem!$W$16,IF(I408="T",O408*Contagem!$W$18,""))))</f>
        <v>3</v>
      </c>
      <c r="Q408" s="49" t="s">
        <v>695</v>
      </c>
    </row>
    <row r="409" customFormat="false" ht="12" hidden="false" customHeight="true" outlineLevel="0" collapsed="false">
      <c r="A409" s="40" t="n">
        <f aca="false">IF(H409="",IF(C409="",A408,A408+1),A408)</f>
        <v>53</v>
      </c>
      <c r="B409" s="41" t="str">
        <f aca="false">IF(A409=A408,"",CONCATENATE("F",A409))</f>
        <v/>
      </c>
      <c r="C409" s="42" t="s">
        <v>696</v>
      </c>
      <c r="D409" s="42"/>
      <c r="E409" s="42"/>
      <c r="F409" s="42"/>
      <c r="G409" s="42"/>
      <c r="H409" s="44" t="s">
        <v>80</v>
      </c>
      <c r="I409" s="50" t="s">
        <v>56</v>
      </c>
      <c r="J409" s="44" t="n">
        <v>4</v>
      </c>
      <c r="K409" s="44" t="n">
        <v>1</v>
      </c>
      <c r="L409" s="44" t="str">
        <f aca="false">CONCATENATE(H409,M409)</f>
        <v>CEL</v>
      </c>
      <c r="M409" s="45" t="str">
        <f aca="false">IF(OR(ISBLANK(J409),ISBLANK(K409)),IF(OR(H409="ALI",H409="AIE"),"L",IF(ISBLANK(H409),"","A")),IF(H409="EE",IF(K409&gt;=3,IF(J409&gt;=5,"H","A"),IF(K409&gt;=2,IF(J409&gt;=16,"H",IF(J409&lt;=4,"L","A")),IF(J409&lt;=15,"L","A"))),IF(OR(H409="SE",H409="CE"),IF(K409&gt;=4,IF(J409&gt;=6,"H","A"),IF(K409&gt;=2,IF(J409&gt;=20,"H",IF(J409&lt;=5,"L","A")),IF(J409&lt;=19,"L","A"))),IF(OR(H409="ALI",H409="AIE"),IF(K409&gt;=6,IF(J409&gt;=20,"H","A"),IF(K409&gt;=2,IF(J409&gt;=51,"H",IF(J409&lt;=19,"L","A")),IF(J409&lt;=50,"L","A")))))))</f>
        <v>L</v>
      </c>
      <c r="N409" s="46" t="str">
        <f aca="false">IF(M409="L","Baixa",IF(M409="A","Média",IF(M409="","","Alta")))</f>
        <v>Baixa</v>
      </c>
      <c r="O409" s="47" t="n">
        <f aca="false">IF(ISBLANK(H409),"",IF(H409="ALI",IF(M409="L",7,IF(M409="A",10,15)),IF(H409="AIE",IF(M409="L",5,IF(M409="A",7,10)),IF(H409="SE",IF(M409="L",4,IF(M409="A",5,7)),IF(OR(H409="EE",H409="CE"),IF(M409="L",3,IF(M409="A",4,6)))))))</f>
        <v>3</v>
      </c>
      <c r="P409" s="48" t="n">
        <f aca="false">IF(I409="I",O409*Contagem!$W$15,IF(I409="E",O409*Contagem!$W$17,IF(I409="A",O409*Contagem!$W$16,IF(I409="T",O409*Contagem!$W$18,""))))</f>
        <v>3</v>
      </c>
      <c r="Q409" s="49" t="s">
        <v>697</v>
      </c>
    </row>
    <row r="410" customFormat="false" ht="12" hidden="false" customHeight="true" outlineLevel="0" collapsed="false">
      <c r="A410" s="40" t="n">
        <f aca="false">IF(H410="",IF(C410="",A409,A409+1),A409)</f>
        <v>53</v>
      </c>
      <c r="B410" s="41" t="str">
        <f aca="false">IF(A410=A409,"",CONCATENATE("F",A410))</f>
        <v/>
      </c>
      <c r="C410" s="42"/>
      <c r="D410" s="42"/>
      <c r="E410" s="42"/>
      <c r="F410" s="42"/>
      <c r="G410" s="42"/>
      <c r="H410" s="44"/>
      <c r="I410" s="50"/>
      <c r="J410" s="44"/>
      <c r="K410" s="44"/>
      <c r="L410" s="44" t="str">
        <f aca="false">CONCATENATE(H410,M410)</f>
        <v/>
      </c>
      <c r="M410" s="45" t="str">
        <f aca="false">IF(OR(ISBLANK(J410),ISBLANK(K410)),IF(OR(H410="ALI",H410="AIE"),"L",IF(ISBLANK(H410),"","A")),IF(H410="EE",IF(K410&gt;=3,IF(J410&gt;=5,"H","A"),IF(K410&gt;=2,IF(J410&gt;=16,"H",IF(J410&lt;=4,"L","A")),IF(J410&lt;=15,"L","A"))),IF(OR(H410="SE",H410="CE"),IF(K410&gt;=4,IF(J410&gt;=6,"H","A"),IF(K410&gt;=2,IF(J410&gt;=20,"H",IF(J410&lt;=5,"L","A")),IF(J410&lt;=19,"L","A"))),IF(OR(H410="ALI",H410="AIE"),IF(K410&gt;=6,IF(J410&gt;=20,"H","A"),IF(K410&gt;=2,IF(J410&gt;=51,"H",IF(J410&lt;=19,"L","A")),IF(J410&lt;=50,"L","A")))))))</f>
        <v/>
      </c>
      <c r="N410" s="46" t="str">
        <f aca="false">IF(M410="L","Baixa",IF(M410="A","Média",IF(M410="","","Alta")))</f>
        <v/>
      </c>
      <c r="O410" s="47" t="str">
        <f aca="false">IF(ISBLANK(H410),"",IF(H410="ALI",IF(M410="L",7,IF(M410="A",10,15)),IF(H410="AIE",IF(M410="L",5,IF(M410="A",7,10)),IF(H410="SE",IF(M410="L",4,IF(M410="A",5,7)),IF(OR(H410="EE",H410="CE"),IF(M410="L",3,IF(M410="A",4,6)))))))</f>
        <v/>
      </c>
      <c r="P410" s="48" t="str">
        <f aca="false">IF(I410="I",O410*Contagem!$W$15,IF(I410="E",O410*Contagem!$W$17,IF(I410="A",O410*Contagem!$W$16,IF(I410="T",O410*Contagem!$W$18,""))))</f>
        <v/>
      </c>
      <c r="Q410" s="49"/>
    </row>
    <row r="411" customFormat="false" ht="12" hidden="false" customHeight="true" outlineLevel="0" collapsed="false">
      <c r="A411" s="40" t="n">
        <f aca="false">IF(H411="",IF(C411="",A410,A410+1),A410)</f>
        <v>54</v>
      </c>
      <c r="B411" s="41" t="str">
        <f aca="false">IF(A411=A410,"",CONCATENATE("F",A411))</f>
        <v>F54</v>
      </c>
      <c r="C411" s="42" t="s">
        <v>698</v>
      </c>
      <c r="D411" s="42"/>
      <c r="E411" s="42"/>
      <c r="F411" s="42"/>
      <c r="G411" s="42"/>
      <c r="H411" s="44"/>
      <c r="I411" s="50"/>
      <c r="J411" s="44"/>
      <c r="K411" s="44"/>
      <c r="L411" s="44" t="str">
        <f aca="false">CONCATENATE(H411,M411)</f>
        <v/>
      </c>
      <c r="M411" s="45" t="str">
        <f aca="false">IF(OR(ISBLANK(J411),ISBLANK(K411)),IF(OR(H411="ALI",H411="AIE"),"L",IF(ISBLANK(H411),"","A")),IF(H411="EE",IF(K411&gt;=3,IF(J411&gt;=5,"H","A"),IF(K411&gt;=2,IF(J411&gt;=16,"H",IF(J411&lt;=4,"L","A")),IF(J411&lt;=15,"L","A"))),IF(OR(H411="SE",H411="CE"),IF(K411&gt;=4,IF(J411&gt;=6,"H","A"),IF(K411&gt;=2,IF(J411&gt;=20,"H",IF(J411&lt;=5,"L","A")),IF(J411&lt;=19,"L","A"))),IF(OR(H411="ALI",H411="AIE"),IF(K411&gt;=6,IF(J411&gt;=20,"H","A"),IF(K411&gt;=2,IF(J411&gt;=51,"H",IF(J411&lt;=19,"L","A")),IF(J411&lt;=50,"L","A")))))))</f>
        <v/>
      </c>
      <c r="N411" s="46" t="str">
        <f aca="false">IF(M411="L","Baixa",IF(M411="A","Média",IF(M411="","","Alta")))</f>
        <v/>
      </c>
      <c r="O411" s="47" t="str">
        <f aca="false">IF(ISBLANK(H411),"",IF(H411="ALI",IF(M411="L",7,IF(M411="A",10,15)),IF(H411="AIE",IF(M411="L",5,IF(M411="A",7,10)),IF(H411="SE",IF(M411="L",4,IF(M411="A",5,7)),IF(OR(H411="EE",H411="CE"),IF(M411="L",3,IF(M411="A",4,6)))))))</f>
        <v/>
      </c>
      <c r="P411" s="48" t="str">
        <f aca="false">IF(I411="I",O411*Contagem!$W$15,IF(I411="E",O411*Contagem!$W$17,IF(I411="A",O411*Contagem!$W$16,IF(I411="T",O411*Contagem!$W$18,""))))</f>
        <v/>
      </c>
      <c r="Q411" s="49"/>
    </row>
    <row r="412" customFormat="false" ht="12" hidden="false" customHeight="true" outlineLevel="0" collapsed="false">
      <c r="A412" s="40" t="n">
        <f aca="false">IF(H412="",IF(C412="",A411,A411+1),A411)</f>
        <v>54</v>
      </c>
      <c r="B412" s="41" t="str">
        <f aca="false">IF(A412=A411,"",CONCATENATE("F",A412))</f>
        <v/>
      </c>
      <c r="C412" s="42" t="s">
        <v>699</v>
      </c>
      <c r="D412" s="42"/>
      <c r="E412" s="42"/>
      <c r="F412" s="42"/>
      <c r="G412" s="42"/>
      <c r="H412" s="44" t="s">
        <v>55</v>
      </c>
      <c r="I412" s="50" t="s">
        <v>56</v>
      </c>
      <c r="J412" s="44" t="n">
        <v>5</v>
      </c>
      <c r="K412" s="44" t="n">
        <v>1</v>
      </c>
      <c r="L412" s="44" t="str">
        <f aca="false">CONCATENATE(H412,M412)</f>
        <v>ALIL</v>
      </c>
      <c r="M412" s="45" t="str">
        <f aca="false">IF(OR(ISBLANK(J412),ISBLANK(K412)),IF(OR(H412="ALI",H412="AIE"),"L",IF(ISBLANK(H412),"","A")),IF(H412="EE",IF(K412&gt;=3,IF(J412&gt;=5,"H","A"),IF(K412&gt;=2,IF(J412&gt;=16,"H",IF(J412&lt;=4,"L","A")),IF(J412&lt;=15,"L","A"))),IF(OR(H412="SE",H412="CE"),IF(K412&gt;=4,IF(J412&gt;=6,"H","A"),IF(K412&gt;=2,IF(J412&gt;=20,"H",IF(J412&lt;=5,"L","A")),IF(J412&lt;=19,"L","A"))),IF(OR(H412="ALI",H412="AIE"),IF(K412&gt;=6,IF(J412&gt;=20,"H","A"),IF(K412&gt;=2,IF(J412&gt;=51,"H",IF(J412&lt;=19,"L","A")),IF(J412&lt;=50,"L","A")))))))</f>
        <v>L</v>
      </c>
      <c r="N412" s="46" t="str">
        <f aca="false">IF(M412="L","Baixa",IF(M412="A","Média",IF(M412="","","Alta")))</f>
        <v>Baixa</v>
      </c>
      <c r="O412" s="47" t="n">
        <f aca="false">IF(ISBLANK(H412),"",IF(H412="ALI",IF(M412="L",7,IF(M412="A",10,15)),IF(H412="AIE",IF(M412="L",5,IF(M412="A",7,10)),IF(H412="SE",IF(M412="L",4,IF(M412="A",5,7)),IF(OR(H412="EE",H412="CE"),IF(M412="L",3,IF(M412="A",4,6)))))))</f>
        <v>7</v>
      </c>
      <c r="P412" s="48" t="n">
        <f aca="false">IF(I412="I",O412*Contagem!$W$15,IF(I412="E",O412*Contagem!$W$17,IF(I412="A",O412*Contagem!$W$16,IF(I412="T",O412*Contagem!$W$18,""))))</f>
        <v>7</v>
      </c>
      <c r="Q412" s="49" t="s">
        <v>700</v>
      </c>
    </row>
    <row r="413" customFormat="false" ht="12" hidden="false" customHeight="true" outlineLevel="0" collapsed="false">
      <c r="A413" s="40" t="n">
        <f aca="false">IF(H413="",IF(C413="",A412,A412+1),A412)</f>
        <v>54</v>
      </c>
      <c r="B413" s="41" t="str">
        <f aca="false">IF(A413=A412,"",CONCATENATE("F",A413))</f>
        <v/>
      </c>
      <c r="C413" s="42" t="s">
        <v>701</v>
      </c>
      <c r="D413" s="42"/>
      <c r="E413" s="42"/>
      <c r="F413" s="42"/>
      <c r="G413" s="42"/>
      <c r="H413" s="44" t="s">
        <v>99</v>
      </c>
      <c r="I413" s="50" t="s">
        <v>56</v>
      </c>
      <c r="J413" s="44" t="n">
        <v>19</v>
      </c>
      <c r="K413" s="44" t="n">
        <v>6</v>
      </c>
      <c r="L413" s="44" t="str">
        <f aca="false">CONCATENATE(H413,M413)</f>
        <v>SEH</v>
      </c>
      <c r="M413" s="45" t="str">
        <f aca="false">IF(OR(ISBLANK(J413),ISBLANK(K413)),IF(OR(H413="ALI",H413="AIE"),"L",IF(ISBLANK(H413),"","A")),IF(H413="EE",IF(K413&gt;=3,IF(J413&gt;=5,"H","A"),IF(K413&gt;=2,IF(J413&gt;=16,"H",IF(J413&lt;=4,"L","A")),IF(J413&lt;=15,"L","A"))),IF(OR(H413="SE",H413="CE"),IF(K413&gt;=4,IF(J413&gt;=6,"H","A"),IF(K413&gt;=2,IF(J413&gt;=20,"H",IF(J413&lt;=5,"L","A")),IF(J413&lt;=19,"L","A"))),IF(OR(H413="ALI",H413="AIE"),IF(K413&gt;=6,IF(J413&gt;=20,"H","A"),IF(K413&gt;=2,IF(J413&gt;=51,"H",IF(J413&lt;=19,"L","A")),IF(J413&lt;=50,"L","A")))))))</f>
        <v>H</v>
      </c>
      <c r="N413" s="46" t="str">
        <f aca="false">IF(M413="L","Baixa",IF(M413="A","Média",IF(M413="","","Alta")))</f>
        <v>Alta</v>
      </c>
      <c r="O413" s="47" t="n">
        <f aca="false">IF(ISBLANK(H413),"",IF(H413="ALI",IF(M413="L",7,IF(M413="A",10,15)),IF(H413="AIE",IF(M413="L",5,IF(M413="A",7,10)),IF(H413="SE",IF(M413="L",4,IF(M413="A",5,7)),IF(OR(H413="EE",H413="CE"),IF(M413="L",3,IF(M413="A",4,6)))))))</f>
        <v>7</v>
      </c>
      <c r="P413" s="48" t="n">
        <f aca="false">IF(I413="I",O413*Contagem!$W$15,IF(I413="E",O413*Contagem!$W$17,IF(I413="A",O413*Contagem!$W$16,IF(I413="T",O413*Contagem!$W$18,""))))</f>
        <v>7</v>
      </c>
      <c r="Q413" s="49" t="s">
        <v>702</v>
      </c>
    </row>
    <row r="414" customFormat="false" ht="12" hidden="false" customHeight="true" outlineLevel="0" collapsed="false">
      <c r="A414" s="40" t="n">
        <f aca="false">IF(H414="",IF(C414="",A413,A413+1),A413)</f>
        <v>54</v>
      </c>
      <c r="B414" s="41" t="str">
        <f aca="false">IF(A414=A413,"",CONCATENATE("F",A414))</f>
        <v/>
      </c>
      <c r="C414" s="42"/>
      <c r="D414" s="42"/>
      <c r="E414" s="42"/>
      <c r="F414" s="42"/>
      <c r="G414" s="42"/>
      <c r="H414" s="44"/>
      <c r="I414" s="50"/>
      <c r="J414" s="44"/>
      <c r="K414" s="44"/>
      <c r="L414" s="44" t="str">
        <f aca="false">CONCATENATE(H414,M414)</f>
        <v/>
      </c>
      <c r="M414" s="45" t="str">
        <f aca="false">IF(OR(ISBLANK(J414),ISBLANK(K414)),IF(OR(H414="ALI",H414="AIE"),"L",IF(ISBLANK(H414),"","A")),IF(H414="EE",IF(K414&gt;=3,IF(J414&gt;=5,"H","A"),IF(K414&gt;=2,IF(J414&gt;=16,"H",IF(J414&lt;=4,"L","A")),IF(J414&lt;=15,"L","A"))),IF(OR(H414="SE",H414="CE"),IF(K414&gt;=4,IF(J414&gt;=6,"H","A"),IF(K414&gt;=2,IF(J414&gt;=20,"H",IF(J414&lt;=5,"L","A")),IF(J414&lt;=19,"L","A"))),IF(OR(H414="ALI",H414="AIE"),IF(K414&gt;=6,IF(J414&gt;=20,"H","A"),IF(K414&gt;=2,IF(J414&gt;=51,"H",IF(J414&lt;=19,"L","A")),IF(J414&lt;=50,"L","A")))))))</f>
        <v/>
      </c>
      <c r="N414" s="46" t="str">
        <f aca="false">IF(M414="L","Baixa",IF(M414="A","Média",IF(M414="","","Alta")))</f>
        <v/>
      </c>
      <c r="O414" s="47" t="str">
        <f aca="false">IF(ISBLANK(H414),"",IF(H414="ALI",IF(M414="L",7,IF(M414="A",10,15)),IF(H414="AIE",IF(M414="L",5,IF(M414="A",7,10)),IF(H414="SE",IF(M414="L",4,IF(M414="A",5,7)),IF(OR(H414="EE",H414="CE"),IF(M414="L",3,IF(M414="A",4,6)))))))</f>
        <v/>
      </c>
      <c r="P414" s="48" t="str">
        <f aca="false">IF(I414="I",O414*Contagem!$W$15,IF(I414="E",O414*Contagem!$W$17,IF(I414="A",O414*Contagem!$W$16,IF(I414="T",O414*Contagem!$W$18,""))))</f>
        <v/>
      </c>
      <c r="Q414" s="49"/>
    </row>
    <row r="415" customFormat="false" ht="12" hidden="false" customHeight="true" outlineLevel="0" collapsed="false">
      <c r="A415" s="40" t="n">
        <f aca="false">IF(H415="",IF(C415="",A414,A414+1),A414)</f>
        <v>55</v>
      </c>
      <c r="B415" s="41" t="str">
        <f aca="false">IF(A415=A414,"",CONCATENATE("F",A415))</f>
        <v>F55</v>
      </c>
      <c r="C415" s="42" t="s">
        <v>703</v>
      </c>
      <c r="D415" s="42"/>
      <c r="E415" s="42"/>
      <c r="F415" s="42"/>
      <c r="G415" s="42"/>
      <c r="H415" s="44"/>
      <c r="I415" s="50"/>
      <c r="J415" s="44"/>
      <c r="K415" s="44"/>
      <c r="L415" s="44" t="str">
        <f aca="false">CONCATENATE(H415,M415)</f>
        <v/>
      </c>
      <c r="M415" s="45" t="str">
        <f aca="false">IF(OR(ISBLANK(J415),ISBLANK(K415)),IF(OR(H415="ALI",H415="AIE"),"L",IF(ISBLANK(H415),"","A")),IF(H415="EE",IF(K415&gt;=3,IF(J415&gt;=5,"H","A"),IF(K415&gt;=2,IF(J415&gt;=16,"H",IF(J415&lt;=4,"L","A")),IF(J415&lt;=15,"L","A"))),IF(OR(H415="SE",H415="CE"),IF(K415&gt;=4,IF(J415&gt;=6,"H","A"),IF(K415&gt;=2,IF(J415&gt;=20,"H",IF(J415&lt;=5,"L","A")),IF(J415&lt;=19,"L","A"))),IF(OR(H415="ALI",H415="AIE"),IF(K415&gt;=6,IF(J415&gt;=20,"H","A"),IF(K415&gt;=2,IF(J415&gt;=51,"H",IF(J415&lt;=19,"L","A")),IF(J415&lt;=50,"L","A")))))))</f>
        <v/>
      </c>
      <c r="N415" s="46" t="str">
        <f aca="false">IF(M415="L","Baixa",IF(M415="A","Média",IF(M415="","","Alta")))</f>
        <v/>
      </c>
      <c r="O415" s="47" t="str">
        <f aca="false">IF(ISBLANK(H415),"",IF(H415="ALI",IF(M415="L",7,IF(M415="A",10,15)),IF(H415="AIE",IF(M415="L",5,IF(M415="A",7,10)),IF(H415="SE",IF(M415="L",4,IF(M415="A",5,7)),IF(OR(H415="EE",H415="CE"),IF(M415="L",3,IF(M415="A",4,6)))))))</f>
        <v/>
      </c>
      <c r="P415" s="48" t="str">
        <f aca="false">IF(I415="I",O415*Contagem!$W$15,IF(I415="E",O415*Contagem!$W$17,IF(I415="A",O415*Contagem!$W$16,IF(I415="T",O415*Contagem!$W$18,""))))</f>
        <v/>
      </c>
      <c r="Q415" s="49"/>
    </row>
    <row r="416" customFormat="false" ht="12" hidden="false" customHeight="true" outlineLevel="0" collapsed="false">
      <c r="A416" s="40" t="n">
        <f aca="false">IF(H416="",IF(C416="",A415,A415+1),A415)</f>
        <v>55</v>
      </c>
      <c r="B416" s="41" t="str">
        <f aca="false">IF(A416=A415,"",CONCATENATE("F",A416))</f>
        <v/>
      </c>
      <c r="C416" s="42" t="s">
        <v>704</v>
      </c>
      <c r="D416" s="42"/>
      <c r="E416" s="42"/>
      <c r="F416" s="42"/>
      <c r="G416" s="42"/>
      <c r="H416" s="44" t="s">
        <v>55</v>
      </c>
      <c r="I416" s="50" t="s">
        <v>56</v>
      </c>
      <c r="J416" s="44" t="n">
        <v>5</v>
      </c>
      <c r="K416" s="44" t="n">
        <v>1</v>
      </c>
      <c r="L416" s="44" t="str">
        <f aca="false">CONCATENATE(H416,M416)</f>
        <v>ALIL</v>
      </c>
      <c r="M416" s="45" t="str">
        <f aca="false">IF(OR(ISBLANK(J416),ISBLANK(K416)),IF(OR(H416="ALI",H416="AIE"),"L",IF(ISBLANK(H416),"","A")),IF(H416="EE",IF(K416&gt;=3,IF(J416&gt;=5,"H","A"),IF(K416&gt;=2,IF(J416&gt;=16,"H",IF(J416&lt;=4,"L","A")),IF(J416&lt;=15,"L","A"))),IF(OR(H416="SE",H416="CE"),IF(K416&gt;=4,IF(J416&gt;=6,"H","A"),IF(K416&gt;=2,IF(J416&gt;=20,"H",IF(J416&lt;=5,"L","A")),IF(J416&lt;=19,"L","A"))),IF(OR(H416="ALI",H416="AIE"),IF(K416&gt;=6,IF(J416&gt;=20,"H","A"),IF(K416&gt;=2,IF(J416&gt;=51,"H",IF(J416&lt;=19,"L","A")),IF(J416&lt;=50,"L","A")))))))</f>
        <v>L</v>
      </c>
      <c r="N416" s="46" t="str">
        <f aca="false">IF(M416="L","Baixa",IF(M416="A","Média",IF(M416="","","Alta")))</f>
        <v>Baixa</v>
      </c>
      <c r="O416" s="47" t="n">
        <f aca="false">IF(ISBLANK(H416),"",IF(H416="ALI",IF(M416="L",7,IF(M416="A",10,15)),IF(H416="AIE",IF(M416="L",5,IF(M416="A",7,10)),IF(H416="SE",IF(M416="L",4,IF(M416="A",5,7)),IF(OR(H416="EE",H416="CE"),IF(M416="L",3,IF(M416="A",4,6)))))))</f>
        <v>7</v>
      </c>
      <c r="P416" s="48" t="n">
        <f aca="false">IF(I416="I",O416*Contagem!$W$15,IF(I416="E",O416*Contagem!$W$17,IF(I416="A",O416*Contagem!$W$16,IF(I416="T",O416*Contagem!$W$18,""))))</f>
        <v>7</v>
      </c>
      <c r="Q416" s="49" t="s">
        <v>705</v>
      </c>
    </row>
    <row r="417" customFormat="false" ht="12" hidden="false" customHeight="true" outlineLevel="0" collapsed="false">
      <c r="A417" s="40" t="n">
        <f aca="false">IF(H417="",IF(C417="",A416,A416+1),A416)</f>
        <v>55</v>
      </c>
      <c r="B417" s="41" t="str">
        <f aca="false">IF(A417=A416,"",CONCATENATE("F",A417))</f>
        <v/>
      </c>
      <c r="C417" s="42" t="s">
        <v>706</v>
      </c>
      <c r="D417" s="42"/>
      <c r="E417" s="42"/>
      <c r="F417" s="42"/>
      <c r="G417" s="42"/>
      <c r="H417" s="44" t="s">
        <v>80</v>
      </c>
      <c r="I417" s="50" t="s">
        <v>56</v>
      </c>
      <c r="J417" s="44" t="n">
        <v>6</v>
      </c>
      <c r="K417" s="44" t="n">
        <v>4</v>
      </c>
      <c r="L417" s="44" t="str">
        <f aca="false">CONCATENATE(H417,M417)</f>
        <v>CEH</v>
      </c>
      <c r="M417" s="45" t="str">
        <f aca="false">IF(OR(ISBLANK(J417),ISBLANK(K417)),IF(OR(H417="ALI",H417="AIE"),"L",IF(ISBLANK(H417),"","A")),IF(H417="EE",IF(K417&gt;=3,IF(J417&gt;=5,"H","A"),IF(K417&gt;=2,IF(J417&gt;=16,"H",IF(J417&lt;=4,"L","A")),IF(J417&lt;=15,"L","A"))),IF(OR(H417="SE",H417="CE"),IF(K417&gt;=4,IF(J417&gt;=6,"H","A"),IF(K417&gt;=2,IF(J417&gt;=20,"H",IF(J417&lt;=5,"L","A")),IF(J417&lt;=19,"L","A"))),IF(OR(H417="ALI",H417="AIE"),IF(K417&gt;=6,IF(J417&gt;=20,"H","A"),IF(K417&gt;=2,IF(J417&gt;=51,"H",IF(J417&lt;=19,"L","A")),IF(J417&lt;=50,"L","A")))))))</f>
        <v>H</v>
      </c>
      <c r="N417" s="46" t="str">
        <f aca="false">IF(M417="L","Baixa",IF(M417="A","Média",IF(M417="","","Alta")))</f>
        <v>Alta</v>
      </c>
      <c r="O417" s="47" t="n">
        <f aca="false">IF(ISBLANK(H417),"",IF(H417="ALI",IF(M417="L",7,IF(M417="A",10,15)),IF(H417="AIE",IF(M417="L",5,IF(M417="A",7,10)),IF(H417="SE",IF(M417="L",4,IF(M417="A",5,7)),IF(OR(H417="EE",H417="CE"),IF(M417="L",3,IF(M417="A",4,6)))))))</f>
        <v>6</v>
      </c>
      <c r="P417" s="48" t="n">
        <f aca="false">IF(I417="I",O417*Contagem!$W$15,IF(I417="E",O417*Contagem!$W$17,IF(I417="A",O417*Contagem!$W$16,IF(I417="T",O417*Contagem!$W$18,""))))</f>
        <v>6</v>
      </c>
      <c r="Q417" s="49" t="s">
        <v>707</v>
      </c>
    </row>
    <row r="418" customFormat="false" ht="12" hidden="false" customHeight="true" outlineLevel="0" collapsed="false">
      <c r="A418" s="40" t="n">
        <f aca="false">IF(H418="",IF(C418="",A417,A417+1),A417)</f>
        <v>55</v>
      </c>
      <c r="B418" s="41" t="str">
        <f aca="false">IF(A418=A417,"",CONCATENATE("F",A418))</f>
        <v/>
      </c>
      <c r="C418" s="42" t="s">
        <v>708</v>
      </c>
      <c r="D418" s="42"/>
      <c r="E418" s="42"/>
      <c r="F418" s="42"/>
      <c r="G418" s="42"/>
      <c r="H418" s="44" t="s">
        <v>62</v>
      </c>
      <c r="I418" s="50" t="s">
        <v>56</v>
      </c>
      <c r="J418" s="44" t="n">
        <v>6</v>
      </c>
      <c r="K418" s="44" t="n">
        <v>3</v>
      </c>
      <c r="L418" s="44" t="str">
        <f aca="false">CONCATENATE(H418,M418)</f>
        <v>EEH</v>
      </c>
      <c r="M418" s="45" t="str">
        <f aca="false">IF(OR(ISBLANK(J418),ISBLANK(K418)),IF(OR(H418="ALI",H418="AIE"),"L",IF(ISBLANK(H418),"","A")),IF(H418="EE",IF(K418&gt;=3,IF(J418&gt;=5,"H","A"),IF(K418&gt;=2,IF(J418&gt;=16,"H",IF(J418&lt;=4,"L","A")),IF(J418&lt;=15,"L","A"))),IF(OR(H418="SE",H418="CE"),IF(K418&gt;=4,IF(J418&gt;=6,"H","A"),IF(K418&gt;=2,IF(J418&gt;=20,"H",IF(J418&lt;=5,"L","A")),IF(J418&lt;=19,"L","A"))),IF(OR(H418="ALI",H418="AIE"),IF(K418&gt;=6,IF(J418&gt;=20,"H","A"),IF(K418&gt;=2,IF(J418&gt;=51,"H",IF(J418&lt;=19,"L","A")),IF(J418&lt;=50,"L","A")))))))</f>
        <v>H</v>
      </c>
      <c r="N418" s="46" t="str">
        <f aca="false">IF(M418="L","Baixa",IF(M418="A","Média",IF(M418="","","Alta")))</f>
        <v>Alta</v>
      </c>
      <c r="O418" s="47" t="n">
        <f aca="false">IF(ISBLANK(H418),"",IF(H418="ALI",IF(M418="L",7,IF(M418="A",10,15)),IF(H418="AIE",IF(M418="L",5,IF(M418="A",7,10)),IF(H418="SE",IF(M418="L",4,IF(M418="A",5,7)),IF(OR(H418="EE",H418="CE"),IF(M418="L",3,IF(M418="A",4,6)))))))</f>
        <v>6</v>
      </c>
      <c r="P418" s="48" t="n">
        <f aca="false">IF(I418="I",O418*Contagem!$W$15,IF(I418="E",O418*Contagem!$W$17,IF(I418="A",O418*Contagem!$W$16,IF(I418="T",O418*Contagem!$W$18,""))))</f>
        <v>6</v>
      </c>
      <c r="Q418" s="49" t="s">
        <v>709</v>
      </c>
    </row>
    <row r="419" customFormat="false" ht="12" hidden="false" customHeight="true" outlineLevel="0" collapsed="false">
      <c r="A419" s="40" t="n">
        <f aca="false">IF(H419="",IF(C419="",A418,A418+1),A418)</f>
        <v>55</v>
      </c>
      <c r="B419" s="41" t="str">
        <f aca="false">IF(A419=A418,"",CONCATENATE("F",A419))</f>
        <v/>
      </c>
      <c r="C419" s="42" t="s">
        <v>710</v>
      </c>
      <c r="D419" s="42"/>
      <c r="E419" s="42"/>
      <c r="F419" s="42"/>
      <c r="G419" s="42"/>
      <c r="H419" s="44" t="s">
        <v>62</v>
      </c>
      <c r="I419" s="50" t="s">
        <v>56</v>
      </c>
      <c r="J419" s="44" t="n">
        <v>3</v>
      </c>
      <c r="K419" s="44" t="n">
        <v>1</v>
      </c>
      <c r="L419" s="44" t="str">
        <f aca="false">CONCATENATE(H419,M419)</f>
        <v>EEL</v>
      </c>
      <c r="M419" s="45" t="str">
        <f aca="false">IF(OR(ISBLANK(J419),ISBLANK(K419)),IF(OR(H419="ALI",H419="AIE"),"L",IF(ISBLANK(H419),"","A")),IF(H419="EE",IF(K419&gt;=3,IF(J419&gt;=5,"H","A"),IF(K419&gt;=2,IF(J419&gt;=16,"H",IF(J419&lt;=4,"L","A")),IF(J419&lt;=15,"L","A"))),IF(OR(H419="SE",H419="CE"),IF(K419&gt;=4,IF(J419&gt;=6,"H","A"),IF(K419&gt;=2,IF(J419&gt;=20,"H",IF(J419&lt;=5,"L","A")),IF(J419&lt;=19,"L","A"))),IF(OR(H419="ALI",H419="AIE"),IF(K419&gt;=6,IF(J419&gt;=20,"H","A"),IF(K419&gt;=2,IF(J419&gt;=51,"H",IF(J419&lt;=19,"L","A")),IF(J419&lt;=50,"L","A")))))))</f>
        <v>L</v>
      </c>
      <c r="N419" s="46" t="str">
        <f aca="false">IF(M419="L","Baixa",IF(M419="A","Média",IF(M419="","","Alta")))</f>
        <v>Baixa</v>
      </c>
      <c r="O419" s="47" t="n">
        <f aca="false">IF(ISBLANK(H419),"",IF(H419="ALI",IF(M419="L",7,IF(M419="A",10,15)),IF(H419="AIE",IF(M419="L",5,IF(M419="A",7,10)),IF(H419="SE",IF(M419="L",4,IF(M419="A",5,7)),IF(OR(H419="EE",H419="CE"),IF(M419="L",3,IF(M419="A",4,6)))))))</f>
        <v>3</v>
      </c>
      <c r="P419" s="48" t="n">
        <f aca="false">IF(I419="I",O419*Contagem!$W$15,IF(I419="E",O419*Contagem!$W$17,IF(I419="A",O419*Contagem!$W$16,IF(I419="T",O419*Contagem!$W$18,""))))</f>
        <v>3</v>
      </c>
      <c r="Q419" s="49" t="s">
        <v>711</v>
      </c>
    </row>
    <row r="420" customFormat="false" ht="12" hidden="false" customHeight="true" outlineLevel="0" collapsed="false">
      <c r="A420" s="40" t="n">
        <f aca="false">IF(H420="",IF(C420="",A419,A419+1),A419)</f>
        <v>55</v>
      </c>
      <c r="B420" s="41" t="str">
        <f aca="false">IF(A420=A419,"",CONCATENATE("F",A420))</f>
        <v/>
      </c>
      <c r="C420" s="42" t="s">
        <v>712</v>
      </c>
      <c r="D420" s="42"/>
      <c r="E420" s="42"/>
      <c r="F420" s="42"/>
      <c r="G420" s="42"/>
      <c r="H420" s="44" t="s">
        <v>62</v>
      </c>
      <c r="I420" s="50" t="s">
        <v>56</v>
      </c>
      <c r="J420" s="44" t="n">
        <v>6</v>
      </c>
      <c r="K420" s="44" t="n">
        <v>4</v>
      </c>
      <c r="L420" s="44" t="str">
        <f aca="false">CONCATENATE(H420,M420)</f>
        <v>EEH</v>
      </c>
      <c r="M420" s="45" t="str">
        <f aca="false">IF(OR(ISBLANK(J420),ISBLANK(K420)),IF(OR(H420="ALI",H420="AIE"),"L",IF(ISBLANK(H420),"","A")),IF(H420="EE",IF(K420&gt;=3,IF(J420&gt;=5,"H","A"),IF(K420&gt;=2,IF(J420&gt;=16,"H",IF(J420&lt;=4,"L","A")),IF(J420&lt;=15,"L","A"))),IF(OR(H420="SE",H420="CE"),IF(K420&gt;=4,IF(J420&gt;=6,"H","A"),IF(K420&gt;=2,IF(J420&gt;=20,"H",IF(J420&lt;=5,"L","A")),IF(J420&lt;=19,"L","A"))),IF(OR(H420="ALI",H420="AIE"),IF(K420&gt;=6,IF(J420&gt;=20,"H","A"),IF(K420&gt;=2,IF(J420&gt;=51,"H",IF(J420&lt;=19,"L","A")),IF(J420&lt;=50,"L","A")))))))</f>
        <v>H</v>
      </c>
      <c r="N420" s="46" t="str">
        <f aca="false">IF(M420="L","Baixa",IF(M420="A","Média",IF(M420="","","Alta")))</f>
        <v>Alta</v>
      </c>
      <c r="O420" s="47" t="n">
        <f aca="false">IF(ISBLANK(H420),"",IF(H420="ALI",IF(M420="L",7,IF(M420="A",10,15)),IF(H420="AIE",IF(M420="L",5,IF(M420="A",7,10)),IF(H420="SE",IF(M420="L",4,IF(M420="A",5,7)),IF(OR(H420="EE",H420="CE"),IF(M420="L",3,IF(M420="A",4,6)))))))</f>
        <v>6</v>
      </c>
      <c r="P420" s="48" t="n">
        <f aca="false">IF(I420="I",O420*Contagem!$W$15,IF(I420="E",O420*Contagem!$W$17,IF(I420="A",O420*Contagem!$W$16,IF(I420="T",O420*Contagem!$W$18,""))))</f>
        <v>6</v>
      </c>
      <c r="Q420" s="49" t="s">
        <v>713</v>
      </c>
    </row>
    <row r="421" customFormat="false" ht="12" hidden="false" customHeight="true" outlineLevel="0" collapsed="false">
      <c r="A421" s="40" t="n">
        <f aca="false">IF(H421="",IF(C421="",A420,A420+1),A420)</f>
        <v>55</v>
      </c>
      <c r="B421" s="41" t="str">
        <f aca="false">IF(A421=A420,"",CONCATENATE("F",A421))</f>
        <v/>
      </c>
      <c r="C421" s="42"/>
      <c r="D421" s="42"/>
      <c r="E421" s="42"/>
      <c r="F421" s="42"/>
      <c r="G421" s="42"/>
      <c r="H421" s="44"/>
      <c r="I421" s="50"/>
      <c r="J421" s="44"/>
      <c r="K421" s="44"/>
      <c r="L421" s="44" t="str">
        <f aca="false">CONCATENATE(H421,M421)</f>
        <v/>
      </c>
      <c r="M421" s="45" t="str">
        <f aca="false">IF(OR(ISBLANK(J421),ISBLANK(K421)),IF(OR(H421="ALI",H421="AIE"),"L",IF(ISBLANK(H421),"","A")),IF(H421="EE",IF(K421&gt;=3,IF(J421&gt;=5,"H","A"),IF(K421&gt;=2,IF(J421&gt;=16,"H",IF(J421&lt;=4,"L","A")),IF(J421&lt;=15,"L","A"))),IF(OR(H421="SE",H421="CE"),IF(K421&gt;=4,IF(J421&gt;=6,"H","A"),IF(K421&gt;=2,IF(J421&gt;=20,"H",IF(J421&lt;=5,"L","A")),IF(J421&lt;=19,"L","A"))),IF(OR(H421="ALI",H421="AIE"),IF(K421&gt;=6,IF(J421&gt;=20,"H","A"),IF(K421&gt;=2,IF(J421&gt;=51,"H",IF(J421&lt;=19,"L","A")),IF(J421&lt;=50,"L","A")))))))</f>
        <v/>
      </c>
      <c r="N421" s="46" t="str">
        <f aca="false">IF(M421="L","Baixa",IF(M421="A","Média",IF(M421="","","Alta")))</f>
        <v/>
      </c>
      <c r="O421" s="47" t="str">
        <f aca="false">IF(ISBLANK(H421),"",IF(H421="ALI",IF(M421="L",7,IF(M421="A",10,15)),IF(H421="AIE",IF(M421="L",5,IF(M421="A",7,10)),IF(H421="SE",IF(M421="L",4,IF(M421="A",5,7)),IF(OR(H421="EE",H421="CE"),IF(M421="L",3,IF(M421="A",4,6)))))))</f>
        <v/>
      </c>
      <c r="P421" s="48" t="str">
        <f aca="false">IF(I421="I",O421*Contagem!$W$15,IF(I421="E",O421*Contagem!$W$17,IF(I421="A",O421*Contagem!$W$16,IF(I421="T",O421*Contagem!$W$18,""))))</f>
        <v/>
      </c>
      <c r="Q421" s="49"/>
    </row>
    <row r="422" customFormat="false" ht="12" hidden="false" customHeight="true" outlineLevel="0" collapsed="false">
      <c r="A422" s="40" t="n">
        <f aca="false">IF(H422="",IF(C422="",A421,A421+1),A421)</f>
        <v>56</v>
      </c>
      <c r="B422" s="41" t="str">
        <f aca="false">IF(A422=A421,"",CONCATENATE("F",A422))</f>
        <v>F56</v>
      </c>
      <c r="C422" s="42" t="s">
        <v>714</v>
      </c>
      <c r="D422" s="42"/>
      <c r="E422" s="42"/>
      <c r="F422" s="42"/>
      <c r="G422" s="42"/>
      <c r="H422" s="44"/>
      <c r="I422" s="50"/>
      <c r="J422" s="44"/>
      <c r="K422" s="44"/>
      <c r="L422" s="44" t="str">
        <f aca="false">CONCATENATE(H422,M422)</f>
        <v/>
      </c>
      <c r="M422" s="45" t="str">
        <f aca="false">IF(OR(ISBLANK(J422),ISBLANK(K422)),IF(OR(H422="ALI",H422="AIE"),"L",IF(ISBLANK(H422),"","A")),IF(H422="EE",IF(K422&gt;=3,IF(J422&gt;=5,"H","A"),IF(K422&gt;=2,IF(J422&gt;=16,"H",IF(J422&lt;=4,"L","A")),IF(J422&lt;=15,"L","A"))),IF(OR(H422="SE",H422="CE"),IF(K422&gt;=4,IF(J422&gt;=6,"H","A"),IF(K422&gt;=2,IF(J422&gt;=20,"H",IF(J422&lt;=5,"L","A")),IF(J422&lt;=19,"L","A"))),IF(OR(H422="ALI",H422="AIE"),IF(K422&gt;=6,IF(J422&gt;=20,"H","A"),IF(K422&gt;=2,IF(J422&gt;=51,"H",IF(J422&lt;=19,"L","A")),IF(J422&lt;=50,"L","A")))))))</f>
        <v/>
      </c>
      <c r="N422" s="46" t="str">
        <f aca="false">IF(M422="L","Baixa",IF(M422="A","Média",IF(M422="","","Alta")))</f>
        <v/>
      </c>
      <c r="O422" s="47" t="str">
        <f aca="false">IF(ISBLANK(H422),"",IF(H422="ALI",IF(M422="L",7,IF(M422="A",10,15)),IF(H422="AIE",IF(M422="L",5,IF(M422="A",7,10)),IF(H422="SE",IF(M422="L",4,IF(M422="A",5,7)),IF(OR(H422="EE",H422="CE"),IF(M422="L",3,IF(M422="A",4,6)))))))</f>
        <v/>
      </c>
      <c r="P422" s="48" t="str">
        <f aca="false">IF(I422="I",O422*Contagem!$W$15,IF(I422="E",O422*Contagem!$W$17,IF(I422="A",O422*Contagem!$W$16,IF(I422="T",O422*Contagem!$W$18,""))))</f>
        <v/>
      </c>
      <c r="Q422" s="49"/>
    </row>
    <row r="423" customFormat="false" ht="12" hidden="false" customHeight="true" outlineLevel="0" collapsed="false">
      <c r="A423" s="40" t="n">
        <f aca="false">IF(H423="",IF(C423="",A422,A422+1),A422)</f>
        <v>56</v>
      </c>
      <c r="B423" s="41" t="str">
        <f aca="false">IF(A423=A422,"",CONCATENATE("F",A423))</f>
        <v/>
      </c>
      <c r="C423" s="42" t="s">
        <v>715</v>
      </c>
      <c r="D423" s="42"/>
      <c r="E423" s="42"/>
      <c r="F423" s="42"/>
      <c r="G423" s="42"/>
      <c r="H423" s="44" t="s">
        <v>55</v>
      </c>
      <c r="I423" s="50" t="s">
        <v>56</v>
      </c>
      <c r="J423" s="44" t="n">
        <v>11</v>
      </c>
      <c r="K423" s="44" t="n">
        <v>1</v>
      </c>
      <c r="L423" s="44" t="str">
        <f aca="false">CONCATENATE(H423,M423)</f>
        <v>ALIL</v>
      </c>
      <c r="M423" s="45" t="str">
        <f aca="false">IF(OR(ISBLANK(J423),ISBLANK(K423)),IF(OR(H423="ALI",H423="AIE"),"L",IF(ISBLANK(H423),"","A")),IF(H423="EE",IF(K423&gt;=3,IF(J423&gt;=5,"H","A"),IF(K423&gt;=2,IF(J423&gt;=16,"H",IF(J423&lt;=4,"L","A")),IF(J423&lt;=15,"L","A"))),IF(OR(H423="SE",H423="CE"),IF(K423&gt;=4,IF(J423&gt;=6,"H","A"),IF(K423&gt;=2,IF(J423&gt;=20,"H",IF(J423&lt;=5,"L","A")),IF(J423&lt;=19,"L","A"))),IF(OR(H423="ALI",H423="AIE"),IF(K423&gt;=6,IF(J423&gt;=20,"H","A"),IF(K423&gt;=2,IF(J423&gt;=51,"H",IF(J423&lt;=19,"L","A")),IF(J423&lt;=50,"L","A")))))))</f>
        <v>L</v>
      </c>
      <c r="N423" s="46" t="str">
        <f aca="false">IF(M423="L","Baixa",IF(M423="A","Média",IF(M423="","","Alta")))</f>
        <v>Baixa</v>
      </c>
      <c r="O423" s="47" t="n">
        <f aca="false">IF(ISBLANK(H423),"",IF(H423="ALI",IF(M423="L",7,IF(M423="A",10,15)),IF(H423="AIE",IF(M423="L",5,IF(M423="A",7,10)),IF(H423="SE",IF(M423="L",4,IF(M423="A",5,7)),IF(OR(H423="EE",H423="CE"),IF(M423="L",3,IF(M423="A",4,6)))))))</f>
        <v>7</v>
      </c>
      <c r="P423" s="48" t="n">
        <f aca="false">IF(I423="I",O423*Contagem!$W$15,IF(I423="E",O423*Contagem!$W$17,IF(I423="A",O423*Contagem!$W$16,IF(I423="T",O423*Contagem!$W$18,""))))</f>
        <v>7</v>
      </c>
      <c r="Q423" s="49" t="s">
        <v>716</v>
      </c>
    </row>
    <row r="424" customFormat="false" ht="12" hidden="false" customHeight="true" outlineLevel="0" collapsed="false">
      <c r="A424" s="40" t="n">
        <f aca="false">IF(H424="",IF(C424="",A423,A423+1),A423)</f>
        <v>56</v>
      </c>
      <c r="B424" s="41" t="str">
        <f aca="false">IF(A424=A423,"",CONCATENATE("F",A424))</f>
        <v/>
      </c>
      <c r="C424" s="42" t="s">
        <v>717</v>
      </c>
      <c r="D424" s="42"/>
      <c r="E424" s="42"/>
      <c r="F424" s="42"/>
      <c r="G424" s="42"/>
      <c r="H424" s="44" t="s">
        <v>62</v>
      </c>
      <c r="I424" s="50" t="s">
        <v>56</v>
      </c>
      <c r="J424" s="44" t="n">
        <v>40</v>
      </c>
      <c r="K424" s="44" t="n">
        <v>8</v>
      </c>
      <c r="L424" s="44" t="str">
        <f aca="false">CONCATENATE(H424,M424)</f>
        <v>EEH</v>
      </c>
      <c r="M424" s="45" t="str">
        <f aca="false">IF(OR(ISBLANK(J424),ISBLANK(K424)),IF(OR(H424="ALI",H424="AIE"),"L",IF(ISBLANK(H424),"","A")),IF(H424="EE",IF(K424&gt;=3,IF(J424&gt;=5,"H","A"),IF(K424&gt;=2,IF(J424&gt;=16,"H",IF(J424&lt;=4,"L","A")),IF(J424&lt;=15,"L","A"))),IF(OR(H424="SE",H424="CE"),IF(K424&gt;=4,IF(J424&gt;=6,"H","A"),IF(K424&gt;=2,IF(J424&gt;=20,"H",IF(J424&lt;=5,"L","A")),IF(J424&lt;=19,"L","A"))),IF(OR(H424="ALI",H424="AIE"),IF(K424&gt;=6,IF(J424&gt;=20,"H","A"),IF(K424&gt;=2,IF(J424&gt;=51,"H",IF(J424&lt;=19,"L","A")),IF(J424&lt;=50,"L","A")))))))</f>
        <v>H</v>
      </c>
      <c r="N424" s="46" t="str">
        <f aca="false">IF(M424="L","Baixa",IF(M424="A","Média",IF(M424="","","Alta")))</f>
        <v>Alta</v>
      </c>
      <c r="O424" s="47" t="n">
        <f aca="false">IF(ISBLANK(H424),"",IF(H424="ALI",IF(M424="L",7,IF(M424="A",10,15)),IF(H424="AIE",IF(M424="L",5,IF(M424="A",7,10)),IF(H424="SE",IF(M424="L",4,IF(M424="A",5,7)),IF(OR(H424="EE",H424="CE"),IF(M424="L",3,IF(M424="A",4,6)))))))</f>
        <v>6</v>
      </c>
      <c r="P424" s="48" t="n">
        <f aca="false">IF(I424="I",O424*Contagem!$W$15,IF(I424="E",O424*Contagem!$W$17,IF(I424="A",O424*Contagem!$W$16,IF(I424="T",O424*Contagem!$W$18,""))))</f>
        <v>6</v>
      </c>
      <c r="Q424" s="49" t="s">
        <v>718</v>
      </c>
    </row>
    <row r="425" customFormat="false" ht="12" hidden="false" customHeight="true" outlineLevel="0" collapsed="false">
      <c r="A425" s="40" t="n">
        <f aca="false">IF(H425="",IF(C425="",A424,A424+1),A424)</f>
        <v>56</v>
      </c>
      <c r="B425" s="41" t="str">
        <f aca="false">IF(A425=A424,"",CONCATENATE("F",A425))</f>
        <v/>
      </c>
      <c r="C425" s="42"/>
      <c r="D425" s="42"/>
      <c r="E425" s="42"/>
      <c r="F425" s="42"/>
      <c r="G425" s="42"/>
      <c r="H425" s="44"/>
      <c r="I425" s="50"/>
      <c r="J425" s="44"/>
      <c r="K425" s="44"/>
      <c r="L425" s="44" t="str">
        <f aca="false">CONCATENATE(H425,M425)</f>
        <v/>
      </c>
      <c r="M425" s="45" t="str">
        <f aca="false">IF(OR(ISBLANK(J425),ISBLANK(K425)),IF(OR(H425="ALI",H425="AIE"),"L",IF(ISBLANK(H425),"","A")),IF(H425="EE",IF(K425&gt;=3,IF(J425&gt;=5,"H","A"),IF(K425&gt;=2,IF(J425&gt;=16,"H",IF(J425&lt;=4,"L","A")),IF(J425&lt;=15,"L","A"))),IF(OR(H425="SE",H425="CE"),IF(K425&gt;=4,IF(J425&gt;=6,"H","A"),IF(K425&gt;=2,IF(J425&gt;=20,"H",IF(J425&lt;=5,"L","A")),IF(J425&lt;=19,"L","A"))),IF(OR(H425="ALI",H425="AIE"),IF(K425&gt;=6,IF(J425&gt;=20,"H","A"),IF(K425&gt;=2,IF(J425&gt;=51,"H",IF(J425&lt;=19,"L","A")),IF(J425&lt;=50,"L","A")))))))</f>
        <v/>
      </c>
      <c r="N425" s="46" t="str">
        <f aca="false">IF(M425="L","Baixa",IF(M425="A","Média",IF(M425="","","Alta")))</f>
        <v/>
      </c>
      <c r="O425" s="47" t="str">
        <f aca="false">IF(ISBLANK(H425),"",IF(H425="ALI",IF(M425="L",7,IF(M425="A",10,15)),IF(H425="AIE",IF(M425="L",5,IF(M425="A",7,10)),IF(H425="SE",IF(M425="L",4,IF(M425="A",5,7)),IF(OR(H425="EE",H425="CE"),IF(M425="L",3,IF(M425="A",4,6)))))))</f>
        <v/>
      </c>
      <c r="P425" s="48" t="str">
        <f aca="false">IF(I425="I",O425*Contagem!$W$15,IF(I425="E",O425*Contagem!$W$17,IF(I425="A",O425*Contagem!$W$16,IF(I425="T",O425*Contagem!$W$18,""))))</f>
        <v/>
      </c>
      <c r="Q425" s="49"/>
    </row>
    <row r="426" customFormat="false" ht="12" hidden="false" customHeight="true" outlineLevel="0" collapsed="false">
      <c r="A426" s="40" t="n">
        <f aca="false">IF(H426="",IF(C426="",A425,A425+1),A425)</f>
        <v>57</v>
      </c>
      <c r="B426" s="41" t="str">
        <f aca="false">IF(A426=A425,"",CONCATENATE("F",A426))</f>
        <v>F57</v>
      </c>
      <c r="C426" s="42" t="s">
        <v>719</v>
      </c>
      <c r="D426" s="42"/>
      <c r="E426" s="42"/>
      <c r="F426" s="42"/>
      <c r="G426" s="42"/>
      <c r="H426" s="44"/>
      <c r="I426" s="50"/>
      <c r="J426" s="44"/>
      <c r="K426" s="44"/>
      <c r="L426" s="44" t="str">
        <f aca="false">CONCATENATE(H426,M426)</f>
        <v/>
      </c>
      <c r="M426" s="45" t="str">
        <f aca="false">IF(OR(ISBLANK(J426),ISBLANK(K426)),IF(OR(H426="ALI",H426="AIE"),"L",IF(ISBLANK(H426),"","A")),IF(H426="EE",IF(K426&gt;=3,IF(J426&gt;=5,"H","A"),IF(K426&gt;=2,IF(J426&gt;=16,"H",IF(J426&lt;=4,"L","A")),IF(J426&lt;=15,"L","A"))),IF(OR(H426="SE",H426="CE"),IF(K426&gt;=4,IF(J426&gt;=6,"H","A"),IF(K426&gt;=2,IF(J426&gt;=20,"H",IF(J426&lt;=5,"L","A")),IF(J426&lt;=19,"L","A"))),IF(OR(H426="ALI",H426="AIE"),IF(K426&gt;=6,IF(J426&gt;=20,"H","A"),IF(K426&gt;=2,IF(J426&gt;=51,"H",IF(J426&lt;=19,"L","A")),IF(J426&lt;=50,"L","A")))))))</f>
        <v/>
      </c>
      <c r="N426" s="46" t="str">
        <f aca="false">IF(M426="L","Baixa",IF(M426="A","Média",IF(M426="","","Alta")))</f>
        <v/>
      </c>
      <c r="O426" s="47" t="str">
        <f aca="false">IF(ISBLANK(H426),"",IF(H426="ALI",IF(M426="L",7,IF(M426="A",10,15)),IF(H426="AIE",IF(M426="L",5,IF(M426="A",7,10)),IF(H426="SE",IF(M426="L",4,IF(M426="A",5,7)),IF(OR(H426="EE",H426="CE"),IF(M426="L",3,IF(M426="A",4,6)))))))</f>
        <v/>
      </c>
      <c r="P426" s="48" t="str">
        <f aca="false">IF(I426="I",O426*Contagem!$W$15,IF(I426="E",O426*Contagem!$W$17,IF(I426="A",O426*Contagem!$W$16,IF(I426="T",O426*Contagem!$W$18,""))))</f>
        <v/>
      </c>
      <c r="Q426" s="49"/>
    </row>
    <row r="427" customFormat="false" ht="12" hidden="false" customHeight="true" outlineLevel="0" collapsed="false">
      <c r="A427" s="40" t="n">
        <f aca="false">IF(H427="",IF(C427="",A426,A426+1),A426)</f>
        <v>57</v>
      </c>
      <c r="B427" s="41" t="str">
        <f aca="false">IF(A427=A426,"",CONCATENATE("F",A427))</f>
        <v/>
      </c>
      <c r="C427" s="42" t="s">
        <v>720</v>
      </c>
      <c r="D427" s="42"/>
      <c r="E427" s="42"/>
      <c r="F427" s="42"/>
      <c r="G427" s="42"/>
      <c r="H427" s="44" t="s">
        <v>99</v>
      </c>
      <c r="I427" s="50" t="s">
        <v>56</v>
      </c>
      <c r="J427" s="44" t="n">
        <v>5</v>
      </c>
      <c r="K427" s="44" t="n">
        <v>4</v>
      </c>
      <c r="L427" s="44" t="str">
        <f aca="false">CONCATENATE(H427,M427)</f>
        <v>SEA</v>
      </c>
      <c r="M427" s="45" t="str">
        <f aca="false">IF(OR(ISBLANK(J427),ISBLANK(K427)),IF(OR(H427="ALI",H427="AIE"),"L",IF(ISBLANK(H427),"","A")),IF(H427="EE",IF(K427&gt;=3,IF(J427&gt;=5,"H","A"),IF(K427&gt;=2,IF(J427&gt;=16,"H",IF(J427&lt;=4,"L","A")),IF(J427&lt;=15,"L","A"))),IF(OR(H427="SE",H427="CE"),IF(K427&gt;=4,IF(J427&gt;=6,"H","A"),IF(K427&gt;=2,IF(J427&gt;=20,"H",IF(J427&lt;=5,"L","A")),IF(J427&lt;=19,"L","A"))),IF(OR(H427="ALI",H427="AIE"),IF(K427&gt;=6,IF(J427&gt;=20,"H","A"),IF(K427&gt;=2,IF(J427&gt;=51,"H",IF(J427&lt;=19,"L","A")),IF(J427&lt;=50,"L","A")))))))</f>
        <v>A</v>
      </c>
      <c r="N427" s="46" t="str">
        <f aca="false">IF(M427="L","Baixa",IF(M427="A","Média",IF(M427="","","Alta")))</f>
        <v>Média</v>
      </c>
      <c r="O427" s="47" t="n">
        <f aca="false">IF(ISBLANK(H427),"",IF(H427="ALI",IF(M427="L",7,IF(M427="A",10,15)),IF(H427="AIE",IF(M427="L",5,IF(M427="A",7,10)),IF(H427="SE",IF(M427="L",4,IF(M427="A",5,7)),IF(OR(H427="EE",H427="CE"),IF(M427="L",3,IF(M427="A",4,6)))))))</f>
        <v>5</v>
      </c>
      <c r="P427" s="48" t="n">
        <f aca="false">IF(I427="I",O427*Contagem!$W$15,IF(I427="E",O427*Contagem!$W$17,IF(I427="A",O427*Contagem!$W$16,IF(I427="T",O427*Contagem!$W$18,""))))</f>
        <v>5</v>
      </c>
      <c r="Q427" s="49" t="s">
        <v>721</v>
      </c>
    </row>
    <row r="428" customFormat="false" ht="12" hidden="false" customHeight="true" outlineLevel="0" collapsed="false">
      <c r="A428" s="40" t="n">
        <f aca="false">IF(H428="",IF(C428="",A427,A427+1),A427)</f>
        <v>57</v>
      </c>
      <c r="B428" s="41" t="str">
        <f aca="false">IF(A428=A427,"",CONCATENATE("F",A428))</f>
        <v/>
      </c>
      <c r="C428" s="42" t="s">
        <v>722</v>
      </c>
      <c r="D428" s="42"/>
      <c r="E428" s="42"/>
      <c r="F428" s="42"/>
      <c r="G428" s="42"/>
      <c r="H428" s="44" t="s">
        <v>99</v>
      </c>
      <c r="I428" s="50" t="s">
        <v>56</v>
      </c>
      <c r="J428" s="44" t="n">
        <v>8</v>
      </c>
      <c r="K428" s="44" t="n">
        <v>5</v>
      </c>
      <c r="L428" s="44" t="str">
        <f aca="false">CONCATENATE(H428,M428)</f>
        <v>SEH</v>
      </c>
      <c r="M428" s="45" t="str">
        <f aca="false">IF(OR(ISBLANK(J428),ISBLANK(K428)),IF(OR(H428="ALI",H428="AIE"),"L",IF(ISBLANK(H428),"","A")),IF(H428="EE",IF(K428&gt;=3,IF(J428&gt;=5,"H","A"),IF(K428&gt;=2,IF(J428&gt;=16,"H",IF(J428&lt;=4,"L","A")),IF(J428&lt;=15,"L","A"))),IF(OR(H428="SE",H428="CE"),IF(K428&gt;=4,IF(J428&gt;=6,"H","A"),IF(K428&gt;=2,IF(J428&gt;=20,"H",IF(J428&lt;=5,"L","A")),IF(J428&lt;=19,"L","A"))),IF(OR(H428="ALI",H428="AIE"),IF(K428&gt;=6,IF(J428&gt;=20,"H","A"),IF(K428&gt;=2,IF(J428&gt;=51,"H",IF(J428&lt;=19,"L","A")),IF(J428&lt;=50,"L","A")))))))</f>
        <v>H</v>
      </c>
      <c r="N428" s="46" t="str">
        <f aca="false">IF(M428="L","Baixa",IF(M428="A","Média",IF(M428="","","Alta")))</f>
        <v>Alta</v>
      </c>
      <c r="O428" s="47" t="n">
        <f aca="false">IF(ISBLANK(H428),"",IF(H428="ALI",IF(M428="L",7,IF(M428="A",10,15)),IF(H428="AIE",IF(M428="L",5,IF(M428="A",7,10)),IF(H428="SE",IF(M428="L",4,IF(M428="A",5,7)),IF(OR(H428="EE",H428="CE"),IF(M428="L",3,IF(M428="A",4,6)))))))</f>
        <v>7</v>
      </c>
      <c r="P428" s="48" t="n">
        <f aca="false">IF(I428="I",O428*Contagem!$W$15,IF(I428="E",O428*Contagem!$W$17,IF(I428="A",O428*Contagem!$W$16,IF(I428="T",O428*Contagem!$W$18,""))))</f>
        <v>7</v>
      </c>
      <c r="Q428" s="49" t="s">
        <v>723</v>
      </c>
    </row>
    <row r="429" customFormat="false" ht="12" hidden="false" customHeight="true" outlineLevel="0" collapsed="false">
      <c r="A429" s="40" t="n">
        <f aca="false">IF(H429="",IF(C429="",A428,A428+1),A428)</f>
        <v>57</v>
      </c>
      <c r="B429" s="41" t="str">
        <f aca="false">IF(A429=A428,"",CONCATENATE("F",A429))</f>
        <v/>
      </c>
      <c r="C429" s="42" t="s">
        <v>724</v>
      </c>
      <c r="D429" s="42"/>
      <c r="E429" s="42"/>
      <c r="F429" s="42"/>
      <c r="G429" s="42"/>
      <c r="H429" s="44" t="s">
        <v>99</v>
      </c>
      <c r="I429" s="50" t="s">
        <v>56</v>
      </c>
      <c r="J429" s="44" t="n">
        <v>6</v>
      </c>
      <c r="K429" s="44" t="n">
        <v>4</v>
      </c>
      <c r="L429" s="44" t="str">
        <f aca="false">CONCATENATE(H429,M429)</f>
        <v>SEH</v>
      </c>
      <c r="M429" s="45" t="str">
        <f aca="false">IF(OR(ISBLANK(J429),ISBLANK(K429)),IF(OR(H429="ALI",H429="AIE"),"L",IF(ISBLANK(H429),"","A")),IF(H429="EE",IF(K429&gt;=3,IF(J429&gt;=5,"H","A"),IF(K429&gt;=2,IF(J429&gt;=16,"H",IF(J429&lt;=4,"L","A")),IF(J429&lt;=15,"L","A"))),IF(OR(H429="SE",H429="CE"),IF(K429&gt;=4,IF(J429&gt;=6,"H","A"),IF(K429&gt;=2,IF(J429&gt;=20,"H",IF(J429&lt;=5,"L","A")),IF(J429&lt;=19,"L","A"))),IF(OR(H429="ALI",H429="AIE"),IF(K429&gt;=6,IF(J429&gt;=20,"H","A"),IF(K429&gt;=2,IF(J429&gt;=51,"H",IF(J429&lt;=19,"L","A")),IF(J429&lt;=50,"L","A")))))))</f>
        <v>H</v>
      </c>
      <c r="N429" s="46" t="str">
        <f aca="false">IF(M429="L","Baixa",IF(M429="A","Média",IF(M429="","","Alta")))</f>
        <v>Alta</v>
      </c>
      <c r="O429" s="47" t="n">
        <f aca="false">IF(ISBLANK(H429),"",IF(H429="ALI",IF(M429="L",7,IF(M429="A",10,15)),IF(H429="AIE",IF(M429="L",5,IF(M429="A",7,10)),IF(H429="SE",IF(M429="L",4,IF(M429="A",5,7)),IF(OR(H429="EE",H429="CE"),IF(M429="L",3,IF(M429="A",4,6)))))))</f>
        <v>7</v>
      </c>
      <c r="P429" s="48" t="n">
        <f aca="false">IF(I429="I",O429*Contagem!$W$15,IF(I429="E",O429*Contagem!$W$17,IF(I429="A",O429*Contagem!$W$16,IF(I429="T",O429*Contagem!$W$18,""))))</f>
        <v>7</v>
      </c>
      <c r="Q429" s="49" t="s">
        <v>725</v>
      </c>
    </row>
    <row r="430" customFormat="false" ht="12" hidden="false" customHeight="true" outlineLevel="0" collapsed="false">
      <c r="A430" s="40" t="n">
        <f aca="false">IF(H430="",IF(C430="",A429,A429+1),A429)</f>
        <v>57</v>
      </c>
      <c r="B430" s="41" t="str">
        <f aca="false">IF(A430=A429,"",CONCATENATE("F",A430))</f>
        <v/>
      </c>
      <c r="C430" s="42" t="s">
        <v>726</v>
      </c>
      <c r="D430" s="42"/>
      <c r="E430" s="42"/>
      <c r="F430" s="42"/>
      <c r="G430" s="42"/>
      <c r="H430" s="44" t="s">
        <v>99</v>
      </c>
      <c r="I430" s="50" t="s">
        <v>56</v>
      </c>
      <c r="J430" s="44" t="n">
        <v>8</v>
      </c>
      <c r="K430" s="44" t="n">
        <v>5</v>
      </c>
      <c r="L430" s="44" t="str">
        <f aca="false">CONCATENATE(H430,M430)</f>
        <v>SEH</v>
      </c>
      <c r="M430" s="45" t="str">
        <f aca="false">IF(OR(ISBLANK(J430),ISBLANK(K430)),IF(OR(H430="ALI",H430="AIE"),"L",IF(ISBLANK(H430),"","A")),IF(H430="EE",IF(K430&gt;=3,IF(J430&gt;=5,"H","A"),IF(K430&gt;=2,IF(J430&gt;=16,"H",IF(J430&lt;=4,"L","A")),IF(J430&lt;=15,"L","A"))),IF(OR(H430="SE",H430="CE"),IF(K430&gt;=4,IF(J430&gt;=6,"H","A"),IF(K430&gt;=2,IF(J430&gt;=20,"H",IF(J430&lt;=5,"L","A")),IF(J430&lt;=19,"L","A"))),IF(OR(H430="ALI",H430="AIE"),IF(K430&gt;=6,IF(J430&gt;=20,"H","A"),IF(K430&gt;=2,IF(J430&gt;=51,"H",IF(J430&lt;=19,"L","A")),IF(J430&lt;=50,"L","A")))))))</f>
        <v>H</v>
      </c>
      <c r="N430" s="46" t="str">
        <f aca="false">IF(M430="L","Baixa",IF(M430="A","Média",IF(M430="","","Alta")))</f>
        <v>Alta</v>
      </c>
      <c r="O430" s="47" t="n">
        <f aca="false">IF(ISBLANK(H430),"",IF(H430="ALI",IF(M430="L",7,IF(M430="A",10,15)),IF(H430="AIE",IF(M430="L",5,IF(M430="A",7,10)),IF(H430="SE",IF(M430="L",4,IF(M430="A",5,7)),IF(OR(H430="EE",H430="CE"),IF(M430="L",3,IF(M430="A",4,6)))))))</f>
        <v>7</v>
      </c>
      <c r="P430" s="48" t="n">
        <f aca="false">IF(I430="I",O430*Contagem!$W$15,IF(I430="E",O430*Contagem!$W$17,IF(I430="A",O430*Contagem!$W$16,IF(I430="T",O430*Contagem!$W$18,""))))</f>
        <v>7</v>
      </c>
      <c r="Q430" s="49" t="s">
        <v>727</v>
      </c>
    </row>
    <row r="431" customFormat="false" ht="12" hidden="false" customHeight="true" outlineLevel="0" collapsed="false">
      <c r="A431" s="40" t="n">
        <f aca="false">IF(H431="",IF(C431="",A430,A430+1),A430)</f>
        <v>57</v>
      </c>
      <c r="B431" s="41" t="str">
        <f aca="false">IF(A431=A430,"",CONCATENATE("F",A431))</f>
        <v/>
      </c>
      <c r="C431" s="42"/>
      <c r="D431" s="42"/>
      <c r="E431" s="42"/>
      <c r="F431" s="42"/>
      <c r="G431" s="42"/>
      <c r="H431" s="44"/>
      <c r="I431" s="50"/>
      <c r="J431" s="44"/>
      <c r="K431" s="44"/>
      <c r="L431" s="44" t="str">
        <f aca="false">CONCATENATE(H431,M431)</f>
        <v/>
      </c>
      <c r="M431" s="45" t="str">
        <f aca="false">IF(OR(ISBLANK(J431),ISBLANK(K431)),IF(OR(H431="ALI",H431="AIE"),"L",IF(ISBLANK(H431),"","A")),IF(H431="EE",IF(K431&gt;=3,IF(J431&gt;=5,"H","A"),IF(K431&gt;=2,IF(J431&gt;=16,"H",IF(J431&lt;=4,"L","A")),IF(J431&lt;=15,"L","A"))),IF(OR(H431="SE",H431="CE"),IF(K431&gt;=4,IF(J431&gt;=6,"H","A"),IF(K431&gt;=2,IF(J431&gt;=20,"H",IF(J431&lt;=5,"L","A")),IF(J431&lt;=19,"L","A"))),IF(OR(H431="ALI",H431="AIE"),IF(K431&gt;=6,IF(J431&gt;=20,"H","A"),IF(K431&gt;=2,IF(J431&gt;=51,"H",IF(J431&lt;=19,"L","A")),IF(J431&lt;=50,"L","A")))))))</f>
        <v/>
      </c>
      <c r="N431" s="46" t="str">
        <f aca="false">IF(M431="L","Baixa",IF(M431="A","Média",IF(M431="","","Alta")))</f>
        <v/>
      </c>
      <c r="O431" s="47" t="str">
        <f aca="false">IF(ISBLANK(H431),"",IF(H431="ALI",IF(M431="L",7,IF(M431="A",10,15)),IF(H431="AIE",IF(M431="L",5,IF(M431="A",7,10)),IF(H431="SE",IF(M431="L",4,IF(M431="A",5,7)),IF(OR(H431="EE",H431="CE"),IF(M431="L",3,IF(M431="A",4,6)))))))</f>
        <v/>
      </c>
      <c r="P431" s="48" t="str">
        <f aca="false">IF(I431="I",O431*Contagem!$W$15,IF(I431="E",O431*Contagem!$W$17,IF(I431="A",O431*Contagem!$W$16,IF(I431="T",O431*Contagem!$W$18,""))))</f>
        <v/>
      </c>
      <c r="Q431" s="49"/>
    </row>
    <row r="432" customFormat="false" ht="12" hidden="false" customHeight="true" outlineLevel="0" collapsed="false">
      <c r="A432" s="40" t="n">
        <f aca="false">IF(H432="",IF(C432="",A431,A431+1),A431)</f>
        <v>58</v>
      </c>
      <c r="B432" s="41" t="str">
        <f aca="false">IF(A432=A431,"",CONCATENATE("F",A432))</f>
        <v>F58</v>
      </c>
      <c r="C432" s="42" t="s">
        <v>728</v>
      </c>
      <c r="D432" s="42"/>
      <c r="E432" s="42"/>
      <c r="F432" s="42"/>
      <c r="G432" s="42"/>
      <c r="H432" s="44"/>
      <c r="I432" s="50"/>
      <c r="J432" s="44"/>
      <c r="K432" s="44"/>
      <c r="L432" s="44" t="str">
        <f aca="false">CONCATENATE(H432,M432)</f>
        <v/>
      </c>
      <c r="M432" s="45" t="str">
        <f aca="false">IF(OR(ISBLANK(J432),ISBLANK(K432)),IF(OR(H432="ALI",H432="AIE"),"L",IF(ISBLANK(H432),"","A")),IF(H432="EE",IF(K432&gt;=3,IF(J432&gt;=5,"H","A"),IF(K432&gt;=2,IF(J432&gt;=16,"H",IF(J432&lt;=4,"L","A")),IF(J432&lt;=15,"L","A"))),IF(OR(H432="SE",H432="CE"),IF(K432&gt;=4,IF(J432&gt;=6,"H","A"),IF(K432&gt;=2,IF(J432&gt;=20,"H",IF(J432&lt;=5,"L","A")),IF(J432&lt;=19,"L","A"))),IF(OR(H432="ALI",H432="AIE"),IF(K432&gt;=6,IF(J432&gt;=20,"H","A"),IF(K432&gt;=2,IF(J432&gt;=51,"H",IF(J432&lt;=19,"L","A")),IF(J432&lt;=50,"L","A")))))))</f>
        <v/>
      </c>
      <c r="N432" s="46" t="str">
        <f aca="false">IF(M432="L","Baixa",IF(M432="A","Média",IF(M432="","","Alta")))</f>
        <v/>
      </c>
      <c r="O432" s="47" t="str">
        <f aca="false">IF(ISBLANK(H432),"",IF(H432="ALI",IF(M432="L",7,IF(M432="A",10,15)),IF(H432="AIE",IF(M432="L",5,IF(M432="A",7,10)),IF(H432="SE",IF(M432="L",4,IF(M432="A",5,7)),IF(OR(H432="EE",H432="CE"),IF(M432="L",3,IF(M432="A",4,6)))))))</f>
        <v/>
      </c>
      <c r="P432" s="48" t="str">
        <f aca="false">IF(I432="I",O432*Contagem!$W$15,IF(I432="E",O432*Contagem!$W$17,IF(I432="A",O432*Contagem!$W$16,IF(I432="T",O432*Contagem!$W$18,""))))</f>
        <v/>
      </c>
      <c r="Q432" s="49"/>
    </row>
    <row r="433" customFormat="false" ht="12" hidden="false" customHeight="true" outlineLevel="0" collapsed="false">
      <c r="A433" s="40" t="n">
        <f aca="false">IF(H433="",IF(C433="",A432,A432+1),A432)</f>
        <v>58</v>
      </c>
      <c r="B433" s="41" t="str">
        <f aca="false">IF(A433=A432,"",CONCATENATE("F",A433))</f>
        <v/>
      </c>
      <c r="C433" s="42" t="s">
        <v>729</v>
      </c>
      <c r="D433" s="42"/>
      <c r="E433" s="42"/>
      <c r="F433" s="42"/>
      <c r="G433" s="42"/>
      <c r="H433" s="44" t="s">
        <v>99</v>
      </c>
      <c r="I433" s="50" t="s">
        <v>56</v>
      </c>
      <c r="J433" s="44" t="n">
        <v>21</v>
      </c>
      <c r="K433" s="44" t="n">
        <v>3</v>
      </c>
      <c r="L433" s="44" t="str">
        <f aca="false">CONCATENATE(H433,M433)</f>
        <v>SEH</v>
      </c>
      <c r="M433" s="45" t="str">
        <f aca="false">IF(OR(ISBLANK(J433),ISBLANK(K433)),IF(OR(H433="ALI",H433="AIE"),"L",IF(ISBLANK(H433),"","A")),IF(H433="EE",IF(K433&gt;=3,IF(J433&gt;=5,"H","A"),IF(K433&gt;=2,IF(J433&gt;=16,"H",IF(J433&lt;=4,"L","A")),IF(J433&lt;=15,"L","A"))),IF(OR(H433="SE",H433="CE"),IF(K433&gt;=4,IF(J433&gt;=6,"H","A"),IF(K433&gt;=2,IF(J433&gt;=20,"H",IF(J433&lt;=5,"L","A")),IF(J433&lt;=19,"L","A"))),IF(OR(H433="ALI",H433="AIE"),IF(K433&gt;=6,IF(J433&gt;=20,"H","A"),IF(K433&gt;=2,IF(J433&gt;=51,"H",IF(J433&lt;=19,"L","A")),IF(J433&lt;=50,"L","A")))))))</f>
        <v>H</v>
      </c>
      <c r="N433" s="46" t="str">
        <f aca="false">IF(M433="L","Baixa",IF(M433="A","Média",IF(M433="","","Alta")))</f>
        <v>Alta</v>
      </c>
      <c r="O433" s="47" t="n">
        <f aca="false">IF(ISBLANK(H433),"",IF(H433="ALI",IF(M433="L",7,IF(M433="A",10,15)),IF(H433="AIE",IF(M433="L",5,IF(M433="A",7,10)),IF(H433="SE",IF(M433="L",4,IF(M433="A",5,7)),IF(OR(H433="EE",H433="CE"),IF(M433="L",3,IF(M433="A",4,6)))))))</f>
        <v>7</v>
      </c>
      <c r="P433" s="48" t="n">
        <f aca="false">IF(I433="I",O433*Contagem!$W$15,IF(I433="E",O433*Contagem!$W$17,IF(I433="A",O433*Contagem!$W$16,IF(I433="T",O433*Contagem!$W$18,""))))</f>
        <v>7</v>
      </c>
      <c r="Q433" s="49" t="s">
        <v>730</v>
      </c>
    </row>
    <row r="434" customFormat="false" ht="12" hidden="false" customHeight="true" outlineLevel="0" collapsed="false">
      <c r="A434" s="40" t="n">
        <f aca="false">IF(H434="",IF(C434="",A433,A433+1),A433)</f>
        <v>58</v>
      </c>
      <c r="B434" s="41" t="str">
        <f aca="false">IF(A434=A433,"",CONCATENATE("F",A434))</f>
        <v/>
      </c>
      <c r="C434" s="42" t="s">
        <v>731</v>
      </c>
      <c r="D434" s="42"/>
      <c r="E434" s="42"/>
      <c r="F434" s="42"/>
      <c r="G434" s="42"/>
      <c r="H434" s="44" t="s">
        <v>99</v>
      </c>
      <c r="I434" s="50" t="s">
        <v>56</v>
      </c>
      <c r="J434" s="44" t="n">
        <v>29</v>
      </c>
      <c r="K434" s="44" t="n">
        <v>8</v>
      </c>
      <c r="L434" s="44" t="str">
        <f aca="false">CONCATENATE(H434,M434)</f>
        <v>SEH</v>
      </c>
      <c r="M434" s="45" t="str">
        <f aca="false">IF(OR(ISBLANK(J434),ISBLANK(K434)),IF(OR(H434="ALI",H434="AIE"),"L",IF(ISBLANK(H434),"","A")),IF(H434="EE",IF(K434&gt;=3,IF(J434&gt;=5,"H","A"),IF(K434&gt;=2,IF(J434&gt;=16,"H",IF(J434&lt;=4,"L","A")),IF(J434&lt;=15,"L","A"))),IF(OR(H434="SE",H434="CE"),IF(K434&gt;=4,IF(J434&gt;=6,"H","A"),IF(K434&gt;=2,IF(J434&gt;=20,"H",IF(J434&lt;=5,"L","A")),IF(J434&lt;=19,"L","A"))),IF(OR(H434="ALI",H434="AIE"),IF(K434&gt;=6,IF(J434&gt;=20,"H","A"),IF(K434&gt;=2,IF(J434&gt;=51,"H",IF(J434&lt;=19,"L","A")),IF(J434&lt;=50,"L","A")))))))</f>
        <v>H</v>
      </c>
      <c r="N434" s="46" t="str">
        <f aca="false">IF(M434="L","Baixa",IF(M434="A","Média",IF(M434="","","Alta")))</f>
        <v>Alta</v>
      </c>
      <c r="O434" s="47" t="n">
        <f aca="false">IF(ISBLANK(H434),"",IF(H434="ALI",IF(M434="L",7,IF(M434="A",10,15)),IF(H434="AIE",IF(M434="L",5,IF(M434="A",7,10)),IF(H434="SE",IF(M434="L",4,IF(M434="A",5,7)),IF(OR(H434="EE",H434="CE"),IF(M434="L",3,IF(M434="A",4,6)))))))</f>
        <v>7</v>
      </c>
      <c r="P434" s="48" t="n">
        <f aca="false">IF(I434="I",O434*Contagem!$W$15,IF(I434="E",O434*Contagem!$W$17,IF(I434="A",O434*Contagem!$W$16,IF(I434="T",O434*Contagem!$W$18,""))))</f>
        <v>7</v>
      </c>
      <c r="Q434" s="49" t="s">
        <v>732</v>
      </c>
    </row>
    <row r="435" customFormat="false" ht="12" hidden="false" customHeight="true" outlineLevel="0" collapsed="false">
      <c r="A435" s="40" t="n">
        <f aca="false">IF(H435="",IF(C435="",A434,A434+1),A434)</f>
        <v>58</v>
      </c>
      <c r="B435" s="41" t="str">
        <f aca="false">IF(A435=A434,"",CONCATENATE("F",A435))</f>
        <v/>
      </c>
      <c r="C435" s="42"/>
      <c r="D435" s="42"/>
      <c r="E435" s="42"/>
      <c r="F435" s="42"/>
      <c r="G435" s="42"/>
      <c r="H435" s="44"/>
      <c r="I435" s="50"/>
      <c r="J435" s="44"/>
      <c r="K435" s="44"/>
      <c r="L435" s="44" t="str">
        <f aca="false">CONCATENATE(H435,M435)</f>
        <v/>
      </c>
      <c r="M435" s="45" t="str">
        <f aca="false">IF(OR(ISBLANK(J435),ISBLANK(K435)),IF(OR(H435="ALI",H435="AIE"),"L",IF(ISBLANK(H435),"","A")),IF(H435="EE",IF(K435&gt;=3,IF(J435&gt;=5,"H","A"),IF(K435&gt;=2,IF(J435&gt;=16,"H",IF(J435&lt;=4,"L","A")),IF(J435&lt;=15,"L","A"))),IF(OR(H435="SE",H435="CE"),IF(K435&gt;=4,IF(J435&gt;=6,"H","A"),IF(K435&gt;=2,IF(J435&gt;=20,"H",IF(J435&lt;=5,"L","A")),IF(J435&lt;=19,"L","A"))),IF(OR(H435="ALI",H435="AIE"),IF(K435&gt;=6,IF(J435&gt;=20,"H","A"),IF(K435&gt;=2,IF(J435&gt;=51,"H",IF(J435&lt;=19,"L","A")),IF(J435&lt;=50,"L","A")))))))</f>
        <v/>
      </c>
      <c r="N435" s="46" t="str">
        <f aca="false">IF(M435="L","Baixa",IF(M435="A","Média",IF(M435="","","Alta")))</f>
        <v/>
      </c>
      <c r="O435" s="47" t="str">
        <f aca="false">IF(ISBLANK(H435),"",IF(H435="ALI",IF(M435="L",7,IF(M435="A",10,15)),IF(H435="AIE",IF(M435="L",5,IF(M435="A",7,10)),IF(H435="SE",IF(M435="L",4,IF(M435="A",5,7)),IF(OR(H435="EE",H435="CE"),IF(M435="L",3,IF(M435="A",4,6)))))))</f>
        <v/>
      </c>
      <c r="P435" s="48" t="str">
        <f aca="false">IF(I435="I",O435*Contagem!$W$15,IF(I435="E",O435*Contagem!$W$17,IF(I435="A",O435*Contagem!$W$16,IF(I435="T",O435*Contagem!$W$18,""))))</f>
        <v/>
      </c>
      <c r="Q435" s="49"/>
    </row>
    <row r="436" customFormat="false" ht="12" hidden="false" customHeight="true" outlineLevel="0" collapsed="false">
      <c r="A436" s="40" t="n">
        <f aca="false">IF(H436="",IF(C436="",A435,A435+1),A435)</f>
        <v>59</v>
      </c>
      <c r="B436" s="41" t="str">
        <f aca="false">IF(A436=A435,"",CONCATENATE("F",A436))</f>
        <v>F59</v>
      </c>
      <c r="C436" s="42" t="s">
        <v>733</v>
      </c>
      <c r="D436" s="42"/>
      <c r="E436" s="42"/>
      <c r="F436" s="42"/>
      <c r="G436" s="42"/>
      <c r="H436" s="44"/>
      <c r="I436" s="50"/>
      <c r="J436" s="44"/>
      <c r="K436" s="44"/>
      <c r="L436" s="44" t="str">
        <f aca="false">CONCATENATE(H436,M436)</f>
        <v/>
      </c>
      <c r="M436" s="45" t="str">
        <f aca="false">IF(OR(ISBLANK(J436),ISBLANK(K436)),IF(OR(H436="ALI",H436="AIE"),"L",IF(ISBLANK(H436),"","A")),IF(H436="EE",IF(K436&gt;=3,IF(J436&gt;=5,"H","A"),IF(K436&gt;=2,IF(J436&gt;=16,"H",IF(J436&lt;=4,"L","A")),IF(J436&lt;=15,"L","A"))),IF(OR(H436="SE",H436="CE"),IF(K436&gt;=4,IF(J436&gt;=6,"H","A"),IF(K436&gt;=2,IF(J436&gt;=20,"H",IF(J436&lt;=5,"L","A")),IF(J436&lt;=19,"L","A"))),IF(OR(H436="ALI",H436="AIE"),IF(K436&gt;=6,IF(J436&gt;=20,"H","A"),IF(K436&gt;=2,IF(J436&gt;=51,"H",IF(J436&lt;=19,"L","A")),IF(J436&lt;=50,"L","A")))))))</f>
        <v/>
      </c>
      <c r="N436" s="46" t="str">
        <f aca="false">IF(M436="L","Baixa",IF(M436="A","Média",IF(M436="","","Alta")))</f>
        <v/>
      </c>
      <c r="O436" s="47" t="str">
        <f aca="false">IF(ISBLANK(H436),"",IF(H436="ALI",IF(M436="L",7,IF(M436="A",10,15)),IF(H436="AIE",IF(M436="L",5,IF(M436="A",7,10)),IF(H436="SE",IF(M436="L",4,IF(M436="A",5,7)),IF(OR(H436="EE",H436="CE"),IF(M436="L",3,IF(M436="A",4,6)))))))</f>
        <v/>
      </c>
      <c r="P436" s="48" t="str">
        <f aca="false">IF(I436="I",O436*Contagem!$W$15,IF(I436="E",O436*Contagem!$W$17,IF(I436="A",O436*Contagem!$W$16,IF(I436="T",O436*Contagem!$W$18,""))))</f>
        <v/>
      </c>
      <c r="Q436" s="49"/>
    </row>
    <row r="437" customFormat="false" ht="12" hidden="false" customHeight="true" outlineLevel="0" collapsed="false">
      <c r="A437" s="40" t="n">
        <f aca="false">IF(H437="",IF(C437="",A436,A436+1),A436)</f>
        <v>59</v>
      </c>
      <c r="B437" s="41" t="str">
        <f aca="false">IF(A437=A436,"",CONCATENATE("F",A437))</f>
        <v/>
      </c>
      <c r="C437" s="42" t="s">
        <v>734</v>
      </c>
      <c r="D437" s="42"/>
      <c r="E437" s="42"/>
      <c r="F437" s="42"/>
      <c r="G437" s="42"/>
      <c r="H437" s="44" t="s">
        <v>99</v>
      </c>
      <c r="I437" s="50" t="s">
        <v>56</v>
      </c>
      <c r="J437" s="44" t="n">
        <v>20</v>
      </c>
      <c r="K437" s="44" t="n">
        <v>4</v>
      </c>
      <c r="L437" s="44" t="str">
        <f aca="false">CONCATENATE(H437,M437)</f>
        <v>SEH</v>
      </c>
      <c r="M437" s="45" t="str">
        <f aca="false">IF(OR(ISBLANK(J437),ISBLANK(K437)),IF(OR(H437="ALI",H437="AIE"),"L",IF(ISBLANK(H437),"","A")),IF(H437="EE",IF(K437&gt;=3,IF(J437&gt;=5,"H","A"),IF(K437&gt;=2,IF(J437&gt;=16,"H",IF(J437&lt;=4,"L","A")),IF(J437&lt;=15,"L","A"))),IF(OR(H437="SE",H437="CE"),IF(K437&gt;=4,IF(J437&gt;=6,"H","A"),IF(K437&gt;=2,IF(J437&gt;=20,"H",IF(J437&lt;=5,"L","A")),IF(J437&lt;=19,"L","A"))),IF(OR(H437="ALI",H437="AIE"),IF(K437&gt;=6,IF(J437&gt;=20,"H","A"),IF(K437&gt;=2,IF(J437&gt;=51,"H",IF(J437&lt;=19,"L","A")),IF(J437&lt;=50,"L","A")))))))</f>
        <v>H</v>
      </c>
      <c r="N437" s="46" t="str">
        <f aca="false">IF(M437="L","Baixa",IF(M437="A","Média",IF(M437="","","Alta")))</f>
        <v>Alta</v>
      </c>
      <c r="O437" s="47" t="n">
        <f aca="false">IF(ISBLANK(H437),"",IF(H437="ALI",IF(M437="L",7,IF(M437="A",10,15)),IF(H437="AIE",IF(M437="L",5,IF(M437="A",7,10)),IF(H437="SE",IF(M437="L",4,IF(M437="A",5,7)),IF(OR(H437="EE",H437="CE"),IF(M437="L",3,IF(M437="A",4,6)))))))</f>
        <v>7</v>
      </c>
      <c r="P437" s="48" t="n">
        <f aca="false">IF(I437="I",O437*Contagem!$W$15,IF(I437="E",O437*Contagem!$W$17,IF(I437="A",O437*Contagem!$W$16,IF(I437="T",O437*Contagem!$W$18,""))))</f>
        <v>7</v>
      </c>
      <c r="Q437" s="49" t="s">
        <v>735</v>
      </c>
    </row>
    <row r="438" customFormat="false" ht="12" hidden="false" customHeight="true" outlineLevel="0" collapsed="false">
      <c r="A438" s="40" t="n">
        <f aca="false">IF(H438="",IF(C438="",A437,A437+1),A437)</f>
        <v>59</v>
      </c>
      <c r="B438" s="41" t="str">
        <f aca="false">IF(A438=A437,"",CONCATENATE("F",A438))</f>
        <v/>
      </c>
      <c r="C438" s="42" t="s">
        <v>736</v>
      </c>
      <c r="D438" s="42"/>
      <c r="E438" s="42"/>
      <c r="F438" s="42"/>
      <c r="G438" s="42"/>
      <c r="H438" s="44" t="s">
        <v>99</v>
      </c>
      <c r="I438" s="50" t="s">
        <v>56</v>
      </c>
      <c r="J438" s="44" t="n">
        <v>20</v>
      </c>
      <c r="K438" s="44" t="n">
        <v>3</v>
      </c>
      <c r="L438" s="44" t="str">
        <f aca="false">CONCATENATE(H438,M438)</f>
        <v>SEH</v>
      </c>
      <c r="M438" s="45" t="str">
        <f aca="false">IF(OR(ISBLANK(J438),ISBLANK(K438)),IF(OR(H438="ALI",H438="AIE"),"L",IF(ISBLANK(H438),"","A")),IF(H438="EE",IF(K438&gt;=3,IF(J438&gt;=5,"H","A"),IF(K438&gt;=2,IF(J438&gt;=16,"H",IF(J438&lt;=4,"L","A")),IF(J438&lt;=15,"L","A"))),IF(OR(H438="SE",H438="CE"),IF(K438&gt;=4,IF(J438&gt;=6,"H","A"),IF(K438&gt;=2,IF(J438&gt;=20,"H",IF(J438&lt;=5,"L","A")),IF(J438&lt;=19,"L","A"))),IF(OR(H438="ALI",H438="AIE"),IF(K438&gt;=6,IF(J438&gt;=20,"H","A"),IF(K438&gt;=2,IF(J438&gt;=51,"H",IF(J438&lt;=19,"L","A")),IF(J438&lt;=50,"L","A")))))))</f>
        <v>H</v>
      </c>
      <c r="N438" s="46" t="str">
        <f aca="false">IF(M438="L","Baixa",IF(M438="A","Média",IF(M438="","","Alta")))</f>
        <v>Alta</v>
      </c>
      <c r="O438" s="47" t="n">
        <f aca="false">IF(ISBLANK(H438),"",IF(H438="ALI",IF(M438="L",7,IF(M438="A",10,15)),IF(H438="AIE",IF(M438="L",5,IF(M438="A",7,10)),IF(H438="SE",IF(M438="L",4,IF(M438="A",5,7)),IF(OR(H438="EE",H438="CE"),IF(M438="L",3,IF(M438="A",4,6)))))))</f>
        <v>7</v>
      </c>
      <c r="P438" s="48" t="n">
        <f aca="false">IF(I438="I",O438*Contagem!$W$15,IF(I438="E",O438*Contagem!$W$17,IF(I438="A",O438*Contagem!$W$16,IF(I438="T",O438*Contagem!$W$18,""))))</f>
        <v>7</v>
      </c>
      <c r="Q438" s="49" t="s">
        <v>737</v>
      </c>
    </row>
    <row r="439" customFormat="false" ht="12" hidden="false" customHeight="true" outlineLevel="0" collapsed="false">
      <c r="A439" s="40" t="n">
        <f aca="false">IF(H439="",IF(C439="",A438,A438+1),A438)</f>
        <v>59</v>
      </c>
      <c r="B439" s="41" t="str">
        <f aca="false">IF(A439=A438,"",CONCATENATE("F",A439))</f>
        <v/>
      </c>
      <c r="C439" s="42" t="s">
        <v>738</v>
      </c>
      <c r="D439" s="42"/>
      <c r="E439" s="42"/>
      <c r="F439" s="42"/>
      <c r="G439" s="42"/>
      <c r="H439" s="44" t="s">
        <v>99</v>
      </c>
      <c r="I439" s="50" t="s">
        <v>56</v>
      </c>
      <c r="J439" s="44" t="n">
        <v>10</v>
      </c>
      <c r="K439" s="44" t="n">
        <v>3</v>
      </c>
      <c r="L439" s="44" t="str">
        <f aca="false">CONCATENATE(H439,M439)</f>
        <v>SEA</v>
      </c>
      <c r="M439" s="45" t="str">
        <f aca="false">IF(OR(ISBLANK(J439),ISBLANK(K439)),IF(OR(H439="ALI",H439="AIE"),"L",IF(ISBLANK(H439),"","A")),IF(H439="EE",IF(K439&gt;=3,IF(J439&gt;=5,"H","A"),IF(K439&gt;=2,IF(J439&gt;=16,"H",IF(J439&lt;=4,"L","A")),IF(J439&lt;=15,"L","A"))),IF(OR(H439="SE",H439="CE"),IF(K439&gt;=4,IF(J439&gt;=6,"H","A"),IF(K439&gt;=2,IF(J439&gt;=20,"H",IF(J439&lt;=5,"L","A")),IF(J439&lt;=19,"L","A"))),IF(OR(H439="ALI",H439="AIE"),IF(K439&gt;=6,IF(J439&gt;=20,"H","A"),IF(K439&gt;=2,IF(J439&gt;=51,"H",IF(J439&lt;=19,"L","A")),IF(J439&lt;=50,"L","A")))))))</f>
        <v>A</v>
      </c>
      <c r="N439" s="46" t="str">
        <f aca="false">IF(M439="L","Baixa",IF(M439="A","Média",IF(M439="","","Alta")))</f>
        <v>Média</v>
      </c>
      <c r="O439" s="47" t="n">
        <f aca="false">IF(ISBLANK(H439),"",IF(H439="ALI",IF(M439="L",7,IF(M439="A",10,15)),IF(H439="AIE",IF(M439="L",5,IF(M439="A",7,10)),IF(H439="SE",IF(M439="L",4,IF(M439="A",5,7)),IF(OR(H439="EE",H439="CE"),IF(M439="L",3,IF(M439="A",4,6)))))))</f>
        <v>5</v>
      </c>
      <c r="P439" s="48" t="n">
        <f aca="false">IF(I439="I",O439*Contagem!$W$15,IF(I439="E",O439*Contagem!$W$17,IF(I439="A",O439*Contagem!$W$16,IF(I439="T",O439*Contagem!$W$18,""))))</f>
        <v>5</v>
      </c>
      <c r="Q439" s="49" t="s">
        <v>739</v>
      </c>
    </row>
    <row r="440" customFormat="false" ht="12" hidden="false" customHeight="true" outlineLevel="0" collapsed="false">
      <c r="A440" s="40" t="n">
        <f aca="false">IF(H440="",IF(C440="",A439,A439+1),A439)</f>
        <v>59</v>
      </c>
      <c r="B440" s="41" t="str">
        <f aca="false">IF(A440=A439,"",CONCATENATE("F",A440))</f>
        <v/>
      </c>
      <c r="C440" s="42" t="s">
        <v>740</v>
      </c>
      <c r="D440" s="42"/>
      <c r="E440" s="42"/>
      <c r="F440" s="42"/>
      <c r="G440" s="42"/>
      <c r="H440" s="44" t="s">
        <v>99</v>
      </c>
      <c r="I440" s="50" t="s">
        <v>56</v>
      </c>
      <c r="J440" s="44" t="n">
        <v>10</v>
      </c>
      <c r="K440" s="44" t="n">
        <v>3</v>
      </c>
      <c r="L440" s="44" t="str">
        <f aca="false">CONCATENATE(H440,M440)</f>
        <v>SEA</v>
      </c>
      <c r="M440" s="45" t="str">
        <f aca="false">IF(OR(ISBLANK(J440),ISBLANK(K440)),IF(OR(H440="ALI",H440="AIE"),"L",IF(ISBLANK(H440),"","A")),IF(H440="EE",IF(K440&gt;=3,IF(J440&gt;=5,"H","A"),IF(K440&gt;=2,IF(J440&gt;=16,"H",IF(J440&lt;=4,"L","A")),IF(J440&lt;=15,"L","A"))),IF(OR(H440="SE",H440="CE"),IF(K440&gt;=4,IF(J440&gt;=6,"H","A"),IF(K440&gt;=2,IF(J440&gt;=20,"H",IF(J440&lt;=5,"L","A")),IF(J440&lt;=19,"L","A"))),IF(OR(H440="ALI",H440="AIE"),IF(K440&gt;=6,IF(J440&gt;=20,"H","A"),IF(K440&gt;=2,IF(J440&gt;=51,"H",IF(J440&lt;=19,"L","A")),IF(J440&lt;=50,"L","A")))))))</f>
        <v>A</v>
      </c>
      <c r="N440" s="46" t="str">
        <f aca="false">IF(M440="L","Baixa",IF(M440="A","Média",IF(M440="","","Alta")))</f>
        <v>Média</v>
      </c>
      <c r="O440" s="47" t="n">
        <f aca="false">IF(ISBLANK(H440),"",IF(H440="ALI",IF(M440="L",7,IF(M440="A",10,15)),IF(H440="AIE",IF(M440="L",5,IF(M440="A",7,10)),IF(H440="SE",IF(M440="L",4,IF(M440="A",5,7)),IF(OR(H440="EE",H440="CE"),IF(M440="L",3,IF(M440="A",4,6)))))))</f>
        <v>5</v>
      </c>
      <c r="P440" s="48" t="n">
        <f aca="false">IF(I440="I",O440*Contagem!$W$15,IF(I440="E",O440*Contagem!$W$17,IF(I440="A",O440*Contagem!$W$16,IF(I440="T",O440*Contagem!$W$18,""))))</f>
        <v>5</v>
      </c>
      <c r="Q440" s="49" t="s">
        <v>741</v>
      </c>
    </row>
    <row r="441" customFormat="false" ht="12" hidden="false" customHeight="true" outlineLevel="0" collapsed="false">
      <c r="A441" s="40" t="n">
        <f aca="false">IF(H441="",IF(C441="",A440,A440+1),A440)</f>
        <v>59</v>
      </c>
      <c r="B441" s="41" t="str">
        <f aca="false">IF(A441=A440,"",CONCATENATE("F",A441))</f>
        <v/>
      </c>
      <c r="C441" s="42" t="s">
        <v>742</v>
      </c>
      <c r="D441" s="42"/>
      <c r="E441" s="42"/>
      <c r="F441" s="42"/>
      <c r="G441" s="42"/>
      <c r="H441" s="44" t="s">
        <v>99</v>
      </c>
      <c r="I441" s="50" t="s">
        <v>56</v>
      </c>
      <c r="J441" s="44" t="n">
        <v>14</v>
      </c>
      <c r="K441" s="44" t="n">
        <v>4</v>
      </c>
      <c r="L441" s="44" t="str">
        <f aca="false">CONCATENATE(H441,M441)</f>
        <v>SEH</v>
      </c>
      <c r="M441" s="45" t="str">
        <f aca="false">IF(OR(ISBLANK(J441),ISBLANK(K441)),IF(OR(H441="ALI",H441="AIE"),"L",IF(ISBLANK(H441),"","A")),IF(H441="EE",IF(K441&gt;=3,IF(J441&gt;=5,"H","A"),IF(K441&gt;=2,IF(J441&gt;=16,"H",IF(J441&lt;=4,"L","A")),IF(J441&lt;=15,"L","A"))),IF(OR(H441="SE",H441="CE"),IF(K441&gt;=4,IF(J441&gt;=6,"H","A"),IF(K441&gt;=2,IF(J441&gt;=20,"H",IF(J441&lt;=5,"L","A")),IF(J441&lt;=19,"L","A"))),IF(OR(H441="ALI",H441="AIE"),IF(K441&gt;=6,IF(J441&gt;=20,"H","A"),IF(K441&gt;=2,IF(J441&gt;=51,"H",IF(J441&lt;=19,"L","A")),IF(J441&lt;=50,"L","A")))))))</f>
        <v>H</v>
      </c>
      <c r="N441" s="46" t="str">
        <f aca="false">IF(M441="L","Baixa",IF(M441="A","Média",IF(M441="","","Alta")))</f>
        <v>Alta</v>
      </c>
      <c r="O441" s="47" t="n">
        <f aca="false">IF(ISBLANK(H441),"",IF(H441="ALI",IF(M441="L",7,IF(M441="A",10,15)),IF(H441="AIE",IF(M441="L",5,IF(M441="A",7,10)),IF(H441="SE",IF(M441="L",4,IF(M441="A",5,7)),IF(OR(H441="EE",H441="CE"),IF(M441="L",3,IF(M441="A",4,6)))))))</f>
        <v>7</v>
      </c>
      <c r="P441" s="48" t="n">
        <f aca="false">IF(I441="I",O441*Contagem!$W$15,IF(I441="E",O441*Contagem!$W$17,IF(I441="A",O441*Contagem!$W$16,IF(I441="T",O441*Contagem!$W$18,""))))</f>
        <v>7</v>
      </c>
      <c r="Q441" s="49" t="s">
        <v>743</v>
      </c>
    </row>
    <row r="442" customFormat="false" ht="12" hidden="false" customHeight="true" outlineLevel="0" collapsed="false">
      <c r="A442" s="40" t="n">
        <f aca="false">IF(H442="",IF(C442="",A441,A441+1),A441)</f>
        <v>59</v>
      </c>
      <c r="B442" s="41" t="str">
        <f aca="false">IF(A442=A441,"",CONCATENATE("F",A442))</f>
        <v/>
      </c>
      <c r="C442" s="42" t="s">
        <v>744</v>
      </c>
      <c r="D442" s="42"/>
      <c r="E442" s="42"/>
      <c r="F442" s="42"/>
      <c r="G442" s="42"/>
      <c r="H442" s="44" t="s">
        <v>99</v>
      </c>
      <c r="I442" s="50" t="s">
        <v>56</v>
      </c>
      <c r="J442" s="44" t="n">
        <v>19</v>
      </c>
      <c r="K442" s="44" t="n">
        <v>4</v>
      </c>
      <c r="L442" s="44" t="str">
        <f aca="false">CONCATENATE(H442,M442)</f>
        <v>SEH</v>
      </c>
      <c r="M442" s="45" t="str">
        <f aca="false">IF(OR(ISBLANK(J442),ISBLANK(K442)),IF(OR(H442="ALI",H442="AIE"),"L",IF(ISBLANK(H442),"","A")),IF(H442="EE",IF(K442&gt;=3,IF(J442&gt;=5,"H","A"),IF(K442&gt;=2,IF(J442&gt;=16,"H",IF(J442&lt;=4,"L","A")),IF(J442&lt;=15,"L","A"))),IF(OR(H442="SE",H442="CE"),IF(K442&gt;=4,IF(J442&gt;=6,"H","A"),IF(K442&gt;=2,IF(J442&gt;=20,"H",IF(J442&lt;=5,"L","A")),IF(J442&lt;=19,"L","A"))),IF(OR(H442="ALI",H442="AIE"),IF(K442&gt;=6,IF(J442&gt;=20,"H","A"),IF(K442&gt;=2,IF(J442&gt;=51,"H",IF(J442&lt;=19,"L","A")),IF(J442&lt;=50,"L","A")))))))</f>
        <v>H</v>
      </c>
      <c r="N442" s="46" t="str">
        <f aca="false">IF(M442="L","Baixa",IF(M442="A","Média",IF(M442="","","Alta")))</f>
        <v>Alta</v>
      </c>
      <c r="O442" s="47" t="n">
        <f aca="false">IF(ISBLANK(H442),"",IF(H442="ALI",IF(M442="L",7,IF(M442="A",10,15)),IF(H442="AIE",IF(M442="L",5,IF(M442="A",7,10)),IF(H442="SE",IF(M442="L",4,IF(M442="A",5,7)),IF(OR(H442="EE",H442="CE"),IF(M442="L",3,IF(M442="A",4,6)))))))</f>
        <v>7</v>
      </c>
      <c r="P442" s="48" t="n">
        <f aca="false">IF(I442="I",O442*Contagem!$W$15,IF(I442="E",O442*Contagem!$W$17,IF(I442="A",O442*Contagem!$W$16,IF(I442="T",O442*Contagem!$W$18,""))))</f>
        <v>7</v>
      </c>
      <c r="Q442" s="49" t="s">
        <v>745</v>
      </c>
    </row>
    <row r="443" customFormat="false" ht="12" hidden="false" customHeight="true" outlineLevel="0" collapsed="false">
      <c r="A443" s="40" t="n">
        <f aca="false">IF(H443="",IF(C443="",A442,A442+1),A442)</f>
        <v>59</v>
      </c>
      <c r="B443" s="41" t="str">
        <f aca="false">IF(A443=A442,"",CONCATENATE("F",A443))</f>
        <v/>
      </c>
      <c r="C443" s="42" t="s">
        <v>746</v>
      </c>
      <c r="D443" s="42"/>
      <c r="E443" s="42"/>
      <c r="F443" s="42"/>
      <c r="G443" s="42"/>
      <c r="H443" s="44" t="s">
        <v>99</v>
      </c>
      <c r="I443" s="50" t="s">
        <v>56</v>
      </c>
      <c r="J443" s="44" t="n">
        <v>16</v>
      </c>
      <c r="K443" s="44" t="n">
        <v>1</v>
      </c>
      <c r="L443" s="44" t="str">
        <f aca="false">CONCATENATE(H443,M443)</f>
        <v>SEL</v>
      </c>
      <c r="M443" s="45" t="str">
        <f aca="false">IF(OR(ISBLANK(J443),ISBLANK(K443)),IF(OR(H443="ALI",H443="AIE"),"L",IF(ISBLANK(H443),"","A")),IF(H443="EE",IF(K443&gt;=3,IF(J443&gt;=5,"H","A"),IF(K443&gt;=2,IF(J443&gt;=16,"H",IF(J443&lt;=4,"L","A")),IF(J443&lt;=15,"L","A"))),IF(OR(H443="SE",H443="CE"),IF(K443&gt;=4,IF(J443&gt;=6,"H","A"),IF(K443&gt;=2,IF(J443&gt;=20,"H",IF(J443&lt;=5,"L","A")),IF(J443&lt;=19,"L","A"))),IF(OR(H443="ALI",H443="AIE"),IF(K443&gt;=6,IF(J443&gt;=20,"H","A"),IF(K443&gt;=2,IF(J443&gt;=51,"H",IF(J443&lt;=19,"L","A")),IF(J443&lt;=50,"L","A")))))))</f>
        <v>L</v>
      </c>
      <c r="N443" s="46" t="str">
        <f aca="false">IF(M443="L","Baixa",IF(M443="A","Média",IF(M443="","","Alta")))</f>
        <v>Baixa</v>
      </c>
      <c r="O443" s="47" t="n">
        <f aca="false">IF(ISBLANK(H443),"",IF(H443="ALI",IF(M443="L",7,IF(M443="A",10,15)),IF(H443="AIE",IF(M443="L",5,IF(M443="A",7,10)),IF(H443="SE",IF(M443="L",4,IF(M443="A",5,7)),IF(OR(H443="EE",H443="CE"),IF(M443="L",3,IF(M443="A",4,6)))))))</f>
        <v>4</v>
      </c>
      <c r="P443" s="48" t="n">
        <f aca="false">IF(I443="I",O443*Contagem!$W$15,IF(I443="E",O443*Contagem!$W$17,IF(I443="A",O443*Contagem!$W$16,IF(I443="T",O443*Contagem!$W$18,""))))</f>
        <v>4</v>
      </c>
      <c r="Q443" s="49" t="s">
        <v>747</v>
      </c>
    </row>
    <row r="444" customFormat="false" ht="12" hidden="false" customHeight="true" outlineLevel="0" collapsed="false">
      <c r="A444" s="40" t="n">
        <f aca="false">IF(H444="",IF(C444="",A443,A443+1),A443)</f>
        <v>59</v>
      </c>
      <c r="B444" s="41" t="str">
        <f aca="false">IF(A444=A443,"",CONCATENATE("F",A444))</f>
        <v/>
      </c>
      <c r="C444" s="42" t="s">
        <v>748</v>
      </c>
      <c r="D444" s="42"/>
      <c r="E444" s="42"/>
      <c r="F444" s="42"/>
      <c r="G444" s="42"/>
      <c r="H444" s="44" t="s">
        <v>99</v>
      </c>
      <c r="I444" s="50" t="s">
        <v>56</v>
      </c>
      <c r="J444" s="44" t="n">
        <v>19</v>
      </c>
      <c r="K444" s="44" t="n">
        <v>2</v>
      </c>
      <c r="L444" s="44" t="str">
        <f aca="false">CONCATENATE(H444,M444)</f>
        <v>SEA</v>
      </c>
      <c r="M444" s="45" t="str">
        <f aca="false">IF(OR(ISBLANK(J444),ISBLANK(K444)),IF(OR(H444="ALI",H444="AIE"),"L",IF(ISBLANK(H444),"","A")),IF(H444="EE",IF(K444&gt;=3,IF(J444&gt;=5,"H","A"),IF(K444&gt;=2,IF(J444&gt;=16,"H",IF(J444&lt;=4,"L","A")),IF(J444&lt;=15,"L","A"))),IF(OR(H444="SE",H444="CE"),IF(K444&gt;=4,IF(J444&gt;=6,"H","A"),IF(K444&gt;=2,IF(J444&gt;=20,"H",IF(J444&lt;=5,"L","A")),IF(J444&lt;=19,"L","A"))),IF(OR(H444="ALI",H444="AIE"),IF(K444&gt;=6,IF(J444&gt;=20,"H","A"),IF(K444&gt;=2,IF(J444&gt;=51,"H",IF(J444&lt;=19,"L","A")),IF(J444&lt;=50,"L","A")))))))</f>
        <v>A</v>
      </c>
      <c r="N444" s="46" t="str">
        <f aca="false">IF(M444="L","Baixa",IF(M444="A","Média",IF(M444="","","Alta")))</f>
        <v>Média</v>
      </c>
      <c r="O444" s="47" t="n">
        <f aca="false">IF(ISBLANK(H444),"",IF(H444="ALI",IF(M444="L",7,IF(M444="A",10,15)),IF(H444="AIE",IF(M444="L",5,IF(M444="A",7,10)),IF(H444="SE",IF(M444="L",4,IF(M444="A",5,7)),IF(OR(H444="EE",H444="CE"),IF(M444="L",3,IF(M444="A",4,6)))))))</f>
        <v>5</v>
      </c>
      <c r="P444" s="48" t="n">
        <f aca="false">IF(I444="I",O444*Contagem!$W$15,IF(I444="E",O444*Contagem!$W$17,IF(I444="A",O444*Contagem!$W$16,IF(I444="T",O444*Contagem!$W$18,""))))</f>
        <v>5</v>
      </c>
      <c r="Q444" s="49" t="s">
        <v>749</v>
      </c>
    </row>
    <row r="445" customFormat="false" ht="12" hidden="false" customHeight="true" outlineLevel="0" collapsed="false">
      <c r="A445" s="40" t="n">
        <f aca="false">IF(H445="",IF(C445="",A444,A444+1),A444)</f>
        <v>59</v>
      </c>
      <c r="B445" s="41" t="str">
        <f aca="false">IF(A445=A444,"",CONCATENATE("F",A445))</f>
        <v/>
      </c>
      <c r="C445" s="42" t="s">
        <v>750</v>
      </c>
      <c r="D445" s="42"/>
      <c r="E445" s="42"/>
      <c r="F445" s="42"/>
      <c r="G445" s="42"/>
      <c r="H445" s="44" t="s">
        <v>99</v>
      </c>
      <c r="I445" s="50" t="s">
        <v>56</v>
      </c>
      <c r="J445" s="44" t="n">
        <v>17</v>
      </c>
      <c r="K445" s="44" t="n">
        <v>3</v>
      </c>
      <c r="L445" s="44" t="str">
        <f aca="false">CONCATENATE(H445,M445)</f>
        <v>SEA</v>
      </c>
      <c r="M445" s="45" t="str">
        <f aca="false">IF(OR(ISBLANK(J445),ISBLANK(K445)),IF(OR(H445="ALI",H445="AIE"),"L",IF(ISBLANK(H445),"","A")),IF(H445="EE",IF(K445&gt;=3,IF(J445&gt;=5,"H","A"),IF(K445&gt;=2,IF(J445&gt;=16,"H",IF(J445&lt;=4,"L","A")),IF(J445&lt;=15,"L","A"))),IF(OR(H445="SE",H445="CE"),IF(K445&gt;=4,IF(J445&gt;=6,"H","A"),IF(K445&gt;=2,IF(J445&gt;=20,"H",IF(J445&lt;=5,"L","A")),IF(J445&lt;=19,"L","A"))),IF(OR(H445="ALI",H445="AIE"),IF(K445&gt;=6,IF(J445&gt;=20,"H","A"),IF(K445&gt;=2,IF(J445&gt;=51,"H",IF(J445&lt;=19,"L","A")),IF(J445&lt;=50,"L","A")))))))</f>
        <v>A</v>
      </c>
      <c r="N445" s="46" t="str">
        <f aca="false">IF(M445="L","Baixa",IF(M445="A","Média",IF(M445="","","Alta")))</f>
        <v>Média</v>
      </c>
      <c r="O445" s="47" t="n">
        <f aca="false">IF(ISBLANK(H445),"",IF(H445="ALI",IF(M445="L",7,IF(M445="A",10,15)),IF(H445="AIE",IF(M445="L",5,IF(M445="A",7,10)),IF(H445="SE",IF(M445="L",4,IF(M445="A",5,7)),IF(OR(H445="EE",H445="CE"),IF(M445="L",3,IF(M445="A",4,6)))))))</f>
        <v>5</v>
      </c>
      <c r="P445" s="48" t="n">
        <f aca="false">IF(I445="I",O445*Contagem!$W$15,IF(I445="E",O445*Contagem!$W$17,IF(I445="A",O445*Contagem!$W$16,IF(I445="T",O445*Contagem!$W$18,""))))</f>
        <v>5</v>
      </c>
      <c r="Q445" s="49" t="s">
        <v>751</v>
      </c>
    </row>
    <row r="446" customFormat="false" ht="12" hidden="false" customHeight="true" outlineLevel="0" collapsed="false">
      <c r="A446" s="40" t="n">
        <f aca="false">IF(H446="",IF(C446="",A445,A445+1),A445)</f>
        <v>59</v>
      </c>
      <c r="B446" s="41" t="str">
        <f aca="false">IF(A446=A445,"",CONCATENATE("F",A446))</f>
        <v/>
      </c>
      <c r="C446" s="42"/>
      <c r="D446" s="42"/>
      <c r="E446" s="42"/>
      <c r="F446" s="42"/>
      <c r="G446" s="42"/>
      <c r="H446" s="44"/>
      <c r="I446" s="50"/>
      <c r="J446" s="44"/>
      <c r="K446" s="44"/>
      <c r="L446" s="44" t="str">
        <f aca="false">CONCATENATE(H446,M446)</f>
        <v/>
      </c>
      <c r="M446" s="45" t="str">
        <f aca="false">IF(OR(ISBLANK(J446),ISBLANK(K446)),IF(OR(H446="ALI",H446="AIE"),"L",IF(ISBLANK(H446),"","A")),IF(H446="EE",IF(K446&gt;=3,IF(J446&gt;=5,"H","A"),IF(K446&gt;=2,IF(J446&gt;=16,"H",IF(J446&lt;=4,"L","A")),IF(J446&lt;=15,"L","A"))),IF(OR(H446="SE",H446="CE"),IF(K446&gt;=4,IF(J446&gt;=6,"H","A"),IF(K446&gt;=2,IF(J446&gt;=20,"H",IF(J446&lt;=5,"L","A")),IF(J446&lt;=19,"L","A"))),IF(OR(H446="ALI",H446="AIE"),IF(K446&gt;=6,IF(J446&gt;=20,"H","A"),IF(K446&gt;=2,IF(J446&gt;=51,"H",IF(J446&lt;=19,"L","A")),IF(J446&lt;=50,"L","A")))))))</f>
        <v/>
      </c>
      <c r="N446" s="46" t="str">
        <f aca="false">IF(M446="L","Baixa",IF(M446="A","Média",IF(M446="","","Alta")))</f>
        <v/>
      </c>
      <c r="O446" s="47" t="str">
        <f aca="false">IF(ISBLANK(H446),"",IF(H446="ALI",IF(M446="L",7,IF(M446="A",10,15)),IF(H446="AIE",IF(M446="L",5,IF(M446="A",7,10)),IF(H446="SE",IF(M446="L",4,IF(M446="A",5,7)),IF(OR(H446="EE",H446="CE"),IF(M446="L",3,IF(M446="A",4,6)))))))</f>
        <v/>
      </c>
      <c r="P446" s="48" t="str">
        <f aca="false">IF(I446="I",O446*Contagem!$W$15,IF(I446="E",O446*Contagem!$W$17,IF(I446="A",O446*Contagem!$W$16,IF(I446="T",O446*Contagem!$W$18,""))))</f>
        <v/>
      </c>
      <c r="Q446" s="49"/>
    </row>
    <row r="447" customFormat="false" ht="12" hidden="false" customHeight="true" outlineLevel="0" collapsed="false">
      <c r="A447" s="40" t="n">
        <f aca="false">IF(H447="",IF(C447="",A446,A446+1),A446)</f>
        <v>60</v>
      </c>
      <c r="B447" s="41" t="str">
        <f aca="false">IF(A447=A446,"",CONCATENATE("F",A447))</f>
        <v>F60</v>
      </c>
      <c r="C447" s="42" t="s">
        <v>752</v>
      </c>
      <c r="D447" s="42"/>
      <c r="E447" s="42"/>
      <c r="F447" s="42"/>
      <c r="G447" s="42"/>
      <c r="H447" s="44"/>
      <c r="I447" s="50"/>
      <c r="J447" s="44"/>
      <c r="K447" s="44"/>
      <c r="L447" s="44" t="str">
        <f aca="false">CONCATENATE(H447,M447)</f>
        <v/>
      </c>
      <c r="M447" s="45" t="str">
        <f aca="false">IF(OR(ISBLANK(J447),ISBLANK(K447)),IF(OR(H447="ALI",H447="AIE"),"L",IF(ISBLANK(H447),"","A")),IF(H447="EE",IF(K447&gt;=3,IF(J447&gt;=5,"H","A"),IF(K447&gt;=2,IF(J447&gt;=16,"H",IF(J447&lt;=4,"L","A")),IF(J447&lt;=15,"L","A"))),IF(OR(H447="SE",H447="CE"),IF(K447&gt;=4,IF(J447&gt;=6,"H","A"),IF(K447&gt;=2,IF(J447&gt;=20,"H",IF(J447&lt;=5,"L","A")),IF(J447&lt;=19,"L","A"))),IF(OR(H447="ALI",H447="AIE"),IF(K447&gt;=6,IF(J447&gt;=20,"H","A"),IF(K447&gt;=2,IF(J447&gt;=51,"H",IF(J447&lt;=19,"L","A")),IF(J447&lt;=50,"L","A")))))))</f>
        <v/>
      </c>
      <c r="N447" s="46" t="str">
        <f aca="false">IF(M447="L","Baixa",IF(M447="A","Média",IF(M447="","","Alta")))</f>
        <v/>
      </c>
      <c r="O447" s="47" t="str">
        <f aca="false">IF(ISBLANK(H447),"",IF(H447="ALI",IF(M447="L",7,IF(M447="A",10,15)),IF(H447="AIE",IF(M447="L",5,IF(M447="A",7,10)),IF(H447="SE",IF(M447="L",4,IF(M447="A",5,7)),IF(OR(H447="EE",H447="CE"),IF(M447="L",3,IF(M447="A",4,6)))))))</f>
        <v/>
      </c>
      <c r="P447" s="48" t="str">
        <f aca="false">IF(I447="I",O447*Contagem!$W$15,IF(I447="E",O447*Contagem!$W$17,IF(I447="A",O447*Contagem!$W$16,IF(I447="T",O447*Contagem!$W$18,""))))</f>
        <v/>
      </c>
      <c r="Q447" s="49"/>
    </row>
    <row r="448" customFormat="false" ht="12" hidden="false" customHeight="true" outlineLevel="0" collapsed="false">
      <c r="A448" s="40" t="n">
        <f aca="false">IF(H448="",IF(C448="",A447,A447+1),A447)</f>
        <v>60</v>
      </c>
      <c r="B448" s="41" t="str">
        <f aca="false">IF(A448=A447,"",CONCATENATE("F",A448))</f>
        <v/>
      </c>
      <c r="C448" s="42" t="s">
        <v>753</v>
      </c>
      <c r="D448" s="42"/>
      <c r="E448" s="42"/>
      <c r="F448" s="42"/>
      <c r="G448" s="42"/>
      <c r="H448" s="44" t="s">
        <v>80</v>
      </c>
      <c r="I448" s="50" t="s">
        <v>56</v>
      </c>
      <c r="J448" s="44" t="n">
        <v>11</v>
      </c>
      <c r="K448" s="44" t="n">
        <v>4</v>
      </c>
      <c r="L448" s="44" t="str">
        <f aca="false">CONCATENATE(H448,M448)</f>
        <v>CEH</v>
      </c>
      <c r="M448" s="45" t="str">
        <f aca="false">IF(OR(ISBLANK(J448),ISBLANK(K448)),IF(OR(H448="ALI",H448="AIE"),"L",IF(ISBLANK(H448),"","A")),IF(H448="EE",IF(K448&gt;=3,IF(J448&gt;=5,"H","A"),IF(K448&gt;=2,IF(J448&gt;=16,"H",IF(J448&lt;=4,"L","A")),IF(J448&lt;=15,"L","A"))),IF(OR(H448="SE",H448="CE"),IF(K448&gt;=4,IF(J448&gt;=6,"H","A"),IF(K448&gt;=2,IF(J448&gt;=20,"H",IF(J448&lt;=5,"L","A")),IF(J448&lt;=19,"L","A"))),IF(OR(H448="ALI",H448="AIE"),IF(K448&gt;=6,IF(J448&gt;=20,"H","A"),IF(K448&gt;=2,IF(J448&gt;=51,"H",IF(J448&lt;=19,"L","A")),IF(J448&lt;=50,"L","A")))))))</f>
        <v>H</v>
      </c>
      <c r="N448" s="46" t="str">
        <f aca="false">IF(M448="L","Baixa",IF(M448="A","Média",IF(M448="","","Alta")))</f>
        <v>Alta</v>
      </c>
      <c r="O448" s="47" t="n">
        <f aca="false">IF(ISBLANK(H448),"",IF(H448="ALI",IF(M448="L",7,IF(M448="A",10,15)),IF(H448="AIE",IF(M448="L",5,IF(M448="A",7,10)),IF(H448="SE",IF(M448="L",4,IF(M448="A",5,7)),IF(OR(H448="EE",H448="CE"),IF(M448="L",3,IF(M448="A",4,6)))))))</f>
        <v>6</v>
      </c>
      <c r="P448" s="48" t="n">
        <f aca="false">IF(I448="I",O448*Contagem!$W$15,IF(I448="E",O448*Contagem!$W$17,IF(I448="A",O448*Contagem!$W$16,IF(I448="T",O448*Contagem!$W$18,""))))</f>
        <v>6</v>
      </c>
      <c r="Q448" s="49" t="s">
        <v>754</v>
      </c>
    </row>
    <row r="449" customFormat="false" ht="12" hidden="false" customHeight="true" outlineLevel="0" collapsed="false">
      <c r="A449" s="40" t="n">
        <f aca="false">IF(H449="",IF(C449="",A448,A448+1),A448)</f>
        <v>60</v>
      </c>
      <c r="B449" s="41" t="str">
        <f aca="false">IF(A449=A448,"",CONCATENATE("F",A449))</f>
        <v/>
      </c>
      <c r="C449" s="42" t="s">
        <v>755</v>
      </c>
      <c r="D449" s="42"/>
      <c r="E449" s="42"/>
      <c r="F449" s="42"/>
      <c r="G449" s="42"/>
      <c r="H449" s="44" t="s">
        <v>99</v>
      </c>
      <c r="I449" s="50" t="s">
        <v>56</v>
      </c>
      <c r="J449" s="44" t="n">
        <v>17</v>
      </c>
      <c r="K449" s="44" t="n">
        <v>3</v>
      </c>
      <c r="L449" s="44" t="str">
        <f aca="false">CONCATENATE(H449,M449)</f>
        <v>SEA</v>
      </c>
      <c r="M449" s="45" t="str">
        <f aca="false">IF(OR(ISBLANK(J449),ISBLANK(K449)),IF(OR(H449="ALI",H449="AIE"),"L",IF(ISBLANK(H449),"","A")),IF(H449="EE",IF(K449&gt;=3,IF(J449&gt;=5,"H","A"),IF(K449&gt;=2,IF(J449&gt;=16,"H",IF(J449&lt;=4,"L","A")),IF(J449&lt;=15,"L","A"))),IF(OR(H449="SE",H449="CE"),IF(K449&gt;=4,IF(J449&gt;=6,"H","A"),IF(K449&gt;=2,IF(J449&gt;=20,"H",IF(J449&lt;=5,"L","A")),IF(J449&lt;=19,"L","A"))),IF(OR(H449="ALI",H449="AIE"),IF(K449&gt;=6,IF(J449&gt;=20,"H","A"),IF(K449&gt;=2,IF(J449&gt;=51,"H",IF(J449&lt;=19,"L","A")),IF(J449&lt;=50,"L","A")))))))</f>
        <v>A</v>
      </c>
      <c r="N449" s="46" t="str">
        <f aca="false">IF(M449="L","Baixa",IF(M449="A","Média",IF(M449="","","Alta")))</f>
        <v>Média</v>
      </c>
      <c r="O449" s="47" t="n">
        <f aca="false">IF(ISBLANK(H449),"",IF(H449="ALI",IF(M449="L",7,IF(M449="A",10,15)),IF(H449="AIE",IF(M449="L",5,IF(M449="A",7,10)),IF(H449="SE",IF(M449="L",4,IF(M449="A",5,7)),IF(OR(H449="EE",H449="CE"),IF(M449="L",3,IF(M449="A",4,6)))))))</f>
        <v>5</v>
      </c>
      <c r="P449" s="48" t="n">
        <f aca="false">IF(I449="I",O449*Contagem!$W$15,IF(I449="E",O449*Contagem!$W$17,IF(I449="A",O449*Contagem!$W$16,IF(I449="T",O449*Contagem!$W$18,""))))</f>
        <v>5</v>
      </c>
      <c r="Q449" s="49" t="s">
        <v>756</v>
      </c>
    </row>
    <row r="450" customFormat="false" ht="12" hidden="false" customHeight="true" outlineLevel="0" collapsed="false">
      <c r="A450" s="40" t="n">
        <f aca="false">IF(H450="",IF(C450="",A449,A449+1),A449)</f>
        <v>60</v>
      </c>
      <c r="B450" s="41" t="str">
        <f aca="false">IF(A450=A449,"",CONCATENATE("F",A450))</f>
        <v/>
      </c>
      <c r="C450" s="42" t="s">
        <v>757</v>
      </c>
      <c r="D450" s="42"/>
      <c r="E450" s="42"/>
      <c r="F450" s="42"/>
      <c r="G450" s="42"/>
      <c r="H450" s="44" t="s">
        <v>99</v>
      </c>
      <c r="I450" s="50" t="s">
        <v>56</v>
      </c>
      <c r="J450" s="44" t="n">
        <v>12</v>
      </c>
      <c r="K450" s="44" t="n">
        <v>2</v>
      </c>
      <c r="L450" s="44" t="str">
        <f aca="false">CONCATENATE(H450,M450)</f>
        <v>SEA</v>
      </c>
      <c r="M450" s="45" t="str">
        <f aca="false">IF(OR(ISBLANK(J450),ISBLANK(K450)),IF(OR(H450="ALI",H450="AIE"),"L",IF(ISBLANK(H450),"","A")),IF(H450="EE",IF(K450&gt;=3,IF(J450&gt;=5,"H","A"),IF(K450&gt;=2,IF(J450&gt;=16,"H",IF(J450&lt;=4,"L","A")),IF(J450&lt;=15,"L","A"))),IF(OR(H450="SE",H450="CE"),IF(K450&gt;=4,IF(J450&gt;=6,"H","A"),IF(K450&gt;=2,IF(J450&gt;=20,"H",IF(J450&lt;=5,"L","A")),IF(J450&lt;=19,"L","A"))),IF(OR(H450="ALI",H450="AIE"),IF(K450&gt;=6,IF(J450&gt;=20,"H","A"),IF(K450&gt;=2,IF(J450&gt;=51,"H",IF(J450&lt;=19,"L","A")),IF(J450&lt;=50,"L","A")))))))</f>
        <v>A</v>
      </c>
      <c r="N450" s="46" t="str">
        <f aca="false">IF(M450="L","Baixa",IF(M450="A","Média",IF(M450="","","Alta")))</f>
        <v>Média</v>
      </c>
      <c r="O450" s="47" t="n">
        <f aca="false">IF(ISBLANK(H450),"",IF(H450="ALI",IF(M450="L",7,IF(M450="A",10,15)),IF(H450="AIE",IF(M450="L",5,IF(M450="A",7,10)),IF(H450="SE",IF(M450="L",4,IF(M450="A",5,7)),IF(OR(H450="EE",H450="CE"),IF(M450="L",3,IF(M450="A",4,6)))))))</f>
        <v>5</v>
      </c>
      <c r="P450" s="48" t="n">
        <f aca="false">IF(I450="I",O450*Contagem!$W$15,IF(I450="E",O450*Contagem!$W$17,IF(I450="A",O450*Contagem!$W$16,IF(I450="T",O450*Contagem!$W$18,""))))</f>
        <v>5</v>
      </c>
      <c r="Q450" s="49" t="s">
        <v>758</v>
      </c>
    </row>
    <row r="451" customFormat="false" ht="12" hidden="false" customHeight="true" outlineLevel="0" collapsed="false">
      <c r="A451" s="40" t="n">
        <f aca="false">IF(H451="",IF(C451="",A450,A450+1),A450)</f>
        <v>60</v>
      </c>
      <c r="B451" s="41" t="str">
        <f aca="false">IF(A451=A450,"",CONCATENATE("F",A451))</f>
        <v/>
      </c>
      <c r="C451" s="42" t="s">
        <v>759</v>
      </c>
      <c r="D451" s="42"/>
      <c r="E451" s="42"/>
      <c r="F451" s="42"/>
      <c r="G451" s="42"/>
      <c r="H451" s="44" t="s">
        <v>99</v>
      </c>
      <c r="I451" s="50" t="s">
        <v>56</v>
      </c>
      <c r="J451" s="44" t="n">
        <v>15</v>
      </c>
      <c r="K451" s="44" t="n">
        <v>2</v>
      </c>
      <c r="L451" s="44" t="str">
        <f aca="false">CONCATENATE(H451,M451)</f>
        <v>SEA</v>
      </c>
      <c r="M451" s="45" t="str">
        <f aca="false">IF(OR(ISBLANK(J451),ISBLANK(K451)),IF(OR(H451="ALI",H451="AIE"),"L",IF(ISBLANK(H451),"","A")),IF(H451="EE",IF(K451&gt;=3,IF(J451&gt;=5,"H","A"),IF(K451&gt;=2,IF(J451&gt;=16,"H",IF(J451&lt;=4,"L","A")),IF(J451&lt;=15,"L","A"))),IF(OR(H451="SE",H451="CE"),IF(K451&gt;=4,IF(J451&gt;=6,"H","A"),IF(K451&gt;=2,IF(J451&gt;=20,"H",IF(J451&lt;=5,"L","A")),IF(J451&lt;=19,"L","A"))),IF(OR(H451="ALI",H451="AIE"),IF(K451&gt;=6,IF(J451&gt;=20,"H","A"),IF(K451&gt;=2,IF(J451&gt;=51,"H",IF(J451&lt;=19,"L","A")),IF(J451&lt;=50,"L","A")))))))</f>
        <v>A</v>
      </c>
      <c r="N451" s="46" t="str">
        <f aca="false">IF(M451="L","Baixa",IF(M451="A","Média",IF(M451="","","Alta")))</f>
        <v>Média</v>
      </c>
      <c r="O451" s="47" t="n">
        <f aca="false">IF(ISBLANK(H451),"",IF(H451="ALI",IF(M451="L",7,IF(M451="A",10,15)),IF(H451="AIE",IF(M451="L",5,IF(M451="A",7,10)),IF(H451="SE",IF(M451="L",4,IF(M451="A",5,7)),IF(OR(H451="EE",H451="CE"),IF(M451="L",3,IF(M451="A",4,6)))))))</f>
        <v>5</v>
      </c>
      <c r="P451" s="48" t="n">
        <f aca="false">IF(I451="I",O451*Contagem!$W$15,IF(I451="E",O451*Contagem!$W$17,IF(I451="A",O451*Contagem!$W$16,IF(I451="T",O451*Contagem!$W$18,""))))</f>
        <v>5</v>
      </c>
      <c r="Q451" s="49" t="s">
        <v>760</v>
      </c>
    </row>
    <row r="452" customFormat="false" ht="12" hidden="false" customHeight="true" outlineLevel="0" collapsed="false">
      <c r="A452" s="40" t="n">
        <f aca="false">IF(H452="",IF(C452="",A451,A451+1),A451)</f>
        <v>60</v>
      </c>
      <c r="B452" s="41" t="str">
        <f aca="false">IF(A452=A451,"",CONCATENATE("F",A452))</f>
        <v/>
      </c>
      <c r="C452" s="42" t="s">
        <v>761</v>
      </c>
      <c r="D452" s="42"/>
      <c r="E452" s="42"/>
      <c r="F452" s="42"/>
      <c r="G452" s="42"/>
      <c r="H452" s="44" t="s">
        <v>80</v>
      </c>
      <c r="I452" s="50" t="s">
        <v>56</v>
      </c>
      <c r="J452" s="44" t="n">
        <v>9</v>
      </c>
      <c r="K452" s="44" t="n">
        <v>4</v>
      </c>
      <c r="L452" s="44" t="str">
        <f aca="false">CONCATENATE(H452,M452)</f>
        <v>CEH</v>
      </c>
      <c r="M452" s="45" t="str">
        <f aca="false">IF(OR(ISBLANK(J452),ISBLANK(K452)),IF(OR(H452="ALI",H452="AIE"),"L",IF(ISBLANK(H452),"","A")),IF(H452="EE",IF(K452&gt;=3,IF(J452&gt;=5,"H","A"),IF(K452&gt;=2,IF(J452&gt;=16,"H",IF(J452&lt;=4,"L","A")),IF(J452&lt;=15,"L","A"))),IF(OR(H452="SE",H452="CE"),IF(K452&gt;=4,IF(J452&gt;=6,"H","A"),IF(K452&gt;=2,IF(J452&gt;=20,"H",IF(J452&lt;=5,"L","A")),IF(J452&lt;=19,"L","A"))),IF(OR(H452="ALI",H452="AIE"),IF(K452&gt;=6,IF(J452&gt;=20,"H","A"),IF(K452&gt;=2,IF(J452&gt;=51,"H",IF(J452&lt;=19,"L","A")),IF(J452&lt;=50,"L","A")))))))</f>
        <v>H</v>
      </c>
      <c r="N452" s="46" t="str">
        <f aca="false">IF(M452="L","Baixa",IF(M452="A","Média",IF(M452="","","Alta")))</f>
        <v>Alta</v>
      </c>
      <c r="O452" s="47" t="n">
        <f aca="false">IF(ISBLANK(H452),"",IF(H452="ALI",IF(M452="L",7,IF(M452="A",10,15)),IF(H452="AIE",IF(M452="L",5,IF(M452="A",7,10)),IF(H452="SE",IF(M452="L",4,IF(M452="A",5,7)),IF(OR(H452="EE",H452="CE"),IF(M452="L",3,IF(M452="A",4,6)))))))</f>
        <v>6</v>
      </c>
      <c r="P452" s="48" t="n">
        <f aca="false">IF(I452="I",O452*Contagem!$W$15,IF(I452="E",O452*Contagem!$W$17,IF(I452="A",O452*Contagem!$W$16,IF(I452="T",O452*Contagem!$W$18,""))))</f>
        <v>6</v>
      </c>
      <c r="Q452" s="49" t="s">
        <v>762</v>
      </c>
    </row>
    <row r="453" customFormat="false" ht="12" hidden="false" customHeight="true" outlineLevel="0" collapsed="false">
      <c r="A453" s="40" t="n">
        <f aca="false">IF(H453="",IF(C453="",A452,A452+1),A452)</f>
        <v>60</v>
      </c>
      <c r="B453" s="41" t="str">
        <f aca="false">IF(A453=A452,"",CONCATENATE("F",A453))</f>
        <v/>
      </c>
      <c r="C453" s="42" t="s">
        <v>763</v>
      </c>
      <c r="D453" s="42"/>
      <c r="E453" s="42"/>
      <c r="F453" s="42"/>
      <c r="G453" s="42"/>
      <c r="H453" s="44" t="s">
        <v>99</v>
      </c>
      <c r="I453" s="50" t="s">
        <v>56</v>
      </c>
      <c r="J453" s="44" t="n">
        <v>12</v>
      </c>
      <c r="K453" s="44" t="n">
        <v>4</v>
      </c>
      <c r="L453" s="44" t="str">
        <f aca="false">CONCATENATE(H453,M453)</f>
        <v>SEH</v>
      </c>
      <c r="M453" s="45" t="str">
        <f aca="false">IF(OR(ISBLANK(J453),ISBLANK(K453)),IF(OR(H453="ALI",H453="AIE"),"L",IF(ISBLANK(H453),"","A")),IF(H453="EE",IF(K453&gt;=3,IF(J453&gt;=5,"H","A"),IF(K453&gt;=2,IF(J453&gt;=16,"H",IF(J453&lt;=4,"L","A")),IF(J453&lt;=15,"L","A"))),IF(OR(H453="SE",H453="CE"),IF(K453&gt;=4,IF(J453&gt;=6,"H","A"),IF(K453&gt;=2,IF(J453&gt;=20,"H",IF(J453&lt;=5,"L","A")),IF(J453&lt;=19,"L","A"))),IF(OR(H453="ALI",H453="AIE"),IF(K453&gt;=6,IF(J453&gt;=20,"H","A"),IF(K453&gt;=2,IF(J453&gt;=51,"H",IF(J453&lt;=19,"L","A")),IF(J453&lt;=50,"L","A")))))))</f>
        <v>H</v>
      </c>
      <c r="N453" s="46" t="str">
        <f aca="false">IF(M453="L","Baixa",IF(M453="A","Média",IF(M453="","","Alta")))</f>
        <v>Alta</v>
      </c>
      <c r="O453" s="47" t="n">
        <f aca="false">IF(ISBLANK(H453),"",IF(H453="ALI",IF(M453="L",7,IF(M453="A",10,15)),IF(H453="AIE",IF(M453="L",5,IF(M453="A",7,10)),IF(H453="SE",IF(M453="L",4,IF(M453="A",5,7)),IF(OR(H453="EE",H453="CE"),IF(M453="L",3,IF(M453="A",4,6)))))))</f>
        <v>7</v>
      </c>
      <c r="P453" s="48" t="n">
        <f aca="false">IF(I453="I",O453*Contagem!$W$15,IF(I453="E",O453*Contagem!$W$17,IF(I453="A",O453*Contagem!$W$16,IF(I453="T",O453*Contagem!$W$18,""))))</f>
        <v>7</v>
      </c>
      <c r="Q453" s="49" t="s">
        <v>764</v>
      </c>
    </row>
    <row r="454" customFormat="false" ht="12" hidden="false" customHeight="true" outlineLevel="0" collapsed="false">
      <c r="A454" s="40" t="n">
        <f aca="false">IF(H454="",IF(C454="",A453,A453+1),A453)</f>
        <v>60</v>
      </c>
      <c r="B454" s="41" t="str">
        <f aca="false">IF(A454=A453,"",CONCATENATE("F",A454))</f>
        <v/>
      </c>
      <c r="C454" s="42"/>
      <c r="D454" s="42"/>
      <c r="E454" s="42"/>
      <c r="F454" s="42"/>
      <c r="G454" s="42"/>
      <c r="H454" s="44"/>
      <c r="I454" s="50"/>
      <c r="J454" s="44"/>
      <c r="K454" s="44"/>
      <c r="L454" s="44" t="str">
        <f aca="false">CONCATENATE(H454,M454)</f>
        <v/>
      </c>
      <c r="M454" s="45" t="str">
        <f aca="false">IF(OR(ISBLANK(J454),ISBLANK(K454)),IF(OR(H454="ALI",H454="AIE"),"L",IF(ISBLANK(H454),"","A")),IF(H454="EE",IF(K454&gt;=3,IF(J454&gt;=5,"H","A"),IF(K454&gt;=2,IF(J454&gt;=16,"H",IF(J454&lt;=4,"L","A")),IF(J454&lt;=15,"L","A"))),IF(OR(H454="SE",H454="CE"),IF(K454&gt;=4,IF(J454&gt;=6,"H","A"),IF(K454&gt;=2,IF(J454&gt;=20,"H",IF(J454&lt;=5,"L","A")),IF(J454&lt;=19,"L","A"))),IF(OR(H454="ALI",H454="AIE"),IF(K454&gt;=6,IF(J454&gt;=20,"H","A"),IF(K454&gt;=2,IF(J454&gt;=51,"H",IF(J454&lt;=19,"L","A")),IF(J454&lt;=50,"L","A")))))))</f>
        <v/>
      </c>
      <c r="N454" s="46" t="str">
        <f aca="false">IF(M454="L","Baixa",IF(M454="A","Média",IF(M454="","","Alta")))</f>
        <v/>
      </c>
      <c r="O454" s="47" t="str">
        <f aca="false">IF(ISBLANK(H454),"",IF(H454="ALI",IF(M454="L",7,IF(M454="A",10,15)),IF(H454="AIE",IF(M454="L",5,IF(M454="A",7,10)),IF(H454="SE",IF(M454="L",4,IF(M454="A",5,7)),IF(OR(H454="EE",H454="CE"),IF(M454="L",3,IF(M454="A",4,6)))))))</f>
        <v/>
      </c>
      <c r="P454" s="48" t="str">
        <f aca="false">IF(I454="I",O454*Contagem!$W$15,IF(I454="E",O454*Contagem!$W$17,IF(I454="A",O454*Contagem!$W$16,IF(I454="T",O454*Contagem!$W$18,""))))</f>
        <v/>
      </c>
      <c r="Q454" s="49"/>
    </row>
    <row r="455" customFormat="false" ht="12" hidden="false" customHeight="true" outlineLevel="0" collapsed="false">
      <c r="A455" s="40" t="n">
        <f aca="false">IF(H455="",IF(C455="",A454,A454+1),A454)</f>
        <v>61</v>
      </c>
      <c r="B455" s="41" t="str">
        <f aca="false">IF(A455=A454,"",CONCATENATE("F",A455))</f>
        <v>F61</v>
      </c>
      <c r="C455" s="42" t="s">
        <v>765</v>
      </c>
      <c r="D455" s="42"/>
      <c r="E455" s="42"/>
      <c r="F455" s="42"/>
      <c r="G455" s="42"/>
      <c r="H455" s="44"/>
      <c r="I455" s="50"/>
      <c r="J455" s="44"/>
      <c r="K455" s="44"/>
      <c r="L455" s="44" t="str">
        <f aca="false">CONCATENATE(H455,M455)</f>
        <v/>
      </c>
      <c r="M455" s="45" t="str">
        <f aca="false">IF(OR(ISBLANK(J455),ISBLANK(K455)),IF(OR(H455="ALI",H455="AIE"),"L",IF(ISBLANK(H455),"","A")),IF(H455="EE",IF(K455&gt;=3,IF(J455&gt;=5,"H","A"),IF(K455&gt;=2,IF(J455&gt;=16,"H",IF(J455&lt;=4,"L","A")),IF(J455&lt;=15,"L","A"))),IF(OR(H455="SE",H455="CE"),IF(K455&gt;=4,IF(J455&gt;=6,"H","A"),IF(K455&gt;=2,IF(J455&gt;=20,"H",IF(J455&lt;=5,"L","A")),IF(J455&lt;=19,"L","A"))),IF(OR(H455="ALI",H455="AIE"),IF(K455&gt;=6,IF(J455&gt;=20,"H","A"),IF(K455&gt;=2,IF(J455&gt;=51,"H",IF(J455&lt;=19,"L","A")),IF(J455&lt;=50,"L","A")))))))</f>
        <v/>
      </c>
      <c r="N455" s="46" t="str">
        <f aca="false">IF(M455="L","Baixa",IF(M455="A","Média",IF(M455="","","Alta")))</f>
        <v/>
      </c>
      <c r="O455" s="47" t="str">
        <f aca="false">IF(ISBLANK(H455),"",IF(H455="ALI",IF(M455="L",7,IF(M455="A",10,15)),IF(H455="AIE",IF(M455="L",5,IF(M455="A",7,10)),IF(H455="SE",IF(M455="L",4,IF(M455="A",5,7)),IF(OR(H455="EE",H455="CE"),IF(M455="L",3,IF(M455="A",4,6)))))))</f>
        <v/>
      </c>
      <c r="P455" s="48" t="str">
        <f aca="false">IF(I455="I",O455*Contagem!$W$15,IF(I455="E",O455*Contagem!$W$17,IF(I455="A",O455*Contagem!$W$16,IF(I455="T",O455*Contagem!$W$18,""))))</f>
        <v/>
      </c>
      <c r="Q455" s="49"/>
    </row>
    <row r="456" customFormat="false" ht="12" hidden="false" customHeight="true" outlineLevel="0" collapsed="false">
      <c r="A456" s="40" t="n">
        <f aca="false">IF(H456="",IF(C456="",A455,A455+1),A455)</f>
        <v>61</v>
      </c>
      <c r="B456" s="41" t="str">
        <f aca="false">IF(A456=A455,"",CONCATENATE("F",A456))</f>
        <v/>
      </c>
      <c r="C456" s="42" t="s">
        <v>766</v>
      </c>
      <c r="D456" s="42"/>
      <c r="E456" s="42"/>
      <c r="F456" s="42"/>
      <c r="G456" s="42"/>
      <c r="H456" s="44" t="s">
        <v>99</v>
      </c>
      <c r="I456" s="50" t="s">
        <v>56</v>
      </c>
      <c r="J456" s="44" t="n">
        <v>18</v>
      </c>
      <c r="K456" s="44" t="n">
        <v>4</v>
      </c>
      <c r="L456" s="44" t="str">
        <f aca="false">CONCATENATE(H456,M456)</f>
        <v>SEH</v>
      </c>
      <c r="M456" s="45" t="str">
        <f aca="false">IF(OR(ISBLANK(J456),ISBLANK(K456)),IF(OR(H456="ALI",H456="AIE"),"L",IF(ISBLANK(H456),"","A")),IF(H456="EE",IF(K456&gt;=3,IF(J456&gt;=5,"H","A"),IF(K456&gt;=2,IF(J456&gt;=16,"H",IF(J456&lt;=4,"L","A")),IF(J456&lt;=15,"L","A"))),IF(OR(H456="SE",H456="CE"),IF(K456&gt;=4,IF(J456&gt;=6,"H","A"),IF(K456&gt;=2,IF(J456&gt;=20,"H",IF(J456&lt;=5,"L","A")),IF(J456&lt;=19,"L","A"))),IF(OR(H456="ALI",H456="AIE"),IF(K456&gt;=6,IF(J456&gt;=20,"H","A"),IF(K456&gt;=2,IF(J456&gt;=51,"H",IF(J456&lt;=19,"L","A")),IF(J456&lt;=50,"L","A")))))))</f>
        <v>H</v>
      </c>
      <c r="N456" s="46" t="str">
        <f aca="false">IF(M456="L","Baixa",IF(M456="A","Média",IF(M456="","","Alta")))</f>
        <v>Alta</v>
      </c>
      <c r="O456" s="47" t="n">
        <f aca="false">IF(ISBLANK(H456),"",IF(H456="ALI",IF(M456="L",7,IF(M456="A",10,15)),IF(H456="AIE",IF(M456="L",5,IF(M456="A",7,10)),IF(H456="SE",IF(M456="L",4,IF(M456="A",5,7)),IF(OR(H456="EE",H456="CE"),IF(M456="L",3,IF(M456="A",4,6)))))))</f>
        <v>7</v>
      </c>
      <c r="P456" s="48" t="n">
        <f aca="false">IF(I456="I",O456*Contagem!$W$15,IF(I456="E",O456*Contagem!$W$17,IF(I456="A",O456*Contagem!$W$16,IF(I456="T",O456*Contagem!$W$18,""))))</f>
        <v>7</v>
      </c>
      <c r="Q456" s="49" t="s">
        <v>767</v>
      </c>
    </row>
    <row r="457" customFormat="false" ht="12" hidden="false" customHeight="true" outlineLevel="0" collapsed="false">
      <c r="A457" s="40" t="n">
        <f aca="false">IF(H457="",IF(C457="",A456,A456+1),A456)</f>
        <v>61</v>
      </c>
      <c r="B457" s="41" t="str">
        <f aca="false">IF(A457=A456,"",CONCATENATE("F",A457))</f>
        <v/>
      </c>
      <c r="C457" s="42" t="s">
        <v>768</v>
      </c>
      <c r="D457" s="42"/>
      <c r="E457" s="42"/>
      <c r="F457" s="42"/>
      <c r="G457" s="42"/>
      <c r="H457" s="44" t="s">
        <v>99</v>
      </c>
      <c r="I457" s="50" t="s">
        <v>56</v>
      </c>
      <c r="J457" s="44" t="n">
        <v>11</v>
      </c>
      <c r="K457" s="44" t="n">
        <v>3</v>
      </c>
      <c r="L457" s="44" t="str">
        <f aca="false">CONCATENATE(H457,M457)</f>
        <v>SEA</v>
      </c>
      <c r="M457" s="45" t="str">
        <f aca="false">IF(OR(ISBLANK(J457),ISBLANK(K457)),IF(OR(H457="ALI",H457="AIE"),"L",IF(ISBLANK(H457),"","A")),IF(H457="EE",IF(K457&gt;=3,IF(J457&gt;=5,"H","A"),IF(K457&gt;=2,IF(J457&gt;=16,"H",IF(J457&lt;=4,"L","A")),IF(J457&lt;=15,"L","A"))),IF(OR(H457="SE",H457="CE"),IF(K457&gt;=4,IF(J457&gt;=6,"H","A"),IF(K457&gt;=2,IF(J457&gt;=20,"H",IF(J457&lt;=5,"L","A")),IF(J457&lt;=19,"L","A"))),IF(OR(H457="ALI",H457="AIE"),IF(K457&gt;=6,IF(J457&gt;=20,"H","A"),IF(K457&gt;=2,IF(J457&gt;=51,"H",IF(J457&lt;=19,"L","A")),IF(J457&lt;=50,"L","A")))))))</f>
        <v>A</v>
      </c>
      <c r="N457" s="46" t="str">
        <f aca="false">IF(M457="L","Baixa",IF(M457="A","Média",IF(M457="","","Alta")))</f>
        <v>Média</v>
      </c>
      <c r="O457" s="47" t="n">
        <f aca="false">IF(ISBLANK(H457),"",IF(H457="ALI",IF(M457="L",7,IF(M457="A",10,15)),IF(H457="AIE",IF(M457="L",5,IF(M457="A",7,10)),IF(H457="SE",IF(M457="L",4,IF(M457="A",5,7)),IF(OR(H457="EE",H457="CE"),IF(M457="L",3,IF(M457="A",4,6)))))))</f>
        <v>5</v>
      </c>
      <c r="P457" s="48" t="n">
        <f aca="false">IF(I457="I",O457*Contagem!$W$15,IF(I457="E",O457*Contagem!$W$17,IF(I457="A",O457*Contagem!$W$16,IF(I457="T",O457*Contagem!$W$18,""))))</f>
        <v>5</v>
      </c>
      <c r="Q457" s="49" t="s">
        <v>769</v>
      </c>
    </row>
    <row r="458" customFormat="false" ht="12" hidden="false" customHeight="true" outlineLevel="0" collapsed="false">
      <c r="A458" s="40" t="n">
        <f aca="false">IF(H458="",IF(C458="",A457,A457+1),A457)</f>
        <v>61</v>
      </c>
      <c r="B458" s="41" t="str">
        <f aca="false">IF(A458=A457,"",CONCATENATE("F",A458))</f>
        <v/>
      </c>
      <c r="C458" s="42" t="s">
        <v>770</v>
      </c>
      <c r="D458" s="42"/>
      <c r="E458" s="42"/>
      <c r="F458" s="42"/>
      <c r="G458" s="42"/>
      <c r="H458" s="44" t="s">
        <v>99</v>
      </c>
      <c r="I458" s="50" t="s">
        <v>56</v>
      </c>
      <c r="J458" s="44" t="n">
        <v>9</v>
      </c>
      <c r="K458" s="44" t="n">
        <v>2</v>
      </c>
      <c r="L458" s="44" t="str">
        <f aca="false">CONCATENATE(H458,M458)</f>
        <v>SEA</v>
      </c>
      <c r="M458" s="45" t="str">
        <f aca="false">IF(OR(ISBLANK(J458),ISBLANK(K458)),IF(OR(H458="ALI",H458="AIE"),"L",IF(ISBLANK(H458),"","A")),IF(H458="EE",IF(K458&gt;=3,IF(J458&gt;=5,"H","A"),IF(K458&gt;=2,IF(J458&gt;=16,"H",IF(J458&lt;=4,"L","A")),IF(J458&lt;=15,"L","A"))),IF(OR(H458="SE",H458="CE"),IF(K458&gt;=4,IF(J458&gt;=6,"H","A"),IF(K458&gt;=2,IF(J458&gt;=20,"H",IF(J458&lt;=5,"L","A")),IF(J458&lt;=19,"L","A"))),IF(OR(H458="ALI",H458="AIE"),IF(K458&gt;=6,IF(J458&gt;=20,"H","A"),IF(K458&gt;=2,IF(J458&gt;=51,"H",IF(J458&lt;=19,"L","A")),IF(J458&lt;=50,"L","A")))))))</f>
        <v>A</v>
      </c>
      <c r="N458" s="46" t="str">
        <f aca="false">IF(M458="L","Baixa",IF(M458="A","Média",IF(M458="","","Alta")))</f>
        <v>Média</v>
      </c>
      <c r="O458" s="47" t="n">
        <f aca="false">IF(ISBLANK(H458),"",IF(H458="ALI",IF(M458="L",7,IF(M458="A",10,15)),IF(H458="AIE",IF(M458="L",5,IF(M458="A",7,10)),IF(H458="SE",IF(M458="L",4,IF(M458="A",5,7)),IF(OR(H458="EE",H458="CE"),IF(M458="L",3,IF(M458="A",4,6)))))))</f>
        <v>5</v>
      </c>
      <c r="P458" s="48" t="n">
        <f aca="false">IF(I458="I",O458*Contagem!$W$15,IF(I458="E",O458*Contagem!$W$17,IF(I458="A",O458*Contagem!$W$16,IF(I458="T",O458*Contagem!$W$18,""))))</f>
        <v>5</v>
      </c>
      <c r="Q458" s="49" t="s">
        <v>771</v>
      </c>
    </row>
    <row r="459" customFormat="false" ht="12" hidden="false" customHeight="true" outlineLevel="0" collapsed="false">
      <c r="A459" s="40" t="n">
        <f aca="false">IF(H459="",IF(C459="",A458,A458+1),A458)</f>
        <v>61</v>
      </c>
      <c r="B459" s="41" t="str">
        <f aca="false">IF(A459=A458,"",CONCATENATE("F",A459))</f>
        <v/>
      </c>
      <c r="C459" s="42" t="s">
        <v>772</v>
      </c>
      <c r="D459" s="42"/>
      <c r="E459" s="42"/>
      <c r="F459" s="42"/>
      <c r="G459" s="42"/>
      <c r="H459" s="44" t="s">
        <v>99</v>
      </c>
      <c r="I459" s="50" t="s">
        <v>56</v>
      </c>
      <c r="J459" s="44" t="n">
        <v>10</v>
      </c>
      <c r="K459" s="44" t="n">
        <v>3</v>
      </c>
      <c r="L459" s="44" t="str">
        <f aca="false">CONCATENATE(H459,M459)</f>
        <v>SEA</v>
      </c>
      <c r="M459" s="45" t="str">
        <f aca="false">IF(OR(ISBLANK(J459),ISBLANK(K459)),IF(OR(H459="ALI",H459="AIE"),"L",IF(ISBLANK(H459),"","A")),IF(H459="EE",IF(K459&gt;=3,IF(J459&gt;=5,"H","A"),IF(K459&gt;=2,IF(J459&gt;=16,"H",IF(J459&lt;=4,"L","A")),IF(J459&lt;=15,"L","A"))),IF(OR(H459="SE",H459="CE"),IF(K459&gt;=4,IF(J459&gt;=6,"H","A"),IF(K459&gt;=2,IF(J459&gt;=20,"H",IF(J459&lt;=5,"L","A")),IF(J459&lt;=19,"L","A"))),IF(OR(H459="ALI",H459="AIE"),IF(K459&gt;=6,IF(J459&gt;=20,"H","A"),IF(K459&gt;=2,IF(J459&gt;=51,"H",IF(J459&lt;=19,"L","A")),IF(J459&lt;=50,"L","A")))))))</f>
        <v>A</v>
      </c>
      <c r="N459" s="46" t="str">
        <f aca="false">IF(M459="L","Baixa",IF(M459="A","Média",IF(M459="","","Alta")))</f>
        <v>Média</v>
      </c>
      <c r="O459" s="47" t="n">
        <f aca="false">IF(ISBLANK(H459),"",IF(H459="ALI",IF(M459="L",7,IF(M459="A",10,15)),IF(H459="AIE",IF(M459="L",5,IF(M459="A",7,10)),IF(H459="SE",IF(M459="L",4,IF(M459="A",5,7)),IF(OR(H459="EE",H459="CE"),IF(M459="L",3,IF(M459="A",4,6)))))))</f>
        <v>5</v>
      </c>
      <c r="P459" s="48" t="n">
        <f aca="false">IF(I459="I",O459*Contagem!$W$15,IF(I459="E",O459*Contagem!$W$17,IF(I459="A",O459*Contagem!$W$16,IF(I459="T",O459*Contagem!$W$18,""))))</f>
        <v>5</v>
      </c>
      <c r="Q459" s="49" t="s">
        <v>773</v>
      </c>
    </row>
    <row r="460" customFormat="false" ht="12" hidden="false" customHeight="true" outlineLevel="0" collapsed="false">
      <c r="A460" s="40" t="n">
        <f aca="false">IF(H460="",IF(C460="",A459,A459+1),A459)</f>
        <v>61</v>
      </c>
      <c r="B460" s="41" t="str">
        <f aca="false">IF(A460=A459,"",CONCATENATE("F",A460))</f>
        <v/>
      </c>
      <c r="C460" s="42"/>
      <c r="D460" s="42"/>
      <c r="E460" s="42"/>
      <c r="F460" s="42"/>
      <c r="G460" s="42"/>
      <c r="H460" s="44"/>
      <c r="I460" s="50"/>
      <c r="J460" s="44"/>
      <c r="K460" s="44"/>
      <c r="L460" s="44" t="str">
        <f aca="false">CONCATENATE(H460,M460)</f>
        <v/>
      </c>
      <c r="M460" s="45" t="str">
        <f aca="false">IF(OR(ISBLANK(J460),ISBLANK(K460)),IF(OR(H460="ALI",H460="AIE"),"L",IF(ISBLANK(H460),"","A")),IF(H460="EE",IF(K460&gt;=3,IF(J460&gt;=5,"H","A"),IF(K460&gt;=2,IF(J460&gt;=16,"H",IF(J460&lt;=4,"L","A")),IF(J460&lt;=15,"L","A"))),IF(OR(H460="SE",H460="CE"),IF(K460&gt;=4,IF(J460&gt;=6,"H","A"),IF(K460&gt;=2,IF(J460&gt;=20,"H",IF(J460&lt;=5,"L","A")),IF(J460&lt;=19,"L","A"))),IF(OR(H460="ALI",H460="AIE"),IF(K460&gt;=6,IF(J460&gt;=20,"H","A"),IF(K460&gt;=2,IF(J460&gt;=51,"H",IF(J460&lt;=19,"L","A")),IF(J460&lt;=50,"L","A")))))))</f>
        <v/>
      </c>
      <c r="N460" s="46" t="str">
        <f aca="false">IF(M460="L","Baixa",IF(M460="A","Média",IF(M460="","","Alta")))</f>
        <v/>
      </c>
      <c r="O460" s="47" t="str">
        <f aca="false">IF(ISBLANK(H460),"",IF(H460="ALI",IF(M460="L",7,IF(M460="A",10,15)),IF(H460="AIE",IF(M460="L",5,IF(M460="A",7,10)),IF(H460="SE",IF(M460="L",4,IF(M460="A",5,7)),IF(OR(H460="EE",H460="CE"),IF(M460="L",3,IF(M460="A",4,6)))))))</f>
        <v/>
      </c>
      <c r="P460" s="48" t="str">
        <f aca="false">IF(I460="I",O460*Contagem!$W$15,IF(I460="E",O460*Contagem!$W$17,IF(I460="A",O460*Contagem!$W$16,IF(I460="T",O460*Contagem!$W$18,""))))</f>
        <v/>
      </c>
      <c r="Q460" s="49"/>
    </row>
    <row r="461" customFormat="false" ht="12" hidden="false" customHeight="true" outlineLevel="0" collapsed="false">
      <c r="A461" s="40" t="n">
        <f aca="false">IF(H461="",IF(C461="",A460,A460+1),A460)</f>
        <v>62</v>
      </c>
      <c r="B461" s="41" t="str">
        <f aca="false">IF(A461=A460,"",CONCATENATE("F",A461))</f>
        <v>F62</v>
      </c>
      <c r="C461" s="42" t="s">
        <v>774</v>
      </c>
      <c r="D461" s="42"/>
      <c r="E461" s="42"/>
      <c r="F461" s="42"/>
      <c r="G461" s="42"/>
      <c r="H461" s="44"/>
      <c r="I461" s="50"/>
      <c r="J461" s="44"/>
      <c r="K461" s="44"/>
      <c r="L461" s="44" t="str">
        <f aca="false">CONCATENATE(H461,M461)</f>
        <v/>
      </c>
      <c r="M461" s="45" t="str">
        <f aca="false">IF(OR(ISBLANK(J461),ISBLANK(K461)),IF(OR(H461="ALI",H461="AIE"),"L",IF(ISBLANK(H461),"","A")),IF(H461="EE",IF(K461&gt;=3,IF(J461&gt;=5,"H","A"),IF(K461&gt;=2,IF(J461&gt;=16,"H",IF(J461&lt;=4,"L","A")),IF(J461&lt;=15,"L","A"))),IF(OR(H461="SE",H461="CE"),IF(K461&gt;=4,IF(J461&gt;=6,"H","A"),IF(K461&gt;=2,IF(J461&gt;=20,"H",IF(J461&lt;=5,"L","A")),IF(J461&lt;=19,"L","A"))),IF(OR(H461="ALI",H461="AIE"),IF(K461&gt;=6,IF(J461&gt;=20,"H","A"),IF(K461&gt;=2,IF(J461&gt;=51,"H",IF(J461&lt;=19,"L","A")),IF(J461&lt;=50,"L","A")))))))</f>
        <v/>
      </c>
      <c r="N461" s="46" t="str">
        <f aca="false">IF(M461="L","Baixa",IF(M461="A","Média",IF(M461="","","Alta")))</f>
        <v/>
      </c>
      <c r="O461" s="47" t="str">
        <f aca="false">IF(ISBLANK(H461),"",IF(H461="ALI",IF(M461="L",7,IF(M461="A",10,15)),IF(H461="AIE",IF(M461="L",5,IF(M461="A",7,10)),IF(H461="SE",IF(M461="L",4,IF(M461="A",5,7)),IF(OR(H461="EE",H461="CE"),IF(M461="L",3,IF(M461="A",4,6)))))))</f>
        <v/>
      </c>
      <c r="P461" s="48" t="str">
        <f aca="false">IF(I461="I",O461*Contagem!$W$15,IF(I461="E",O461*Contagem!$W$17,IF(I461="A",O461*Contagem!$W$16,IF(I461="T",O461*Contagem!$W$18,""))))</f>
        <v/>
      </c>
      <c r="Q461" s="49"/>
    </row>
    <row r="462" customFormat="false" ht="12" hidden="false" customHeight="true" outlineLevel="0" collapsed="false">
      <c r="A462" s="40" t="n">
        <f aca="false">IF(H462="",IF(C462="",A461,A461+1),A461)</f>
        <v>62</v>
      </c>
      <c r="B462" s="41" t="str">
        <f aca="false">IF(A462=A461,"",CONCATENATE("F",A462))</f>
        <v/>
      </c>
      <c r="C462" s="42" t="s">
        <v>775</v>
      </c>
      <c r="D462" s="42"/>
      <c r="E462" s="42"/>
      <c r="F462" s="42"/>
      <c r="G462" s="42"/>
      <c r="H462" s="44" t="s">
        <v>55</v>
      </c>
      <c r="I462" s="50" t="s">
        <v>56</v>
      </c>
      <c r="J462" s="44" t="n">
        <v>21</v>
      </c>
      <c r="K462" s="44" t="n">
        <v>3</v>
      </c>
      <c r="L462" s="44" t="str">
        <f aca="false">CONCATENATE(H462,M462)</f>
        <v>ALIA</v>
      </c>
      <c r="M462" s="45" t="str">
        <f aca="false">IF(OR(ISBLANK(J462),ISBLANK(K462)),IF(OR(H462="ALI",H462="AIE"),"L",IF(ISBLANK(H462),"","A")),IF(H462="EE",IF(K462&gt;=3,IF(J462&gt;=5,"H","A"),IF(K462&gt;=2,IF(J462&gt;=16,"H",IF(J462&lt;=4,"L","A")),IF(J462&lt;=15,"L","A"))),IF(OR(H462="SE",H462="CE"),IF(K462&gt;=4,IF(J462&gt;=6,"H","A"),IF(K462&gt;=2,IF(J462&gt;=20,"H",IF(J462&lt;=5,"L","A")),IF(J462&lt;=19,"L","A"))),IF(OR(H462="ALI",H462="AIE"),IF(K462&gt;=6,IF(J462&gt;=20,"H","A"),IF(K462&gt;=2,IF(J462&gt;=51,"H",IF(J462&lt;=19,"L","A")),IF(J462&lt;=50,"L","A")))))))</f>
        <v>A</v>
      </c>
      <c r="N462" s="46" t="str">
        <f aca="false">IF(M462="L","Baixa",IF(M462="A","Média",IF(M462="","","Alta")))</f>
        <v>Média</v>
      </c>
      <c r="O462" s="47" t="n">
        <f aca="false">IF(ISBLANK(H462),"",IF(H462="ALI",IF(M462="L",7,IF(M462="A",10,15)),IF(H462="AIE",IF(M462="L",5,IF(M462="A",7,10)),IF(H462="SE",IF(M462="L",4,IF(M462="A",5,7)),IF(OR(H462="EE",H462="CE"),IF(M462="L",3,IF(M462="A",4,6)))))))</f>
        <v>10</v>
      </c>
      <c r="P462" s="48" t="n">
        <f aca="false">IF(I462="I",O462*Contagem!$W$15,IF(I462="E",O462*Contagem!$W$17,IF(I462="A",O462*Contagem!$W$16,IF(I462="T",O462*Contagem!$W$18,""))))</f>
        <v>10</v>
      </c>
      <c r="Q462" s="49" t="s">
        <v>776</v>
      </c>
    </row>
    <row r="463" customFormat="false" ht="12" hidden="false" customHeight="true" outlineLevel="0" collapsed="false">
      <c r="A463" s="40" t="n">
        <f aca="false">IF(H463="",IF(C463="",A462,A462+1),A462)</f>
        <v>62</v>
      </c>
      <c r="B463" s="41" t="str">
        <f aca="false">IF(A463=A462,"",CONCATENATE("F",A463))</f>
        <v/>
      </c>
      <c r="C463" s="42" t="s">
        <v>777</v>
      </c>
      <c r="D463" s="42"/>
      <c r="E463" s="42"/>
      <c r="F463" s="42"/>
      <c r="G463" s="42"/>
      <c r="H463" s="44" t="s">
        <v>59</v>
      </c>
      <c r="I463" s="50" t="s">
        <v>56</v>
      </c>
      <c r="J463" s="44" t="n">
        <v>6</v>
      </c>
      <c r="K463" s="44" t="n">
        <v>1</v>
      </c>
      <c r="L463" s="44" t="str">
        <f aca="false">CONCATENATE(H463,M463)</f>
        <v>AIEL</v>
      </c>
      <c r="M463" s="45" t="str">
        <f aca="false">IF(OR(ISBLANK(J463),ISBLANK(K463)),IF(OR(H463="ALI",H463="AIE"),"L",IF(ISBLANK(H463),"","A")),IF(H463="EE",IF(K463&gt;=3,IF(J463&gt;=5,"H","A"),IF(K463&gt;=2,IF(J463&gt;=16,"H",IF(J463&lt;=4,"L","A")),IF(J463&lt;=15,"L","A"))),IF(OR(H463="SE",H463="CE"),IF(K463&gt;=4,IF(J463&gt;=6,"H","A"),IF(K463&gt;=2,IF(J463&gt;=20,"H",IF(J463&lt;=5,"L","A")),IF(J463&lt;=19,"L","A"))),IF(OR(H463="ALI",H463="AIE"),IF(K463&gt;=6,IF(J463&gt;=20,"H","A"),IF(K463&gt;=2,IF(J463&gt;=51,"H",IF(J463&lt;=19,"L","A")),IF(J463&lt;=50,"L","A")))))))</f>
        <v>L</v>
      </c>
      <c r="N463" s="46" t="str">
        <f aca="false">IF(M463="L","Baixa",IF(M463="A","Média",IF(M463="","","Alta")))</f>
        <v>Baixa</v>
      </c>
      <c r="O463" s="47" t="n">
        <f aca="false">IF(ISBLANK(H463),"",IF(H463="ALI",IF(M463="L",7,IF(M463="A",10,15)),IF(H463="AIE",IF(M463="L",5,IF(M463="A",7,10)),IF(H463="SE",IF(M463="L",4,IF(M463="A",5,7)),IF(OR(H463="EE",H463="CE"),IF(M463="L",3,IF(M463="A",4,6)))))))</f>
        <v>5</v>
      </c>
      <c r="P463" s="48" t="n">
        <f aca="false">IF(I463="I",O463*Contagem!$W$15,IF(I463="E",O463*Contagem!$W$17,IF(I463="A",O463*Contagem!$W$16,IF(I463="T",O463*Contagem!$W$18,""))))</f>
        <v>5</v>
      </c>
      <c r="Q463" s="49" t="s">
        <v>778</v>
      </c>
    </row>
    <row r="464" customFormat="false" ht="12" hidden="false" customHeight="true" outlineLevel="0" collapsed="false">
      <c r="A464" s="40" t="n">
        <f aca="false">IF(H464="",IF(C464="",A463,A463+1),A463)</f>
        <v>62</v>
      </c>
      <c r="B464" s="41" t="str">
        <f aca="false">IF(A464=A463,"",CONCATENATE("F",A464))</f>
        <v/>
      </c>
      <c r="C464" s="42" t="s">
        <v>779</v>
      </c>
      <c r="D464" s="42"/>
      <c r="E464" s="42"/>
      <c r="F464" s="42"/>
      <c r="G464" s="42"/>
      <c r="H464" s="44" t="s">
        <v>99</v>
      </c>
      <c r="I464" s="50" t="s">
        <v>56</v>
      </c>
      <c r="J464" s="44" t="n">
        <v>12</v>
      </c>
      <c r="K464" s="44" t="n">
        <v>2</v>
      </c>
      <c r="L464" s="44" t="str">
        <f aca="false">CONCATENATE(H464,M464)</f>
        <v>SEA</v>
      </c>
      <c r="M464" s="45" t="str">
        <f aca="false">IF(OR(ISBLANK(J464),ISBLANK(K464)),IF(OR(H464="ALI",H464="AIE"),"L",IF(ISBLANK(H464),"","A")),IF(H464="EE",IF(K464&gt;=3,IF(J464&gt;=5,"H","A"),IF(K464&gt;=2,IF(J464&gt;=16,"H",IF(J464&lt;=4,"L","A")),IF(J464&lt;=15,"L","A"))),IF(OR(H464="SE",H464="CE"),IF(K464&gt;=4,IF(J464&gt;=6,"H","A"),IF(K464&gt;=2,IF(J464&gt;=20,"H",IF(J464&lt;=5,"L","A")),IF(J464&lt;=19,"L","A"))),IF(OR(H464="ALI",H464="AIE"),IF(K464&gt;=6,IF(J464&gt;=20,"H","A"),IF(K464&gt;=2,IF(J464&gt;=51,"H",IF(J464&lt;=19,"L","A")),IF(J464&lt;=50,"L","A")))))))</f>
        <v>A</v>
      </c>
      <c r="N464" s="46" t="str">
        <f aca="false">IF(M464="L","Baixa",IF(M464="A","Média",IF(M464="","","Alta")))</f>
        <v>Média</v>
      </c>
      <c r="O464" s="47" t="n">
        <f aca="false">IF(ISBLANK(H464),"",IF(H464="ALI",IF(M464="L",7,IF(M464="A",10,15)),IF(H464="AIE",IF(M464="L",5,IF(M464="A",7,10)),IF(H464="SE",IF(M464="L",4,IF(M464="A",5,7)),IF(OR(H464="EE",H464="CE"),IF(M464="L",3,IF(M464="A",4,6)))))))</f>
        <v>5</v>
      </c>
      <c r="P464" s="48" t="n">
        <f aca="false">IF(I464="I",O464*Contagem!$W$15,IF(I464="E",O464*Contagem!$W$17,IF(I464="A",O464*Contagem!$W$16,IF(I464="T",O464*Contagem!$W$18,""))))</f>
        <v>5</v>
      </c>
      <c r="Q464" s="49" t="s">
        <v>780</v>
      </c>
    </row>
    <row r="465" customFormat="false" ht="12" hidden="false" customHeight="true" outlineLevel="0" collapsed="false">
      <c r="A465" s="40" t="n">
        <f aca="false">IF(H465="",IF(C465="",A464,A464+1),A464)</f>
        <v>62</v>
      </c>
      <c r="B465" s="41" t="str">
        <f aca="false">IF(A465=A464,"",CONCATENATE("F",A465))</f>
        <v/>
      </c>
      <c r="C465" s="42"/>
      <c r="D465" s="42"/>
      <c r="E465" s="42"/>
      <c r="F465" s="42"/>
      <c r="G465" s="42"/>
      <c r="H465" s="44"/>
      <c r="I465" s="50"/>
      <c r="J465" s="44"/>
      <c r="K465" s="44"/>
      <c r="L465" s="44" t="str">
        <f aca="false">CONCATENATE(H465,M465)</f>
        <v/>
      </c>
      <c r="M465" s="45" t="str">
        <f aca="false">IF(OR(ISBLANK(J465),ISBLANK(K465)),IF(OR(H465="ALI",H465="AIE"),"L",IF(ISBLANK(H465),"","A")),IF(H465="EE",IF(K465&gt;=3,IF(J465&gt;=5,"H","A"),IF(K465&gt;=2,IF(J465&gt;=16,"H",IF(J465&lt;=4,"L","A")),IF(J465&lt;=15,"L","A"))),IF(OR(H465="SE",H465="CE"),IF(K465&gt;=4,IF(J465&gt;=6,"H","A"),IF(K465&gt;=2,IF(J465&gt;=20,"H",IF(J465&lt;=5,"L","A")),IF(J465&lt;=19,"L","A"))),IF(OR(H465="ALI",H465="AIE"),IF(K465&gt;=6,IF(J465&gt;=20,"H","A"),IF(K465&gt;=2,IF(J465&gt;=51,"H",IF(J465&lt;=19,"L","A")),IF(J465&lt;=50,"L","A")))))))</f>
        <v/>
      </c>
      <c r="N465" s="46" t="str">
        <f aca="false">IF(M465="L","Baixa",IF(M465="A","Média",IF(M465="","","Alta")))</f>
        <v/>
      </c>
      <c r="O465" s="47" t="str">
        <f aca="false">IF(ISBLANK(H465),"",IF(H465="ALI",IF(M465="L",7,IF(M465="A",10,15)),IF(H465="AIE",IF(M465="L",5,IF(M465="A",7,10)),IF(H465="SE",IF(M465="L",4,IF(M465="A",5,7)),IF(OR(H465="EE",H465="CE"),IF(M465="L",3,IF(M465="A",4,6)))))))</f>
        <v/>
      </c>
      <c r="P465" s="48" t="str">
        <f aca="false">IF(I465="I",O465*Contagem!$W$15,IF(I465="E",O465*Contagem!$W$17,IF(I465="A",O465*Contagem!$W$16,IF(I465="T",O465*Contagem!$W$18,""))))</f>
        <v/>
      </c>
      <c r="Q465" s="49"/>
    </row>
    <row r="466" customFormat="false" ht="12" hidden="false" customHeight="true" outlineLevel="0" collapsed="false">
      <c r="A466" s="40" t="n">
        <f aca="false">IF(H466="",IF(C466="",A465,A465+1),A465)</f>
        <v>62</v>
      </c>
      <c r="B466" s="41" t="str">
        <f aca="false">IF(A466=A465,"",CONCATENATE("F",A466))</f>
        <v/>
      </c>
      <c r="C466" s="42"/>
      <c r="D466" s="42"/>
      <c r="E466" s="42"/>
      <c r="F466" s="42"/>
      <c r="G466" s="42"/>
      <c r="H466" s="44"/>
      <c r="I466" s="50"/>
      <c r="J466" s="44"/>
      <c r="K466" s="44"/>
      <c r="L466" s="44" t="str">
        <f aca="false">CONCATENATE(H466,M466)</f>
        <v/>
      </c>
      <c r="M466" s="45" t="str">
        <f aca="false">IF(OR(ISBLANK(J466),ISBLANK(K466)),IF(OR(H466="ALI",H466="AIE"),"L",IF(ISBLANK(H466),"","A")),IF(H466="EE",IF(K466&gt;=3,IF(J466&gt;=5,"H","A"),IF(K466&gt;=2,IF(J466&gt;=16,"H",IF(J466&lt;=4,"L","A")),IF(J466&lt;=15,"L","A"))),IF(OR(H466="SE",H466="CE"),IF(K466&gt;=4,IF(J466&gt;=6,"H","A"),IF(K466&gt;=2,IF(J466&gt;=20,"H",IF(J466&lt;=5,"L","A")),IF(J466&lt;=19,"L","A"))),IF(OR(H466="ALI",H466="AIE"),IF(K466&gt;=6,IF(J466&gt;=20,"H","A"),IF(K466&gt;=2,IF(J466&gt;=51,"H",IF(J466&lt;=19,"L","A")),IF(J466&lt;=50,"L","A")))))))</f>
        <v/>
      </c>
      <c r="N466" s="46" t="str">
        <f aca="false">IF(M466="L","Baixa",IF(M466="A","Média",IF(M466="","","Alta")))</f>
        <v/>
      </c>
      <c r="O466" s="47" t="str">
        <f aca="false">IF(ISBLANK(H466),"",IF(H466="ALI",IF(M466="L",7,IF(M466="A",10,15)),IF(H466="AIE",IF(M466="L",5,IF(M466="A",7,10)),IF(H466="SE",IF(M466="L",4,IF(M466="A",5,7)),IF(OR(H466="EE",H466="CE"),IF(M466="L",3,IF(M466="A",4,6)))))))</f>
        <v/>
      </c>
      <c r="P466" s="48" t="str">
        <f aca="false">IF(I466="I",O466*Contagem!$W$15,IF(I466="E",O466*Contagem!$W$17,IF(I466="A",O466*Contagem!$W$16,IF(I466="T",O466*Contagem!$W$18,""))))</f>
        <v/>
      </c>
      <c r="Q466" s="49"/>
    </row>
    <row r="467" customFormat="false" ht="12" hidden="false" customHeight="true" outlineLevel="0" collapsed="false">
      <c r="A467" s="40" t="n">
        <f aca="false">IF(H467="",IF(C467="",A466,A466+1),A466)</f>
        <v>62</v>
      </c>
      <c r="B467" s="41" t="str">
        <f aca="false">IF(A467=A466,"",CONCATENATE("F",A467))</f>
        <v/>
      </c>
      <c r="C467" s="42"/>
      <c r="D467" s="42"/>
      <c r="E467" s="42"/>
      <c r="F467" s="42"/>
      <c r="G467" s="42"/>
      <c r="H467" s="44"/>
      <c r="I467" s="50"/>
      <c r="J467" s="44"/>
      <c r="K467" s="44"/>
      <c r="L467" s="44" t="str">
        <f aca="false">CONCATENATE(H467,M467)</f>
        <v/>
      </c>
      <c r="M467" s="45" t="str">
        <f aca="false">IF(OR(ISBLANK(J467),ISBLANK(K467)),IF(OR(H467="ALI",H467="AIE"),"L",IF(ISBLANK(H467),"","A")),IF(H467="EE",IF(K467&gt;=3,IF(J467&gt;=5,"H","A"),IF(K467&gt;=2,IF(J467&gt;=16,"H",IF(J467&lt;=4,"L","A")),IF(J467&lt;=15,"L","A"))),IF(OR(H467="SE",H467="CE"),IF(K467&gt;=4,IF(J467&gt;=6,"H","A"),IF(K467&gt;=2,IF(J467&gt;=20,"H",IF(J467&lt;=5,"L","A")),IF(J467&lt;=19,"L","A"))),IF(OR(H467="ALI",H467="AIE"),IF(K467&gt;=6,IF(J467&gt;=20,"H","A"),IF(K467&gt;=2,IF(J467&gt;=51,"H",IF(J467&lt;=19,"L","A")),IF(J467&lt;=50,"L","A")))))))</f>
        <v/>
      </c>
      <c r="N467" s="46" t="str">
        <f aca="false">IF(M467="L","Baixa",IF(M467="A","Média",IF(M467="","","Alta")))</f>
        <v/>
      </c>
      <c r="O467" s="47" t="str">
        <f aca="false">IF(ISBLANK(H467),"",IF(H467="ALI",IF(M467="L",7,IF(M467="A",10,15)),IF(H467="AIE",IF(M467="L",5,IF(M467="A",7,10)),IF(H467="SE",IF(M467="L",4,IF(M467="A",5,7)),IF(OR(H467="EE",H467="CE"),IF(M467="L",3,IF(M467="A",4,6)))))))</f>
        <v/>
      </c>
      <c r="P467" s="48" t="str">
        <f aca="false">IF(I467="I",O467*Contagem!$W$15,IF(I467="E",O467*Contagem!$W$17,IF(I467="A",O467*Contagem!$W$16,IF(I467="T",O467*Contagem!$W$18,""))))</f>
        <v/>
      </c>
      <c r="Q467" s="49"/>
    </row>
    <row r="468" customFormat="false" ht="12" hidden="false" customHeight="true" outlineLevel="0" collapsed="false">
      <c r="A468" s="40" t="n">
        <f aca="false">IF(H468="",IF(C468="",A467,A467+1),A467)</f>
        <v>62</v>
      </c>
      <c r="B468" s="41" t="str">
        <f aca="false">IF(A468=A467,"",CONCATENATE("F",A468))</f>
        <v/>
      </c>
      <c r="C468" s="42"/>
      <c r="D468" s="42"/>
      <c r="E468" s="42"/>
      <c r="F468" s="42"/>
      <c r="G468" s="42"/>
      <c r="H468" s="44"/>
      <c r="I468" s="50"/>
      <c r="J468" s="44"/>
      <c r="K468" s="44"/>
      <c r="L468" s="44" t="str">
        <f aca="false">CONCATENATE(H468,M468)</f>
        <v/>
      </c>
      <c r="M468" s="45" t="str">
        <f aca="false">IF(OR(ISBLANK(J468),ISBLANK(K468)),IF(OR(H468="ALI",H468="AIE"),"L",IF(ISBLANK(H468),"","A")),IF(H468="EE",IF(K468&gt;=3,IF(J468&gt;=5,"H","A"),IF(K468&gt;=2,IF(J468&gt;=16,"H",IF(J468&lt;=4,"L","A")),IF(J468&lt;=15,"L","A"))),IF(OR(H468="SE",H468="CE"),IF(K468&gt;=4,IF(J468&gt;=6,"H","A"),IF(K468&gt;=2,IF(J468&gt;=20,"H",IF(J468&lt;=5,"L","A")),IF(J468&lt;=19,"L","A"))),IF(OR(H468="ALI",H468="AIE"),IF(K468&gt;=6,IF(J468&gt;=20,"H","A"),IF(K468&gt;=2,IF(J468&gt;=51,"H",IF(J468&lt;=19,"L","A")),IF(J468&lt;=50,"L","A")))))))</f>
        <v/>
      </c>
      <c r="N468" s="46" t="str">
        <f aca="false">IF(M468="L","Baixa",IF(M468="A","Média",IF(M468="","","Alta")))</f>
        <v/>
      </c>
      <c r="O468" s="47" t="str">
        <f aca="false">IF(ISBLANK(H468),"",IF(H468="ALI",IF(M468="L",7,IF(M468="A",10,15)),IF(H468="AIE",IF(M468="L",5,IF(M468="A",7,10)),IF(H468="SE",IF(M468="L",4,IF(M468="A",5,7)),IF(OR(H468="EE",H468="CE"),IF(M468="L",3,IF(M468="A",4,6)))))))</f>
        <v/>
      </c>
      <c r="P468" s="48" t="str">
        <f aca="false">IF(I468="I",O468*Contagem!$W$15,IF(I468="E",O468*Contagem!$W$17,IF(I468="A",O468*Contagem!$W$16,IF(I468="T",O468*Contagem!$W$18,""))))</f>
        <v/>
      </c>
      <c r="Q468" s="49"/>
    </row>
    <row r="469" customFormat="false" ht="12" hidden="false" customHeight="true" outlineLevel="0" collapsed="false">
      <c r="A469" s="40" t="n">
        <f aca="false">IF(H469="",IF(C469="",A468,A468+1),A468)</f>
        <v>62</v>
      </c>
      <c r="B469" s="41" t="str">
        <f aca="false">IF(A469=A468,"",CONCATENATE("F",A469))</f>
        <v/>
      </c>
      <c r="C469" s="42"/>
      <c r="D469" s="42"/>
      <c r="E469" s="42"/>
      <c r="F469" s="42"/>
      <c r="G469" s="42"/>
      <c r="H469" s="44"/>
      <c r="I469" s="50"/>
      <c r="J469" s="44"/>
      <c r="K469" s="44"/>
      <c r="L469" s="44" t="str">
        <f aca="false">CONCATENATE(H469,M469)</f>
        <v/>
      </c>
      <c r="M469" s="45" t="str">
        <f aca="false">IF(OR(ISBLANK(J469),ISBLANK(K469)),IF(OR(H469="ALI",H469="AIE"),"L",IF(ISBLANK(H469),"","A")),IF(H469="EE",IF(K469&gt;=3,IF(J469&gt;=5,"H","A"),IF(K469&gt;=2,IF(J469&gt;=16,"H",IF(J469&lt;=4,"L","A")),IF(J469&lt;=15,"L","A"))),IF(OR(H469="SE",H469="CE"),IF(K469&gt;=4,IF(J469&gt;=6,"H","A"),IF(K469&gt;=2,IF(J469&gt;=20,"H",IF(J469&lt;=5,"L","A")),IF(J469&lt;=19,"L","A"))),IF(OR(H469="ALI",H469="AIE"),IF(K469&gt;=6,IF(J469&gt;=20,"H","A"),IF(K469&gt;=2,IF(J469&gt;=51,"H",IF(J469&lt;=19,"L","A")),IF(J469&lt;=50,"L","A")))))))</f>
        <v/>
      </c>
      <c r="N469" s="46" t="str">
        <f aca="false">IF(M469="L","Baixa",IF(M469="A","Média",IF(M469="","","Alta")))</f>
        <v/>
      </c>
      <c r="O469" s="47" t="str">
        <f aca="false">IF(ISBLANK(H469),"",IF(H469="ALI",IF(M469="L",7,IF(M469="A",10,15)),IF(H469="AIE",IF(M469="L",5,IF(M469="A",7,10)),IF(H469="SE",IF(M469="L",4,IF(M469="A",5,7)),IF(OR(H469="EE",H469="CE"),IF(M469="L",3,IF(M469="A",4,6)))))))</f>
        <v/>
      </c>
      <c r="P469" s="48" t="str">
        <f aca="false">IF(I469="I",O469*Contagem!$W$15,IF(I469="E",O469*Contagem!$W$17,IF(I469="A",O469*Contagem!$W$16,IF(I469="T",O469*Contagem!$W$18,""))))</f>
        <v/>
      </c>
      <c r="Q469" s="49"/>
    </row>
    <row r="470" customFormat="false" ht="12" hidden="false" customHeight="true" outlineLevel="0" collapsed="false">
      <c r="A470" s="40" t="n">
        <f aca="false">IF(H470="",IF(C470="",A469,A469+1),A469)</f>
        <v>62</v>
      </c>
      <c r="B470" s="41" t="str">
        <f aca="false">IF(A470=A469,"",CONCATENATE("F",A470))</f>
        <v/>
      </c>
      <c r="C470" s="42"/>
      <c r="D470" s="42"/>
      <c r="E470" s="42"/>
      <c r="F470" s="42"/>
      <c r="G470" s="42"/>
      <c r="H470" s="44"/>
      <c r="I470" s="50"/>
      <c r="J470" s="44"/>
      <c r="K470" s="44"/>
      <c r="L470" s="44" t="str">
        <f aca="false">CONCATENATE(H470,M470)</f>
        <v/>
      </c>
      <c r="M470" s="45" t="str">
        <f aca="false">IF(OR(ISBLANK(J470),ISBLANK(K470)),IF(OR(H470="ALI",H470="AIE"),"L",IF(ISBLANK(H470),"","A")),IF(H470="EE",IF(K470&gt;=3,IF(J470&gt;=5,"H","A"),IF(K470&gt;=2,IF(J470&gt;=16,"H",IF(J470&lt;=4,"L","A")),IF(J470&lt;=15,"L","A"))),IF(OR(H470="SE",H470="CE"),IF(K470&gt;=4,IF(J470&gt;=6,"H","A"),IF(K470&gt;=2,IF(J470&gt;=20,"H",IF(J470&lt;=5,"L","A")),IF(J470&lt;=19,"L","A"))),IF(OR(H470="ALI",H470="AIE"),IF(K470&gt;=6,IF(J470&gt;=20,"H","A"),IF(K470&gt;=2,IF(J470&gt;=51,"H",IF(J470&lt;=19,"L","A")),IF(J470&lt;=50,"L","A")))))))</f>
        <v/>
      </c>
      <c r="N470" s="46" t="str">
        <f aca="false">IF(M470="L","Baixa",IF(M470="A","Média",IF(M470="","","Alta")))</f>
        <v/>
      </c>
      <c r="O470" s="47" t="str">
        <f aca="false">IF(ISBLANK(H470),"",IF(H470="ALI",IF(M470="L",7,IF(M470="A",10,15)),IF(H470="AIE",IF(M470="L",5,IF(M470="A",7,10)),IF(H470="SE",IF(M470="L",4,IF(M470="A",5,7)),IF(OR(H470="EE",H470="CE"),IF(M470="L",3,IF(M470="A",4,6)))))))</f>
        <v/>
      </c>
      <c r="P470" s="48" t="str">
        <f aca="false">IF(I470="I",O470*Contagem!$W$15,IF(I470="E",O470*Contagem!$W$17,IF(I470="A",O470*Contagem!$W$16,IF(I470="T",O470*Contagem!$W$18,""))))</f>
        <v/>
      </c>
      <c r="Q470" s="49"/>
    </row>
    <row r="471" customFormat="false" ht="12" hidden="false" customHeight="true" outlineLevel="0" collapsed="false">
      <c r="A471" s="40" t="n">
        <f aca="false">IF(H471="",IF(C471="",A470,A470+1),A470)</f>
        <v>62</v>
      </c>
      <c r="B471" s="41" t="str">
        <f aca="false">IF(A471=A470,"",CONCATENATE("F",A471))</f>
        <v/>
      </c>
      <c r="C471" s="42"/>
      <c r="D471" s="42"/>
      <c r="E471" s="42"/>
      <c r="F471" s="42"/>
      <c r="G471" s="42"/>
      <c r="H471" s="44"/>
      <c r="I471" s="50"/>
      <c r="J471" s="44"/>
      <c r="K471" s="44"/>
      <c r="L471" s="44" t="str">
        <f aca="false">CONCATENATE(H471,M471)</f>
        <v/>
      </c>
      <c r="M471" s="45" t="str">
        <f aca="false">IF(OR(ISBLANK(J471),ISBLANK(K471)),IF(OR(H471="ALI",H471="AIE"),"L",IF(ISBLANK(H471),"","A")),IF(H471="EE",IF(K471&gt;=3,IF(J471&gt;=5,"H","A"),IF(K471&gt;=2,IF(J471&gt;=16,"H",IF(J471&lt;=4,"L","A")),IF(J471&lt;=15,"L","A"))),IF(OR(H471="SE",H471="CE"),IF(K471&gt;=4,IF(J471&gt;=6,"H","A"),IF(K471&gt;=2,IF(J471&gt;=20,"H",IF(J471&lt;=5,"L","A")),IF(J471&lt;=19,"L","A"))),IF(OR(H471="ALI",H471="AIE"),IF(K471&gt;=6,IF(J471&gt;=20,"H","A"),IF(K471&gt;=2,IF(J471&gt;=51,"H",IF(J471&lt;=19,"L","A")),IF(J471&lt;=50,"L","A")))))))</f>
        <v/>
      </c>
      <c r="N471" s="46" t="str">
        <f aca="false">IF(M471="L","Baixa",IF(M471="A","Média",IF(M471="","","Alta")))</f>
        <v/>
      </c>
      <c r="O471" s="47" t="str">
        <f aca="false">IF(ISBLANK(H471),"",IF(H471="ALI",IF(M471="L",7,IF(M471="A",10,15)),IF(H471="AIE",IF(M471="L",5,IF(M471="A",7,10)),IF(H471="SE",IF(M471="L",4,IF(M471="A",5,7)),IF(OR(H471="EE",H471="CE"),IF(M471="L",3,IF(M471="A",4,6)))))))</f>
        <v/>
      </c>
      <c r="P471" s="48" t="str">
        <f aca="false">IF(I471="I",O471*Contagem!$W$15,IF(I471="E",O471*Contagem!$W$17,IF(I471="A",O471*Contagem!$W$16,IF(I471="T",O471*Contagem!$W$18,""))))</f>
        <v/>
      </c>
      <c r="Q471" s="49"/>
    </row>
    <row r="472" customFormat="false" ht="12" hidden="false" customHeight="true" outlineLevel="0" collapsed="false">
      <c r="A472" s="40" t="n">
        <f aca="false">IF(H472="",IF(C472="",A471,A471+1),A471)</f>
        <v>62</v>
      </c>
      <c r="B472" s="41" t="str">
        <f aca="false">IF(A472=A471,"",CONCATENATE("F",A472))</f>
        <v/>
      </c>
      <c r="C472" s="42"/>
      <c r="D472" s="42"/>
      <c r="E472" s="42"/>
      <c r="F472" s="42"/>
      <c r="G472" s="42"/>
      <c r="H472" s="44"/>
      <c r="I472" s="50"/>
      <c r="J472" s="44"/>
      <c r="K472" s="44"/>
      <c r="L472" s="44" t="str">
        <f aca="false">CONCATENATE(H472,M472)</f>
        <v/>
      </c>
      <c r="M472" s="45" t="str">
        <f aca="false">IF(OR(ISBLANK(J472),ISBLANK(K472)),IF(OR(H472="ALI",H472="AIE"),"L",IF(ISBLANK(H472),"","A")),IF(H472="EE",IF(K472&gt;=3,IF(J472&gt;=5,"H","A"),IF(K472&gt;=2,IF(J472&gt;=16,"H",IF(J472&lt;=4,"L","A")),IF(J472&lt;=15,"L","A"))),IF(OR(H472="SE",H472="CE"),IF(K472&gt;=4,IF(J472&gt;=6,"H","A"),IF(K472&gt;=2,IF(J472&gt;=20,"H",IF(J472&lt;=5,"L","A")),IF(J472&lt;=19,"L","A"))),IF(OR(H472="ALI",H472="AIE"),IF(K472&gt;=6,IF(J472&gt;=20,"H","A"),IF(K472&gt;=2,IF(J472&gt;=51,"H",IF(J472&lt;=19,"L","A")),IF(J472&lt;=50,"L","A")))))))</f>
        <v/>
      </c>
      <c r="N472" s="46" t="str">
        <f aca="false">IF(M472="L","Baixa",IF(M472="A","Média",IF(M472="","","Alta")))</f>
        <v/>
      </c>
      <c r="O472" s="47" t="str">
        <f aca="false">IF(ISBLANK(H472),"",IF(H472="ALI",IF(M472="L",7,IF(M472="A",10,15)),IF(H472="AIE",IF(M472="L",5,IF(M472="A",7,10)),IF(H472="SE",IF(M472="L",4,IF(M472="A",5,7)),IF(OR(H472="EE",H472="CE"),IF(M472="L",3,IF(M472="A",4,6)))))))</f>
        <v/>
      </c>
      <c r="P472" s="48" t="str">
        <f aca="false">IF(I472="I",O472*Contagem!$W$15,IF(I472="E",O472*Contagem!$W$17,IF(I472="A",O472*Contagem!$W$16,IF(I472="T",O472*Contagem!$W$18,""))))</f>
        <v/>
      </c>
      <c r="Q472" s="49"/>
    </row>
    <row r="473" customFormat="false" ht="12" hidden="false" customHeight="true" outlineLevel="0" collapsed="false">
      <c r="A473" s="40" t="n">
        <f aca="false">IF(H473="",IF(C473="",A472,A472+1),A472)</f>
        <v>62</v>
      </c>
      <c r="B473" s="41" t="str">
        <f aca="false">IF(A473=A472,"",CONCATENATE("F",A473))</f>
        <v/>
      </c>
      <c r="C473" s="42"/>
      <c r="D473" s="42"/>
      <c r="E473" s="42"/>
      <c r="F473" s="42"/>
      <c r="G473" s="42"/>
      <c r="H473" s="44"/>
      <c r="I473" s="50"/>
      <c r="J473" s="44"/>
      <c r="K473" s="44"/>
      <c r="L473" s="44" t="str">
        <f aca="false">CONCATENATE(H473,M473)</f>
        <v/>
      </c>
      <c r="M473" s="45" t="str">
        <f aca="false">IF(OR(ISBLANK(J473),ISBLANK(K473)),IF(OR(H473="ALI",H473="AIE"),"L",IF(ISBLANK(H473),"","A")),IF(H473="EE",IF(K473&gt;=3,IF(J473&gt;=5,"H","A"),IF(K473&gt;=2,IF(J473&gt;=16,"H",IF(J473&lt;=4,"L","A")),IF(J473&lt;=15,"L","A"))),IF(OR(H473="SE",H473="CE"),IF(K473&gt;=4,IF(J473&gt;=6,"H","A"),IF(K473&gt;=2,IF(J473&gt;=20,"H",IF(J473&lt;=5,"L","A")),IF(J473&lt;=19,"L","A"))),IF(OR(H473="ALI",H473="AIE"),IF(K473&gt;=6,IF(J473&gt;=20,"H","A"),IF(K473&gt;=2,IF(J473&gt;=51,"H",IF(J473&lt;=19,"L","A")),IF(J473&lt;=50,"L","A")))))))</f>
        <v/>
      </c>
      <c r="N473" s="46" t="str">
        <f aca="false">IF(M473="L","Baixa",IF(M473="A","Média",IF(M473="","","Alta")))</f>
        <v/>
      </c>
      <c r="O473" s="47" t="str">
        <f aca="false">IF(ISBLANK(H473),"",IF(H473="ALI",IF(M473="L",7,IF(M473="A",10,15)),IF(H473="AIE",IF(M473="L",5,IF(M473="A",7,10)),IF(H473="SE",IF(M473="L",4,IF(M473="A",5,7)),IF(OR(H473="EE",H473="CE"),IF(M473="L",3,IF(M473="A",4,6)))))))</f>
        <v/>
      </c>
      <c r="P473" s="48" t="str">
        <f aca="false">IF(I473="I",O473*Contagem!$W$15,IF(I473="E",O473*Contagem!$W$17,IF(I473="A",O473*Contagem!$W$16,IF(I473="T",O473*Contagem!$W$18,""))))</f>
        <v/>
      </c>
      <c r="Q473" s="49"/>
    </row>
    <row r="474" customFormat="false" ht="12" hidden="false" customHeight="true" outlineLevel="0" collapsed="false">
      <c r="A474" s="40" t="n">
        <f aca="false">IF(H474="",IF(C474="",A473,A473+1),A473)</f>
        <v>62</v>
      </c>
      <c r="B474" s="41" t="str">
        <f aca="false">IF(A474=A473,"",CONCATENATE("F",A474))</f>
        <v/>
      </c>
      <c r="C474" s="42"/>
      <c r="D474" s="42"/>
      <c r="E474" s="42"/>
      <c r="F474" s="42"/>
      <c r="G474" s="42"/>
      <c r="H474" s="44"/>
      <c r="I474" s="50"/>
      <c r="J474" s="44"/>
      <c r="K474" s="44"/>
      <c r="L474" s="44" t="str">
        <f aca="false">CONCATENATE(H474,M474)</f>
        <v/>
      </c>
      <c r="M474" s="45" t="str">
        <f aca="false">IF(OR(ISBLANK(J474),ISBLANK(K474)),IF(OR(H474="ALI",H474="AIE"),"L",IF(ISBLANK(H474),"","A")),IF(H474="EE",IF(K474&gt;=3,IF(J474&gt;=5,"H","A"),IF(K474&gt;=2,IF(J474&gt;=16,"H",IF(J474&lt;=4,"L","A")),IF(J474&lt;=15,"L","A"))),IF(OR(H474="SE",H474="CE"),IF(K474&gt;=4,IF(J474&gt;=6,"H","A"),IF(K474&gt;=2,IF(J474&gt;=20,"H",IF(J474&lt;=5,"L","A")),IF(J474&lt;=19,"L","A"))),IF(OR(H474="ALI",H474="AIE"),IF(K474&gt;=6,IF(J474&gt;=20,"H","A"),IF(K474&gt;=2,IF(J474&gt;=51,"H",IF(J474&lt;=19,"L","A")),IF(J474&lt;=50,"L","A")))))))</f>
        <v/>
      </c>
      <c r="N474" s="46" t="str">
        <f aca="false">IF(M474="L","Baixa",IF(M474="A","Média",IF(M474="","","Alta")))</f>
        <v/>
      </c>
      <c r="O474" s="47" t="str">
        <f aca="false">IF(ISBLANK(H474),"",IF(H474="ALI",IF(M474="L",7,IF(M474="A",10,15)),IF(H474="AIE",IF(M474="L",5,IF(M474="A",7,10)),IF(H474="SE",IF(M474="L",4,IF(M474="A",5,7)),IF(OR(H474="EE",H474="CE"),IF(M474="L",3,IF(M474="A",4,6)))))))</f>
        <v/>
      </c>
      <c r="P474" s="48" t="str">
        <f aca="false">IF(I474="I",O474*Contagem!$W$15,IF(I474="E",O474*Contagem!$W$17,IF(I474="A",O474*Contagem!$W$16,IF(I474="T",O474*Contagem!$W$18,""))))</f>
        <v/>
      </c>
      <c r="Q474" s="49"/>
    </row>
    <row r="475" customFormat="false" ht="12" hidden="false" customHeight="true" outlineLevel="0" collapsed="false">
      <c r="A475" s="40" t="n">
        <f aca="false">IF(H475="",IF(C475="",A474,A474+1),A474)</f>
        <v>62</v>
      </c>
      <c r="B475" s="41" t="str">
        <f aca="false">IF(A475=A474,"",CONCATENATE("F",A475))</f>
        <v/>
      </c>
      <c r="C475" s="42"/>
      <c r="D475" s="42"/>
      <c r="E475" s="42"/>
      <c r="F475" s="42"/>
      <c r="G475" s="42"/>
      <c r="H475" s="44"/>
      <c r="I475" s="50"/>
      <c r="J475" s="44"/>
      <c r="K475" s="44"/>
      <c r="L475" s="44" t="str">
        <f aca="false">CONCATENATE(H475,M475)</f>
        <v/>
      </c>
      <c r="M475" s="45" t="str">
        <f aca="false">IF(OR(ISBLANK(J475),ISBLANK(K475)),IF(OR(H475="ALI",H475="AIE"),"L",IF(ISBLANK(H475),"","A")),IF(H475="EE",IF(K475&gt;=3,IF(J475&gt;=5,"H","A"),IF(K475&gt;=2,IF(J475&gt;=16,"H",IF(J475&lt;=4,"L","A")),IF(J475&lt;=15,"L","A"))),IF(OR(H475="SE",H475="CE"),IF(K475&gt;=4,IF(J475&gt;=6,"H","A"),IF(K475&gt;=2,IF(J475&gt;=20,"H",IF(J475&lt;=5,"L","A")),IF(J475&lt;=19,"L","A"))),IF(OR(H475="ALI",H475="AIE"),IF(K475&gt;=6,IF(J475&gt;=20,"H","A"),IF(K475&gt;=2,IF(J475&gt;=51,"H",IF(J475&lt;=19,"L","A")),IF(J475&lt;=50,"L","A")))))))</f>
        <v/>
      </c>
      <c r="N475" s="46" t="str">
        <f aca="false">IF(M475="L","Baixa",IF(M475="A","Média",IF(M475="","","Alta")))</f>
        <v/>
      </c>
      <c r="O475" s="47" t="str">
        <f aca="false">IF(ISBLANK(H475),"",IF(H475="ALI",IF(M475="L",7,IF(M475="A",10,15)),IF(H475="AIE",IF(M475="L",5,IF(M475="A",7,10)),IF(H475="SE",IF(M475="L",4,IF(M475="A",5,7)),IF(OR(H475="EE",H475="CE"),IF(M475="L",3,IF(M475="A",4,6)))))))</f>
        <v/>
      </c>
      <c r="P475" s="48" t="str">
        <f aca="false">IF(I475="I",O475*Contagem!$W$15,IF(I475="E",O475*Contagem!$W$17,IF(I475="A",O475*Contagem!$W$16,IF(I475="T",O475*Contagem!$W$18,""))))</f>
        <v/>
      </c>
      <c r="Q475" s="49"/>
    </row>
    <row r="476" customFormat="false" ht="12" hidden="false" customHeight="true" outlineLevel="0" collapsed="false">
      <c r="A476" s="40" t="n">
        <f aca="false">IF(H476="",IF(C476="",A475,A475+1),A475)</f>
        <v>62</v>
      </c>
      <c r="B476" s="41" t="str">
        <f aca="false">IF(A476=A475,"",CONCATENATE("F",A476))</f>
        <v/>
      </c>
      <c r="C476" s="42"/>
      <c r="D476" s="42"/>
      <c r="E476" s="42"/>
      <c r="F476" s="42"/>
      <c r="G476" s="42"/>
      <c r="H476" s="44"/>
      <c r="I476" s="50"/>
      <c r="J476" s="44"/>
      <c r="K476" s="44"/>
      <c r="L476" s="44" t="str">
        <f aca="false">CONCATENATE(H476,M476)</f>
        <v/>
      </c>
      <c r="M476" s="45" t="str">
        <f aca="false">IF(OR(ISBLANK(J476),ISBLANK(K476)),IF(OR(H476="ALI",H476="AIE"),"L",IF(ISBLANK(H476),"","A")),IF(H476="EE",IF(K476&gt;=3,IF(J476&gt;=5,"H","A"),IF(K476&gt;=2,IF(J476&gt;=16,"H",IF(J476&lt;=4,"L","A")),IF(J476&lt;=15,"L","A"))),IF(OR(H476="SE",H476="CE"),IF(K476&gt;=4,IF(J476&gt;=6,"H","A"),IF(K476&gt;=2,IF(J476&gt;=20,"H",IF(J476&lt;=5,"L","A")),IF(J476&lt;=19,"L","A"))),IF(OR(H476="ALI",H476="AIE"),IF(K476&gt;=6,IF(J476&gt;=20,"H","A"),IF(K476&gt;=2,IF(J476&gt;=51,"H",IF(J476&lt;=19,"L","A")),IF(J476&lt;=50,"L","A")))))))</f>
        <v/>
      </c>
      <c r="N476" s="46" t="str">
        <f aca="false">IF(M476="L","Baixa",IF(M476="A","Média",IF(M476="","","Alta")))</f>
        <v/>
      </c>
      <c r="O476" s="47" t="str">
        <f aca="false">IF(ISBLANK(H476),"",IF(H476="ALI",IF(M476="L",7,IF(M476="A",10,15)),IF(H476="AIE",IF(M476="L",5,IF(M476="A",7,10)),IF(H476="SE",IF(M476="L",4,IF(M476="A",5,7)),IF(OR(H476="EE",H476="CE"),IF(M476="L",3,IF(M476="A",4,6)))))))</f>
        <v/>
      </c>
      <c r="P476" s="48" t="str">
        <f aca="false">IF(I476="I",O476*Contagem!$W$15,IF(I476="E",O476*Contagem!$W$17,IF(I476="A",O476*Contagem!$W$16,IF(I476="T",O476*Contagem!$W$18,""))))</f>
        <v/>
      </c>
      <c r="Q476" s="49"/>
    </row>
    <row r="477" customFormat="false" ht="12" hidden="false" customHeight="true" outlineLevel="0" collapsed="false">
      <c r="A477" s="40" t="n">
        <f aca="false">IF(H477="",IF(C477="",A476,A476+1),A476)</f>
        <v>62</v>
      </c>
      <c r="B477" s="41" t="str">
        <f aca="false">IF(A477=A476,"",CONCATENATE("F",A477))</f>
        <v/>
      </c>
      <c r="C477" s="42"/>
      <c r="D477" s="42"/>
      <c r="E477" s="42"/>
      <c r="F477" s="42"/>
      <c r="G477" s="42"/>
      <c r="H477" s="44"/>
      <c r="I477" s="50"/>
      <c r="J477" s="44"/>
      <c r="K477" s="44"/>
      <c r="L477" s="44" t="str">
        <f aca="false">CONCATENATE(H477,M477)</f>
        <v/>
      </c>
      <c r="M477" s="45" t="str">
        <f aca="false">IF(OR(ISBLANK(J477),ISBLANK(K477)),IF(OR(H477="ALI",H477="AIE"),"L",IF(ISBLANK(H477),"","A")),IF(H477="EE",IF(K477&gt;=3,IF(J477&gt;=5,"H","A"),IF(K477&gt;=2,IF(J477&gt;=16,"H",IF(J477&lt;=4,"L","A")),IF(J477&lt;=15,"L","A"))),IF(OR(H477="SE",H477="CE"),IF(K477&gt;=4,IF(J477&gt;=6,"H","A"),IF(K477&gt;=2,IF(J477&gt;=20,"H",IF(J477&lt;=5,"L","A")),IF(J477&lt;=19,"L","A"))),IF(OR(H477="ALI",H477="AIE"),IF(K477&gt;=6,IF(J477&gt;=20,"H","A"),IF(K477&gt;=2,IF(J477&gt;=51,"H",IF(J477&lt;=19,"L","A")),IF(J477&lt;=50,"L","A")))))))</f>
        <v/>
      </c>
      <c r="N477" s="46" t="str">
        <f aca="false">IF(M477="L","Baixa",IF(M477="A","Média",IF(M477="","","Alta")))</f>
        <v/>
      </c>
      <c r="O477" s="47" t="str">
        <f aca="false">IF(ISBLANK(H477),"",IF(H477="ALI",IF(M477="L",7,IF(M477="A",10,15)),IF(H477="AIE",IF(M477="L",5,IF(M477="A",7,10)),IF(H477="SE",IF(M477="L",4,IF(M477="A",5,7)),IF(OR(H477="EE",H477="CE"),IF(M477="L",3,IF(M477="A",4,6)))))))</f>
        <v/>
      </c>
      <c r="P477" s="48" t="str">
        <f aca="false">IF(I477="I",O477*Contagem!$W$15,IF(I477="E",O477*Contagem!$W$17,IF(I477="A",O477*Contagem!$W$16,IF(I477="T",O477*Contagem!$W$18,""))))</f>
        <v/>
      </c>
      <c r="Q477" s="49"/>
    </row>
    <row r="478" customFormat="false" ht="12" hidden="false" customHeight="true" outlineLevel="0" collapsed="false">
      <c r="A478" s="40" t="n">
        <f aca="false">IF(H478="",IF(C478="",A477,A477+1),A477)</f>
        <v>62</v>
      </c>
      <c r="B478" s="41" t="str">
        <f aca="false">IF(A478=A477,"",CONCATENATE("F",A478))</f>
        <v/>
      </c>
      <c r="C478" s="42"/>
      <c r="D478" s="42"/>
      <c r="E478" s="42"/>
      <c r="F478" s="42"/>
      <c r="G478" s="42"/>
      <c r="H478" s="44"/>
      <c r="I478" s="50"/>
      <c r="J478" s="44"/>
      <c r="K478" s="44"/>
      <c r="L478" s="44" t="str">
        <f aca="false">CONCATENATE(H478,M478)</f>
        <v/>
      </c>
      <c r="M478" s="45" t="str">
        <f aca="false">IF(OR(ISBLANK(J478),ISBLANK(K478)),IF(OR(H478="ALI",H478="AIE"),"L",IF(ISBLANK(H478),"","A")),IF(H478="EE",IF(K478&gt;=3,IF(J478&gt;=5,"H","A"),IF(K478&gt;=2,IF(J478&gt;=16,"H",IF(J478&lt;=4,"L","A")),IF(J478&lt;=15,"L","A"))),IF(OR(H478="SE",H478="CE"),IF(K478&gt;=4,IF(J478&gt;=6,"H","A"),IF(K478&gt;=2,IF(J478&gt;=20,"H",IF(J478&lt;=5,"L","A")),IF(J478&lt;=19,"L","A"))),IF(OR(H478="ALI",H478="AIE"),IF(K478&gt;=6,IF(J478&gt;=20,"H","A"),IF(K478&gt;=2,IF(J478&gt;=51,"H",IF(J478&lt;=19,"L","A")),IF(J478&lt;=50,"L","A")))))))</f>
        <v/>
      </c>
      <c r="N478" s="46" t="str">
        <f aca="false">IF(M478="L","Baixa",IF(M478="A","Média",IF(M478="","","Alta")))</f>
        <v/>
      </c>
      <c r="O478" s="47" t="str">
        <f aca="false">IF(ISBLANK(H478),"",IF(H478="ALI",IF(M478="L",7,IF(M478="A",10,15)),IF(H478="AIE",IF(M478="L",5,IF(M478="A",7,10)),IF(H478="SE",IF(M478="L",4,IF(M478="A",5,7)),IF(OR(H478="EE",H478="CE"),IF(M478="L",3,IF(M478="A",4,6)))))))</f>
        <v/>
      </c>
      <c r="P478" s="48" t="str">
        <f aca="false">IF(I478="I",O478*Contagem!$W$15,IF(I478="E",O478*Contagem!$W$17,IF(I478="A",O478*Contagem!$W$16,IF(I478="T",O478*Contagem!$W$18,""))))</f>
        <v/>
      </c>
      <c r="Q478" s="49"/>
    </row>
    <row r="479" customFormat="false" ht="12" hidden="false" customHeight="true" outlineLevel="0" collapsed="false">
      <c r="A479" s="40" t="n">
        <f aca="false">IF(H479="",IF(C479="",A478,A478+1),A478)</f>
        <v>62</v>
      </c>
      <c r="B479" s="41" t="str">
        <f aca="false">IF(A479=A478,"",CONCATENATE("F",A479))</f>
        <v/>
      </c>
      <c r="C479" s="42"/>
      <c r="D479" s="42"/>
      <c r="E479" s="42"/>
      <c r="F479" s="42"/>
      <c r="G479" s="42"/>
      <c r="H479" s="44"/>
      <c r="I479" s="50"/>
      <c r="J479" s="44"/>
      <c r="K479" s="44"/>
      <c r="L479" s="44" t="str">
        <f aca="false">CONCATENATE(H479,M479)</f>
        <v/>
      </c>
      <c r="M479" s="45" t="str">
        <f aca="false">IF(OR(ISBLANK(J479),ISBLANK(K479)),IF(OR(H479="ALI",H479="AIE"),"L",IF(ISBLANK(H479),"","A")),IF(H479="EE",IF(K479&gt;=3,IF(J479&gt;=5,"H","A"),IF(K479&gt;=2,IF(J479&gt;=16,"H",IF(J479&lt;=4,"L","A")),IF(J479&lt;=15,"L","A"))),IF(OR(H479="SE",H479="CE"),IF(K479&gt;=4,IF(J479&gt;=6,"H","A"),IF(K479&gt;=2,IF(J479&gt;=20,"H",IF(J479&lt;=5,"L","A")),IF(J479&lt;=19,"L","A"))),IF(OR(H479="ALI",H479="AIE"),IF(K479&gt;=6,IF(J479&gt;=20,"H","A"),IF(K479&gt;=2,IF(J479&gt;=51,"H",IF(J479&lt;=19,"L","A")),IF(J479&lt;=50,"L","A")))))))</f>
        <v/>
      </c>
      <c r="N479" s="46" t="str">
        <f aca="false">IF(M479="L","Baixa",IF(M479="A","Média",IF(M479="","","Alta")))</f>
        <v/>
      </c>
      <c r="O479" s="47" t="str">
        <f aca="false">IF(ISBLANK(H479),"",IF(H479="ALI",IF(M479="L",7,IF(M479="A",10,15)),IF(H479="AIE",IF(M479="L",5,IF(M479="A",7,10)),IF(H479="SE",IF(M479="L",4,IF(M479="A",5,7)),IF(OR(H479="EE",H479="CE"),IF(M479="L",3,IF(M479="A",4,6)))))))</f>
        <v/>
      </c>
      <c r="P479" s="48" t="str">
        <f aca="false">IF(I479="I",O479*Contagem!$W$15,IF(I479="E",O479*Contagem!$W$17,IF(I479="A",O479*Contagem!$W$16,IF(I479="T",O479*Contagem!$W$18,""))))</f>
        <v/>
      </c>
      <c r="Q479" s="49"/>
    </row>
    <row r="480" customFormat="false" ht="12" hidden="false" customHeight="true" outlineLevel="0" collapsed="false">
      <c r="A480" s="40" t="n">
        <f aca="false">IF(H480="",IF(C480="",A479,A479+1),A479)</f>
        <v>62</v>
      </c>
      <c r="B480" s="41" t="str">
        <f aca="false">IF(A480=A479,"",CONCATENATE("F",A480))</f>
        <v/>
      </c>
      <c r="C480" s="42"/>
      <c r="D480" s="42"/>
      <c r="E480" s="42"/>
      <c r="F480" s="42"/>
      <c r="G480" s="42"/>
      <c r="H480" s="44"/>
      <c r="I480" s="50"/>
      <c r="J480" s="44"/>
      <c r="K480" s="44"/>
      <c r="L480" s="44" t="str">
        <f aca="false">CONCATENATE(H480,M480)</f>
        <v/>
      </c>
      <c r="M480" s="45" t="str">
        <f aca="false">IF(OR(ISBLANK(J480),ISBLANK(K480)),IF(OR(H480="ALI",H480="AIE"),"L",IF(ISBLANK(H480),"","A")),IF(H480="EE",IF(K480&gt;=3,IF(J480&gt;=5,"H","A"),IF(K480&gt;=2,IF(J480&gt;=16,"H",IF(J480&lt;=4,"L","A")),IF(J480&lt;=15,"L","A"))),IF(OR(H480="SE",H480="CE"),IF(K480&gt;=4,IF(J480&gt;=6,"H","A"),IF(K480&gt;=2,IF(J480&gt;=20,"H",IF(J480&lt;=5,"L","A")),IF(J480&lt;=19,"L","A"))),IF(OR(H480="ALI",H480="AIE"),IF(K480&gt;=6,IF(J480&gt;=20,"H","A"),IF(K480&gt;=2,IF(J480&gt;=51,"H",IF(J480&lt;=19,"L","A")),IF(J480&lt;=50,"L","A")))))))</f>
        <v/>
      </c>
      <c r="N480" s="46" t="str">
        <f aca="false">IF(M480="L","Baixa",IF(M480="A","Média",IF(M480="","","Alta")))</f>
        <v/>
      </c>
      <c r="O480" s="47" t="str">
        <f aca="false">IF(ISBLANK(H480),"",IF(H480="ALI",IF(M480="L",7,IF(M480="A",10,15)),IF(H480="AIE",IF(M480="L",5,IF(M480="A",7,10)),IF(H480="SE",IF(M480="L",4,IF(M480="A",5,7)),IF(OR(H480="EE",H480="CE"),IF(M480="L",3,IF(M480="A",4,6)))))))</f>
        <v/>
      </c>
      <c r="P480" s="48" t="str">
        <f aca="false">IF(I480="I",O480*Contagem!$W$15,IF(I480="E",O480*Contagem!$W$17,IF(I480="A",O480*Contagem!$W$16,IF(I480="T",O480*Contagem!$W$18,""))))</f>
        <v/>
      </c>
      <c r="Q480" s="49"/>
    </row>
    <row r="481" customFormat="false" ht="12" hidden="false" customHeight="true" outlineLevel="0" collapsed="false">
      <c r="A481" s="40" t="n">
        <f aca="false">IF(H481="",IF(C481="",A480,A480+1),A480)</f>
        <v>62</v>
      </c>
      <c r="B481" s="41" t="str">
        <f aca="false">IF(A481=A480,"",CONCATENATE("F",A481))</f>
        <v/>
      </c>
      <c r="C481" s="42"/>
      <c r="D481" s="42"/>
      <c r="E481" s="42"/>
      <c r="F481" s="42"/>
      <c r="G481" s="42"/>
      <c r="H481" s="44"/>
      <c r="I481" s="50"/>
      <c r="J481" s="44"/>
      <c r="K481" s="44"/>
      <c r="L481" s="44" t="str">
        <f aca="false">CONCATENATE(H481,M481)</f>
        <v/>
      </c>
      <c r="M481" s="45" t="str">
        <f aca="false">IF(OR(ISBLANK(J481),ISBLANK(K481)),IF(OR(H481="ALI",H481="AIE"),"L",IF(ISBLANK(H481),"","A")),IF(H481="EE",IF(K481&gt;=3,IF(J481&gt;=5,"H","A"),IF(K481&gt;=2,IF(J481&gt;=16,"H",IF(J481&lt;=4,"L","A")),IF(J481&lt;=15,"L","A"))),IF(OR(H481="SE",H481="CE"),IF(K481&gt;=4,IF(J481&gt;=6,"H","A"),IF(K481&gt;=2,IF(J481&gt;=20,"H",IF(J481&lt;=5,"L","A")),IF(J481&lt;=19,"L","A"))),IF(OR(H481="ALI",H481="AIE"),IF(K481&gt;=6,IF(J481&gt;=20,"H","A"),IF(K481&gt;=2,IF(J481&gt;=51,"H",IF(J481&lt;=19,"L","A")),IF(J481&lt;=50,"L","A")))))))</f>
        <v/>
      </c>
      <c r="N481" s="46" t="str">
        <f aca="false">IF(M481="L","Baixa",IF(M481="A","Média",IF(M481="","","Alta")))</f>
        <v/>
      </c>
      <c r="O481" s="47" t="str">
        <f aca="false">IF(ISBLANK(H481),"",IF(H481="ALI",IF(M481="L",7,IF(M481="A",10,15)),IF(H481="AIE",IF(M481="L",5,IF(M481="A",7,10)),IF(H481="SE",IF(M481="L",4,IF(M481="A",5,7)),IF(OR(H481="EE",H481="CE"),IF(M481="L",3,IF(M481="A",4,6)))))))</f>
        <v/>
      </c>
      <c r="P481" s="48" t="str">
        <f aca="false">IF(I481="I",O481*Contagem!$W$15,IF(I481="E",O481*Contagem!$W$17,IF(I481="A",O481*Contagem!$W$16,IF(I481="T",O481*Contagem!$W$18,""))))</f>
        <v/>
      </c>
      <c r="Q481" s="49"/>
    </row>
    <row r="482" customFormat="false" ht="12" hidden="false" customHeight="true" outlineLevel="0" collapsed="false">
      <c r="A482" s="40" t="n">
        <f aca="false">IF(H482="",IF(C482="",A481,A481+1),A481)</f>
        <v>62</v>
      </c>
      <c r="B482" s="41" t="str">
        <f aca="false">IF(A482=A481,"",CONCATENATE("F",A482))</f>
        <v/>
      </c>
      <c r="C482" s="42"/>
      <c r="D482" s="42"/>
      <c r="E482" s="42"/>
      <c r="F482" s="42"/>
      <c r="G482" s="42"/>
      <c r="H482" s="44"/>
      <c r="I482" s="50"/>
      <c r="J482" s="44"/>
      <c r="K482" s="44"/>
      <c r="L482" s="44" t="str">
        <f aca="false">CONCATENATE(H482,M482)</f>
        <v/>
      </c>
      <c r="M482" s="45" t="str">
        <f aca="false">IF(OR(ISBLANK(J482),ISBLANK(K482)),IF(OR(H482="ALI",H482="AIE"),"L",IF(ISBLANK(H482),"","A")),IF(H482="EE",IF(K482&gt;=3,IF(J482&gt;=5,"H","A"),IF(K482&gt;=2,IF(J482&gt;=16,"H",IF(J482&lt;=4,"L","A")),IF(J482&lt;=15,"L","A"))),IF(OR(H482="SE",H482="CE"),IF(K482&gt;=4,IF(J482&gt;=6,"H","A"),IF(K482&gt;=2,IF(J482&gt;=20,"H",IF(J482&lt;=5,"L","A")),IF(J482&lt;=19,"L","A"))),IF(OR(H482="ALI",H482="AIE"),IF(K482&gt;=6,IF(J482&gt;=20,"H","A"),IF(K482&gt;=2,IF(J482&gt;=51,"H",IF(J482&lt;=19,"L","A")),IF(J482&lt;=50,"L","A")))))))</f>
        <v/>
      </c>
      <c r="N482" s="46" t="str">
        <f aca="false">IF(M482="L","Baixa",IF(M482="A","Média",IF(M482="","","Alta")))</f>
        <v/>
      </c>
      <c r="O482" s="47" t="str">
        <f aca="false">IF(ISBLANK(H482),"",IF(H482="ALI",IF(M482="L",7,IF(M482="A",10,15)),IF(H482="AIE",IF(M482="L",5,IF(M482="A",7,10)),IF(H482="SE",IF(M482="L",4,IF(M482="A",5,7)),IF(OR(H482="EE",H482="CE"),IF(M482="L",3,IF(M482="A",4,6)))))))</f>
        <v/>
      </c>
      <c r="P482" s="48" t="str">
        <f aca="false">IF(I482="I",O482*Contagem!$W$15,IF(I482="E",O482*Contagem!$W$17,IF(I482="A",O482*Contagem!$W$16,IF(I482="T",O482*Contagem!$W$18,""))))</f>
        <v/>
      </c>
      <c r="Q482" s="49"/>
    </row>
    <row r="483" customFormat="false" ht="12" hidden="false" customHeight="true" outlineLevel="0" collapsed="false">
      <c r="A483" s="40" t="n">
        <f aca="false">IF(H483="",IF(C483="",A482,A482+1),A482)</f>
        <v>62</v>
      </c>
      <c r="B483" s="41" t="str">
        <f aca="false">IF(A483=A482,"",CONCATENATE("F",A483))</f>
        <v/>
      </c>
      <c r="C483" s="42"/>
      <c r="D483" s="42"/>
      <c r="E483" s="42"/>
      <c r="F483" s="42"/>
      <c r="G483" s="42"/>
      <c r="H483" s="44"/>
      <c r="I483" s="50"/>
      <c r="J483" s="44"/>
      <c r="K483" s="44"/>
      <c r="L483" s="44" t="str">
        <f aca="false">CONCATENATE(H483,M483)</f>
        <v/>
      </c>
      <c r="M483" s="45" t="str">
        <f aca="false">IF(OR(ISBLANK(J483),ISBLANK(K483)),IF(OR(H483="ALI",H483="AIE"),"L",IF(ISBLANK(H483),"","A")),IF(H483="EE",IF(K483&gt;=3,IF(J483&gt;=5,"H","A"),IF(K483&gt;=2,IF(J483&gt;=16,"H",IF(J483&lt;=4,"L","A")),IF(J483&lt;=15,"L","A"))),IF(OR(H483="SE",H483="CE"),IF(K483&gt;=4,IF(J483&gt;=6,"H","A"),IF(K483&gt;=2,IF(J483&gt;=20,"H",IF(J483&lt;=5,"L","A")),IF(J483&lt;=19,"L","A"))),IF(OR(H483="ALI",H483="AIE"),IF(K483&gt;=6,IF(J483&gt;=20,"H","A"),IF(K483&gt;=2,IF(J483&gt;=51,"H",IF(J483&lt;=19,"L","A")),IF(J483&lt;=50,"L","A")))))))</f>
        <v/>
      </c>
      <c r="N483" s="46" t="str">
        <f aca="false">IF(M483="L","Baixa",IF(M483="A","Média",IF(M483="","","Alta")))</f>
        <v/>
      </c>
      <c r="O483" s="47" t="str">
        <f aca="false">IF(ISBLANK(H483),"",IF(H483="ALI",IF(M483="L",7,IF(M483="A",10,15)),IF(H483="AIE",IF(M483="L",5,IF(M483="A",7,10)),IF(H483="SE",IF(M483="L",4,IF(M483="A",5,7)),IF(OR(H483="EE",H483="CE"),IF(M483="L",3,IF(M483="A",4,6)))))))</f>
        <v/>
      </c>
      <c r="P483" s="48" t="str">
        <f aca="false">IF(I483="I",O483*Contagem!$W$15,IF(I483="E",O483*Contagem!$W$17,IF(I483="A",O483*Contagem!$W$16,IF(I483="T",O483*Contagem!$W$18,""))))</f>
        <v/>
      </c>
      <c r="Q483" s="49"/>
    </row>
    <row r="484" customFormat="false" ht="12" hidden="false" customHeight="true" outlineLevel="0" collapsed="false">
      <c r="A484" s="40" t="n">
        <f aca="false">IF(H484="",IF(C484="",A483,A483+1),A483)</f>
        <v>62</v>
      </c>
      <c r="B484" s="41" t="str">
        <f aca="false">IF(A484=A483,"",CONCATENATE("F",A484))</f>
        <v/>
      </c>
      <c r="C484" s="42"/>
      <c r="D484" s="42"/>
      <c r="E484" s="42"/>
      <c r="F484" s="42"/>
      <c r="G484" s="42"/>
      <c r="H484" s="44"/>
      <c r="I484" s="50"/>
      <c r="J484" s="44"/>
      <c r="K484" s="44"/>
      <c r="L484" s="44" t="str">
        <f aca="false">CONCATENATE(H484,M484)</f>
        <v/>
      </c>
      <c r="M484" s="45" t="str">
        <f aca="false">IF(OR(ISBLANK(J484),ISBLANK(K484)),IF(OR(H484="ALI",H484="AIE"),"L",IF(ISBLANK(H484),"","A")),IF(H484="EE",IF(K484&gt;=3,IF(J484&gt;=5,"H","A"),IF(K484&gt;=2,IF(J484&gt;=16,"H",IF(J484&lt;=4,"L","A")),IF(J484&lt;=15,"L","A"))),IF(OR(H484="SE",H484="CE"),IF(K484&gt;=4,IF(J484&gt;=6,"H","A"),IF(K484&gt;=2,IF(J484&gt;=20,"H",IF(J484&lt;=5,"L","A")),IF(J484&lt;=19,"L","A"))),IF(OR(H484="ALI",H484="AIE"),IF(K484&gt;=6,IF(J484&gt;=20,"H","A"),IF(K484&gt;=2,IF(J484&gt;=51,"H",IF(J484&lt;=19,"L","A")),IF(J484&lt;=50,"L","A")))))))</f>
        <v/>
      </c>
      <c r="N484" s="46" t="str">
        <f aca="false">IF(M484="L","Baixa",IF(M484="A","Média",IF(M484="","","Alta")))</f>
        <v/>
      </c>
      <c r="O484" s="47" t="str">
        <f aca="false">IF(ISBLANK(H484),"",IF(H484="ALI",IF(M484="L",7,IF(M484="A",10,15)),IF(H484="AIE",IF(M484="L",5,IF(M484="A",7,10)),IF(H484="SE",IF(M484="L",4,IF(M484="A",5,7)),IF(OR(H484="EE",H484="CE"),IF(M484="L",3,IF(M484="A",4,6)))))))</f>
        <v/>
      </c>
      <c r="P484" s="48" t="str">
        <f aca="false">IF(I484="I",O484*Contagem!$W$15,IF(I484="E",O484*Contagem!$W$17,IF(I484="A",O484*Contagem!$W$16,IF(I484="T",O484*Contagem!$W$18,""))))</f>
        <v/>
      </c>
      <c r="Q484" s="49"/>
    </row>
    <row r="485" customFormat="false" ht="12" hidden="false" customHeight="true" outlineLevel="0" collapsed="false">
      <c r="A485" s="40" t="n">
        <f aca="false">IF(H485="",IF(C485="",A484,A484+1),A484)</f>
        <v>62</v>
      </c>
      <c r="B485" s="41" t="str">
        <f aca="false">IF(A485=A484,"",CONCATENATE("F",A485))</f>
        <v/>
      </c>
      <c r="C485" s="42"/>
      <c r="D485" s="42"/>
      <c r="E485" s="42"/>
      <c r="F485" s="42"/>
      <c r="G485" s="42"/>
      <c r="H485" s="44"/>
      <c r="I485" s="50"/>
      <c r="J485" s="44"/>
      <c r="K485" s="44"/>
      <c r="L485" s="44" t="str">
        <f aca="false">CONCATENATE(H485,M485)</f>
        <v/>
      </c>
      <c r="M485" s="45" t="str">
        <f aca="false">IF(OR(ISBLANK(J485),ISBLANK(K485)),IF(OR(H485="ALI",H485="AIE"),"L",IF(ISBLANK(H485),"","A")),IF(H485="EE",IF(K485&gt;=3,IF(J485&gt;=5,"H","A"),IF(K485&gt;=2,IF(J485&gt;=16,"H",IF(J485&lt;=4,"L","A")),IF(J485&lt;=15,"L","A"))),IF(OR(H485="SE",H485="CE"),IF(K485&gt;=4,IF(J485&gt;=6,"H","A"),IF(K485&gt;=2,IF(J485&gt;=20,"H",IF(J485&lt;=5,"L","A")),IF(J485&lt;=19,"L","A"))),IF(OR(H485="ALI",H485="AIE"),IF(K485&gt;=6,IF(J485&gt;=20,"H","A"),IF(K485&gt;=2,IF(J485&gt;=51,"H",IF(J485&lt;=19,"L","A")),IF(J485&lt;=50,"L","A")))))))</f>
        <v/>
      </c>
      <c r="N485" s="46" t="str">
        <f aca="false">IF(M485="L","Baixa",IF(M485="A","Média",IF(M485="","","Alta")))</f>
        <v/>
      </c>
      <c r="O485" s="47" t="str">
        <f aca="false">IF(ISBLANK(H485),"",IF(H485="ALI",IF(M485="L",7,IF(M485="A",10,15)),IF(H485="AIE",IF(M485="L",5,IF(M485="A",7,10)),IF(H485="SE",IF(M485="L",4,IF(M485="A",5,7)),IF(OR(H485="EE",H485="CE"),IF(M485="L",3,IF(M485="A",4,6)))))))</f>
        <v/>
      </c>
      <c r="P485" s="48" t="str">
        <f aca="false">IF(I485="I",O485*Contagem!$W$15,IF(I485="E",O485*Contagem!$W$17,IF(I485="A",O485*Contagem!$W$16,IF(I485="T",O485*Contagem!$W$18,""))))</f>
        <v/>
      </c>
      <c r="Q485" s="49"/>
    </row>
    <row r="486" customFormat="false" ht="12" hidden="false" customHeight="true" outlineLevel="0" collapsed="false">
      <c r="A486" s="40" t="n">
        <f aca="false">IF(H486="",IF(C486="",A485,A485+1),A485)</f>
        <v>62</v>
      </c>
      <c r="B486" s="41" t="str">
        <f aca="false">IF(A486=A485,"",CONCATENATE("F",A486))</f>
        <v/>
      </c>
      <c r="C486" s="42"/>
      <c r="D486" s="42"/>
      <c r="E486" s="42"/>
      <c r="F486" s="42"/>
      <c r="G486" s="42"/>
      <c r="H486" s="44"/>
      <c r="I486" s="50"/>
      <c r="J486" s="44"/>
      <c r="K486" s="44"/>
      <c r="L486" s="44" t="str">
        <f aca="false">CONCATENATE(H486,M486)</f>
        <v/>
      </c>
      <c r="M486" s="45" t="str">
        <f aca="false">IF(OR(ISBLANK(J486),ISBLANK(K486)),IF(OR(H486="ALI",H486="AIE"),"L",IF(ISBLANK(H486),"","A")),IF(H486="EE",IF(K486&gt;=3,IF(J486&gt;=5,"H","A"),IF(K486&gt;=2,IF(J486&gt;=16,"H",IF(J486&lt;=4,"L","A")),IF(J486&lt;=15,"L","A"))),IF(OR(H486="SE",H486="CE"),IF(K486&gt;=4,IF(J486&gt;=6,"H","A"),IF(K486&gt;=2,IF(J486&gt;=20,"H",IF(J486&lt;=5,"L","A")),IF(J486&lt;=19,"L","A"))),IF(OR(H486="ALI",H486="AIE"),IF(K486&gt;=6,IF(J486&gt;=20,"H","A"),IF(K486&gt;=2,IF(J486&gt;=51,"H",IF(J486&lt;=19,"L","A")),IF(J486&lt;=50,"L","A")))))))</f>
        <v/>
      </c>
      <c r="N486" s="46" t="str">
        <f aca="false">IF(M486="L","Baixa",IF(M486="A","Média",IF(M486="","","Alta")))</f>
        <v/>
      </c>
      <c r="O486" s="47" t="str">
        <f aca="false">IF(ISBLANK(H486),"",IF(H486="ALI",IF(M486="L",7,IF(M486="A",10,15)),IF(H486="AIE",IF(M486="L",5,IF(M486="A",7,10)),IF(H486="SE",IF(M486="L",4,IF(M486="A",5,7)),IF(OR(H486="EE",H486="CE"),IF(M486="L",3,IF(M486="A",4,6)))))))</f>
        <v/>
      </c>
      <c r="P486" s="48" t="str">
        <f aca="false">IF(I486="I",O486*Contagem!$W$15,IF(I486="E",O486*Contagem!$W$17,IF(I486="A",O486*Contagem!$W$16,IF(I486="T",O486*Contagem!$W$18,""))))</f>
        <v/>
      </c>
      <c r="Q486" s="49"/>
    </row>
    <row r="487" customFormat="false" ht="12" hidden="false" customHeight="true" outlineLevel="0" collapsed="false">
      <c r="A487" s="40" t="n">
        <f aca="false">IF(H487="",IF(C487="",A486,A486+1),A486)</f>
        <v>62</v>
      </c>
      <c r="B487" s="41" t="str">
        <f aca="false">IF(A487=A486,"",CONCATENATE("F",A487))</f>
        <v/>
      </c>
      <c r="C487" s="42"/>
      <c r="D487" s="42"/>
      <c r="E487" s="42"/>
      <c r="F487" s="42"/>
      <c r="G487" s="42"/>
      <c r="H487" s="44"/>
      <c r="I487" s="50"/>
      <c r="J487" s="44"/>
      <c r="K487" s="44"/>
      <c r="L487" s="44" t="str">
        <f aca="false">CONCATENATE(H487,M487)</f>
        <v/>
      </c>
      <c r="M487" s="45" t="str">
        <f aca="false">IF(OR(ISBLANK(J487),ISBLANK(K487)),IF(OR(H487="ALI",H487="AIE"),"L",IF(ISBLANK(H487),"","A")),IF(H487="EE",IF(K487&gt;=3,IF(J487&gt;=5,"H","A"),IF(K487&gt;=2,IF(J487&gt;=16,"H",IF(J487&lt;=4,"L","A")),IF(J487&lt;=15,"L","A"))),IF(OR(H487="SE",H487="CE"),IF(K487&gt;=4,IF(J487&gt;=6,"H","A"),IF(K487&gt;=2,IF(J487&gt;=20,"H",IF(J487&lt;=5,"L","A")),IF(J487&lt;=19,"L","A"))),IF(OR(H487="ALI",H487="AIE"),IF(K487&gt;=6,IF(J487&gt;=20,"H","A"),IF(K487&gt;=2,IF(J487&gt;=51,"H",IF(J487&lt;=19,"L","A")),IF(J487&lt;=50,"L","A")))))))</f>
        <v/>
      </c>
      <c r="N487" s="46" t="str">
        <f aca="false">IF(M487="L","Baixa",IF(M487="A","Média",IF(M487="","","Alta")))</f>
        <v/>
      </c>
      <c r="O487" s="47" t="str">
        <f aca="false">IF(ISBLANK(H487),"",IF(H487="ALI",IF(M487="L",7,IF(M487="A",10,15)),IF(H487="AIE",IF(M487="L",5,IF(M487="A",7,10)),IF(H487="SE",IF(M487="L",4,IF(M487="A",5,7)),IF(OR(H487="EE",H487="CE"),IF(M487="L",3,IF(M487="A",4,6)))))))</f>
        <v/>
      </c>
      <c r="P487" s="48" t="str">
        <f aca="false">IF(I487="I",O487*Contagem!$W$15,IF(I487="E",O487*Contagem!$W$17,IF(I487="A",O487*Contagem!$W$16,IF(I487="T",O487*Contagem!$W$18,""))))</f>
        <v/>
      </c>
      <c r="Q487" s="49"/>
    </row>
    <row r="488" customFormat="false" ht="12" hidden="false" customHeight="true" outlineLevel="0" collapsed="false">
      <c r="A488" s="40" t="n">
        <f aca="false">IF(H488="",IF(C488="",A487,A487+1),A487)</f>
        <v>62</v>
      </c>
      <c r="B488" s="41" t="str">
        <f aca="false">IF(A488=A487,"",CONCATENATE("F",A488))</f>
        <v/>
      </c>
      <c r="C488" s="42"/>
      <c r="D488" s="42"/>
      <c r="E488" s="42"/>
      <c r="F488" s="42"/>
      <c r="G488" s="42"/>
      <c r="H488" s="44"/>
      <c r="I488" s="50"/>
      <c r="J488" s="44"/>
      <c r="K488" s="44"/>
      <c r="L488" s="44" t="str">
        <f aca="false">CONCATENATE(H488,M488)</f>
        <v/>
      </c>
      <c r="M488" s="45" t="str">
        <f aca="false">IF(OR(ISBLANK(J488),ISBLANK(K488)),IF(OR(H488="ALI",H488="AIE"),"L",IF(ISBLANK(H488),"","A")),IF(H488="EE",IF(K488&gt;=3,IF(J488&gt;=5,"H","A"),IF(K488&gt;=2,IF(J488&gt;=16,"H",IF(J488&lt;=4,"L","A")),IF(J488&lt;=15,"L","A"))),IF(OR(H488="SE",H488="CE"),IF(K488&gt;=4,IF(J488&gt;=6,"H","A"),IF(K488&gt;=2,IF(J488&gt;=20,"H",IF(J488&lt;=5,"L","A")),IF(J488&lt;=19,"L","A"))),IF(OR(H488="ALI",H488="AIE"),IF(K488&gt;=6,IF(J488&gt;=20,"H","A"),IF(K488&gt;=2,IF(J488&gt;=51,"H",IF(J488&lt;=19,"L","A")),IF(J488&lt;=50,"L","A")))))))</f>
        <v/>
      </c>
      <c r="N488" s="46" t="str">
        <f aca="false">IF(M488="L","Baixa",IF(M488="A","Média",IF(M488="","","Alta")))</f>
        <v/>
      </c>
      <c r="O488" s="47" t="str">
        <f aca="false">IF(ISBLANK(H488),"",IF(H488="ALI",IF(M488="L",7,IF(M488="A",10,15)),IF(H488="AIE",IF(M488="L",5,IF(M488="A",7,10)),IF(H488="SE",IF(M488="L",4,IF(M488="A",5,7)),IF(OR(H488="EE",H488="CE"),IF(M488="L",3,IF(M488="A",4,6)))))))</f>
        <v/>
      </c>
      <c r="P488" s="48" t="str">
        <f aca="false">IF(I488="I",O488*Contagem!$W$15,IF(I488="E",O488*Contagem!$W$17,IF(I488="A",O488*Contagem!$W$16,IF(I488="T",O488*Contagem!$W$18,""))))</f>
        <v/>
      </c>
      <c r="Q488" s="49"/>
    </row>
    <row r="489" customFormat="false" ht="12" hidden="false" customHeight="true" outlineLevel="0" collapsed="false">
      <c r="A489" s="40" t="n">
        <f aca="false">IF(H489="",IF(C489="",A488,A488+1),A488)</f>
        <v>62</v>
      </c>
      <c r="B489" s="41" t="str">
        <f aca="false">IF(A489=A488,"",CONCATENATE("F",A489))</f>
        <v/>
      </c>
      <c r="C489" s="42"/>
      <c r="D489" s="42"/>
      <c r="E489" s="42"/>
      <c r="F489" s="42"/>
      <c r="G489" s="42"/>
      <c r="H489" s="44"/>
      <c r="I489" s="50"/>
      <c r="J489" s="44"/>
      <c r="K489" s="44"/>
      <c r="L489" s="44" t="str">
        <f aca="false">CONCATENATE(H489,M489)</f>
        <v/>
      </c>
      <c r="M489" s="45" t="str">
        <f aca="false">IF(OR(ISBLANK(J489),ISBLANK(K489)),IF(OR(H489="ALI",H489="AIE"),"L",IF(ISBLANK(H489),"","A")),IF(H489="EE",IF(K489&gt;=3,IF(J489&gt;=5,"H","A"),IF(K489&gt;=2,IF(J489&gt;=16,"H",IF(J489&lt;=4,"L","A")),IF(J489&lt;=15,"L","A"))),IF(OR(H489="SE",H489="CE"),IF(K489&gt;=4,IF(J489&gt;=6,"H","A"),IF(K489&gt;=2,IF(J489&gt;=20,"H",IF(J489&lt;=5,"L","A")),IF(J489&lt;=19,"L","A"))),IF(OR(H489="ALI",H489="AIE"),IF(K489&gt;=6,IF(J489&gt;=20,"H","A"),IF(K489&gt;=2,IF(J489&gt;=51,"H",IF(J489&lt;=19,"L","A")),IF(J489&lt;=50,"L","A")))))))</f>
        <v/>
      </c>
      <c r="N489" s="46" t="str">
        <f aca="false">IF(M489="L","Baixa",IF(M489="A","Média",IF(M489="","","Alta")))</f>
        <v/>
      </c>
      <c r="O489" s="47" t="str">
        <f aca="false">IF(ISBLANK(H489),"",IF(H489="ALI",IF(M489="L",7,IF(M489="A",10,15)),IF(H489="AIE",IF(M489="L",5,IF(M489="A",7,10)),IF(H489="SE",IF(M489="L",4,IF(M489="A",5,7)),IF(OR(H489="EE",H489="CE"),IF(M489="L",3,IF(M489="A",4,6)))))))</f>
        <v/>
      </c>
      <c r="P489" s="48" t="str">
        <f aca="false">IF(I489="I",O489*Contagem!$W$15,IF(I489="E",O489*Contagem!$W$17,IF(I489="A",O489*Contagem!$W$16,IF(I489="T",O489*Contagem!$W$18,""))))</f>
        <v/>
      </c>
      <c r="Q489" s="49"/>
    </row>
    <row r="490" customFormat="false" ht="12" hidden="false" customHeight="true" outlineLevel="0" collapsed="false">
      <c r="A490" s="40" t="n">
        <f aca="false">IF(H490="",IF(C490="",A489,A489+1),A489)</f>
        <v>62</v>
      </c>
      <c r="B490" s="41" t="str">
        <f aca="false">IF(A490=A489,"",CONCATENATE("F",A490))</f>
        <v/>
      </c>
      <c r="C490" s="42"/>
      <c r="D490" s="42"/>
      <c r="E490" s="42"/>
      <c r="F490" s="42"/>
      <c r="G490" s="42"/>
      <c r="H490" s="44"/>
      <c r="I490" s="50"/>
      <c r="J490" s="44"/>
      <c r="K490" s="44"/>
      <c r="L490" s="44" t="str">
        <f aca="false">CONCATENATE(H490,M490)</f>
        <v/>
      </c>
      <c r="M490" s="45" t="str">
        <f aca="false">IF(OR(ISBLANK(J490),ISBLANK(K490)),IF(OR(H490="ALI",H490="AIE"),"L",IF(ISBLANK(H490),"","A")),IF(H490="EE",IF(K490&gt;=3,IF(J490&gt;=5,"H","A"),IF(K490&gt;=2,IF(J490&gt;=16,"H",IF(J490&lt;=4,"L","A")),IF(J490&lt;=15,"L","A"))),IF(OR(H490="SE",H490="CE"),IF(K490&gt;=4,IF(J490&gt;=6,"H","A"),IF(K490&gt;=2,IF(J490&gt;=20,"H",IF(J490&lt;=5,"L","A")),IF(J490&lt;=19,"L","A"))),IF(OR(H490="ALI",H490="AIE"),IF(K490&gt;=6,IF(J490&gt;=20,"H","A"),IF(K490&gt;=2,IF(J490&gt;=51,"H",IF(J490&lt;=19,"L","A")),IF(J490&lt;=50,"L","A")))))))</f>
        <v/>
      </c>
      <c r="N490" s="46" t="str">
        <f aca="false">IF(M490="L","Baixa",IF(M490="A","Média",IF(M490="","","Alta")))</f>
        <v/>
      </c>
      <c r="O490" s="47" t="str">
        <f aca="false">IF(ISBLANK(H490),"",IF(H490="ALI",IF(M490="L",7,IF(M490="A",10,15)),IF(H490="AIE",IF(M490="L",5,IF(M490="A",7,10)),IF(H490="SE",IF(M490="L",4,IF(M490="A",5,7)),IF(OR(H490="EE",H490="CE"),IF(M490="L",3,IF(M490="A",4,6)))))))</f>
        <v/>
      </c>
      <c r="P490" s="48" t="str">
        <f aca="false">IF(I490="I",O490*Contagem!$W$15,IF(I490="E",O490*Contagem!$W$17,IF(I490="A",O490*Contagem!$W$16,IF(I490="T",O490*Contagem!$W$18,""))))</f>
        <v/>
      </c>
      <c r="Q490" s="49"/>
    </row>
    <row r="491" customFormat="false" ht="12" hidden="false" customHeight="true" outlineLevel="0" collapsed="false">
      <c r="A491" s="40" t="n">
        <f aca="false">IF(H491="",IF(C491="",A490,A490+1),A490)</f>
        <v>62</v>
      </c>
      <c r="B491" s="41" t="str">
        <f aca="false">IF(A491=A490,"",CONCATENATE("F",A491))</f>
        <v/>
      </c>
      <c r="C491" s="42"/>
      <c r="D491" s="42"/>
      <c r="E491" s="42"/>
      <c r="F491" s="42"/>
      <c r="G491" s="42"/>
      <c r="H491" s="44"/>
      <c r="I491" s="50"/>
      <c r="J491" s="44"/>
      <c r="K491" s="44"/>
      <c r="L491" s="44" t="str">
        <f aca="false">CONCATENATE(H491,M491)</f>
        <v/>
      </c>
      <c r="M491" s="45" t="str">
        <f aca="false">IF(OR(ISBLANK(J491),ISBLANK(K491)),IF(OR(H491="ALI",H491="AIE"),"L",IF(ISBLANK(H491),"","A")),IF(H491="EE",IF(K491&gt;=3,IF(J491&gt;=5,"H","A"),IF(K491&gt;=2,IF(J491&gt;=16,"H",IF(J491&lt;=4,"L","A")),IF(J491&lt;=15,"L","A"))),IF(OR(H491="SE",H491="CE"),IF(K491&gt;=4,IF(J491&gt;=6,"H","A"),IF(K491&gt;=2,IF(J491&gt;=20,"H",IF(J491&lt;=5,"L","A")),IF(J491&lt;=19,"L","A"))),IF(OR(H491="ALI",H491="AIE"),IF(K491&gt;=6,IF(J491&gt;=20,"H","A"),IF(K491&gt;=2,IF(J491&gt;=51,"H",IF(J491&lt;=19,"L","A")),IF(J491&lt;=50,"L","A")))))))</f>
        <v/>
      </c>
      <c r="N491" s="46" t="str">
        <f aca="false">IF(M491="L","Baixa",IF(M491="A","Média",IF(M491="","","Alta")))</f>
        <v/>
      </c>
      <c r="O491" s="47" t="str">
        <f aca="false">IF(ISBLANK(H491),"",IF(H491="ALI",IF(M491="L",7,IF(M491="A",10,15)),IF(H491="AIE",IF(M491="L",5,IF(M491="A",7,10)),IF(H491="SE",IF(M491="L",4,IF(M491="A",5,7)),IF(OR(H491="EE",H491="CE"),IF(M491="L",3,IF(M491="A",4,6)))))))</f>
        <v/>
      </c>
      <c r="P491" s="48" t="str">
        <f aca="false">IF(I491="I",O491*Contagem!$W$15,IF(I491="E",O491*Contagem!$W$17,IF(I491="A",O491*Contagem!$W$16,IF(I491="T",O491*Contagem!$W$18,""))))</f>
        <v/>
      </c>
      <c r="Q491" s="49"/>
    </row>
    <row r="492" customFormat="false" ht="12" hidden="false" customHeight="true" outlineLevel="0" collapsed="false">
      <c r="A492" s="40" t="n">
        <f aca="false">IF(H492="",IF(C492="",A491,A491+1),A491)</f>
        <v>62</v>
      </c>
      <c r="B492" s="41" t="str">
        <f aca="false">IF(A492=A491,"",CONCATENATE("F",A492))</f>
        <v/>
      </c>
      <c r="C492" s="42"/>
      <c r="D492" s="42"/>
      <c r="E492" s="42"/>
      <c r="F492" s="42"/>
      <c r="G492" s="42"/>
      <c r="H492" s="44"/>
      <c r="I492" s="50"/>
      <c r="J492" s="44"/>
      <c r="K492" s="44"/>
      <c r="L492" s="44" t="str">
        <f aca="false">CONCATENATE(H492,M492)</f>
        <v/>
      </c>
      <c r="M492" s="45" t="str">
        <f aca="false">IF(OR(ISBLANK(J492),ISBLANK(K492)),IF(OR(H492="ALI",H492="AIE"),"L",IF(ISBLANK(H492),"","A")),IF(H492="EE",IF(K492&gt;=3,IF(J492&gt;=5,"H","A"),IF(K492&gt;=2,IF(J492&gt;=16,"H",IF(J492&lt;=4,"L","A")),IF(J492&lt;=15,"L","A"))),IF(OR(H492="SE",H492="CE"),IF(K492&gt;=4,IF(J492&gt;=6,"H","A"),IF(K492&gt;=2,IF(J492&gt;=20,"H",IF(J492&lt;=5,"L","A")),IF(J492&lt;=19,"L","A"))),IF(OR(H492="ALI",H492="AIE"),IF(K492&gt;=6,IF(J492&gt;=20,"H","A"),IF(K492&gt;=2,IF(J492&gt;=51,"H",IF(J492&lt;=19,"L","A")),IF(J492&lt;=50,"L","A")))))))</f>
        <v/>
      </c>
      <c r="N492" s="46" t="str">
        <f aca="false">IF(M492="L","Baixa",IF(M492="A","Média",IF(M492="","","Alta")))</f>
        <v/>
      </c>
      <c r="O492" s="47" t="str">
        <f aca="false">IF(ISBLANK(H492),"",IF(H492="ALI",IF(M492="L",7,IF(M492="A",10,15)),IF(H492="AIE",IF(M492="L",5,IF(M492="A",7,10)),IF(H492="SE",IF(M492="L",4,IF(M492="A",5,7)),IF(OR(H492="EE",H492="CE"),IF(M492="L",3,IF(M492="A",4,6)))))))</f>
        <v/>
      </c>
      <c r="P492" s="48" t="str">
        <f aca="false">IF(I492="I",O492*Contagem!$W$15,IF(I492="E",O492*Contagem!$W$17,IF(I492="A",O492*Contagem!$W$16,IF(I492="T",O492*Contagem!$W$18,""))))</f>
        <v/>
      </c>
      <c r="Q492" s="49"/>
    </row>
    <row r="493" customFormat="false" ht="12" hidden="false" customHeight="true" outlineLevel="0" collapsed="false">
      <c r="A493" s="40" t="n">
        <f aca="false">IF(H493="",IF(C493="",A492,A492+1),A492)</f>
        <v>62</v>
      </c>
      <c r="B493" s="41" t="str">
        <f aca="false">IF(A493=A492,"",CONCATENATE("F",A493))</f>
        <v/>
      </c>
      <c r="C493" s="42"/>
      <c r="D493" s="42"/>
      <c r="E493" s="42"/>
      <c r="F493" s="42"/>
      <c r="G493" s="42"/>
      <c r="H493" s="44"/>
      <c r="I493" s="50"/>
      <c r="J493" s="44"/>
      <c r="K493" s="44"/>
      <c r="L493" s="44" t="str">
        <f aca="false">CONCATENATE(H493,M493)</f>
        <v/>
      </c>
      <c r="M493" s="45" t="str">
        <f aca="false">IF(OR(ISBLANK(J493),ISBLANK(K493)),IF(OR(H493="ALI",H493="AIE"),"L",IF(ISBLANK(H493),"","A")),IF(H493="EE",IF(K493&gt;=3,IF(J493&gt;=5,"H","A"),IF(K493&gt;=2,IF(J493&gt;=16,"H",IF(J493&lt;=4,"L","A")),IF(J493&lt;=15,"L","A"))),IF(OR(H493="SE",H493="CE"),IF(K493&gt;=4,IF(J493&gt;=6,"H","A"),IF(K493&gt;=2,IF(J493&gt;=20,"H",IF(J493&lt;=5,"L","A")),IF(J493&lt;=19,"L","A"))),IF(OR(H493="ALI",H493="AIE"),IF(K493&gt;=6,IF(J493&gt;=20,"H","A"),IF(K493&gt;=2,IF(J493&gt;=51,"H",IF(J493&lt;=19,"L","A")),IF(J493&lt;=50,"L","A")))))))</f>
        <v/>
      </c>
      <c r="N493" s="46" t="str">
        <f aca="false">IF(M493="L","Baixa",IF(M493="A","Média",IF(M493="","","Alta")))</f>
        <v/>
      </c>
      <c r="O493" s="47" t="str">
        <f aca="false">IF(ISBLANK(H493),"",IF(H493="ALI",IF(M493="L",7,IF(M493="A",10,15)),IF(H493="AIE",IF(M493="L",5,IF(M493="A",7,10)),IF(H493="SE",IF(M493="L",4,IF(M493="A",5,7)),IF(OR(H493="EE",H493="CE"),IF(M493="L",3,IF(M493="A",4,6)))))))</f>
        <v/>
      </c>
      <c r="P493" s="48" t="str">
        <f aca="false">IF(I493="I",O493*Contagem!$W$15,IF(I493="E",O493*Contagem!$W$17,IF(I493="A",O493*Contagem!$W$16,IF(I493="T",O493*Contagem!$W$18,""))))</f>
        <v/>
      </c>
      <c r="Q493" s="49"/>
    </row>
    <row r="494" customFormat="false" ht="12" hidden="false" customHeight="true" outlineLevel="0" collapsed="false">
      <c r="A494" s="40" t="n">
        <f aca="false">IF(H494="",IF(C494="",A493,A493+1),A493)</f>
        <v>62</v>
      </c>
      <c r="B494" s="41" t="str">
        <f aca="false">IF(A494=A493,"",CONCATENATE("F",A494))</f>
        <v/>
      </c>
      <c r="C494" s="42"/>
      <c r="D494" s="42"/>
      <c r="E494" s="42"/>
      <c r="F494" s="42"/>
      <c r="G494" s="42"/>
      <c r="H494" s="44"/>
      <c r="I494" s="50"/>
      <c r="J494" s="44"/>
      <c r="K494" s="44"/>
      <c r="L494" s="44" t="str">
        <f aca="false">CONCATENATE(H494,M494)</f>
        <v/>
      </c>
      <c r="M494" s="45" t="str">
        <f aca="false">IF(OR(ISBLANK(J494),ISBLANK(K494)),IF(OR(H494="ALI",H494="AIE"),"L",IF(ISBLANK(H494),"","A")),IF(H494="EE",IF(K494&gt;=3,IF(J494&gt;=5,"H","A"),IF(K494&gt;=2,IF(J494&gt;=16,"H",IF(J494&lt;=4,"L","A")),IF(J494&lt;=15,"L","A"))),IF(OR(H494="SE",H494="CE"),IF(K494&gt;=4,IF(J494&gt;=6,"H","A"),IF(K494&gt;=2,IF(J494&gt;=20,"H",IF(J494&lt;=5,"L","A")),IF(J494&lt;=19,"L","A"))),IF(OR(H494="ALI",H494="AIE"),IF(K494&gt;=6,IF(J494&gt;=20,"H","A"),IF(K494&gt;=2,IF(J494&gt;=51,"H",IF(J494&lt;=19,"L","A")),IF(J494&lt;=50,"L","A")))))))</f>
        <v/>
      </c>
      <c r="N494" s="46" t="str">
        <f aca="false">IF(M494="L","Baixa",IF(M494="A","Média",IF(M494="","","Alta")))</f>
        <v/>
      </c>
      <c r="O494" s="47" t="str">
        <f aca="false">IF(ISBLANK(H494),"",IF(H494="ALI",IF(M494="L",7,IF(M494="A",10,15)),IF(H494="AIE",IF(M494="L",5,IF(M494="A",7,10)),IF(H494="SE",IF(M494="L",4,IF(M494="A",5,7)),IF(OR(H494="EE",H494="CE"),IF(M494="L",3,IF(M494="A",4,6)))))))</f>
        <v/>
      </c>
      <c r="P494" s="48" t="str">
        <f aca="false">IF(I494="I",O494*Contagem!$W$15,IF(I494="E",O494*Contagem!$W$17,IF(I494="A",O494*Contagem!$W$16,IF(I494="T",O494*Contagem!$W$18,""))))</f>
        <v/>
      </c>
      <c r="Q494" s="49"/>
    </row>
    <row r="495" customFormat="false" ht="12" hidden="false" customHeight="true" outlineLevel="0" collapsed="false">
      <c r="A495" s="40" t="n">
        <f aca="false">IF(H495="",IF(C495="",A494,A494+1),A494)</f>
        <v>62</v>
      </c>
      <c r="B495" s="41" t="str">
        <f aca="false">IF(A495=A494,"",CONCATENATE("F",A495))</f>
        <v/>
      </c>
      <c r="C495" s="42"/>
      <c r="D495" s="42"/>
      <c r="E495" s="42"/>
      <c r="F495" s="42"/>
      <c r="G495" s="42"/>
      <c r="H495" s="44"/>
      <c r="I495" s="50"/>
      <c r="J495" s="44"/>
      <c r="K495" s="44"/>
      <c r="L495" s="44" t="str">
        <f aca="false">CONCATENATE(H495,M495)</f>
        <v/>
      </c>
      <c r="M495" s="45" t="str">
        <f aca="false">IF(OR(ISBLANK(J495),ISBLANK(K495)),IF(OR(H495="ALI",H495="AIE"),"L",IF(ISBLANK(H495),"","A")),IF(H495="EE",IF(K495&gt;=3,IF(J495&gt;=5,"H","A"),IF(K495&gt;=2,IF(J495&gt;=16,"H",IF(J495&lt;=4,"L","A")),IF(J495&lt;=15,"L","A"))),IF(OR(H495="SE",H495="CE"),IF(K495&gt;=4,IF(J495&gt;=6,"H","A"),IF(K495&gt;=2,IF(J495&gt;=20,"H",IF(J495&lt;=5,"L","A")),IF(J495&lt;=19,"L","A"))),IF(OR(H495="ALI",H495="AIE"),IF(K495&gt;=6,IF(J495&gt;=20,"H","A"),IF(K495&gt;=2,IF(J495&gt;=51,"H",IF(J495&lt;=19,"L","A")),IF(J495&lt;=50,"L","A")))))))</f>
        <v/>
      </c>
      <c r="N495" s="46" t="str">
        <f aca="false">IF(M495="L","Baixa",IF(M495="A","Média",IF(M495="","","Alta")))</f>
        <v/>
      </c>
      <c r="O495" s="47" t="str">
        <f aca="false">IF(ISBLANK(H495),"",IF(H495="ALI",IF(M495="L",7,IF(M495="A",10,15)),IF(H495="AIE",IF(M495="L",5,IF(M495="A",7,10)),IF(H495="SE",IF(M495="L",4,IF(M495="A",5,7)),IF(OR(H495="EE",H495="CE"),IF(M495="L",3,IF(M495="A",4,6)))))))</f>
        <v/>
      </c>
      <c r="P495" s="48" t="str">
        <f aca="false">IF(I495="I",O495*Contagem!$W$15,IF(I495="E",O495*Contagem!$W$17,IF(I495="A",O495*Contagem!$W$16,IF(I495="T",O495*Contagem!$W$18,""))))</f>
        <v/>
      </c>
      <c r="Q495" s="49"/>
    </row>
    <row r="496" customFormat="false" ht="12" hidden="false" customHeight="true" outlineLevel="0" collapsed="false">
      <c r="A496" s="40" t="n">
        <f aca="false">IF(H496="",IF(C496="",A495,A495+1),A495)</f>
        <v>62</v>
      </c>
      <c r="B496" s="41" t="str">
        <f aca="false">IF(A496=A495,"",CONCATENATE("F",A496))</f>
        <v/>
      </c>
      <c r="C496" s="42"/>
      <c r="D496" s="42"/>
      <c r="E496" s="42"/>
      <c r="F496" s="42"/>
      <c r="G496" s="42"/>
      <c r="H496" s="44"/>
      <c r="I496" s="50"/>
      <c r="J496" s="44"/>
      <c r="K496" s="44"/>
      <c r="L496" s="44" t="str">
        <f aca="false">CONCATENATE(H496,M496)</f>
        <v/>
      </c>
      <c r="M496" s="45" t="str">
        <f aca="false">IF(OR(ISBLANK(J496),ISBLANK(K496)),IF(OR(H496="ALI",H496="AIE"),"L",IF(ISBLANK(H496),"","A")),IF(H496="EE",IF(K496&gt;=3,IF(J496&gt;=5,"H","A"),IF(K496&gt;=2,IF(J496&gt;=16,"H",IF(J496&lt;=4,"L","A")),IF(J496&lt;=15,"L","A"))),IF(OR(H496="SE",H496="CE"),IF(K496&gt;=4,IF(J496&gt;=6,"H","A"),IF(K496&gt;=2,IF(J496&gt;=20,"H",IF(J496&lt;=5,"L","A")),IF(J496&lt;=19,"L","A"))),IF(OR(H496="ALI",H496="AIE"),IF(K496&gt;=6,IF(J496&gt;=20,"H","A"),IF(K496&gt;=2,IF(J496&gt;=51,"H",IF(J496&lt;=19,"L","A")),IF(J496&lt;=50,"L","A")))))))</f>
        <v/>
      </c>
      <c r="N496" s="46" t="str">
        <f aca="false">IF(M496="L","Baixa",IF(M496="A","Média",IF(M496="","","Alta")))</f>
        <v/>
      </c>
      <c r="O496" s="47" t="str">
        <f aca="false">IF(ISBLANK(H496),"",IF(H496="ALI",IF(M496="L",7,IF(M496="A",10,15)),IF(H496="AIE",IF(M496="L",5,IF(M496="A",7,10)),IF(H496="SE",IF(M496="L",4,IF(M496="A",5,7)),IF(OR(H496="EE",H496="CE"),IF(M496="L",3,IF(M496="A",4,6)))))))</f>
        <v/>
      </c>
      <c r="P496" s="48" t="str">
        <f aca="false">IF(I496="I",O496*Contagem!$W$15,IF(I496="E",O496*Contagem!$W$17,IF(I496="A",O496*Contagem!$W$16,IF(I496="T",O496*Contagem!$W$18,""))))</f>
        <v/>
      </c>
      <c r="Q496" s="49"/>
    </row>
    <row r="497" customFormat="false" ht="12" hidden="false" customHeight="true" outlineLevel="0" collapsed="false">
      <c r="A497" s="40" t="n">
        <f aca="false">IF(H497="",IF(C497="",A496,A496+1),A496)</f>
        <v>62</v>
      </c>
      <c r="B497" s="41" t="str">
        <f aca="false">IF(A497=A496,"",CONCATENATE("F",A497))</f>
        <v/>
      </c>
      <c r="C497" s="42"/>
      <c r="D497" s="42"/>
      <c r="E497" s="42"/>
      <c r="F497" s="42"/>
      <c r="G497" s="42"/>
      <c r="H497" s="44"/>
      <c r="I497" s="50"/>
      <c r="J497" s="44"/>
      <c r="K497" s="44"/>
      <c r="L497" s="44" t="str">
        <f aca="false">CONCATENATE(H497,M497)</f>
        <v/>
      </c>
      <c r="M497" s="45" t="str">
        <f aca="false">IF(OR(ISBLANK(J497),ISBLANK(K497)),IF(OR(H497="ALI",H497="AIE"),"L",IF(ISBLANK(H497),"","A")),IF(H497="EE",IF(K497&gt;=3,IF(J497&gt;=5,"H","A"),IF(K497&gt;=2,IF(J497&gt;=16,"H",IF(J497&lt;=4,"L","A")),IF(J497&lt;=15,"L","A"))),IF(OR(H497="SE",H497="CE"),IF(K497&gt;=4,IF(J497&gt;=6,"H","A"),IF(K497&gt;=2,IF(J497&gt;=20,"H",IF(J497&lt;=5,"L","A")),IF(J497&lt;=19,"L","A"))),IF(OR(H497="ALI",H497="AIE"),IF(K497&gt;=6,IF(J497&gt;=20,"H","A"),IF(K497&gt;=2,IF(J497&gt;=51,"H",IF(J497&lt;=19,"L","A")),IF(J497&lt;=50,"L","A")))))))</f>
        <v/>
      </c>
      <c r="N497" s="46" t="str">
        <f aca="false">IF(M497="L","Baixa",IF(M497="A","Média",IF(M497="","","Alta")))</f>
        <v/>
      </c>
      <c r="O497" s="47" t="str">
        <f aca="false">IF(ISBLANK(H497),"",IF(H497="ALI",IF(M497="L",7,IF(M497="A",10,15)),IF(H497="AIE",IF(M497="L",5,IF(M497="A",7,10)),IF(H497="SE",IF(M497="L",4,IF(M497="A",5,7)),IF(OR(H497="EE",H497="CE"),IF(M497="L",3,IF(M497="A",4,6)))))))</f>
        <v/>
      </c>
      <c r="P497" s="48" t="str">
        <f aca="false">IF(I497="I",O497*Contagem!$W$15,IF(I497="E",O497*Contagem!$W$17,IF(I497="A",O497*Contagem!$W$16,IF(I497="T",O497*Contagem!$W$18,""))))</f>
        <v/>
      </c>
      <c r="Q497" s="49"/>
    </row>
    <row r="498" customFormat="false" ht="12" hidden="false" customHeight="true" outlineLevel="0" collapsed="false">
      <c r="A498" s="40" t="n">
        <f aca="false">IF(H498="",IF(C498="",A497,A497+1),A497)</f>
        <v>62</v>
      </c>
      <c r="B498" s="41" t="str">
        <f aca="false">IF(A498=A497,"",CONCATENATE("F",A498))</f>
        <v/>
      </c>
      <c r="C498" s="42"/>
      <c r="D498" s="42"/>
      <c r="E498" s="42"/>
      <c r="F498" s="42"/>
      <c r="G498" s="42"/>
      <c r="H498" s="44"/>
      <c r="I498" s="50"/>
      <c r="J498" s="44"/>
      <c r="K498" s="44"/>
      <c r="L498" s="44" t="str">
        <f aca="false">CONCATENATE(H498,M498)</f>
        <v/>
      </c>
      <c r="M498" s="45" t="str">
        <f aca="false">IF(OR(ISBLANK(J498),ISBLANK(K498)),IF(OR(H498="ALI",H498="AIE"),"L",IF(ISBLANK(H498),"","A")),IF(H498="EE",IF(K498&gt;=3,IF(J498&gt;=5,"H","A"),IF(K498&gt;=2,IF(J498&gt;=16,"H",IF(J498&lt;=4,"L","A")),IF(J498&lt;=15,"L","A"))),IF(OR(H498="SE",H498="CE"),IF(K498&gt;=4,IF(J498&gt;=6,"H","A"),IF(K498&gt;=2,IF(J498&gt;=20,"H",IF(J498&lt;=5,"L","A")),IF(J498&lt;=19,"L","A"))),IF(OR(H498="ALI",H498="AIE"),IF(K498&gt;=6,IF(J498&gt;=20,"H","A"),IF(K498&gt;=2,IF(J498&gt;=51,"H",IF(J498&lt;=19,"L","A")),IF(J498&lt;=50,"L","A")))))))</f>
        <v/>
      </c>
      <c r="N498" s="46" t="str">
        <f aca="false">IF(M498="L","Baixa",IF(M498="A","Média",IF(M498="","","Alta")))</f>
        <v/>
      </c>
      <c r="O498" s="47" t="str">
        <f aca="false">IF(ISBLANK(H498),"",IF(H498="ALI",IF(M498="L",7,IF(M498="A",10,15)),IF(H498="AIE",IF(M498="L",5,IF(M498="A",7,10)),IF(H498="SE",IF(M498="L",4,IF(M498="A",5,7)),IF(OR(H498="EE",H498="CE"),IF(M498="L",3,IF(M498="A",4,6)))))))</f>
        <v/>
      </c>
      <c r="P498" s="48" t="str">
        <f aca="false">IF(I498="I",O498*Contagem!$W$15,IF(I498="E",O498*Contagem!$W$17,IF(I498="A",O498*Contagem!$W$16,IF(I498="T",O498*Contagem!$W$18,""))))</f>
        <v/>
      </c>
      <c r="Q498" s="49"/>
    </row>
    <row r="499" customFormat="false" ht="12" hidden="false" customHeight="true" outlineLevel="0" collapsed="false">
      <c r="A499" s="40" t="n">
        <f aca="false">IF(H499="",IF(C499="",A498,A498+1),A498)</f>
        <v>62</v>
      </c>
      <c r="B499" s="41" t="str">
        <f aca="false">IF(A499=A498,"",CONCATENATE("F",A499))</f>
        <v/>
      </c>
      <c r="C499" s="42"/>
      <c r="D499" s="42"/>
      <c r="E499" s="42"/>
      <c r="F499" s="42"/>
      <c r="G499" s="42"/>
      <c r="H499" s="44"/>
      <c r="I499" s="50"/>
      <c r="J499" s="44"/>
      <c r="K499" s="44"/>
      <c r="L499" s="44" t="str">
        <f aca="false">CONCATENATE(H499,M499)</f>
        <v/>
      </c>
      <c r="M499" s="45" t="str">
        <f aca="false">IF(OR(ISBLANK(J499),ISBLANK(K499)),IF(OR(H499="ALI",H499="AIE"),"L",IF(ISBLANK(H499),"","A")),IF(H499="EE",IF(K499&gt;=3,IF(J499&gt;=5,"H","A"),IF(K499&gt;=2,IF(J499&gt;=16,"H",IF(J499&lt;=4,"L","A")),IF(J499&lt;=15,"L","A"))),IF(OR(H499="SE",H499="CE"),IF(K499&gt;=4,IF(J499&gt;=6,"H","A"),IF(K499&gt;=2,IF(J499&gt;=20,"H",IF(J499&lt;=5,"L","A")),IF(J499&lt;=19,"L","A"))),IF(OR(H499="ALI",H499="AIE"),IF(K499&gt;=6,IF(J499&gt;=20,"H","A"),IF(K499&gt;=2,IF(J499&gt;=51,"H",IF(J499&lt;=19,"L","A")),IF(J499&lt;=50,"L","A")))))))</f>
        <v/>
      </c>
      <c r="N499" s="46" t="str">
        <f aca="false">IF(M499="L","Baixa",IF(M499="A","Média",IF(M499="","","Alta")))</f>
        <v/>
      </c>
      <c r="O499" s="47" t="str">
        <f aca="false">IF(ISBLANK(H499),"",IF(H499="ALI",IF(M499="L",7,IF(M499="A",10,15)),IF(H499="AIE",IF(M499="L",5,IF(M499="A",7,10)),IF(H499="SE",IF(M499="L",4,IF(M499="A",5,7)),IF(OR(H499="EE",H499="CE"),IF(M499="L",3,IF(M499="A",4,6)))))))</f>
        <v/>
      </c>
      <c r="P499" s="48" t="str">
        <f aca="false">IF(I499="I",O499*Contagem!$W$15,IF(I499="E",O499*Contagem!$W$17,IF(I499="A",O499*Contagem!$W$16,IF(I499="T",O499*Contagem!$W$18,""))))</f>
        <v/>
      </c>
      <c r="Q499" s="49"/>
    </row>
    <row r="500" customFormat="false" ht="12" hidden="false" customHeight="true" outlineLevel="0" collapsed="false">
      <c r="A500" s="40" t="n">
        <f aca="false">IF(H500="",IF(C500="",A499,A499+1),A499)</f>
        <v>62</v>
      </c>
      <c r="B500" s="41" t="str">
        <f aca="false">IF(A500=A499,"",CONCATENATE("F",A500))</f>
        <v/>
      </c>
      <c r="C500" s="42"/>
      <c r="D500" s="42"/>
      <c r="E500" s="42"/>
      <c r="F500" s="42"/>
      <c r="G500" s="42"/>
      <c r="H500" s="44"/>
      <c r="I500" s="50"/>
      <c r="J500" s="44"/>
      <c r="K500" s="44"/>
      <c r="L500" s="44" t="str">
        <f aca="false">CONCATENATE(H500,M500)</f>
        <v/>
      </c>
      <c r="M500" s="45" t="str">
        <f aca="false">IF(OR(ISBLANK(J500),ISBLANK(K500)),IF(OR(H500="ALI",H500="AIE"),"L",IF(ISBLANK(H500),"","A")),IF(H500="EE",IF(K500&gt;=3,IF(J500&gt;=5,"H","A"),IF(K500&gt;=2,IF(J500&gt;=16,"H",IF(J500&lt;=4,"L","A")),IF(J500&lt;=15,"L","A"))),IF(OR(H500="SE",H500="CE"),IF(K500&gt;=4,IF(J500&gt;=6,"H","A"),IF(K500&gt;=2,IF(J500&gt;=20,"H",IF(J500&lt;=5,"L","A")),IF(J500&lt;=19,"L","A"))),IF(OR(H500="ALI",H500="AIE"),IF(K500&gt;=6,IF(J500&gt;=20,"H","A"),IF(K500&gt;=2,IF(J500&gt;=51,"H",IF(J500&lt;=19,"L","A")),IF(J500&lt;=50,"L","A")))))))</f>
        <v/>
      </c>
      <c r="N500" s="46" t="str">
        <f aca="false">IF(M500="L","Baixa",IF(M500="A","Média",IF(M500="","","Alta")))</f>
        <v/>
      </c>
      <c r="O500" s="47" t="str">
        <f aca="false">IF(ISBLANK(H500),"",IF(H500="ALI",IF(M500="L",7,IF(M500="A",10,15)),IF(H500="AIE",IF(M500="L",5,IF(M500="A",7,10)),IF(H500="SE",IF(M500="L",4,IF(M500="A",5,7)),IF(OR(H500="EE",H500="CE"),IF(M500="L",3,IF(M500="A",4,6)))))))</f>
        <v/>
      </c>
      <c r="P500" s="48" t="str">
        <f aca="false">IF(I500="I",O500*Contagem!$W$15,IF(I500="E",O500*Contagem!$W$17,IF(I500="A",O500*Contagem!$W$16,IF(I500="T",O500*Contagem!$W$18,""))))</f>
        <v/>
      </c>
      <c r="Q500" s="49"/>
    </row>
    <row r="501" customFormat="false" ht="12" hidden="false" customHeight="true" outlineLevel="0" collapsed="false">
      <c r="A501" s="40" t="n">
        <f aca="false">IF(H501="",IF(C501="",A500,A500+1),A500)</f>
        <v>62</v>
      </c>
      <c r="B501" s="41" t="str">
        <f aca="false">IF(A501=A500,"",CONCATENATE("F",A501))</f>
        <v/>
      </c>
      <c r="C501" s="42"/>
      <c r="D501" s="42"/>
      <c r="E501" s="42"/>
      <c r="F501" s="42"/>
      <c r="G501" s="42"/>
      <c r="H501" s="44"/>
      <c r="I501" s="50"/>
      <c r="J501" s="44"/>
      <c r="K501" s="44"/>
      <c r="L501" s="44" t="str">
        <f aca="false">CONCATENATE(H501,M501)</f>
        <v/>
      </c>
      <c r="M501" s="45" t="str">
        <f aca="false">IF(OR(ISBLANK(J501),ISBLANK(K501)),IF(OR(H501="ALI",H501="AIE"),"L",IF(ISBLANK(H501),"","A")),IF(H501="EE",IF(K501&gt;=3,IF(J501&gt;=5,"H","A"),IF(K501&gt;=2,IF(J501&gt;=16,"H",IF(J501&lt;=4,"L","A")),IF(J501&lt;=15,"L","A"))),IF(OR(H501="SE",H501="CE"),IF(K501&gt;=4,IF(J501&gt;=6,"H","A"),IF(K501&gt;=2,IF(J501&gt;=20,"H",IF(J501&lt;=5,"L","A")),IF(J501&lt;=19,"L","A"))),IF(OR(H501="ALI",H501="AIE"),IF(K501&gt;=6,IF(J501&gt;=20,"H","A"),IF(K501&gt;=2,IF(J501&gt;=51,"H",IF(J501&lt;=19,"L","A")),IF(J501&lt;=50,"L","A")))))))</f>
        <v/>
      </c>
      <c r="N501" s="46" t="str">
        <f aca="false">IF(M501="L","Baixa",IF(M501="A","Média",IF(M501="","","Alta")))</f>
        <v/>
      </c>
      <c r="O501" s="47" t="str">
        <f aca="false">IF(ISBLANK(H501),"",IF(H501="ALI",IF(M501="L",7,IF(M501="A",10,15)),IF(H501="AIE",IF(M501="L",5,IF(M501="A",7,10)),IF(H501="SE",IF(M501="L",4,IF(M501="A",5,7)),IF(OR(H501="EE",H501="CE"),IF(M501="L",3,IF(M501="A",4,6)))))))</f>
        <v/>
      </c>
      <c r="P501" s="48" t="str">
        <f aca="false">IF(I501="I",O501*Contagem!$W$15,IF(I501="E",O501*Contagem!$W$17,IF(I501="A",O501*Contagem!$W$16,IF(I501="T",O501*Contagem!$W$18,""))))</f>
        <v/>
      </c>
      <c r="Q501" s="49"/>
    </row>
    <row r="502" customFormat="false" ht="12" hidden="false" customHeight="true" outlineLevel="0" collapsed="false">
      <c r="A502" s="40" t="n">
        <f aca="false">IF(H502="",IF(C502="",A501,A501+1),A501)</f>
        <v>62</v>
      </c>
      <c r="B502" s="41" t="str">
        <f aca="false">IF(A502=A501,"",CONCATENATE("F",A502))</f>
        <v/>
      </c>
      <c r="C502" s="42"/>
      <c r="D502" s="42"/>
      <c r="E502" s="42"/>
      <c r="F502" s="42"/>
      <c r="G502" s="42"/>
      <c r="H502" s="44"/>
      <c r="I502" s="50"/>
      <c r="J502" s="44"/>
      <c r="K502" s="44"/>
      <c r="L502" s="44" t="str">
        <f aca="false">CONCATENATE(H502,M502)</f>
        <v/>
      </c>
      <c r="M502" s="45" t="str">
        <f aca="false">IF(OR(ISBLANK(J502),ISBLANK(K502)),IF(OR(H502="ALI",H502="AIE"),"L",IF(ISBLANK(H502),"","A")),IF(H502="EE",IF(K502&gt;=3,IF(J502&gt;=5,"H","A"),IF(K502&gt;=2,IF(J502&gt;=16,"H",IF(J502&lt;=4,"L","A")),IF(J502&lt;=15,"L","A"))),IF(OR(H502="SE",H502="CE"),IF(K502&gt;=4,IF(J502&gt;=6,"H","A"),IF(K502&gt;=2,IF(J502&gt;=20,"H",IF(J502&lt;=5,"L","A")),IF(J502&lt;=19,"L","A"))),IF(OR(H502="ALI",H502="AIE"),IF(K502&gt;=6,IF(J502&gt;=20,"H","A"),IF(K502&gt;=2,IF(J502&gt;=51,"H",IF(J502&lt;=19,"L","A")),IF(J502&lt;=50,"L","A")))))))</f>
        <v/>
      </c>
      <c r="N502" s="46" t="str">
        <f aca="false">IF(M502="L","Baixa",IF(M502="A","Média",IF(M502="","","Alta")))</f>
        <v/>
      </c>
      <c r="O502" s="47" t="str">
        <f aca="false">IF(ISBLANK(H502),"",IF(H502="ALI",IF(M502="L",7,IF(M502="A",10,15)),IF(H502="AIE",IF(M502="L",5,IF(M502="A",7,10)),IF(H502="SE",IF(M502="L",4,IF(M502="A",5,7)),IF(OR(H502="EE",H502="CE"),IF(M502="L",3,IF(M502="A",4,6)))))))</f>
        <v/>
      </c>
      <c r="P502" s="48" t="str">
        <f aca="false">IF(I502="I",O502*Contagem!$W$15,IF(I502="E",O502*Contagem!$W$17,IF(I502="A",O502*Contagem!$W$16,IF(I502="T",O502*Contagem!$W$18,""))))</f>
        <v/>
      </c>
      <c r="Q502" s="49"/>
    </row>
    <row r="503" customFormat="false" ht="12" hidden="false" customHeight="true" outlineLevel="0" collapsed="false">
      <c r="A503" s="40" t="n">
        <f aca="false">IF(H503="",IF(C503="",A502,A502+1),A502)</f>
        <v>62</v>
      </c>
      <c r="B503" s="41" t="str">
        <f aca="false">IF(A503=A502,"",CONCATENATE("F",A503))</f>
        <v/>
      </c>
      <c r="C503" s="42"/>
      <c r="D503" s="42"/>
      <c r="E503" s="42"/>
      <c r="F503" s="42"/>
      <c r="G503" s="42"/>
      <c r="H503" s="44"/>
      <c r="I503" s="50"/>
      <c r="J503" s="44"/>
      <c r="K503" s="44"/>
      <c r="L503" s="44" t="str">
        <f aca="false">CONCATENATE(H503,M503)</f>
        <v/>
      </c>
      <c r="M503" s="45" t="str">
        <f aca="false">IF(OR(ISBLANK(J503),ISBLANK(K503)),IF(OR(H503="ALI",H503="AIE"),"L",IF(ISBLANK(H503),"","A")),IF(H503="EE",IF(K503&gt;=3,IF(J503&gt;=5,"H","A"),IF(K503&gt;=2,IF(J503&gt;=16,"H",IF(J503&lt;=4,"L","A")),IF(J503&lt;=15,"L","A"))),IF(OR(H503="SE",H503="CE"),IF(K503&gt;=4,IF(J503&gt;=6,"H","A"),IF(K503&gt;=2,IF(J503&gt;=20,"H",IF(J503&lt;=5,"L","A")),IF(J503&lt;=19,"L","A"))),IF(OR(H503="ALI",H503="AIE"),IF(K503&gt;=6,IF(J503&gt;=20,"H","A"),IF(K503&gt;=2,IF(J503&gt;=51,"H",IF(J503&lt;=19,"L","A")),IF(J503&lt;=50,"L","A")))))))</f>
        <v/>
      </c>
      <c r="N503" s="46" t="str">
        <f aca="false">IF(M503="L","Baixa",IF(M503="A","Média",IF(M503="","","Alta")))</f>
        <v/>
      </c>
      <c r="O503" s="47" t="str">
        <f aca="false">IF(ISBLANK(H503),"",IF(H503="ALI",IF(M503="L",7,IF(M503="A",10,15)),IF(H503="AIE",IF(M503="L",5,IF(M503="A",7,10)),IF(H503="SE",IF(M503="L",4,IF(M503="A",5,7)),IF(OR(H503="EE",H503="CE"),IF(M503="L",3,IF(M503="A",4,6)))))))</f>
        <v/>
      </c>
      <c r="P503" s="48" t="str">
        <f aca="false">IF(I503="I",O503*Contagem!$W$15,IF(I503="E",O503*Contagem!$W$17,IF(I503="A",O503*Contagem!$W$16,IF(I503="T",O503*Contagem!$W$18,""))))</f>
        <v/>
      </c>
      <c r="Q503" s="49"/>
    </row>
    <row r="504" customFormat="false" ht="12" hidden="false" customHeight="true" outlineLevel="0" collapsed="false">
      <c r="A504" s="40" t="n">
        <f aca="false">IF(H504="",IF(C504="",A503,A503+1),A503)</f>
        <v>62</v>
      </c>
      <c r="B504" s="41" t="str">
        <f aca="false">IF(A504=A503,"",CONCATENATE("F",A504))</f>
        <v/>
      </c>
      <c r="C504" s="42"/>
      <c r="D504" s="42"/>
      <c r="E504" s="42"/>
      <c r="F504" s="42"/>
      <c r="G504" s="42"/>
      <c r="H504" s="44"/>
      <c r="I504" s="50"/>
      <c r="J504" s="44"/>
      <c r="K504" s="44"/>
      <c r="L504" s="44" t="str">
        <f aca="false">CONCATENATE(H504,M504)</f>
        <v/>
      </c>
      <c r="M504" s="45" t="str">
        <f aca="false">IF(OR(ISBLANK(J504),ISBLANK(K504)),IF(OR(H504="ALI",H504="AIE"),"L",IF(ISBLANK(H504),"","A")),IF(H504="EE",IF(K504&gt;=3,IF(J504&gt;=5,"H","A"),IF(K504&gt;=2,IF(J504&gt;=16,"H",IF(J504&lt;=4,"L","A")),IF(J504&lt;=15,"L","A"))),IF(OR(H504="SE",H504="CE"),IF(K504&gt;=4,IF(J504&gt;=6,"H","A"),IF(K504&gt;=2,IF(J504&gt;=20,"H",IF(J504&lt;=5,"L","A")),IF(J504&lt;=19,"L","A"))),IF(OR(H504="ALI",H504="AIE"),IF(K504&gt;=6,IF(J504&gt;=20,"H","A"),IF(K504&gt;=2,IF(J504&gt;=51,"H",IF(J504&lt;=19,"L","A")),IF(J504&lt;=50,"L","A")))))))</f>
        <v/>
      </c>
      <c r="N504" s="46" t="str">
        <f aca="false">IF(M504="L","Baixa",IF(M504="A","Média",IF(M504="","","Alta")))</f>
        <v/>
      </c>
      <c r="O504" s="47" t="str">
        <f aca="false">IF(ISBLANK(H504),"",IF(H504="ALI",IF(M504="L",7,IF(M504="A",10,15)),IF(H504="AIE",IF(M504="L",5,IF(M504="A",7,10)),IF(H504="SE",IF(M504="L",4,IF(M504="A",5,7)),IF(OR(H504="EE",H504="CE"),IF(M504="L",3,IF(M504="A",4,6)))))))</f>
        <v/>
      </c>
      <c r="P504" s="48" t="str">
        <f aca="false">IF(I504="I",O504*Contagem!$W$15,IF(I504="E",O504*Contagem!$W$17,IF(I504="A",O504*Contagem!$W$16,IF(I504="T",O504*Contagem!$W$18,""))))</f>
        <v/>
      </c>
      <c r="Q504" s="49"/>
    </row>
    <row r="505" customFormat="false" ht="12" hidden="false" customHeight="true" outlineLevel="0" collapsed="false">
      <c r="A505" s="40" t="n">
        <f aca="false">IF(H505="",IF(C505="",A504,A504+1),A504)</f>
        <v>62</v>
      </c>
      <c r="B505" s="41" t="str">
        <f aca="false">IF(A505=A504,"",CONCATENATE("F",A505))</f>
        <v/>
      </c>
      <c r="C505" s="42"/>
      <c r="D505" s="42"/>
      <c r="E505" s="42"/>
      <c r="F505" s="42"/>
      <c r="G505" s="42"/>
      <c r="H505" s="44"/>
      <c r="I505" s="50"/>
      <c r="J505" s="44"/>
      <c r="K505" s="44"/>
      <c r="L505" s="44" t="str">
        <f aca="false">CONCATENATE(H505,M505)</f>
        <v/>
      </c>
      <c r="M505" s="45" t="str">
        <f aca="false">IF(OR(ISBLANK(J505),ISBLANK(K505)),IF(OR(H505="ALI",H505="AIE"),"L",IF(ISBLANK(H505),"","A")),IF(H505="EE",IF(K505&gt;=3,IF(J505&gt;=5,"H","A"),IF(K505&gt;=2,IF(J505&gt;=16,"H",IF(J505&lt;=4,"L","A")),IF(J505&lt;=15,"L","A"))),IF(OR(H505="SE",H505="CE"),IF(K505&gt;=4,IF(J505&gt;=6,"H","A"),IF(K505&gt;=2,IF(J505&gt;=20,"H",IF(J505&lt;=5,"L","A")),IF(J505&lt;=19,"L","A"))),IF(OR(H505="ALI",H505="AIE"),IF(K505&gt;=6,IF(J505&gt;=20,"H","A"),IF(K505&gt;=2,IF(J505&gt;=51,"H",IF(J505&lt;=19,"L","A")),IF(J505&lt;=50,"L","A")))))))</f>
        <v/>
      </c>
      <c r="N505" s="46" t="str">
        <f aca="false">IF(M505="L","Baixa",IF(M505="A","Média",IF(M505="","","Alta")))</f>
        <v/>
      </c>
      <c r="O505" s="47" t="str">
        <f aca="false">IF(ISBLANK(H505),"",IF(H505="ALI",IF(M505="L",7,IF(M505="A",10,15)),IF(H505="AIE",IF(M505="L",5,IF(M505="A",7,10)),IF(H505="SE",IF(M505="L",4,IF(M505="A",5,7)),IF(OR(H505="EE",H505="CE"),IF(M505="L",3,IF(M505="A",4,6)))))))</f>
        <v/>
      </c>
      <c r="P505" s="48" t="str">
        <f aca="false">IF(I505="I",O505*Contagem!$W$15,IF(I505="E",O505*Contagem!$W$17,IF(I505="A",O505*Contagem!$W$16,IF(I505="T",O505*Contagem!$W$18,""))))</f>
        <v/>
      </c>
      <c r="Q505" s="49"/>
    </row>
    <row r="506" customFormat="false" ht="12" hidden="false" customHeight="true" outlineLevel="0" collapsed="false">
      <c r="A506" s="40" t="n">
        <f aca="false">IF(H506="",IF(C506="",A505,A505+1),A505)</f>
        <v>62</v>
      </c>
      <c r="B506" s="41" t="str">
        <f aca="false">IF(A506=A505,"",CONCATENATE("F",A506))</f>
        <v/>
      </c>
      <c r="C506" s="42"/>
      <c r="D506" s="42"/>
      <c r="E506" s="42"/>
      <c r="F506" s="42"/>
      <c r="G506" s="42"/>
      <c r="H506" s="44"/>
      <c r="I506" s="50"/>
      <c r="J506" s="44"/>
      <c r="K506" s="44"/>
      <c r="L506" s="44" t="str">
        <f aca="false">CONCATENATE(H506,M506)</f>
        <v/>
      </c>
      <c r="M506" s="45" t="str">
        <f aca="false">IF(OR(ISBLANK(J506),ISBLANK(K506)),IF(OR(H506="ALI",H506="AIE"),"L",IF(ISBLANK(H506),"","A")),IF(H506="EE",IF(K506&gt;=3,IF(J506&gt;=5,"H","A"),IF(K506&gt;=2,IF(J506&gt;=16,"H",IF(J506&lt;=4,"L","A")),IF(J506&lt;=15,"L","A"))),IF(OR(H506="SE",H506="CE"),IF(K506&gt;=4,IF(J506&gt;=6,"H","A"),IF(K506&gt;=2,IF(J506&gt;=20,"H",IF(J506&lt;=5,"L","A")),IF(J506&lt;=19,"L","A"))),IF(OR(H506="ALI",H506="AIE"),IF(K506&gt;=6,IF(J506&gt;=20,"H","A"),IF(K506&gt;=2,IF(J506&gt;=51,"H",IF(J506&lt;=19,"L","A")),IF(J506&lt;=50,"L","A")))))))</f>
        <v/>
      </c>
      <c r="N506" s="46" t="str">
        <f aca="false">IF(M506="L","Baixa",IF(M506="A","Média",IF(M506="","","Alta")))</f>
        <v/>
      </c>
      <c r="O506" s="47" t="str">
        <f aca="false">IF(ISBLANK(H506),"",IF(H506="ALI",IF(M506="L",7,IF(M506="A",10,15)),IF(H506="AIE",IF(M506="L",5,IF(M506="A",7,10)),IF(H506="SE",IF(M506="L",4,IF(M506="A",5,7)),IF(OR(H506="EE",H506="CE"),IF(M506="L",3,IF(M506="A",4,6)))))))</f>
        <v/>
      </c>
      <c r="P506" s="48" t="str">
        <f aca="false">IF(I506="I",O506*Contagem!$W$15,IF(I506="E",O506*Contagem!$W$17,IF(I506="A",O506*Contagem!$W$16,IF(I506="T",O506*Contagem!$W$18,""))))</f>
        <v/>
      </c>
      <c r="Q506" s="49"/>
    </row>
    <row r="507" customFormat="false" ht="12" hidden="false" customHeight="true" outlineLevel="0" collapsed="false">
      <c r="A507" s="40" t="n">
        <f aca="false">IF(H507="",IF(C507="",A506,A506+1),A506)</f>
        <v>62</v>
      </c>
      <c r="B507" s="41" t="str">
        <f aca="false">IF(A507=A506,"",CONCATENATE("F",A507))</f>
        <v/>
      </c>
      <c r="C507" s="42"/>
      <c r="D507" s="42"/>
      <c r="E507" s="42"/>
      <c r="F507" s="42"/>
      <c r="G507" s="42"/>
      <c r="H507" s="44"/>
      <c r="I507" s="50"/>
      <c r="J507" s="44"/>
      <c r="K507" s="44"/>
      <c r="L507" s="44" t="str">
        <f aca="false">CONCATENATE(H507,M507)</f>
        <v/>
      </c>
      <c r="M507" s="45" t="str">
        <f aca="false">IF(OR(ISBLANK(J507),ISBLANK(K507)),IF(OR(H507="ALI",H507="AIE"),"L",IF(ISBLANK(H507),"","A")),IF(H507="EE",IF(K507&gt;=3,IF(J507&gt;=5,"H","A"),IF(K507&gt;=2,IF(J507&gt;=16,"H",IF(J507&lt;=4,"L","A")),IF(J507&lt;=15,"L","A"))),IF(OR(H507="SE",H507="CE"),IF(K507&gt;=4,IF(J507&gt;=6,"H","A"),IF(K507&gt;=2,IF(J507&gt;=20,"H",IF(J507&lt;=5,"L","A")),IF(J507&lt;=19,"L","A"))),IF(OR(H507="ALI",H507="AIE"),IF(K507&gt;=6,IF(J507&gt;=20,"H","A"),IF(K507&gt;=2,IF(J507&gt;=51,"H",IF(J507&lt;=19,"L","A")),IF(J507&lt;=50,"L","A")))))))</f>
        <v/>
      </c>
      <c r="N507" s="46" t="str">
        <f aca="false">IF(M507="L","Baixa",IF(M507="A","Média",IF(M507="","","Alta")))</f>
        <v/>
      </c>
      <c r="O507" s="47" t="str">
        <f aca="false">IF(ISBLANK(H507),"",IF(H507="ALI",IF(M507="L",7,IF(M507="A",10,15)),IF(H507="AIE",IF(M507="L",5,IF(M507="A",7,10)),IF(H507="SE",IF(M507="L",4,IF(M507="A",5,7)),IF(OR(H507="EE",H507="CE"),IF(M507="L",3,IF(M507="A",4,6)))))))</f>
        <v/>
      </c>
      <c r="P507" s="48" t="str">
        <f aca="false">IF(I507="I",O507*Contagem!$W$15,IF(I507="E",O507*Contagem!$W$17,IF(I507="A",O507*Contagem!$W$16,IF(I507="T",O507*Contagem!$W$18,""))))</f>
        <v/>
      </c>
      <c r="Q507" s="49"/>
    </row>
    <row r="508" customFormat="false" ht="12" hidden="false" customHeight="true" outlineLevel="0" collapsed="false">
      <c r="A508" s="40" t="n">
        <f aca="false">IF(H508="",IF(C508="",A507,A507+1),A507)</f>
        <v>62</v>
      </c>
      <c r="B508" s="41" t="str">
        <f aca="false">IF(A508=A507,"",CONCATENATE("F",A508))</f>
        <v/>
      </c>
      <c r="C508" s="42"/>
      <c r="D508" s="42"/>
      <c r="E508" s="42"/>
      <c r="F508" s="42"/>
      <c r="G508" s="42"/>
      <c r="H508" s="44"/>
      <c r="I508" s="50"/>
      <c r="J508" s="44"/>
      <c r="K508" s="44"/>
      <c r="L508" s="44" t="str">
        <f aca="false">CONCATENATE(H508,M508)</f>
        <v/>
      </c>
      <c r="M508" s="45" t="str">
        <f aca="false">IF(OR(ISBLANK(J508),ISBLANK(K508)),IF(OR(H508="ALI",H508="AIE"),"L",IF(ISBLANK(H508),"","A")),IF(H508="EE",IF(K508&gt;=3,IF(J508&gt;=5,"H","A"),IF(K508&gt;=2,IF(J508&gt;=16,"H",IF(J508&lt;=4,"L","A")),IF(J508&lt;=15,"L","A"))),IF(OR(H508="SE",H508="CE"),IF(K508&gt;=4,IF(J508&gt;=6,"H","A"),IF(K508&gt;=2,IF(J508&gt;=20,"H",IF(J508&lt;=5,"L","A")),IF(J508&lt;=19,"L","A"))),IF(OR(H508="ALI",H508="AIE"),IF(K508&gt;=6,IF(J508&gt;=20,"H","A"),IF(K508&gt;=2,IF(J508&gt;=51,"H",IF(J508&lt;=19,"L","A")),IF(J508&lt;=50,"L","A")))))))</f>
        <v/>
      </c>
      <c r="N508" s="46" t="str">
        <f aca="false">IF(M508="L","Baixa",IF(M508="A","Média",IF(M508="","","Alta")))</f>
        <v/>
      </c>
      <c r="O508" s="47" t="str">
        <f aca="false">IF(ISBLANK(H508),"",IF(H508="ALI",IF(M508="L",7,IF(M508="A",10,15)),IF(H508="AIE",IF(M508="L",5,IF(M508="A",7,10)),IF(H508="SE",IF(M508="L",4,IF(M508="A",5,7)),IF(OR(H508="EE",H508="CE"),IF(M508="L",3,IF(M508="A",4,6)))))))</f>
        <v/>
      </c>
      <c r="P508" s="48" t="str">
        <f aca="false">IF(I508="I",O508*Contagem!$W$15,IF(I508="E",O508*Contagem!$W$17,IF(I508="A",O508*Contagem!$W$16,IF(I508="T",O508*Contagem!$W$18,""))))</f>
        <v/>
      </c>
      <c r="Q508" s="49"/>
    </row>
    <row r="509" customFormat="false" ht="12" hidden="false" customHeight="true" outlineLevel="0" collapsed="false">
      <c r="A509" s="40" t="n">
        <f aca="false">IF(H509="",IF(C509="",A508,A508+1),A508)</f>
        <v>62</v>
      </c>
      <c r="B509" s="41" t="str">
        <f aca="false">IF(A509=A508,"",CONCATENATE("F",A509))</f>
        <v/>
      </c>
      <c r="C509" s="42"/>
      <c r="D509" s="42"/>
      <c r="E509" s="42"/>
      <c r="F509" s="42"/>
      <c r="G509" s="42"/>
      <c r="H509" s="44"/>
      <c r="I509" s="50"/>
      <c r="J509" s="44"/>
      <c r="K509" s="44"/>
      <c r="L509" s="44" t="str">
        <f aca="false">CONCATENATE(H509,M509)</f>
        <v/>
      </c>
      <c r="M509" s="45" t="str">
        <f aca="false">IF(OR(ISBLANK(J509),ISBLANK(K509)),IF(OR(H509="ALI",H509="AIE"),"L",IF(ISBLANK(H509),"","A")),IF(H509="EE",IF(K509&gt;=3,IF(J509&gt;=5,"H","A"),IF(K509&gt;=2,IF(J509&gt;=16,"H",IF(J509&lt;=4,"L","A")),IF(J509&lt;=15,"L","A"))),IF(OR(H509="SE",H509="CE"),IF(K509&gt;=4,IF(J509&gt;=6,"H","A"),IF(K509&gt;=2,IF(J509&gt;=20,"H",IF(J509&lt;=5,"L","A")),IF(J509&lt;=19,"L","A"))),IF(OR(H509="ALI",H509="AIE"),IF(K509&gt;=6,IF(J509&gt;=20,"H","A"),IF(K509&gt;=2,IF(J509&gt;=51,"H",IF(J509&lt;=19,"L","A")),IF(J509&lt;=50,"L","A")))))))</f>
        <v/>
      </c>
      <c r="N509" s="46" t="str">
        <f aca="false">IF(M509="L","Baixa",IF(M509="A","Média",IF(M509="","","Alta")))</f>
        <v/>
      </c>
      <c r="O509" s="47" t="str">
        <f aca="false">IF(ISBLANK(H509),"",IF(H509="ALI",IF(M509="L",7,IF(M509="A",10,15)),IF(H509="AIE",IF(M509="L",5,IF(M509="A",7,10)),IF(H509="SE",IF(M509="L",4,IF(M509="A",5,7)),IF(OR(H509="EE",H509="CE"),IF(M509="L",3,IF(M509="A",4,6)))))))</f>
        <v/>
      </c>
      <c r="P509" s="48" t="str">
        <f aca="false">IF(I509="I",O509*Contagem!$W$15,IF(I509="E",O509*Contagem!$W$17,IF(I509="A",O509*Contagem!$W$16,IF(I509="T",O509*Contagem!$W$18,""))))</f>
        <v/>
      </c>
      <c r="Q509" s="49"/>
    </row>
    <row r="510" customFormat="false" ht="12" hidden="false" customHeight="true" outlineLevel="0" collapsed="false">
      <c r="A510" s="40" t="n">
        <f aca="false">IF(H510="",IF(C510="",A509,A509+1),A509)</f>
        <v>62</v>
      </c>
      <c r="B510" s="41" t="str">
        <f aca="false">IF(A510=A509,"",CONCATENATE("F",A510))</f>
        <v/>
      </c>
      <c r="C510" s="42"/>
      <c r="D510" s="42"/>
      <c r="E510" s="42"/>
      <c r="F510" s="42"/>
      <c r="G510" s="42"/>
      <c r="H510" s="44"/>
      <c r="I510" s="50"/>
      <c r="J510" s="44"/>
      <c r="K510" s="44"/>
      <c r="L510" s="44" t="str">
        <f aca="false">CONCATENATE(H510,M510)</f>
        <v/>
      </c>
      <c r="M510" s="45" t="str">
        <f aca="false">IF(OR(ISBLANK(J510),ISBLANK(K510)),IF(OR(H510="ALI",H510="AIE"),"L",IF(ISBLANK(H510),"","A")),IF(H510="EE",IF(K510&gt;=3,IF(J510&gt;=5,"H","A"),IF(K510&gt;=2,IF(J510&gt;=16,"H",IF(J510&lt;=4,"L","A")),IF(J510&lt;=15,"L","A"))),IF(OR(H510="SE",H510="CE"),IF(K510&gt;=4,IF(J510&gt;=6,"H","A"),IF(K510&gt;=2,IF(J510&gt;=20,"H",IF(J510&lt;=5,"L","A")),IF(J510&lt;=19,"L","A"))),IF(OR(H510="ALI",H510="AIE"),IF(K510&gt;=6,IF(J510&gt;=20,"H","A"),IF(K510&gt;=2,IF(J510&gt;=51,"H",IF(J510&lt;=19,"L","A")),IF(J510&lt;=50,"L","A")))))))</f>
        <v/>
      </c>
      <c r="N510" s="46" t="str">
        <f aca="false">IF(M510="L","Baixa",IF(M510="A","Média",IF(M510="","","Alta")))</f>
        <v/>
      </c>
      <c r="O510" s="47" t="str">
        <f aca="false">IF(ISBLANK(H510),"",IF(H510="ALI",IF(M510="L",7,IF(M510="A",10,15)),IF(H510="AIE",IF(M510="L",5,IF(M510="A",7,10)),IF(H510="SE",IF(M510="L",4,IF(M510="A",5,7)),IF(OR(H510="EE",H510="CE"),IF(M510="L",3,IF(M510="A",4,6)))))))</f>
        <v/>
      </c>
      <c r="P510" s="48" t="str">
        <f aca="false">IF(I510="I",O510*Contagem!$W$15,IF(I510="E",O510*Contagem!$W$17,IF(I510="A",O510*Contagem!$W$16,IF(I510="T",O510*Contagem!$W$18,""))))</f>
        <v/>
      </c>
      <c r="Q510" s="49"/>
    </row>
    <row r="511" customFormat="false" ht="12" hidden="false" customHeight="true" outlineLevel="0" collapsed="false">
      <c r="A511" s="40" t="n">
        <f aca="false">IF(H511="",IF(C511="",A510,A510+1),A510)</f>
        <v>62</v>
      </c>
      <c r="B511" s="41" t="str">
        <f aca="false">IF(A511=A510,"",CONCATENATE("F",A511))</f>
        <v/>
      </c>
      <c r="C511" s="42"/>
      <c r="D511" s="42"/>
      <c r="E511" s="42"/>
      <c r="F511" s="42"/>
      <c r="G511" s="42"/>
      <c r="H511" s="44"/>
      <c r="I511" s="50"/>
      <c r="J511" s="44"/>
      <c r="K511" s="44"/>
      <c r="L511" s="44" t="str">
        <f aca="false">CONCATENATE(H511,M511)</f>
        <v/>
      </c>
      <c r="M511" s="45" t="str">
        <f aca="false">IF(OR(ISBLANK(J511),ISBLANK(K511)),IF(OR(H511="ALI",H511="AIE"),"L",IF(ISBLANK(H511),"","A")),IF(H511="EE",IF(K511&gt;=3,IF(J511&gt;=5,"H","A"),IF(K511&gt;=2,IF(J511&gt;=16,"H",IF(J511&lt;=4,"L","A")),IF(J511&lt;=15,"L","A"))),IF(OR(H511="SE",H511="CE"),IF(K511&gt;=4,IF(J511&gt;=6,"H","A"),IF(K511&gt;=2,IF(J511&gt;=20,"H",IF(J511&lt;=5,"L","A")),IF(J511&lt;=19,"L","A"))),IF(OR(H511="ALI",H511="AIE"),IF(K511&gt;=6,IF(J511&gt;=20,"H","A"),IF(K511&gt;=2,IF(J511&gt;=51,"H",IF(J511&lt;=19,"L","A")),IF(J511&lt;=50,"L","A")))))))</f>
        <v/>
      </c>
      <c r="N511" s="46" t="str">
        <f aca="false">IF(M511="L","Baixa",IF(M511="A","Média",IF(M511="","","Alta")))</f>
        <v/>
      </c>
      <c r="O511" s="47" t="str">
        <f aca="false">IF(ISBLANK(H511),"",IF(H511="ALI",IF(M511="L",7,IF(M511="A",10,15)),IF(H511="AIE",IF(M511="L",5,IF(M511="A",7,10)),IF(H511="SE",IF(M511="L",4,IF(M511="A",5,7)),IF(OR(H511="EE",H511="CE"),IF(M511="L",3,IF(M511="A",4,6)))))))</f>
        <v/>
      </c>
      <c r="P511" s="48" t="str">
        <f aca="false">IF(I511="I",O511*Contagem!$W$15,IF(I511="E",O511*Contagem!$W$17,IF(I511="A",O511*Contagem!$W$16,IF(I511="T",O511*Contagem!$W$18,""))))</f>
        <v/>
      </c>
      <c r="Q511" s="49"/>
    </row>
    <row r="512" customFormat="false" ht="12" hidden="false" customHeight="true" outlineLevel="0" collapsed="false">
      <c r="A512" s="40" t="n">
        <f aca="false">IF(H512="",IF(C512="",A511,A511+1),A511)</f>
        <v>62</v>
      </c>
      <c r="B512" s="41" t="str">
        <f aca="false">IF(A512=A511,"",CONCATENATE("F",A512))</f>
        <v/>
      </c>
      <c r="C512" s="42"/>
      <c r="D512" s="42"/>
      <c r="E512" s="42"/>
      <c r="F512" s="42"/>
      <c r="G512" s="42"/>
      <c r="H512" s="44"/>
      <c r="I512" s="50"/>
      <c r="J512" s="44"/>
      <c r="K512" s="44"/>
      <c r="L512" s="44" t="str">
        <f aca="false">CONCATENATE(H512,M512)</f>
        <v/>
      </c>
      <c r="M512" s="45" t="str">
        <f aca="false">IF(OR(ISBLANK(J512),ISBLANK(K512)),IF(OR(H512="ALI",H512="AIE"),"L",IF(ISBLANK(H512),"","A")),IF(H512="EE",IF(K512&gt;=3,IF(J512&gt;=5,"H","A"),IF(K512&gt;=2,IF(J512&gt;=16,"H",IF(J512&lt;=4,"L","A")),IF(J512&lt;=15,"L","A"))),IF(OR(H512="SE",H512="CE"),IF(K512&gt;=4,IF(J512&gt;=6,"H","A"),IF(K512&gt;=2,IF(J512&gt;=20,"H",IF(J512&lt;=5,"L","A")),IF(J512&lt;=19,"L","A"))),IF(OR(H512="ALI",H512="AIE"),IF(K512&gt;=6,IF(J512&gt;=20,"H","A"),IF(K512&gt;=2,IF(J512&gt;=51,"H",IF(J512&lt;=19,"L","A")),IF(J512&lt;=50,"L","A")))))))</f>
        <v/>
      </c>
      <c r="N512" s="46" t="str">
        <f aca="false">IF(M512="L","Baixa",IF(M512="A","Média",IF(M512="","","Alta")))</f>
        <v/>
      </c>
      <c r="O512" s="47" t="str">
        <f aca="false">IF(ISBLANK(H512),"",IF(H512="ALI",IF(M512="L",7,IF(M512="A",10,15)),IF(H512="AIE",IF(M512="L",5,IF(M512="A",7,10)),IF(H512="SE",IF(M512="L",4,IF(M512="A",5,7)),IF(OR(H512="EE",H512="CE"),IF(M512="L",3,IF(M512="A",4,6)))))))</f>
        <v/>
      </c>
      <c r="P512" s="48" t="str">
        <f aca="false">IF(I512="I",O512*Contagem!$W$15,IF(I512="E",O512*Contagem!$W$17,IF(I512="A",O512*Contagem!$W$16,IF(I512="T",O512*Contagem!$W$18,""))))</f>
        <v/>
      </c>
      <c r="Q512" s="49"/>
    </row>
    <row r="513" customFormat="false" ht="12" hidden="false" customHeight="true" outlineLevel="0" collapsed="false">
      <c r="A513" s="40" t="n">
        <f aca="false">IF(H513="",IF(C513="",A512,A512+1),A512)</f>
        <v>62</v>
      </c>
      <c r="B513" s="41" t="str">
        <f aca="false">IF(A513=A512,"",CONCATENATE("F",A513))</f>
        <v/>
      </c>
      <c r="C513" s="42"/>
      <c r="D513" s="42"/>
      <c r="E513" s="42"/>
      <c r="F513" s="42"/>
      <c r="G513" s="42"/>
      <c r="H513" s="44"/>
      <c r="I513" s="50"/>
      <c r="J513" s="44"/>
      <c r="K513" s="44"/>
      <c r="L513" s="44" t="str">
        <f aca="false">CONCATENATE(H513,M513)</f>
        <v/>
      </c>
      <c r="M513" s="45" t="str">
        <f aca="false">IF(OR(ISBLANK(J513),ISBLANK(K513)),IF(OR(H513="ALI",H513="AIE"),"L",IF(ISBLANK(H513),"","A")),IF(H513="EE",IF(K513&gt;=3,IF(J513&gt;=5,"H","A"),IF(K513&gt;=2,IF(J513&gt;=16,"H",IF(J513&lt;=4,"L","A")),IF(J513&lt;=15,"L","A"))),IF(OR(H513="SE",H513="CE"),IF(K513&gt;=4,IF(J513&gt;=6,"H","A"),IF(K513&gt;=2,IF(J513&gt;=20,"H",IF(J513&lt;=5,"L","A")),IF(J513&lt;=19,"L","A"))),IF(OR(H513="ALI",H513="AIE"),IF(K513&gt;=6,IF(J513&gt;=20,"H","A"),IF(K513&gt;=2,IF(J513&gt;=51,"H",IF(J513&lt;=19,"L","A")),IF(J513&lt;=50,"L","A")))))))</f>
        <v/>
      </c>
      <c r="N513" s="46" t="str">
        <f aca="false">IF(M513="L","Baixa",IF(M513="A","Média",IF(M513="","","Alta")))</f>
        <v/>
      </c>
      <c r="O513" s="47" t="str">
        <f aca="false">IF(ISBLANK(H513),"",IF(H513="ALI",IF(M513="L",7,IF(M513="A",10,15)),IF(H513="AIE",IF(M513="L",5,IF(M513="A",7,10)),IF(H513="SE",IF(M513="L",4,IF(M513="A",5,7)),IF(OR(H513="EE",H513="CE"),IF(M513="L",3,IF(M513="A",4,6)))))))</f>
        <v/>
      </c>
      <c r="P513" s="48" t="str">
        <f aca="false">IF(I513="I",O513*Contagem!$W$15,IF(I513="E",O513*Contagem!$W$17,IF(I513="A",O513*Contagem!$W$16,IF(I513="T",O513*Contagem!$W$18,""))))</f>
        <v/>
      </c>
      <c r="Q513" s="49"/>
    </row>
    <row r="514" customFormat="false" ht="12" hidden="false" customHeight="true" outlineLevel="0" collapsed="false">
      <c r="A514" s="40" t="n">
        <f aca="false">IF(H514="",IF(C514="",A513,A513+1),A513)</f>
        <v>62</v>
      </c>
      <c r="B514" s="41" t="str">
        <f aca="false">IF(A514=A513,"",CONCATENATE("F",A514))</f>
        <v/>
      </c>
      <c r="C514" s="42"/>
      <c r="D514" s="42"/>
      <c r="E514" s="42"/>
      <c r="F514" s="42"/>
      <c r="G514" s="42"/>
      <c r="H514" s="44"/>
      <c r="I514" s="50"/>
      <c r="J514" s="44"/>
      <c r="K514" s="44"/>
      <c r="L514" s="44" t="str">
        <f aca="false">CONCATENATE(H514,M514)</f>
        <v/>
      </c>
      <c r="M514" s="45" t="str">
        <f aca="false">IF(OR(ISBLANK(J514),ISBLANK(K514)),IF(OR(H514="ALI",H514="AIE"),"L",IF(ISBLANK(H514),"","A")),IF(H514="EE",IF(K514&gt;=3,IF(J514&gt;=5,"H","A"),IF(K514&gt;=2,IF(J514&gt;=16,"H",IF(J514&lt;=4,"L","A")),IF(J514&lt;=15,"L","A"))),IF(OR(H514="SE",H514="CE"),IF(K514&gt;=4,IF(J514&gt;=6,"H","A"),IF(K514&gt;=2,IF(J514&gt;=20,"H",IF(J514&lt;=5,"L","A")),IF(J514&lt;=19,"L","A"))),IF(OR(H514="ALI",H514="AIE"),IF(K514&gt;=6,IF(J514&gt;=20,"H","A"),IF(K514&gt;=2,IF(J514&gt;=51,"H",IF(J514&lt;=19,"L","A")),IF(J514&lt;=50,"L","A")))))))</f>
        <v/>
      </c>
      <c r="N514" s="46" t="str">
        <f aca="false">IF(M514="L","Baixa",IF(M514="A","Média",IF(M514="","","Alta")))</f>
        <v/>
      </c>
      <c r="O514" s="47" t="str">
        <f aca="false">IF(ISBLANK(H514),"",IF(H514="ALI",IF(M514="L",7,IF(M514="A",10,15)),IF(H514="AIE",IF(M514="L",5,IF(M514="A",7,10)),IF(H514="SE",IF(M514="L",4,IF(M514="A",5,7)),IF(OR(H514="EE",H514="CE"),IF(M514="L",3,IF(M514="A",4,6)))))))</f>
        <v/>
      </c>
      <c r="P514" s="48" t="str">
        <f aca="false">IF(I514="I",O514*Contagem!$W$15,IF(I514="E",O514*Contagem!$W$17,IF(I514="A",O514*Contagem!$W$16,IF(I514="T",O514*Contagem!$W$18,""))))</f>
        <v/>
      </c>
      <c r="Q514" s="49"/>
    </row>
    <row r="515" customFormat="false" ht="12" hidden="false" customHeight="true" outlineLevel="0" collapsed="false">
      <c r="A515" s="40" t="n">
        <f aca="false">IF(H515="",IF(C515="",A514,A514+1),A514)</f>
        <v>62</v>
      </c>
      <c r="B515" s="41" t="str">
        <f aca="false">IF(A515=A514,"",CONCATENATE("F",A515))</f>
        <v/>
      </c>
      <c r="C515" s="42"/>
      <c r="D515" s="42"/>
      <c r="E515" s="42"/>
      <c r="F515" s="42"/>
      <c r="G515" s="42"/>
      <c r="H515" s="44"/>
      <c r="I515" s="50"/>
      <c r="J515" s="44"/>
      <c r="K515" s="44"/>
      <c r="L515" s="44" t="str">
        <f aca="false">CONCATENATE(H515,M515)</f>
        <v/>
      </c>
      <c r="M515" s="45" t="str">
        <f aca="false">IF(OR(ISBLANK(J515),ISBLANK(K515)),IF(OR(H515="ALI",H515="AIE"),"L",IF(ISBLANK(H515),"","A")),IF(H515="EE",IF(K515&gt;=3,IF(J515&gt;=5,"H","A"),IF(K515&gt;=2,IF(J515&gt;=16,"H",IF(J515&lt;=4,"L","A")),IF(J515&lt;=15,"L","A"))),IF(OR(H515="SE",H515="CE"),IF(K515&gt;=4,IF(J515&gt;=6,"H","A"),IF(K515&gt;=2,IF(J515&gt;=20,"H",IF(J515&lt;=5,"L","A")),IF(J515&lt;=19,"L","A"))),IF(OR(H515="ALI",H515="AIE"),IF(K515&gt;=6,IF(J515&gt;=20,"H","A"),IF(K515&gt;=2,IF(J515&gt;=51,"H",IF(J515&lt;=19,"L","A")),IF(J515&lt;=50,"L","A")))))))</f>
        <v/>
      </c>
      <c r="N515" s="46" t="str">
        <f aca="false">IF(M515="L","Baixa",IF(M515="A","Média",IF(M515="","","Alta")))</f>
        <v/>
      </c>
      <c r="O515" s="47" t="str">
        <f aca="false">IF(ISBLANK(H515),"",IF(H515="ALI",IF(M515="L",7,IF(M515="A",10,15)),IF(H515="AIE",IF(M515="L",5,IF(M515="A",7,10)),IF(H515="SE",IF(M515="L",4,IF(M515="A",5,7)),IF(OR(H515="EE",H515="CE"),IF(M515="L",3,IF(M515="A",4,6)))))))</f>
        <v/>
      </c>
      <c r="P515" s="48" t="str">
        <f aca="false">IF(I515="I",O515*Contagem!$W$15,IF(I515="E",O515*Contagem!$W$17,IF(I515="A",O515*Contagem!$W$16,IF(I515="T",O515*Contagem!$W$18,""))))</f>
        <v/>
      </c>
      <c r="Q515" s="49"/>
    </row>
    <row r="516" customFormat="false" ht="12" hidden="false" customHeight="true" outlineLevel="0" collapsed="false">
      <c r="A516" s="40" t="n">
        <f aca="false">IF(H516="",IF(C516="",A515,A515+1),A515)</f>
        <v>62</v>
      </c>
      <c r="B516" s="41" t="str">
        <f aca="false">IF(A516=A515,"",CONCATENATE("F",A516))</f>
        <v/>
      </c>
      <c r="C516" s="42"/>
      <c r="D516" s="42"/>
      <c r="E516" s="42"/>
      <c r="F516" s="42"/>
      <c r="G516" s="42"/>
      <c r="H516" s="44"/>
      <c r="I516" s="50"/>
      <c r="J516" s="44"/>
      <c r="K516" s="44"/>
      <c r="L516" s="44" t="str">
        <f aca="false">CONCATENATE(H516,M516)</f>
        <v/>
      </c>
      <c r="M516" s="45" t="str">
        <f aca="false">IF(OR(ISBLANK(J516),ISBLANK(K516)),IF(OR(H516="ALI",H516="AIE"),"L",IF(ISBLANK(H516),"","A")),IF(H516="EE",IF(K516&gt;=3,IF(J516&gt;=5,"H","A"),IF(K516&gt;=2,IF(J516&gt;=16,"H",IF(J516&lt;=4,"L","A")),IF(J516&lt;=15,"L","A"))),IF(OR(H516="SE",H516="CE"),IF(K516&gt;=4,IF(J516&gt;=6,"H","A"),IF(K516&gt;=2,IF(J516&gt;=20,"H",IF(J516&lt;=5,"L","A")),IF(J516&lt;=19,"L","A"))),IF(OR(H516="ALI",H516="AIE"),IF(K516&gt;=6,IF(J516&gt;=20,"H","A"),IF(K516&gt;=2,IF(J516&gt;=51,"H",IF(J516&lt;=19,"L","A")),IF(J516&lt;=50,"L","A")))))))</f>
        <v/>
      </c>
      <c r="N516" s="46" t="str">
        <f aca="false">IF(M516="L","Baixa",IF(M516="A","Média",IF(M516="","","Alta")))</f>
        <v/>
      </c>
      <c r="O516" s="47" t="str">
        <f aca="false">IF(ISBLANK(H516),"",IF(H516="ALI",IF(M516="L",7,IF(M516="A",10,15)),IF(H516="AIE",IF(M516="L",5,IF(M516="A",7,10)),IF(H516="SE",IF(M516="L",4,IF(M516="A",5,7)),IF(OR(H516="EE",H516="CE"),IF(M516="L",3,IF(M516="A",4,6)))))))</f>
        <v/>
      </c>
      <c r="P516" s="48" t="str">
        <f aca="false">IF(I516="I",O516*Contagem!$W$15,IF(I516="E",O516*Contagem!$W$17,IF(I516="A",O516*Contagem!$W$16,IF(I516="T",O516*Contagem!$W$18,""))))</f>
        <v/>
      </c>
      <c r="Q516" s="49"/>
    </row>
    <row r="517" customFormat="false" ht="12" hidden="false" customHeight="true" outlineLevel="0" collapsed="false">
      <c r="A517" s="40" t="n">
        <f aca="false">IF(H517="",IF(C517="",A516,A516+1),A516)</f>
        <v>62</v>
      </c>
      <c r="B517" s="41" t="str">
        <f aca="false">IF(A517=A516,"",CONCATENATE("F",A517))</f>
        <v/>
      </c>
      <c r="C517" s="42"/>
      <c r="D517" s="42"/>
      <c r="E517" s="42"/>
      <c r="F517" s="42"/>
      <c r="G517" s="42"/>
      <c r="H517" s="44"/>
      <c r="I517" s="50"/>
      <c r="J517" s="44"/>
      <c r="K517" s="44"/>
      <c r="L517" s="44" t="str">
        <f aca="false">CONCATENATE(H517,M517)</f>
        <v/>
      </c>
      <c r="M517" s="45" t="str">
        <f aca="false">IF(OR(ISBLANK(J517),ISBLANK(K517)),IF(OR(H517="ALI",H517="AIE"),"L",IF(ISBLANK(H517),"","A")),IF(H517="EE",IF(K517&gt;=3,IF(J517&gt;=5,"H","A"),IF(K517&gt;=2,IF(J517&gt;=16,"H",IF(J517&lt;=4,"L","A")),IF(J517&lt;=15,"L","A"))),IF(OR(H517="SE",H517="CE"),IF(K517&gt;=4,IF(J517&gt;=6,"H","A"),IF(K517&gt;=2,IF(J517&gt;=20,"H",IF(J517&lt;=5,"L","A")),IF(J517&lt;=19,"L","A"))),IF(OR(H517="ALI",H517="AIE"),IF(K517&gt;=6,IF(J517&gt;=20,"H","A"),IF(K517&gt;=2,IF(J517&gt;=51,"H",IF(J517&lt;=19,"L","A")),IF(J517&lt;=50,"L","A")))))))</f>
        <v/>
      </c>
      <c r="N517" s="46" t="str">
        <f aca="false">IF(M517="L","Baixa",IF(M517="A","Média",IF(M517="","","Alta")))</f>
        <v/>
      </c>
      <c r="O517" s="47" t="str">
        <f aca="false">IF(ISBLANK(H517),"",IF(H517="ALI",IF(M517="L",7,IF(M517="A",10,15)),IF(H517="AIE",IF(M517="L",5,IF(M517="A",7,10)),IF(H517="SE",IF(M517="L",4,IF(M517="A",5,7)),IF(OR(H517="EE",H517="CE"),IF(M517="L",3,IF(M517="A",4,6)))))))</f>
        <v/>
      </c>
      <c r="P517" s="48" t="str">
        <f aca="false">IF(I517="I",O517*Contagem!$W$15,IF(I517="E",O517*Contagem!$W$17,IF(I517="A",O517*Contagem!$W$16,IF(I517="T",O517*Contagem!$W$18,""))))</f>
        <v/>
      </c>
      <c r="Q517" s="49"/>
    </row>
    <row r="518" customFormat="false" ht="12" hidden="false" customHeight="true" outlineLevel="0" collapsed="false">
      <c r="A518" s="40" t="n">
        <f aca="false">IF(H518="",IF(C518="",A517,A517+1),A517)</f>
        <v>62</v>
      </c>
      <c r="B518" s="41" t="str">
        <f aca="false">IF(A518=A517,"",CONCATENATE("F",A518))</f>
        <v/>
      </c>
      <c r="C518" s="42"/>
      <c r="D518" s="42"/>
      <c r="E518" s="42"/>
      <c r="F518" s="42"/>
      <c r="G518" s="42"/>
      <c r="H518" s="44"/>
      <c r="I518" s="50"/>
      <c r="J518" s="44"/>
      <c r="K518" s="44"/>
      <c r="L518" s="44" t="str">
        <f aca="false">CONCATENATE(H518,M518)</f>
        <v/>
      </c>
      <c r="M518" s="45" t="str">
        <f aca="false">IF(OR(ISBLANK(J518),ISBLANK(K518)),IF(OR(H518="ALI",H518="AIE"),"L",IF(ISBLANK(H518),"","A")),IF(H518="EE",IF(K518&gt;=3,IF(J518&gt;=5,"H","A"),IF(K518&gt;=2,IF(J518&gt;=16,"H",IF(J518&lt;=4,"L","A")),IF(J518&lt;=15,"L","A"))),IF(OR(H518="SE",H518="CE"),IF(K518&gt;=4,IF(J518&gt;=6,"H","A"),IF(K518&gt;=2,IF(J518&gt;=20,"H",IF(J518&lt;=5,"L","A")),IF(J518&lt;=19,"L","A"))),IF(OR(H518="ALI",H518="AIE"),IF(K518&gt;=6,IF(J518&gt;=20,"H","A"),IF(K518&gt;=2,IF(J518&gt;=51,"H",IF(J518&lt;=19,"L","A")),IF(J518&lt;=50,"L","A")))))))</f>
        <v/>
      </c>
      <c r="N518" s="46" t="str">
        <f aca="false">IF(M518="L","Baixa",IF(M518="A","Média",IF(M518="","","Alta")))</f>
        <v/>
      </c>
      <c r="O518" s="47" t="str">
        <f aca="false">IF(ISBLANK(H518),"",IF(H518="ALI",IF(M518="L",7,IF(M518="A",10,15)),IF(H518="AIE",IF(M518="L",5,IF(M518="A",7,10)),IF(H518="SE",IF(M518="L",4,IF(M518="A",5,7)),IF(OR(H518="EE",H518="CE"),IF(M518="L",3,IF(M518="A",4,6)))))))</f>
        <v/>
      </c>
      <c r="P518" s="48" t="str">
        <f aca="false">IF(I518="I",O518*Contagem!$W$15,IF(I518="E",O518*Contagem!$W$17,IF(I518="A",O518*Contagem!$W$16,IF(I518="T",O518*Contagem!$W$18,""))))</f>
        <v/>
      </c>
      <c r="Q518" s="49"/>
    </row>
    <row r="519" customFormat="false" ht="12" hidden="false" customHeight="true" outlineLevel="0" collapsed="false">
      <c r="A519" s="40" t="n">
        <f aca="false">IF(H519="",IF(C519="",A518,A518+1),A518)</f>
        <v>62</v>
      </c>
      <c r="B519" s="41" t="str">
        <f aca="false">IF(A519=A518,"",CONCATENATE("F",A519))</f>
        <v/>
      </c>
      <c r="C519" s="42"/>
      <c r="D519" s="42"/>
      <c r="E519" s="42"/>
      <c r="F519" s="42"/>
      <c r="G519" s="42"/>
      <c r="H519" s="44"/>
      <c r="I519" s="50"/>
      <c r="J519" s="44"/>
      <c r="K519" s="44"/>
      <c r="L519" s="44" t="str">
        <f aca="false">CONCATENATE(H519,M519)</f>
        <v/>
      </c>
      <c r="M519" s="45" t="str">
        <f aca="false">IF(OR(ISBLANK(J519),ISBLANK(K519)),IF(OR(H519="ALI",H519="AIE"),"L",IF(ISBLANK(H519),"","A")),IF(H519="EE",IF(K519&gt;=3,IF(J519&gt;=5,"H","A"),IF(K519&gt;=2,IF(J519&gt;=16,"H",IF(J519&lt;=4,"L","A")),IF(J519&lt;=15,"L","A"))),IF(OR(H519="SE",H519="CE"),IF(K519&gt;=4,IF(J519&gt;=6,"H","A"),IF(K519&gt;=2,IF(J519&gt;=20,"H",IF(J519&lt;=5,"L","A")),IF(J519&lt;=19,"L","A"))),IF(OR(H519="ALI",H519="AIE"),IF(K519&gt;=6,IF(J519&gt;=20,"H","A"),IF(K519&gt;=2,IF(J519&gt;=51,"H",IF(J519&lt;=19,"L","A")),IF(J519&lt;=50,"L","A")))))))</f>
        <v/>
      </c>
      <c r="N519" s="46" t="str">
        <f aca="false">IF(M519="L","Baixa",IF(M519="A","Média",IF(M519="","","Alta")))</f>
        <v/>
      </c>
      <c r="O519" s="47" t="str">
        <f aca="false">IF(ISBLANK(H519),"",IF(H519="ALI",IF(M519="L",7,IF(M519="A",10,15)),IF(H519="AIE",IF(M519="L",5,IF(M519="A",7,10)),IF(H519="SE",IF(M519="L",4,IF(M519="A",5,7)),IF(OR(H519="EE",H519="CE"),IF(M519="L",3,IF(M519="A",4,6)))))))</f>
        <v/>
      </c>
      <c r="P519" s="48" t="str">
        <f aca="false">IF(I519="I",O519*Contagem!$W$15,IF(I519="E",O519*Contagem!$W$17,IF(I519="A",O519*Contagem!$W$16,IF(I519="T",O519*Contagem!$W$18,""))))</f>
        <v/>
      </c>
      <c r="Q519" s="49"/>
    </row>
    <row r="520" customFormat="false" ht="12" hidden="false" customHeight="true" outlineLevel="0" collapsed="false">
      <c r="A520" s="40" t="n">
        <f aca="false">IF(H520="",IF(C520="",A519,A519+1),A519)</f>
        <v>62</v>
      </c>
      <c r="B520" s="41" t="str">
        <f aca="false">IF(A520=A519,"",CONCATENATE("F",A520))</f>
        <v/>
      </c>
      <c r="C520" s="42"/>
      <c r="D520" s="42"/>
      <c r="E520" s="42"/>
      <c r="F520" s="42"/>
      <c r="G520" s="42"/>
      <c r="H520" s="44"/>
      <c r="I520" s="50"/>
      <c r="J520" s="44"/>
      <c r="K520" s="44"/>
      <c r="L520" s="44" t="str">
        <f aca="false">CONCATENATE(H520,M520)</f>
        <v/>
      </c>
      <c r="M520" s="45" t="str">
        <f aca="false">IF(OR(ISBLANK(J520),ISBLANK(K520)),IF(OR(H520="ALI",H520="AIE"),"L",IF(ISBLANK(H520),"","A")),IF(H520="EE",IF(K520&gt;=3,IF(J520&gt;=5,"H","A"),IF(K520&gt;=2,IF(J520&gt;=16,"H",IF(J520&lt;=4,"L","A")),IF(J520&lt;=15,"L","A"))),IF(OR(H520="SE",H520="CE"),IF(K520&gt;=4,IF(J520&gt;=6,"H","A"),IF(K520&gt;=2,IF(J520&gt;=20,"H",IF(J520&lt;=5,"L","A")),IF(J520&lt;=19,"L","A"))),IF(OR(H520="ALI",H520="AIE"),IF(K520&gt;=6,IF(J520&gt;=20,"H","A"),IF(K520&gt;=2,IF(J520&gt;=51,"H",IF(J520&lt;=19,"L","A")),IF(J520&lt;=50,"L","A")))))))</f>
        <v/>
      </c>
      <c r="N520" s="46" t="str">
        <f aca="false">IF(M520="L","Baixa",IF(M520="A","Média",IF(M520="","","Alta")))</f>
        <v/>
      </c>
      <c r="O520" s="47" t="str">
        <f aca="false">IF(ISBLANK(H520),"",IF(H520="ALI",IF(M520="L",7,IF(M520="A",10,15)),IF(H520="AIE",IF(M520="L",5,IF(M520="A",7,10)),IF(H520="SE",IF(M520="L",4,IF(M520="A",5,7)),IF(OR(H520="EE",H520="CE"),IF(M520="L",3,IF(M520="A",4,6)))))))</f>
        <v/>
      </c>
      <c r="P520" s="48" t="str">
        <f aca="false">IF(I520="I",O520*Contagem!$W$15,IF(I520="E",O520*Contagem!$W$17,IF(I520="A",O520*Contagem!$W$16,IF(I520="T",O520*Contagem!$W$18,""))))</f>
        <v/>
      </c>
      <c r="Q520" s="49"/>
    </row>
    <row r="521" customFormat="false" ht="12" hidden="false" customHeight="true" outlineLevel="0" collapsed="false">
      <c r="A521" s="40" t="n">
        <f aca="false">IF(H521="",IF(C521="",A520,A520+1),A520)</f>
        <v>62</v>
      </c>
      <c r="B521" s="41" t="str">
        <f aca="false">IF(A521=A520,"",CONCATENATE("F",A521))</f>
        <v/>
      </c>
      <c r="C521" s="42"/>
      <c r="D521" s="42"/>
      <c r="E521" s="42"/>
      <c r="F521" s="42"/>
      <c r="G521" s="42"/>
      <c r="H521" s="44"/>
      <c r="I521" s="50"/>
      <c r="J521" s="44"/>
      <c r="K521" s="44"/>
      <c r="L521" s="44" t="str">
        <f aca="false">CONCATENATE(H521,M521)</f>
        <v/>
      </c>
      <c r="M521" s="45" t="str">
        <f aca="false">IF(OR(ISBLANK(J521),ISBLANK(K521)),IF(OR(H521="ALI",H521="AIE"),"L",IF(ISBLANK(H521),"","A")),IF(H521="EE",IF(K521&gt;=3,IF(J521&gt;=5,"H","A"),IF(K521&gt;=2,IF(J521&gt;=16,"H",IF(J521&lt;=4,"L","A")),IF(J521&lt;=15,"L","A"))),IF(OR(H521="SE",H521="CE"),IF(K521&gt;=4,IF(J521&gt;=6,"H","A"),IF(K521&gt;=2,IF(J521&gt;=20,"H",IF(J521&lt;=5,"L","A")),IF(J521&lt;=19,"L","A"))),IF(OR(H521="ALI",H521="AIE"),IF(K521&gt;=6,IF(J521&gt;=20,"H","A"),IF(K521&gt;=2,IF(J521&gt;=51,"H",IF(J521&lt;=19,"L","A")),IF(J521&lt;=50,"L","A")))))))</f>
        <v/>
      </c>
      <c r="N521" s="46" t="str">
        <f aca="false">IF(M521="L","Baixa",IF(M521="A","Média",IF(M521="","","Alta")))</f>
        <v/>
      </c>
      <c r="O521" s="47" t="str">
        <f aca="false">IF(ISBLANK(H521),"",IF(H521="ALI",IF(M521="L",7,IF(M521="A",10,15)),IF(H521="AIE",IF(M521="L",5,IF(M521="A",7,10)),IF(H521="SE",IF(M521="L",4,IF(M521="A",5,7)),IF(OR(H521="EE",H521="CE"),IF(M521="L",3,IF(M521="A",4,6)))))))</f>
        <v/>
      </c>
      <c r="P521" s="48" t="str">
        <f aca="false">IF(I521="I",O521*Contagem!$W$15,IF(I521="E",O521*Contagem!$W$17,IF(I521="A",O521*Contagem!$W$16,IF(I521="T",O521*Contagem!$W$18,""))))</f>
        <v/>
      </c>
      <c r="Q521" s="49"/>
    </row>
    <row r="522" customFormat="false" ht="12" hidden="false" customHeight="true" outlineLevel="0" collapsed="false">
      <c r="A522" s="40" t="n">
        <f aca="false">IF(H522="",IF(C522="",A521,A521+1),A521)</f>
        <v>62</v>
      </c>
      <c r="B522" s="41" t="str">
        <f aca="false">IF(A522=A521,"",CONCATENATE("F",A522))</f>
        <v/>
      </c>
      <c r="C522" s="42"/>
      <c r="D522" s="42"/>
      <c r="E522" s="42"/>
      <c r="F522" s="42"/>
      <c r="G522" s="42"/>
      <c r="H522" s="44"/>
      <c r="I522" s="50"/>
      <c r="J522" s="44"/>
      <c r="K522" s="44"/>
      <c r="L522" s="44" t="str">
        <f aca="false">CONCATENATE(H522,M522)</f>
        <v/>
      </c>
      <c r="M522" s="45" t="str">
        <f aca="false">IF(OR(ISBLANK(J522),ISBLANK(K522)),IF(OR(H522="ALI",H522="AIE"),"L",IF(ISBLANK(H522),"","A")),IF(H522="EE",IF(K522&gt;=3,IF(J522&gt;=5,"H","A"),IF(K522&gt;=2,IF(J522&gt;=16,"H",IF(J522&lt;=4,"L","A")),IF(J522&lt;=15,"L","A"))),IF(OR(H522="SE",H522="CE"),IF(K522&gt;=4,IF(J522&gt;=6,"H","A"),IF(K522&gt;=2,IF(J522&gt;=20,"H",IF(J522&lt;=5,"L","A")),IF(J522&lt;=19,"L","A"))),IF(OR(H522="ALI",H522="AIE"),IF(K522&gt;=6,IF(J522&gt;=20,"H","A"),IF(K522&gt;=2,IF(J522&gt;=51,"H",IF(J522&lt;=19,"L","A")),IF(J522&lt;=50,"L","A")))))))</f>
        <v/>
      </c>
      <c r="N522" s="46" t="str">
        <f aca="false">IF(M522="L","Baixa",IF(M522="A","Média",IF(M522="","","Alta")))</f>
        <v/>
      </c>
      <c r="O522" s="47" t="str">
        <f aca="false">IF(ISBLANK(H522),"",IF(H522="ALI",IF(M522="L",7,IF(M522="A",10,15)),IF(H522="AIE",IF(M522="L",5,IF(M522="A",7,10)),IF(H522="SE",IF(M522="L",4,IF(M522="A",5,7)),IF(OR(H522="EE",H522="CE"),IF(M522="L",3,IF(M522="A",4,6)))))))</f>
        <v/>
      </c>
      <c r="P522" s="48" t="str">
        <f aca="false">IF(I522="I",O522*Contagem!$W$15,IF(I522="E",O522*Contagem!$W$17,IF(I522="A",O522*Contagem!$W$16,IF(I522="T",O522*Contagem!$W$18,""))))</f>
        <v/>
      </c>
      <c r="Q522" s="49"/>
    </row>
    <row r="523" customFormat="false" ht="12" hidden="false" customHeight="true" outlineLevel="0" collapsed="false">
      <c r="A523" s="40" t="n">
        <f aca="false">IF(H523="",IF(C523="",A522,A522+1),A522)</f>
        <v>62</v>
      </c>
      <c r="B523" s="41" t="str">
        <f aca="false">IF(A523=A522,"",CONCATENATE("F",A523))</f>
        <v/>
      </c>
      <c r="C523" s="42"/>
      <c r="D523" s="42"/>
      <c r="E523" s="42"/>
      <c r="F523" s="42"/>
      <c r="G523" s="42"/>
      <c r="H523" s="44"/>
      <c r="I523" s="50"/>
      <c r="J523" s="44"/>
      <c r="K523" s="44"/>
      <c r="L523" s="44" t="str">
        <f aca="false">CONCATENATE(H523,M523)</f>
        <v/>
      </c>
      <c r="M523" s="45" t="str">
        <f aca="false">IF(OR(ISBLANK(J523),ISBLANK(K523)),IF(OR(H523="ALI",H523="AIE"),"L",IF(ISBLANK(H523),"","A")),IF(H523="EE",IF(K523&gt;=3,IF(J523&gt;=5,"H","A"),IF(K523&gt;=2,IF(J523&gt;=16,"H",IF(J523&lt;=4,"L","A")),IF(J523&lt;=15,"L","A"))),IF(OR(H523="SE",H523="CE"),IF(K523&gt;=4,IF(J523&gt;=6,"H","A"),IF(K523&gt;=2,IF(J523&gt;=20,"H",IF(J523&lt;=5,"L","A")),IF(J523&lt;=19,"L","A"))),IF(OR(H523="ALI",H523="AIE"),IF(K523&gt;=6,IF(J523&gt;=20,"H","A"),IF(K523&gt;=2,IF(J523&gt;=51,"H",IF(J523&lt;=19,"L","A")),IF(J523&lt;=50,"L","A")))))))</f>
        <v/>
      </c>
      <c r="N523" s="46" t="str">
        <f aca="false">IF(M523="L","Baixa",IF(M523="A","Média",IF(M523="","","Alta")))</f>
        <v/>
      </c>
      <c r="O523" s="47" t="str">
        <f aca="false">IF(ISBLANK(H523),"",IF(H523="ALI",IF(M523="L",7,IF(M523="A",10,15)),IF(H523="AIE",IF(M523="L",5,IF(M523="A",7,10)),IF(H523="SE",IF(M523="L",4,IF(M523="A",5,7)),IF(OR(H523="EE",H523="CE"),IF(M523="L",3,IF(M523="A",4,6)))))))</f>
        <v/>
      </c>
      <c r="P523" s="48" t="str">
        <f aca="false">IF(I523="I",O523*Contagem!$W$15,IF(I523="E",O523*Contagem!$W$17,IF(I523="A",O523*Contagem!$W$16,IF(I523="T",O523*Contagem!$W$18,""))))</f>
        <v/>
      </c>
      <c r="Q523" s="49"/>
    </row>
    <row r="524" customFormat="false" ht="12" hidden="false" customHeight="true" outlineLevel="0" collapsed="false">
      <c r="A524" s="40" t="n">
        <f aca="false">IF(H524="",IF(C524="",A523,A523+1),A523)</f>
        <v>62</v>
      </c>
      <c r="B524" s="41" t="str">
        <f aca="false">IF(A524=A523,"",CONCATENATE("F",A524))</f>
        <v/>
      </c>
      <c r="C524" s="42"/>
      <c r="D524" s="42"/>
      <c r="E524" s="42"/>
      <c r="F524" s="42"/>
      <c r="G524" s="42"/>
      <c r="H524" s="44"/>
      <c r="I524" s="50"/>
      <c r="J524" s="44"/>
      <c r="K524" s="44"/>
      <c r="L524" s="44" t="str">
        <f aca="false">CONCATENATE(H524,M524)</f>
        <v/>
      </c>
      <c r="M524" s="45" t="str">
        <f aca="false">IF(OR(ISBLANK(J524),ISBLANK(K524)),IF(OR(H524="ALI",H524="AIE"),"L",IF(ISBLANK(H524),"","A")),IF(H524="EE",IF(K524&gt;=3,IF(J524&gt;=5,"H","A"),IF(K524&gt;=2,IF(J524&gt;=16,"H",IF(J524&lt;=4,"L","A")),IF(J524&lt;=15,"L","A"))),IF(OR(H524="SE",H524="CE"),IF(K524&gt;=4,IF(J524&gt;=6,"H","A"),IF(K524&gt;=2,IF(J524&gt;=20,"H",IF(J524&lt;=5,"L","A")),IF(J524&lt;=19,"L","A"))),IF(OR(H524="ALI",H524="AIE"),IF(K524&gt;=6,IF(J524&gt;=20,"H","A"),IF(K524&gt;=2,IF(J524&gt;=51,"H",IF(J524&lt;=19,"L","A")),IF(J524&lt;=50,"L","A")))))))</f>
        <v/>
      </c>
      <c r="N524" s="46" t="str">
        <f aca="false">IF(M524="L","Baixa",IF(M524="A","Média",IF(M524="","","Alta")))</f>
        <v/>
      </c>
      <c r="O524" s="47" t="str">
        <f aca="false">IF(ISBLANK(H524),"",IF(H524="ALI",IF(M524="L",7,IF(M524="A",10,15)),IF(H524="AIE",IF(M524="L",5,IF(M524="A",7,10)),IF(H524="SE",IF(M524="L",4,IF(M524="A",5,7)),IF(OR(H524="EE",H524="CE"),IF(M524="L",3,IF(M524="A",4,6)))))))</f>
        <v/>
      </c>
      <c r="P524" s="48" t="str">
        <f aca="false">IF(I524="I",O524*Contagem!$W$15,IF(I524="E",O524*Contagem!$W$17,IF(I524="A",O524*Contagem!$W$16,IF(I524="T",O524*Contagem!$W$18,""))))</f>
        <v/>
      </c>
      <c r="Q524" s="49"/>
    </row>
    <row r="525" customFormat="false" ht="12" hidden="false" customHeight="true" outlineLevel="0" collapsed="false">
      <c r="A525" s="40" t="n">
        <f aca="false">IF(H525="",IF(C525="",A524,A524+1),A524)</f>
        <v>62</v>
      </c>
      <c r="B525" s="41" t="str">
        <f aca="false">IF(A525=A524,"",CONCATENATE("F",A525))</f>
        <v/>
      </c>
      <c r="C525" s="42"/>
      <c r="D525" s="42"/>
      <c r="E525" s="42"/>
      <c r="F525" s="42"/>
      <c r="G525" s="42"/>
      <c r="H525" s="44"/>
      <c r="I525" s="50"/>
      <c r="J525" s="44"/>
      <c r="K525" s="44"/>
      <c r="L525" s="44" t="str">
        <f aca="false">CONCATENATE(H525,M525)</f>
        <v/>
      </c>
      <c r="M525" s="45" t="str">
        <f aca="false">IF(OR(ISBLANK(J525),ISBLANK(K525)),IF(OR(H525="ALI",H525="AIE"),"L",IF(ISBLANK(H525),"","A")),IF(H525="EE",IF(K525&gt;=3,IF(J525&gt;=5,"H","A"),IF(K525&gt;=2,IF(J525&gt;=16,"H",IF(J525&lt;=4,"L","A")),IF(J525&lt;=15,"L","A"))),IF(OR(H525="SE",H525="CE"),IF(K525&gt;=4,IF(J525&gt;=6,"H","A"),IF(K525&gt;=2,IF(J525&gt;=20,"H",IF(J525&lt;=5,"L","A")),IF(J525&lt;=19,"L","A"))),IF(OR(H525="ALI",H525="AIE"),IF(K525&gt;=6,IF(J525&gt;=20,"H","A"),IF(K525&gt;=2,IF(J525&gt;=51,"H",IF(J525&lt;=19,"L","A")),IF(J525&lt;=50,"L","A")))))))</f>
        <v/>
      </c>
      <c r="N525" s="46" t="str">
        <f aca="false">IF(M525="L","Baixa",IF(M525="A","Média",IF(M525="","","Alta")))</f>
        <v/>
      </c>
      <c r="O525" s="47" t="str">
        <f aca="false">IF(ISBLANK(H525),"",IF(H525="ALI",IF(M525="L",7,IF(M525="A",10,15)),IF(H525="AIE",IF(M525="L",5,IF(M525="A",7,10)),IF(H525="SE",IF(M525="L",4,IF(M525="A",5,7)),IF(OR(H525="EE",H525="CE"),IF(M525="L",3,IF(M525="A",4,6)))))))</f>
        <v/>
      </c>
      <c r="P525" s="48" t="str">
        <f aca="false">IF(I525="I",O525*Contagem!$W$15,IF(I525="E",O525*Contagem!$W$17,IF(I525="A",O525*Contagem!$W$16,IF(I525="T",O525*Contagem!$W$18,""))))</f>
        <v/>
      </c>
      <c r="Q525" s="49"/>
    </row>
    <row r="526" customFormat="false" ht="12" hidden="false" customHeight="true" outlineLevel="0" collapsed="false">
      <c r="A526" s="40" t="n">
        <f aca="false">IF(H526="",IF(C526="",A525,A525+1),A525)</f>
        <v>62</v>
      </c>
      <c r="B526" s="41" t="str">
        <f aca="false">IF(A526=A525,"",CONCATENATE("F",A526))</f>
        <v/>
      </c>
      <c r="C526" s="42"/>
      <c r="D526" s="42"/>
      <c r="E526" s="42"/>
      <c r="F526" s="42"/>
      <c r="G526" s="42"/>
      <c r="H526" s="44"/>
      <c r="I526" s="50"/>
      <c r="J526" s="44"/>
      <c r="K526" s="44"/>
      <c r="L526" s="44" t="str">
        <f aca="false">CONCATENATE(H526,M526)</f>
        <v/>
      </c>
      <c r="M526" s="45" t="str">
        <f aca="false">IF(OR(ISBLANK(J526),ISBLANK(K526)),IF(OR(H526="ALI",H526="AIE"),"L",IF(ISBLANK(H526),"","A")),IF(H526="EE",IF(K526&gt;=3,IF(J526&gt;=5,"H","A"),IF(K526&gt;=2,IF(J526&gt;=16,"H",IF(J526&lt;=4,"L","A")),IF(J526&lt;=15,"L","A"))),IF(OR(H526="SE",H526="CE"),IF(K526&gt;=4,IF(J526&gt;=6,"H","A"),IF(K526&gt;=2,IF(J526&gt;=20,"H",IF(J526&lt;=5,"L","A")),IF(J526&lt;=19,"L","A"))),IF(OR(H526="ALI",H526="AIE"),IF(K526&gt;=6,IF(J526&gt;=20,"H","A"),IF(K526&gt;=2,IF(J526&gt;=51,"H",IF(J526&lt;=19,"L","A")),IF(J526&lt;=50,"L","A")))))))</f>
        <v/>
      </c>
      <c r="N526" s="46" t="str">
        <f aca="false">IF(M526="L","Baixa",IF(M526="A","Média",IF(M526="","","Alta")))</f>
        <v/>
      </c>
      <c r="O526" s="47" t="str">
        <f aca="false">IF(ISBLANK(H526),"",IF(H526="ALI",IF(M526="L",7,IF(M526="A",10,15)),IF(H526="AIE",IF(M526="L",5,IF(M526="A",7,10)),IF(H526="SE",IF(M526="L",4,IF(M526="A",5,7)),IF(OR(H526="EE",H526="CE"),IF(M526="L",3,IF(M526="A",4,6)))))))</f>
        <v/>
      </c>
      <c r="P526" s="48" t="str">
        <f aca="false">IF(I526="I",O526*Contagem!$W$15,IF(I526="E",O526*Contagem!$W$17,IF(I526="A",O526*Contagem!$W$16,IF(I526="T",O526*Contagem!$W$18,""))))</f>
        <v/>
      </c>
      <c r="Q526" s="49"/>
    </row>
    <row r="527" customFormat="false" ht="12" hidden="false" customHeight="true" outlineLevel="0" collapsed="false">
      <c r="A527" s="40" t="n">
        <f aca="false">IF(H527="",IF(C527="",A526,A526+1),A526)</f>
        <v>62</v>
      </c>
      <c r="B527" s="41" t="str">
        <f aca="false">IF(A527=A526,"",CONCATENATE("F",A527))</f>
        <v/>
      </c>
      <c r="C527" s="42"/>
      <c r="D527" s="42"/>
      <c r="E527" s="42"/>
      <c r="F527" s="42"/>
      <c r="G527" s="42"/>
      <c r="H527" s="44"/>
      <c r="I527" s="50"/>
      <c r="J527" s="44"/>
      <c r="K527" s="44"/>
      <c r="L527" s="44" t="str">
        <f aca="false">CONCATENATE(H527,M527)</f>
        <v/>
      </c>
      <c r="M527" s="45" t="str">
        <f aca="false">IF(OR(ISBLANK(J527),ISBLANK(K527)),IF(OR(H527="ALI",H527="AIE"),"L",IF(ISBLANK(H527),"","A")),IF(H527="EE",IF(K527&gt;=3,IF(J527&gt;=5,"H","A"),IF(K527&gt;=2,IF(J527&gt;=16,"H",IF(J527&lt;=4,"L","A")),IF(J527&lt;=15,"L","A"))),IF(OR(H527="SE",H527="CE"),IF(K527&gt;=4,IF(J527&gt;=6,"H","A"),IF(K527&gt;=2,IF(J527&gt;=20,"H",IF(J527&lt;=5,"L","A")),IF(J527&lt;=19,"L","A"))),IF(OR(H527="ALI",H527="AIE"),IF(K527&gt;=6,IF(J527&gt;=20,"H","A"),IF(K527&gt;=2,IF(J527&gt;=51,"H",IF(J527&lt;=19,"L","A")),IF(J527&lt;=50,"L","A")))))))</f>
        <v/>
      </c>
      <c r="N527" s="46" t="str">
        <f aca="false">IF(M527="L","Baixa",IF(M527="A","Média",IF(M527="","","Alta")))</f>
        <v/>
      </c>
      <c r="O527" s="47" t="str">
        <f aca="false">IF(ISBLANK(H527),"",IF(H527="ALI",IF(M527="L",7,IF(M527="A",10,15)),IF(H527="AIE",IF(M527="L",5,IF(M527="A",7,10)),IF(H527="SE",IF(M527="L",4,IF(M527="A",5,7)),IF(OR(H527="EE",H527="CE"),IF(M527="L",3,IF(M527="A",4,6)))))))</f>
        <v/>
      </c>
      <c r="P527" s="48" t="str">
        <f aca="false">IF(I527="I",O527*Contagem!$W$15,IF(I527="E",O527*Contagem!$W$17,IF(I527="A",O527*Contagem!$W$16,IF(I527="T",O527*Contagem!$W$18,""))))</f>
        <v/>
      </c>
      <c r="Q527" s="49"/>
    </row>
    <row r="528" customFormat="false" ht="12" hidden="false" customHeight="true" outlineLevel="0" collapsed="false">
      <c r="A528" s="40" t="n">
        <f aca="false">IF(H528="",IF(C528="",A527,A527+1),A527)</f>
        <v>62</v>
      </c>
      <c r="B528" s="41" t="str">
        <f aca="false">IF(A528=A527,"",CONCATENATE("F",A528))</f>
        <v/>
      </c>
      <c r="C528" s="42"/>
      <c r="D528" s="42"/>
      <c r="E528" s="42"/>
      <c r="F528" s="42"/>
      <c r="G528" s="42"/>
      <c r="H528" s="44"/>
      <c r="I528" s="50"/>
      <c r="J528" s="44"/>
      <c r="K528" s="44"/>
      <c r="L528" s="44" t="str">
        <f aca="false">CONCATENATE(H528,M528)</f>
        <v/>
      </c>
      <c r="M528" s="45" t="str">
        <f aca="false">IF(OR(ISBLANK(J528),ISBLANK(K528)),IF(OR(H528="ALI",H528="AIE"),"L",IF(ISBLANK(H528),"","A")),IF(H528="EE",IF(K528&gt;=3,IF(J528&gt;=5,"H","A"),IF(K528&gt;=2,IF(J528&gt;=16,"H",IF(J528&lt;=4,"L","A")),IF(J528&lt;=15,"L","A"))),IF(OR(H528="SE",H528="CE"),IF(K528&gt;=4,IF(J528&gt;=6,"H","A"),IF(K528&gt;=2,IF(J528&gt;=20,"H",IF(J528&lt;=5,"L","A")),IF(J528&lt;=19,"L","A"))),IF(OR(H528="ALI",H528="AIE"),IF(K528&gt;=6,IF(J528&gt;=20,"H","A"),IF(K528&gt;=2,IF(J528&gt;=51,"H",IF(J528&lt;=19,"L","A")),IF(J528&lt;=50,"L","A")))))))</f>
        <v/>
      </c>
      <c r="N528" s="46" t="str">
        <f aca="false">IF(M528="L","Baixa",IF(M528="A","Média",IF(M528="","","Alta")))</f>
        <v/>
      </c>
      <c r="O528" s="47" t="str">
        <f aca="false">IF(ISBLANK(H528),"",IF(H528="ALI",IF(M528="L",7,IF(M528="A",10,15)),IF(H528="AIE",IF(M528="L",5,IF(M528="A",7,10)),IF(H528="SE",IF(M528="L",4,IF(M528="A",5,7)),IF(OR(H528="EE",H528="CE"),IF(M528="L",3,IF(M528="A",4,6)))))))</f>
        <v/>
      </c>
      <c r="P528" s="48" t="str">
        <f aca="false">IF(I528="I",O528*Contagem!$W$15,IF(I528="E",O528*Contagem!$W$17,IF(I528="A",O528*Contagem!$W$16,IF(I528="T",O528*Contagem!$W$18,""))))</f>
        <v/>
      </c>
      <c r="Q528" s="49"/>
    </row>
    <row r="529" customFormat="false" ht="12" hidden="false" customHeight="true" outlineLevel="0" collapsed="false">
      <c r="A529" s="40" t="n">
        <f aca="false">IF(H529="",IF(C529="",A528,A528+1),A528)</f>
        <v>62</v>
      </c>
      <c r="B529" s="41" t="str">
        <f aca="false">IF(A529=A528,"",CONCATENATE("F",A529))</f>
        <v/>
      </c>
      <c r="C529" s="42"/>
      <c r="D529" s="42"/>
      <c r="E529" s="42"/>
      <c r="F529" s="42"/>
      <c r="G529" s="42"/>
      <c r="H529" s="44"/>
      <c r="I529" s="50"/>
      <c r="J529" s="44"/>
      <c r="K529" s="44"/>
      <c r="L529" s="44" t="str">
        <f aca="false">CONCATENATE(H529,M529)</f>
        <v/>
      </c>
      <c r="M529" s="45" t="str">
        <f aca="false">IF(OR(ISBLANK(J529),ISBLANK(K529)),IF(OR(H529="ALI",H529="AIE"),"L",IF(ISBLANK(H529),"","A")),IF(H529="EE",IF(K529&gt;=3,IF(J529&gt;=5,"H","A"),IF(K529&gt;=2,IF(J529&gt;=16,"H",IF(J529&lt;=4,"L","A")),IF(J529&lt;=15,"L","A"))),IF(OR(H529="SE",H529="CE"),IF(K529&gt;=4,IF(J529&gt;=6,"H","A"),IF(K529&gt;=2,IF(J529&gt;=20,"H",IF(J529&lt;=5,"L","A")),IF(J529&lt;=19,"L","A"))),IF(OR(H529="ALI",H529="AIE"),IF(K529&gt;=6,IF(J529&gt;=20,"H","A"),IF(K529&gt;=2,IF(J529&gt;=51,"H",IF(J529&lt;=19,"L","A")),IF(J529&lt;=50,"L","A")))))))</f>
        <v/>
      </c>
      <c r="N529" s="46" t="str">
        <f aca="false">IF(M529="L","Baixa",IF(M529="A","Média",IF(M529="","","Alta")))</f>
        <v/>
      </c>
      <c r="O529" s="47" t="str">
        <f aca="false">IF(ISBLANK(H529),"",IF(H529="ALI",IF(M529="L",7,IF(M529="A",10,15)),IF(H529="AIE",IF(M529="L",5,IF(M529="A",7,10)),IF(H529="SE",IF(M529="L",4,IF(M529="A",5,7)),IF(OR(H529="EE",H529="CE"),IF(M529="L",3,IF(M529="A",4,6)))))))</f>
        <v/>
      </c>
      <c r="P529" s="48" t="str">
        <f aca="false">IF(I529="I",O529*Contagem!$W$15,IF(I529="E",O529*Contagem!$W$17,IF(I529="A",O529*Contagem!$W$16,IF(I529="T",O529*Contagem!$W$18,""))))</f>
        <v/>
      </c>
      <c r="Q529" s="49"/>
    </row>
    <row r="530" customFormat="false" ht="12" hidden="false" customHeight="true" outlineLevel="0" collapsed="false">
      <c r="A530" s="40" t="n">
        <f aca="false">IF(H530="",IF(C530="",A529,A529+1),A529)</f>
        <v>62</v>
      </c>
      <c r="B530" s="41" t="str">
        <f aca="false">IF(A530=A529,"",CONCATENATE("F",A530))</f>
        <v/>
      </c>
      <c r="C530" s="42"/>
      <c r="D530" s="42"/>
      <c r="E530" s="42"/>
      <c r="F530" s="42"/>
      <c r="G530" s="42"/>
      <c r="H530" s="44"/>
      <c r="I530" s="50"/>
      <c r="J530" s="44"/>
      <c r="K530" s="44"/>
      <c r="L530" s="44" t="str">
        <f aca="false">CONCATENATE(H530,M530)</f>
        <v/>
      </c>
      <c r="M530" s="45" t="str">
        <f aca="false">IF(OR(ISBLANK(J530),ISBLANK(K530)),IF(OR(H530="ALI",H530="AIE"),"L",IF(ISBLANK(H530),"","A")),IF(H530="EE",IF(K530&gt;=3,IF(J530&gt;=5,"H","A"),IF(K530&gt;=2,IF(J530&gt;=16,"H",IF(J530&lt;=4,"L","A")),IF(J530&lt;=15,"L","A"))),IF(OR(H530="SE",H530="CE"),IF(K530&gt;=4,IF(J530&gt;=6,"H","A"),IF(K530&gt;=2,IF(J530&gt;=20,"H",IF(J530&lt;=5,"L","A")),IF(J530&lt;=19,"L","A"))),IF(OR(H530="ALI",H530="AIE"),IF(K530&gt;=6,IF(J530&gt;=20,"H","A"),IF(K530&gt;=2,IF(J530&gt;=51,"H",IF(J530&lt;=19,"L","A")),IF(J530&lt;=50,"L","A")))))))</f>
        <v/>
      </c>
      <c r="N530" s="46" t="str">
        <f aca="false">IF(M530="L","Baixa",IF(M530="A","Média",IF(M530="","","Alta")))</f>
        <v/>
      </c>
      <c r="O530" s="47" t="str">
        <f aca="false">IF(ISBLANK(H530),"",IF(H530="ALI",IF(M530="L",7,IF(M530="A",10,15)),IF(H530="AIE",IF(M530="L",5,IF(M530="A",7,10)),IF(H530="SE",IF(M530="L",4,IF(M530="A",5,7)),IF(OR(H530="EE",H530="CE"),IF(M530="L",3,IF(M530="A",4,6)))))))</f>
        <v/>
      </c>
      <c r="P530" s="48" t="str">
        <f aca="false">IF(I530="I",O530*Contagem!$W$15,IF(I530="E",O530*Contagem!$W$17,IF(I530="A",O530*Contagem!$W$16,IF(I530="T",O530*Contagem!$W$18,""))))</f>
        <v/>
      </c>
      <c r="Q530" s="49"/>
    </row>
    <row r="531" customFormat="false" ht="12" hidden="false" customHeight="true" outlineLevel="0" collapsed="false">
      <c r="A531" s="40" t="n">
        <f aca="false">IF(H531="",IF(C531="",A530,A530+1),A530)</f>
        <v>62</v>
      </c>
      <c r="B531" s="41" t="str">
        <f aca="false">IF(A531=A530,"",CONCATENATE("F",A531))</f>
        <v/>
      </c>
      <c r="C531" s="42"/>
      <c r="D531" s="42"/>
      <c r="E531" s="42"/>
      <c r="F531" s="42"/>
      <c r="G531" s="42"/>
      <c r="H531" s="44"/>
      <c r="I531" s="50"/>
      <c r="J531" s="44"/>
      <c r="K531" s="44"/>
      <c r="L531" s="44" t="str">
        <f aca="false">CONCATENATE(H531,M531)</f>
        <v/>
      </c>
      <c r="M531" s="45" t="str">
        <f aca="false">IF(OR(ISBLANK(J531),ISBLANK(K531)),IF(OR(H531="ALI",H531="AIE"),"L",IF(ISBLANK(H531),"","A")),IF(H531="EE",IF(K531&gt;=3,IF(J531&gt;=5,"H","A"),IF(K531&gt;=2,IF(J531&gt;=16,"H",IF(J531&lt;=4,"L","A")),IF(J531&lt;=15,"L","A"))),IF(OR(H531="SE",H531="CE"),IF(K531&gt;=4,IF(J531&gt;=6,"H","A"),IF(K531&gt;=2,IF(J531&gt;=20,"H",IF(J531&lt;=5,"L","A")),IF(J531&lt;=19,"L","A"))),IF(OR(H531="ALI",H531="AIE"),IF(K531&gt;=6,IF(J531&gt;=20,"H","A"),IF(K531&gt;=2,IF(J531&gt;=51,"H",IF(J531&lt;=19,"L","A")),IF(J531&lt;=50,"L","A")))))))</f>
        <v/>
      </c>
      <c r="N531" s="46" t="str">
        <f aca="false">IF(M531="L","Baixa",IF(M531="A","Média",IF(M531="","","Alta")))</f>
        <v/>
      </c>
      <c r="O531" s="47" t="str">
        <f aca="false">IF(ISBLANK(H531),"",IF(H531="ALI",IF(M531="L",7,IF(M531="A",10,15)),IF(H531="AIE",IF(M531="L",5,IF(M531="A",7,10)),IF(H531="SE",IF(M531="L",4,IF(M531="A",5,7)),IF(OR(H531="EE",H531="CE"),IF(M531="L",3,IF(M531="A",4,6)))))))</f>
        <v/>
      </c>
      <c r="P531" s="48" t="str">
        <f aca="false">IF(I531="I",O531*Contagem!$W$15,IF(I531="E",O531*Contagem!$W$17,IF(I531="A",O531*Contagem!$W$16,IF(I531="T",O531*Contagem!$W$18,""))))</f>
        <v/>
      </c>
      <c r="Q531" s="49"/>
    </row>
    <row r="532" customFormat="false" ht="12" hidden="false" customHeight="true" outlineLevel="0" collapsed="false">
      <c r="A532" s="40" t="n">
        <f aca="false">IF(H532="",IF(C532="",A531,A531+1),A531)</f>
        <v>62</v>
      </c>
      <c r="B532" s="41" t="str">
        <f aca="false">IF(A532=A531,"",CONCATENATE("F",A532))</f>
        <v/>
      </c>
      <c r="C532" s="42"/>
      <c r="D532" s="42"/>
      <c r="E532" s="42"/>
      <c r="F532" s="42"/>
      <c r="G532" s="42"/>
      <c r="H532" s="44"/>
      <c r="I532" s="50"/>
      <c r="J532" s="44"/>
      <c r="K532" s="44"/>
      <c r="L532" s="44" t="str">
        <f aca="false">CONCATENATE(H532,M532)</f>
        <v/>
      </c>
      <c r="M532" s="45" t="str">
        <f aca="false">IF(OR(ISBLANK(J532),ISBLANK(K532)),IF(OR(H532="ALI",H532="AIE"),"L",IF(ISBLANK(H532),"","A")),IF(H532="EE",IF(K532&gt;=3,IF(J532&gt;=5,"H","A"),IF(K532&gt;=2,IF(J532&gt;=16,"H",IF(J532&lt;=4,"L","A")),IF(J532&lt;=15,"L","A"))),IF(OR(H532="SE",H532="CE"),IF(K532&gt;=4,IF(J532&gt;=6,"H","A"),IF(K532&gt;=2,IF(J532&gt;=20,"H",IF(J532&lt;=5,"L","A")),IF(J532&lt;=19,"L","A"))),IF(OR(H532="ALI",H532="AIE"),IF(K532&gt;=6,IF(J532&gt;=20,"H","A"),IF(K532&gt;=2,IF(J532&gt;=51,"H",IF(J532&lt;=19,"L","A")),IF(J532&lt;=50,"L","A")))))))</f>
        <v/>
      </c>
      <c r="N532" s="46" t="str">
        <f aca="false">IF(M532="L","Baixa",IF(M532="A","Média",IF(M532="","","Alta")))</f>
        <v/>
      </c>
      <c r="O532" s="47" t="str">
        <f aca="false">IF(ISBLANK(H532),"",IF(H532="ALI",IF(M532="L",7,IF(M532="A",10,15)),IF(H532="AIE",IF(M532="L",5,IF(M532="A",7,10)),IF(H532="SE",IF(M532="L",4,IF(M532="A",5,7)),IF(OR(H532="EE",H532="CE"),IF(M532="L",3,IF(M532="A",4,6)))))))</f>
        <v/>
      </c>
      <c r="P532" s="48" t="str">
        <f aca="false">IF(I532="I",O532*Contagem!$W$15,IF(I532="E",O532*Contagem!$W$17,IF(I532="A",O532*Contagem!$W$16,IF(I532="T",O532*Contagem!$W$18,""))))</f>
        <v/>
      </c>
      <c r="Q532" s="49"/>
    </row>
    <row r="533" customFormat="false" ht="12" hidden="false" customHeight="true" outlineLevel="0" collapsed="false">
      <c r="A533" s="40" t="n">
        <f aca="false">IF(H533="",IF(C533="",A532,A532+1),A532)</f>
        <v>62</v>
      </c>
      <c r="B533" s="41" t="str">
        <f aca="false">IF(A533=A532,"",CONCATENATE("F",A533))</f>
        <v/>
      </c>
      <c r="C533" s="42"/>
      <c r="D533" s="42"/>
      <c r="E533" s="42"/>
      <c r="F533" s="42"/>
      <c r="G533" s="42"/>
      <c r="H533" s="44"/>
      <c r="I533" s="50"/>
      <c r="J533" s="44"/>
      <c r="K533" s="44"/>
      <c r="L533" s="44" t="str">
        <f aca="false">CONCATENATE(H533,M533)</f>
        <v/>
      </c>
      <c r="M533" s="45" t="str">
        <f aca="false">IF(OR(ISBLANK(J533),ISBLANK(K533)),IF(OR(H533="ALI",H533="AIE"),"L",IF(ISBLANK(H533),"","A")),IF(H533="EE",IF(K533&gt;=3,IF(J533&gt;=5,"H","A"),IF(K533&gt;=2,IF(J533&gt;=16,"H",IF(J533&lt;=4,"L","A")),IF(J533&lt;=15,"L","A"))),IF(OR(H533="SE",H533="CE"),IF(K533&gt;=4,IF(J533&gt;=6,"H","A"),IF(K533&gt;=2,IF(J533&gt;=20,"H",IF(J533&lt;=5,"L","A")),IF(J533&lt;=19,"L","A"))),IF(OR(H533="ALI",H533="AIE"),IF(K533&gt;=6,IF(J533&gt;=20,"H","A"),IF(K533&gt;=2,IF(J533&gt;=51,"H",IF(J533&lt;=19,"L","A")),IF(J533&lt;=50,"L","A")))))))</f>
        <v/>
      </c>
      <c r="N533" s="46" t="str">
        <f aca="false">IF(M533="L","Baixa",IF(M533="A","Média",IF(M533="","","Alta")))</f>
        <v/>
      </c>
      <c r="O533" s="47" t="str">
        <f aca="false">IF(ISBLANK(H533),"",IF(H533="ALI",IF(M533="L",7,IF(M533="A",10,15)),IF(H533="AIE",IF(M533="L",5,IF(M533="A",7,10)),IF(H533="SE",IF(M533="L",4,IF(M533="A",5,7)),IF(OR(H533="EE",H533="CE"),IF(M533="L",3,IF(M533="A",4,6)))))))</f>
        <v/>
      </c>
      <c r="P533" s="48" t="str">
        <f aca="false">IF(I533="I",O533*Contagem!$W$15,IF(I533="E",O533*Contagem!$W$17,IF(I533="A",O533*Contagem!$W$16,IF(I533="T",O533*Contagem!$W$18,""))))</f>
        <v/>
      </c>
      <c r="Q533" s="49"/>
    </row>
    <row r="534" customFormat="false" ht="12" hidden="false" customHeight="true" outlineLevel="0" collapsed="false">
      <c r="A534" s="40" t="n">
        <f aca="false">IF(H534="",IF(C534="",A533,A533+1),A533)</f>
        <v>62</v>
      </c>
      <c r="B534" s="41" t="str">
        <f aca="false">IF(A534=A533,"",CONCATENATE("F",A534))</f>
        <v/>
      </c>
      <c r="C534" s="42"/>
      <c r="D534" s="42"/>
      <c r="E534" s="42"/>
      <c r="F534" s="42"/>
      <c r="G534" s="42"/>
      <c r="H534" s="44"/>
      <c r="I534" s="50"/>
      <c r="J534" s="44"/>
      <c r="K534" s="44"/>
      <c r="L534" s="44" t="str">
        <f aca="false">CONCATENATE(H534,M534)</f>
        <v/>
      </c>
      <c r="M534" s="45" t="str">
        <f aca="false">IF(OR(ISBLANK(J534),ISBLANK(K534)),IF(OR(H534="ALI",H534="AIE"),"L",IF(ISBLANK(H534),"","A")),IF(H534="EE",IF(K534&gt;=3,IF(J534&gt;=5,"H","A"),IF(K534&gt;=2,IF(J534&gt;=16,"H",IF(J534&lt;=4,"L","A")),IF(J534&lt;=15,"L","A"))),IF(OR(H534="SE",H534="CE"),IF(K534&gt;=4,IF(J534&gt;=6,"H","A"),IF(K534&gt;=2,IF(J534&gt;=20,"H",IF(J534&lt;=5,"L","A")),IF(J534&lt;=19,"L","A"))),IF(OR(H534="ALI",H534="AIE"),IF(K534&gt;=6,IF(J534&gt;=20,"H","A"),IF(K534&gt;=2,IF(J534&gt;=51,"H",IF(J534&lt;=19,"L","A")),IF(J534&lt;=50,"L","A")))))))</f>
        <v/>
      </c>
      <c r="N534" s="46" t="str">
        <f aca="false">IF(M534="L","Baixa",IF(M534="A","Média",IF(M534="","","Alta")))</f>
        <v/>
      </c>
      <c r="O534" s="47" t="str">
        <f aca="false">IF(ISBLANK(H534),"",IF(H534="ALI",IF(M534="L",7,IF(M534="A",10,15)),IF(H534="AIE",IF(M534="L",5,IF(M534="A",7,10)),IF(H534="SE",IF(M534="L",4,IF(M534="A",5,7)),IF(OR(H534="EE",H534="CE"),IF(M534="L",3,IF(M534="A",4,6)))))))</f>
        <v/>
      </c>
      <c r="P534" s="48" t="str">
        <f aca="false">IF(I534="I",O534*Contagem!$W$15,IF(I534="E",O534*Contagem!$W$17,IF(I534="A",O534*Contagem!$W$16,IF(I534="T",O534*Contagem!$W$18,""))))</f>
        <v/>
      </c>
      <c r="Q534" s="49"/>
    </row>
    <row r="535" customFormat="false" ht="12" hidden="false" customHeight="true" outlineLevel="0" collapsed="false">
      <c r="A535" s="40" t="n">
        <f aca="false">IF(H535="",IF(C535="",A534,A534+1),A534)</f>
        <v>62</v>
      </c>
      <c r="B535" s="41" t="str">
        <f aca="false">IF(A535=A534,"",CONCATENATE("F",A535))</f>
        <v/>
      </c>
      <c r="C535" s="42"/>
      <c r="D535" s="42"/>
      <c r="E535" s="42"/>
      <c r="F535" s="42"/>
      <c r="G535" s="42"/>
      <c r="H535" s="44"/>
      <c r="I535" s="50"/>
      <c r="J535" s="44"/>
      <c r="K535" s="44"/>
      <c r="L535" s="44" t="str">
        <f aca="false">CONCATENATE(H535,M535)</f>
        <v/>
      </c>
      <c r="M535" s="45" t="str">
        <f aca="false">IF(OR(ISBLANK(J535),ISBLANK(K535)),IF(OR(H535="ALI",H535="AIE"),"L",IF(ISBLANK(H535),"","A")),IF(H535="EE",IF(K535&gt;=3,IF(J535&gt;=5,"H","A"),IF(K535&gt;=2,IF(J535&gt;=16,"H",IF(J535&lt;=4,"L","A")),IF(J535&lt;=15,"L","A"))),IF(OR(H535="SE",H535="CE"),IF(K535&gt;=4,IF(J535&gt;=6,"H","A"),IF(K535&gt;=2,IF(J535&gt;=20,"H",IF(J535&lt;=5,"L","A")),IF(J535&lt;=19,"L","A"))),IF(OR(H535="ALI",H535="AIE"),IF(K535&gt;=6,IF(J535&gt;=20,"H","A"),IF(K535&gt;=2,IF(J535&gt;=51,"H",IF(J535&lt;=19,"L","A")),IF(J535&lt;=50,"L","A")))))))</f>
        <v/>
      </c>
      <c r="N535" s="46" t="str">
        <f aca="false">IF(M535="L","Baixa",IF(M535="A","Média",IF(M535="","","Alta")))</f>
        <v/>
      </c>
      <c r="O535" s="47" t="str">
        <f aca="false">IF(ISBLANK(H535),"",IF(H535="ALI",IF(M535="L",7,IF(M535="A",10,15)),IF(H535="AIE",IF(M535="L",5,IF(M535="A",7,10)),IF(H535="SE",IF(M535="L",4,IF(M535="A",5,7)),IF(OR(H535="EE",H535="CE"),IF(M535="L",3,IF(M535="A",4,6)))))))</f>
        <v/>
      </c>
      <c r="P535" s="48" t="str">
        <f aca="false">IF(I535="I",O535*Contagem!$W$15,IF(I535="E",O535*Contagem!$W$17,IF(I535="A",O535*Contagem!$W$16,IF(I535="T",O535*Contagem!$W$18,""))))</f>
        <v/>
      </c>
      <c r="Q535" s="49"/>
    </row>
    <row r="536" customFormat="false" ht="12" hidden="false" customHeight="true" outlineLevel="0" collapsed="false">
      <c r="A536" s="40" t="n">
        <f aca="false">IF(H536="",IF(C536="",A535,A535+1),A535)</f>
        <v>62</v>
      </c>
      <c r="B536" s="41" t="str">
        <f aca="false">IF(A536=A535,"",CONCATENATE("F",A536))</f>
        <v/>
      </c>
      <c r="C536" s="42"/>
      <c r="D536" s="42"/>
      <c r="E536" s="42"/>
      <c r="F536" s="42"/>
      <c r="G536" s="42"/>
      <c r="H536" s="44"/>
      <c r="I536" s="50"/>
      <c r="J536" s="44"/>
      <c r="K536" s="44"/>
      <c r="L536" s="44" t="str">
        <f aca="false">CONCATENATE(H536,M536)</f>
        <v/>
      </c>
      <c r="M536" s="45" t="str">
        <f aca="false">IF(OR(ISBLANK(J536),ISBLANK(K536)),IF(OR(H536="ALI",H536="AIE"),"L",IF(ISBLANK(H536),"","A")),IF(H536="EE",IF(K536&gt;=3,IF(J536&gt;=5,"H","A"),IF(K536&gt;=2,IF(J536&gt;=16,"H",IF(J536&lt;=4,"L","A")),IF(J536&lt;=15,"L","A"))),IF(OR(H536="SE",H536="CE"),IF(K536&gt;=4,IF(J536&gt;=6,"H","A"),IF(K536&gt;=2,IF(J536&gt;=20,"H",IF(J536&lt;=5,"L","A")),IF(J536&lt;=19,"L","A"))),IF(OR(H536="ALI",H536="AIE"),IF(K536&gt;=6,IF(J536&gt;=20,"H","A"),IF(K536&gt;=2,IF(J536&gt;=51,"H",IF(J536&lt;=19,"L","A")),IF(J536&lt;=50,"L","A")))))))</f>
        <v/>
      </c>
      <c r="N536" s="46" t="str">
        <f aca="false">IF(M536="L","Baixa",IF(M536="A","Média",IF(M536="","","Alta")))</f>
        <v/>
      </c>
      <c r="O536" s="47" t="str">
        <f aca="false">IF(ISBLANK(H536),"",IF(H536="ALI",IF(M536="L",7,IF(M536="A",10,15)),IF(H536="AIE",IF(M536="L",5,IF(M536="A",7,10)),IF(H536="SE",IF(M536="L",4,IF(M536="A",5,7)),IF(OR(H536="EE",H536="CE"),IF(M536="L",3,IF(M536="A",4,6)))))))</f>
        <v/>
      </c>
      <c r="P536" s="48" t="str">
        <f aca="false">IF(I536="I",O536*Contagem!$W$15,IF(I536="E",O536*Contagem!$W$17,IF(I536="A",O536*Contagem!$W$16,IF(I536="T",O536*Contagem!$W$18,""))))</f>
        <v/>
      </c>
      <c r="Q536" s="49"/>
    </row>
    <row r="537" customFormat="false" ht="12" hidden="false" customHeight="true" outlineLevel="0" collapsed="false">
      <c r="A537" s="40" t="n">
        <f aca="false">IF(H537="",IF(C537="",A536,A536+1),A536)</f>
        <v>62</v>
      </c>
      <c r="B537" s="41" t="str">
        <f aca="false">IF(A537=A536,"",CONCATENATE("F",A537))</f>
        <v/>
      </c>
      <c r="C537" s="42"/>
      <c r="D537" s="42"/>
      <c r="E537" s="42"/>
      <c r="F537" s="42"/>
      <c r="G537" s="42"/>
      <c r="H537" s="44"/>
      <c r="I537" s="50"/>
      <c r="J537" s="44"/>
      <c r="K537" s="44"/>
      <c r="L537" s="44" t="str">
        <f aca="false">CONCATENATE(H537,M537)</f>
        <v/>
      </c>
      <c r="M537" s="45" t="str">
        <f aca="false">IF(OR(ISBLANK(J537),ISBLANK(K537)),IF(OR(H537="ALI",H537="AIE"),"L",IF(ISBLANK(H537),"","A")),IF(H537="EE",IF(K537&gt;=3,IF(J537&gt;=5,"H","A"),IF(K537&gt;=2,IF(J537&gt;=16,"H",IF(J537&lt;=4,"L","A")),IF(J537&lt;=15,"L","A"))),IF(OR(H537="SE",H537="CE"),IF(K537&gt;=4,IF(J537&gt;=6,"H","A"),IF(K537&gt;=2,IF(J537&gt;=20,"H",IF(J537&lt;=5,"L","A")),IF(J537&lt;=19,"L","A"))),IF(OR(H537="ALI",H537="AIE"),IF(K537&gt;=6,IF(J537&gt;=20,"H","A"),IF(K537&gt;=2,IF(J537&gt;=51,"H",IF(J537&lt;=19,"L","A")),IF(J537&lt;=50,"L","A")))))))</f>
        <v/>
      </c>
      <c r="N537" s="46" t="str">
        <f aca="false">IF(M537="L","Baixa",IF(M537="A","Média",IF(M537="","","Alta")))</f>
        <v/>
      </c>
      <c r="O537" s="47" t="str">
        <f aca="false">IF(ISBLANK(H537),"",IF(H537="ALI",IF(M537="L",7,IF(M537="A",10,15)),IF(H537="AIE",IF(M537="L",5,IF(M537="A",7,10)),IF(H537="SE",IF(M537="L",4,IF(M537="A",5,7)),IF(OR(H537="EE",H537="CE"),IF(M537="L",3,IF(M537="A",4,6)))))))</f>
        <v/>
      </c>
      <c r="P537" s="48" t="str">
        <f aca="false">IF(I537="I",O537*Contagem!$W$15,IF(I537="E",O537*Contagem!$W$17,IF(I537="A",O537*Contagem!$W$16,IF(I537="T",O537*Contagem!$W$18,""))))</f>
        <v/>
      </c>
      <c r="Q537" s="49"/>
    </row>
    <row r="538" customFormat="false" ht="12" hidden="false" customHeight="true" outlineLevel="0" collapsed="false">
      <c r="A538" s="40" t="n">
        <f aca="false">IF(H538="",IF(C538="",A537,A537+1),A537)</f>
        <v>62</v>
      </c>
      <c r="B538" s="41" t="str">
        <f aca="false">IF(A538=A537,"",CONCATENATE("F",A538))</f>
        <v/>
      </c>
      <c r="C538" s="42"/>
      <c r="D538" s="42"/>
      <c r="E538" s="42"/>
      <c r="F538" s="42"/>
      <c r="G538" s="42"/>
      <c r="H538" s="44"/>
      <c r="I538" s="50"/>
      <c r="J538" s="44"/>
      <c r="K538" s="44"/>
      <c r="L538" s="44" t="str">
        <f aca="false">CONCATENATE(H538,M538)</f>
        <v/>
      </c>
      <c r="M538" s="45" t="str">
        <f aca="false">IF(OR(ISBLANK(J538),ISBLANK(K538)),IF(OR(H538="ALI",H538="AIE"),"L",IF(ISBLANK(H538),"","A")),IF(H538="EE",IF(K538&gt;=3,IF(J538&gt;=5,"H","A"),IF(K538&gt;=2,IF(J538&gt;=16,"H",IF(J538&lt;=4,"L","A")),IF(J538&lt;=15,"L","A"))),IF(OR(H538="SE",H538="CE"),IF(K538&gt;=4,IF(J538&gt;=6,"H","A"),IF(K538&gt;=2,IF(J538&gt;=20,"H",IF(J538&lt;=5,"L","A")),IF(J538&lt;=19,"L","A"))),IF(OR(H538="ALI",H538="AIE"),IF(K538&gt;=6,IF(J538&gt;=20,"H","A"),IF(K538&gt;=2,IF(J538&gt;=51,"H",IF(J538&lt;=19,"L","A")),IF(J538&lt;=50,"L","A")))))))</f>
        <v/>
      </c>
      <c r="N538" s="46" t="str">
        <f aca="false">IF(M538="L","Baixa",IF(M538="A","Média",IF(M538="","","Alta")))</f>
        <v/>
      </c>
      <c r="O538" s="47" t="str">
        <f aca="false">IF(ISBLANK(H538),"",IF(H538="ALI",IF(M538="L",7,IF(M538="A",10,15)),IF(H538="AIE",IF(M538="L",5,IF(M538="A",7,10)),IF(H538="SE",IF(M538="L",4,IF(M538="A",5,7)),IF(OR(H538="EE",H538="CE"),IF(M538="L",3,IF(M538="A",4,6)))))))</f>
        <v/>
      </c>
      <c r="P538" s="48" t="str">
        <f aca="false">IF(I538="I",O538*Contagem!$W$15,IF(I538="E",O538*Contagem!$W$17,IF(I538="A",O538*Contagem!$W$16,IF(I538="T",O538*Contagem!$W$18,""))))</f>
        <v/>
      </c>
      <c r="Q538" s="49"/>
    </row>
    <row r="539" customFormat="false" ht="12" hidden="false" customHeight="true" outlineLevel="0" collapsed="false">
      <c r="A539" s="40" t="n">
        <f aca="false">IF(H539="",IF(C539="",A538,A538+1),A538)</f>
        <v>62</v>
      </c>
      <c r="B539" s="41" t="str">
        <f aca="false">IF(A539=A538,"",CONCATENATE("F",A539))</f>
        <v/>
      </c>
      <c r="C539" s="42"/>
      <c r="D539" s="42"/>
      <c r="E539" s="42"/>
      <c r="F539" s="42"/>
      <c r="G539" s="42"/>
      <c r="H539" s="44"/>
      <c r="I539" s="50"/>
      <c r="J539" s="44"/>
      <c r="K539" s="44"/>
      <c r="L539" s="44" t="str">
        <f aca="false">CONCATENATE(H539,M539)</f>
        <v/>
      </c>
      <c r="M539" s="45" t="str">
        <f aca="false">IF(OR(ISBLANK(J539),ISBLANK(K539)),IF(OR(H539="ALI",H539="AIE"),"L",IF(ISBLANK(H539),"","A")),IF(H539="EE",IF(K539&gt;=3,IF(J539&gt;=5,"H","A"),IF(K539&gt;=2,IF(J539&gt;=16,"H",IF(J539&lt;=4,"L","A")),IF(J539&lt;=15,"L","A"))),IF(OR(H539="SE",H539="CE"),IF(K539&gt;=4,IF(J539&gt;=6,"H","A"),IF(K539&gt;=2,IF(J539&gt;=20,"H",IF(J539&lt;=5,"L","A")),IF(J539&lt;=19,"L","A"))),IF(OR(H539="ALI",H539="AIE"),IF(K539&gt;=6,IF(J539&gt;=20,"H","A"),IF(K539&gt;=2,IF(J539&gt;=51,"H",IF(J539&lt;=19,"L","A")),IF(J539&lt;=50,"L","A")))))))</f>
        <v/>
      </c>
      <c r="N539" s="46" t="str">
        <f aca="false">IF(M539="L","Baixa",IF(M539="A","Média",IF(M539="","","Alta")))</f>
        <v/>
      </c>
      <c r="O539" s="47" t="str">
        <f aca="false">IF(ISBLANK(H539),"",IF(H539="ALI",IF(M539="L",7,IF(M539="A",10,15)),IF(H539="AIE",IF(M539="L",5,IF(M539="A",7,10)),IF(H539="SE",IF(M539="L",4,IF(M539="A",5,7)),IF(OR(H539="EE",H539="CE"),IF(M539="L",3,IF(M539="A",4,6)))))))</f>
        <v/>
      </c>
      <c r="P539" s="48" t="str">
        <f aca="false">IF(I539="I",O539*Contagem!$W$15,IF(I539="E",O539*Contagem!$W$17,IF(I539="A",O539*Contagem!$W$16,IF(I539="T",O539*Contagem!$W$18,""))))</f>
        <v/>
      </c>
      <c r="Q539" s="49"/>
    </row>
    <row r="540" customFormat="false" ht="12" hidden="false" customHeight="true" outlineLevel="0" collapsed="false">
      <c r="A540" s="40" t="n">
        <f aca="false">IF(H540="",IF(C540="",A539,A539+1),A539)</f>
        <v>62</v>
      </c>
      <c r="B540" s="41" t="str">
        <f aca="false">IF(A540=A539,"",CONCATENATE("F",A540))</f>
        <v/>
      </c>
      <c r="C540" s="42"/>
      <c r="D540" s="42"/>
      <c r="E540" s="42"/>
      <c r="F540" s="42"/>
      <c r="G540" s="42"/>
      <c r="H540" s="44"/>
      <c r="I540" s="50"/>
      <c r="J540" s="44"/>
      <c r="K540" s="44"/>
      <c r="L540" s="44" t="str">
        <f aca="false">CONCATENATE(H540,M540)</f>
        <v/>
      </c>
      <c r="M540" s="45" t="str">
        <f aca="false">IF(OR(ISBLANK(J540),ISBLANK(K540)),IF(OR(H540="ALI",H540="AIE"),"L",IF(ISBLANK(H540),"","A")),IF(H540="EE",IF(K540&gt;=3,IF(J540&gt;=5,"H","A"),IF(K540&gt;=2,IF(J540&gt;=16,"H",IF(J540&lt;=4,"L","A")),IF(J540&lt;=15,"L","A"))),IF(OR(H540="SE",H540="CE"),IF(K540&gt;=4,IF(J540&gt;=6,"H","A"),IF(K540&gt;=2,IF(J540&gt;=20,"H",IF(J540&lt;=5,"L","A")),IF(J540&lt;=19,"L","A"))),IF(OR(H540="ALI",H540="AIE"),IF(K540&gt;=6,IF(J540&gt;=20,"H","A"),IF(K540&gt;=2,IF(J540&gt;=51,"H",IF(J540&lt;=19,"L","A")),IF(J540&lt;=50,"L","A")))))))</f>
        <v/>
      </c>
      <c r="N540" s="46" t="str">
        <f aca="false">IF(M540="L","Baixa",IF(M540="A","Média",IF(M540="","","Alta")))</f>
        <v/>
      </c>
      <c r="O540" s="47" t="str">
        <f aca="false">IF(ISBLANK(H540),"",IF(H540="ALI",IF(M540="L",7,IF(M540="A",10,15)),IF(H540="AIE",IF(M540="L",5,IF(M540="A",7,10)),IF(H540="SE",IF(M540="L",4,IF(M540="A",5,7)),IF(OR(H540="EE",H540="CE"),IF(M540="L",3,IF(M540="A",4,6)))))))</f>
        <v/>
      </c>
      <c r="P540" s="48" t="str">
        <f aca="false">IF(I540="I",O540*Contagem!$W$15,IF(I540="E",O540*Contagem!$W$17,IF(I540="A",O540*Contagem!$W$16,IF(I540="T",O540*Contagem!$W$18,""))))</f>
        <v/>
      </c>
      <c r="Q540" s="49"/>
    </row>
    <row r="541" customFormat="false" ht="12" hidden="false" customHeight="true" outlineLevel="0" collapsed="false">
      <c r="A541" s="40" t="n">
        <f aca="false">IF(H541="",IF(C541="",A540,A540+1),A540)</f>
        <v>62</v>
      </c>
      <c r="B541" s="41" t="str">
        <f aca="false">IF(A541=A540,"",CONCATENATE("F",A541))</f>
        <v/>
      </c>
      <c r="C541" s="42"/>
      <c r="D541" s="42"/>
      <c r="E541" s="42"/>
      <c r="F541" s="42"/>
      <c r="G541" s="42"/>
      <c r="H541" s="44"/>
      <c r="I541" s="50"/>
      <c r="J541" s="44"/>
      <c r="K541" s="44"/>
      <c r="L541" s="44" t="str">
        <f aca="false">CONCATENATE(H541,M541)</f>
        <v/>
      </c>
      <c r="M541" s="45" t="str">
        <f aca="false">IF(OR(ISBLANK(J541),ISBLANK(K541)),IF(OR(H541="ALI",H541="AIE"),"L",IF(ISBLANK(H541),"","A")),IF(H541="EE",IF(K541&gt;=3,IF(J541&gt;=5,"H","A"),IF(K541&gt;=2,IF(J541&gt;=16,"H",IF(J541&lt;=4,"L","A")),IF(J541&lt;=15,"L","A"))),IF(OR(H541="SE",H541="CE"),IF(K541&gt;=4,IF(J541&gt;=6,"H","A"),IF(K541&gt;=2,IF(J541&gt;=20,"H",IF(J541&lt;=5,"L","A")),IF(J541&lt;=19,"L","A"))),IF(OR(H541="ALI",H541="AIE"),IF(K541&gt;=6,IF(J541&gt;=20,"H","A"),IF(K541&gt;=2,IF(J541&gt;=51,"H",IF(J541&lt;=19,"L","A")),IF(J541&lt;=50,"L","A")))))))</f>
        <v/>
      </c>
      <c r="N541" s="46" t="str">
        <f aca="false">IF(M541="L","Baixa",IF(M541="A","Média",IF(M541="","","Alta")))</f>
        <v/>
      </c>
      <c r="O541" s="47" t="str">
        <f aca="false">IF(ISBLANK(H541),"",IF(H541="ALI",IF(M541="L",7,IF(M541="A",10,15)),IF(H541="AIE",IF(M541="L",5,IF(M541="A",7,10)),IF(H541="SE",IF(M541="L",4,IF(M541="A",5,7)),IF(OR(H541="EE",H541="CE"),IF(M541="L",3,IF(M541="A",4,6)))))))</f>
        <v/>
      </c>
      <c r="P541" s="48" t="str">
        <f aca="false">IF(I541="I",O541*Contagem!$W$15,IF(I541="E",O541*Contagem!$W$17,IF(I541="A",O541*Contagem!$W$16,IF(I541="T",O541*Contagem!$W$18,""))))</f>
        <v/>
      </c>
      <c r="Q541" s="49"/>
    </row>
    <row r="542" customFormat="false" ht="12" hidden="false" customHeight="true" outlineLevel="0" collapsed="false">
      <c r="A542" s="40" t="n">
        <f aca="false">IF(H542="",IF(C542="",A541,A541+1),A541)</f>
        <v>62</v>
      </c>
      <c r="B542" s="41" t="str">
        <f aca="false">IF(A542=A541,"",CONCATENATE("F",A542))</f>
        <v/>
      </c>
      <c r="C542" s="42"/>
      <c r="D542" s="42"/>
      <c r="E542" s="42"/>
      <c r="F542" s="42"/>
      <c r="G542" s="42"/>
      <c r="H542" s="44"/>
      <c r="I542" s="50"/>
      <c r="J542" s="44"/>
      <c r="K542" s="44"/>
      <c r="L542" s="44" t="str">
        <f aca="false">CONCATENATE(H542,M542)</f>
        <v/>
      </c>
      <c r="M542" s="45" t="str">
        <f aca="false">IF(OR(ISBLANK(J542),ISBLANK(K542)),IF(OR(H542="ALI",H542="AIE"),"L",IF(ISBLANK(H542),"","A")),IF(H542="EE",IF(K542&gt;=3,IF(J542&gt;=5,"H","A"),IF(K542&gt;=2,IF(J542&gt;=16,"H",IF(J542&lt;=4,"L","A")),IF(J542&lt;=15,"L","A"))),IF(OR(H542="SE",H542="CE"),IF(K542&gt;=4,IF(J542&gt;=6,"H","A"),IF(K542&gt;=2,IF(J542&gt;=20,"H",IF(J542&lt;=5,"L","A")),IF(J542&lt;=19,"L","A"))),IF(OR(H542="ALI",H542="AIE"),IF(K542&gt;=6,IF(J542&gt;=20,"H","A"),IF(K542&gt;=2,IF(J542&gt;=51,"H",IF(J542&lt;=19,"L","A")),IF(J542&lt;=50,"L","A")))))))</f>
        <v/>
      </c>
      <c r="N542" s="46" t="str">
        <f aca="false">IF(M542="L","Baixa",IF(M542="A","Média",IF(M542="","","Alta")))</f>
        <v/>
      </c>
      <c r="O542" s="47" t="str">
        <f aca="false">IF(ISBLANK(H542),"",IF(H542="ALI",IF(M542="L",7,IF(M542="A",10,15)),IF(H542="AIE",IF(M542="L",5,IF(M542="A",7,10)),IF(H542="SE",IF(M542="L",4,IF(M542="A",5,7)),IF(OR(H542="EE",H542="CE"),IF(M542="L",3,IF(M542="A",4,6)))))))</f>
        <v/>
      </c>
      <c r="P542" s="48" t="str">
        <f aca="false">IF(I542="I",O542*Contagem!$W$15,IF(I542="E",O542*Contagem!$W$17,IF(I542="A",O542*Contagem!$W$16,IF(I542="T",O542*Contagem!$W$18,""))))</f>
        <v/>
      </c>
      <c r="Q542" s="49"/>
    </row>
    <row r="543" customFormat="false" ht="12" hidden="false" customHeight="true" outlineLevel="0" collapsed="false">
      <c r="A543" s="40" t="n">
        <f aca="false">IF(H543="",IF(C543="",A542,A542+1),A542)</f>
        <v>62</v>
      </c>
      <c r="B543" s="41" t="str">
        <f aca="false">IF(A543=A542,"",CONCATENATE("F",A543))</f>
        <v/>
      </c>
      <c r="C543" s="42"/>
      <c r="D543" s="42"/>
      <c r="E543" s="42"/>
      <c r="F543" s="42"/>
      <c r="G543" s="42"/>
      <c r="H543" s="44"/>
      <c r="I543" s="50"/>
      <c r="J543" s="44"/>
      <c r="K543" s="44"/>
      <c r="L543" s="44" t="str">
        <f aca="false">CONCATENATE(H543,M543)</f>
        <v/>
      </c>
      <c r="M543" s="45" t="str">
        <f aca="false">IF(OR(ISBLANK(J543),ISBLANK(K543)),IF(OR(H543="ALI",H543="AIE"),"L",IF(ISBLANK(H543),"","A")),IF(H543="EE",IF(K543&gt;=3,IF(J543&gt;=5,"H","A"),IF(K543&gt;=2,IF(J543&gt;=16,"H",IF(J543&lt;=4,"L","A")),IF(J543&lt;=15,"L","A"))),IF(OR(H543="SE",H543="CE"),IF(K543&gt;=4,IF(J543&gt;=6,"H","A"),IF(K543&gt;=2,IF(J543&gt;=20,"H",IF(J543&lt;=5,"L","A")),IF(J543&lt;=19,"L","A"))),IF(OR(H543="ALI",H543="AIE"),IF(K543&gt;=6,IF(J543&gt;=20,"H","A"),IF(K543&gt;=2,IF(J543&gt;=51,"H",IF(J543&lt;=19,"L","A")),IF(J543&lt;=50,"L","A")))))))</f>
        <v/>
      </c>
      <c r="N543" s="46" t="str">
        <f aca="false">IF(M543="L","Baixa",IF(M543="A","Média",IF(M543="","","Alta")))</f>
        <v/>
      </c>
      <c r="O543" s="47" t="str">
        <f aca="false">IF(ISBLANK(H543),"",IF(H543="ALI",IF(M543="L",7,IF(M543="A",10,15)),IF(H543="AIE",IF(M543="L",5,IF(M543="A",7,10)),IF(H543="SE",IF(M543="L",4,IF(M543="A",5,7)),IF(OR(H543="EE",H543="CE"),IF(M543="L",3,IF(M543="A",4,6)))))))</f>
        <v/>
      </c>
      <c r="P543" s="48" t="str">
        <f aca="false">IF(I543="I",O543*Contagem!$W$15,IF(I543="E",O543*Contagem!$W$17,IF(I543="A",O543*Contagem!$W$16,IF(I543="T",O543*Contagem!$W$18,""))))</f>
        <v/>
      </c>
      <c r="Q543" s="49"/>
    </row>
    <row r="544" customFormat="false" ht="12" hidden="false" customHeight="true" outlineLevel="0" collapsed="false">
      <c r="A544" s="40" t="n">
        <f aca="false">IF(H544="",IF(C544="",A543,A543+1),A543)</f>
        <v>62</v>
      </c>
      <c r="B544" s="41" t="str">
        <f aca="false">IF(A544=A543,"",CONCATENATE("F",A544))</f>
        <v/>
      </c>
      <c r="C544" s="42"/>
      <c r="D544" s="42"/>
      <c r="E544" s="42"/>
      <c r="F544" s="42"/>
      <c r="G544" s="42"/>
      <c r="H544" s="44"/>
      <c r="I544" s="50"/>
      <c r="J544" s="44"/>
      <c r="K544" s="44"/>
      <c r="L544" s="44" t="str">
        <f aca="false">CONCATENATE(H544,M544)</f>
        <v/>
      </c>
      <c r="M544" s="45" t="str">
        <f aca="false">IF(OR(ISBLANK(J544),ISBLANK(K544)),IF(OR(H544="ALI",H544="AIE"),"L",IF(ISBLANK(H544),"","A")),IF(H544="EE",IF(K544&gt;=3,IF(J544&gt;=5,"H","A"),IF(K544&gt;=2,IF(J544&gt;=16,"H",IF(J544&lt;=4,"L","A")),IF(J544&lt;=15,"L","A"))),IF(OR(H544="SE",H544="CE"),IF(K544&gt;=4,IF(J544&gt;=6,"H","A"),IF(K544&gt;=2,IF(J544&gt;=20,"H",IF(J544&lt;=5,"L","A")),IF(J544&lt;=19,"L","A"))),IF(OR(H544="ALI",H544="AIE"),IF(K544&gt;=6,IF(J544&gt;=20,"H","A"),IF(K544&gt;=2,IF(J544&gt;=51,"H",IF(J544&lt;=19,"L","A")),IF(J544&lt;=50,"L","A")))))))</f>
        <v/>
      </c>
      <c r="N544" s="46" t="str">
        <f aca="false">IF(M544="L","Baixa",IF(M544="A","Média",IF(M544="","","Alta")))</f>
        <v/>
      </c>
      <c r="O544" s="47" t="str">
        <f aca="false">IF(ISBLANK(H544),"",IF(H544="ALI",IF(M544="L",7,IF(M544="A",10,15)),IF(H544="AIE",IF(M544="L",5,IF(M544="A",7,10)),IF(H544="SE",IF(M544="L",4,IF(M544="A",5,7)),IF(OR(H544="EE",H544="CE"),IF(M544="L",3,IF(M544="A",4,6)))))))</f>
        <v/>
      </c>
      <c r="P544" s="48" t="str">
        <f aca="false">IF(I544="I",O544*Contagem!$W$15,IF(I544="E",O544*Contagem!$W$17,IF(I544="A",O544*Contagem!$W$16,IF(I544="T",O544*Contagem!$W$18,""))))</f>
        <v/>
      </c>
      <c r="Q544" s="49"/>
    </row>
    <row r="545" customFormat="false" ht="12" hidden="false" customHeight="true" outlineLevel="0" collapsed="false">
      <c r="A545" s="40" t="n">
        <f aca="false">IF(H545="",IF(C545="",A544,A544+1),A544)</f>
        <v>62</v>
      </c>
      <c r="B545" s="41" t="str">
        <f aca="false">IF(A545=A544,"",CONCATENATE("F",A545))</f>
        <v/>
      </c>
      <c r="C545" s="42"/>
      <c r="D545" s="42"/>
      <c r="E545" s="42"/>
      <c r="F545" s="42"/>
      <c r="G545" s="42"/>
      <c r="H545" s="44"/>
      <c r="I545" s="50"/>
      <c r="J545" s="44"/>
      <c r="K545" s="44"/>
      <c r="L545" s="44" t="str">
        <f aca="false">CONCATENATE(H545,M545)</f>
        <v/>
      </c>
      <c r="M545" s="45" t="str">
        <f aca="false">IF(OR(ISBLANK(J545),ISBLANK(K545)),IF(OR(H545="ALI",H545="AIE"),"L",IF(ISBLANK(H545),"","A")),IF(H545="EE",IF(K545&gt;=3,IF(J545&gt;=5,"H","A"),IF(K545&gt;=2,IF(J545&gt;=16,"H",IF(J545&lt;=4,"L","A")),IF(J545&lt;=15,"L","A"))),IF(OR(H545="SE",H545="CE"),IF(K545&gt;=4,IF(J545&gt;=6,"H","A"),IF(K545&gt;=2,IF(J545&gt;=20,"H",IF(J545&lt;=5,"L","A")),IF(J545&lt;=19,"L","A"))),IF(OR(H545="ALI",H545="AIE"),IF(K545&gt;=6,IF(J545&gt;=20,"H","A"),IF(K545&gt;=2,IF(J545&gt;=51,"H",IF(J545&lt;=19,"L","A")),IF(J545&lt;=50,"L","A")))))))</f>
        <v/>
      </c>
      <c r="N545" s="46" t="str">
        <f aca="false">IF(M545="L","Baixa",IF(M545="A","Média",IF(M545="","","Alta")))</f>
        <v/>
      </c>
      <c r="O545" s="47" t="str">
        <f aca="false">IF(ISBLANK(H545),"",IF(H545="ALI",IF(M545="L",7,IF(M545="A",10,15)),IF(H545="AIE",IF(M545="L",5,IF(M545="A",7,10)),IF(H545="SE",IF(M545="L",4,IF(M545="A",5,7)),IF(OR(H545="EE",H545="CE"),IF(M545="L",3,IF(M545="A",4,6)))))))</f>
        <v/>
      </c>
      <c r="P545" s="48" t="str">
        <f aca="false">IF(I545="I",O545*Contagem!$W$15,IF(I545="E",O545*Contagem!$W$17,IF(I545="A",O545*Contagem!$W$16,IF(I545="T",O545*Contagem!$W$18,""))))</f>
        <v/>
      </c>
      <c r="Q545" s="49"/>
    </row>
    <row r="546" customFormat="false" ht="12" hidden="false" customHeight="true" outlineLevel="0" collapsed="false">
      <c r="A546" s="40" t="n">
        <f aca="false">IF(H546="",IF(C546="",A545,A545+1),A545)</f>
        <v>62</v>
      </c>
      <c r="B546" s="41" t="str">
        <f aca="false">IF(A546=A545,"",CONCATENATE("F",A546))</f>
        <v/>
      </c>
      <c r="C546" s="42"/>
      <c r="D546" s="42"/>
      <c r="E546" s="42"/>
      <c r="F546" s="42"/>
      <c r="G546" s="42"/>
      <c r="H546" s="44"/>
      <c r="I546" s="50"/>
      <c r="J546" s="44"/>
      <c r="K546" s="44"/>
      <c r="L546" s="44" t="str">
        <f aca="false">CONCATENATE(H546,M546)</f>
        <v/>
      </c>
      <c r="M546" s="45" t="str">
        <f aca="false">IF(OR(ISBLANK(J546),ISBLANK(K546)),IF(OR(H546="ALI",H546="AIE"),"L",IF(ISBLANK(H546),"","A")),IF(H546="EE",IF(K546&gt;=3,IF(J546&gt;=5,"H","A"),IF(K546&gt;=2,IF(J546&gt;=16,"H",IF(J546&lt;=4,"L","A")),IF(J546&lt;=15,"L","A"))),IF(OR(H546="SE",H546="CE"),IF(K546&gt;=4,IF(J546&gt;=6,"H","A"),IF(K546&gt;=2,IF(J546&gt;=20,"H",IF(J546&lt;=5,"L","A")),IF(J546&lt;=19,"L","A"))),IF(OR(H546="ALI",H546="AIE"),IF(K546&gt;=6,IF(J546&gt;=20,"H","A"),IF(K546&gt;=2,IF(J546&gt;=51,"H",IF(J546&lt;=19,"L","A")),IF(J546&lt;=50,"L","A")))))))</f>
        <v/>
      </c>
      <c r="N546" s="46" t="str">
        <f aca="false">IF(M546="L","Baixa",IF(M546="A","Média",IF(M546="","","Alta")))</f>
        <v/>
      </c>
      <c r="O546" s="47" t="str">
        <f aca="false">IF(ISBLANK(H546),"",IF(H546="ALI",IF(M546="L",7,IF(M546="A",10,15)),IF(H546="AIE",IF(M546="L",5,IF(M546="A",7,10)),IF(H546="SE",IF(M546="L",4,IF(M546="A",5,7)),IF(OR(H546="EE",H546="CE"),IF(M546="L",3,IF(M546="A",4,6)))))))</f>
        <v/>
      </c>
      <c r="P546" s="48" t="str">
        <f aca="false">IF(I546="I",O546*Contagem!$W$15,IF(I546="E",O546*Contagem!$W$17,IF(I546="A",O546*Contagem!$W$16,IF(I546="T",O546*Contagem!$W$18,""))))</f>
        <v/>
      </c>
      <c r="Q546" s="49"/>
    </row>
    <row r="547" customFormat="false" ht="12" hidden="false" customHeight="true" outlineLevel="0" collapsed="false">
      <c r="A547" s="40" t="n">
        <f aca="false">IF(H547="",IF(C547="",A546,A546+1),A546)</f>
        <v>62</v>
      </c>
      <c r="B547" s="41" t="str">
        <f aca="false">IF(A547=A546,"",CONCATENATE("F",A547))</f>
        <v/>
      </c>
      <c r="C547" s="42"/>
      <c r="D547" s="42"/>
      <c r="E547" s="42"/>
      <c r="F547" s="42"/>
      <c r="G547" s="42"/>
      <c r="H547" s="44"/>
      <c r="I547" s="50"/>
      <c r="J547" s="44"/>
      <c r="K547" s="44"/>
      <c r="L547" s="44" t="str">
        <f aca="false">CONCATENATE(H547,M547)</f>
        <v/>
      </c>
      <c r="M547" s="45" t="str">
        <f aca="false">IF(OR(ISBLANK(J547),ISBLANK(K547)),IF(OR(H547="ALI",H547="AIE"),"L",IF(ISBLANK(H547),"","A")),IF(H547="EE",IF(K547&gt;=3,IF(J547&gt;=5,"H","A"),IF(K547&gt;=2,IF(J547&gt;=16,"H",IF(J547&lt;=4,"L","A")),IF(J547&lt;=15,"L","A"))),IF(OR(H547="SE",H547="CE"),IF(K547&gt;=4,IF(J547&gt;=6,"H","A"),IF(K547&gt;=2,IF(J547&gt;=20,"H",IF(J547&lt;=5,"L","A")),IF(J547&lt;=19,"L","A"))),IF(OR(H547="ALI",H547="AIE"),IF(K547&gt;=6,IF(J547&gt;=20,"H","A"),IF(K547&gt;=2,IF(J547&gt;=51,"H",IF(J547&lt;=19,"L","A")),IF(J547&lt;=50,"L","A")))))))</f>
        <v/>
      </c>
      <c r="N547" s="46" t="str">
        <f aca="false">IF(M547="L","Baixa",IF(M547="A","Média",IF(M547="","","Alta")))</f>
        <v/>
      </c>
      <c r="O547" s="47" t="str">
        <f aca="false">IF(ISBLANK(H547),"",IF(H547="ALI",IF(M547="L",7,IF(M547="A",10,15)),IF(H547="AIE",IF(M547="L",5,IF(M547="A",7,10)),IF(H547="SE",IF(M547="L",4,IF(M547="A",5,7)),IF(OR(H547="EE",H547="CE"),IF(M547="L",3,IF(M547="A",4,6)))))))</f>
        <v/>
      </c>
      <c r="P547" s="48" t="str">
        <f aca="false">IF(I547="I",O547*Contagem!$W$15,IF(I547="E",O547*Contagem!$W$17,IF(I547="A",O547*Contagem!$W$16,IF(I547="T",O547*Contagem!$W$18,""))))</f>
        <v/>
      </c>
      <c r="Q547" s="49"/>
    </row>
    <row r="548" customFormat="false" ht="12" hidden="false" customHeight="true" outlineLevel="0" collapsed="false">
      <c r="A548" s="40" t="n">
        <f aca="false">IF(H548="",IF(C548="",A547,A547+1),A547)</f>
        <v>62</v>
      </c>
      <c r="B548" s="41" t="str">
        <f aca="false">IF(A548=A547,"",CONCATENATE("F",A548))</f>
        <v/>
      </c>
      <c r="C548" s="42"/>
      <c r="D548" s="42"/>
      <c r="E548" s="42"/>
      <c r="F548" s="42"/>
      <c r="G548" s="42"/>
      <c r="H548" s="44"/>
      <c r="I548" s="50"/>
      <c r="J548" s="44"/>
      <c r="K548" s="44"/>
      <c r="L548" s="44" t="str">
        <f aca="false">CONCATENATE(H548,M548)</f>
        <v/>
      </c>
      <c r="M548" s="45" t="str">
        <f aca="false">IF(OR(ISBLANK(J548),ISBLANK(K548)),IF(OR(H548="ALI",H548="AIE"),"L",IF(ISBLANK(H548),"","A")),IF(H548="EE",IF(K548&gt;=3,IF(J548&gt;=5,"H","A"),IF(K548&gt;=2,IF(J548&gt;=16,"H",IF(J548&lt;=4,"L","A")),IF(J548&lt;=15,"L","A"))),IF(OR(H548="SE",H548="CE"),IF(K548&gt;=4,IF(J548&gt;=6,"H","A"),IF(K548&gt;=2,IF(J548&gt;=20,"H",IF(J548&lt;=5,"L","A")),IF(J548&lt;=19,"L","A"))),IF(OR(H548="ALI",H548="AIE"),IF(K548&gt;=6,IF(J548&gt;=20,"H","A"),IF(K548&gt;=2,IF(J548&gt;=51,"H",IF(J548&lt;=19,"L","A")),IF(J548&lt;=50,"L","A")))))))</f>
        <v/>
      </c>
      <c r="N548" s="46" t="str">
        <f aca="false">IF(M548="L","Baixa",IF(M548="A","Média",IF(M548="","","Alta")))</f>
        <v/>
      </c>
      <c r="O548" s="47" t="str">
        <f aca="false">IF(ISBLANK(H548),"",IF(H548="ALI",IF(M548="L",7,IF(M548="A",10,15)),IF(H548="AIE",IF(M548="L",5,IF(M548="A",7,10)),IF(H548="SE",IF(M548="L",4,IF(M548="A",5,7)),IF(OR(H548="EE",H548="CE"),IF(M548="L",3,IF(M548="A",4,6)))))))</f>
        <v/>
      </c>
      <c r="P548" s="48" t="str">
        <f aca="false">IF(I548="I",O548*Contagem!$W$15,IF(I548="E",O548*Contagem!$W$17,IF(I548="A",O548*Contagem!$W$16,IF(I548="T",O548*Contagem!$W$18,""))))</f>
        <v/>
      </c>
      <c r="Q548" s="49"/>
    </row>
    <row r="549" customFormat="false" ht="12" hidden="false" customHeight="true" outlineLevel="0" collapsed="false">
      <c r="A549" s="40" t="n">
        <f aca="false">IF(H549="",IF(C549="",A548,A548+1),A548)</f>
        <v>62</v>
      </c>
      <c r="B549" s="41" t="str">
        <f aca="false">IF(A549=A548,"",CONCATENATE("F",A549))</f>
        <v/>
      </c>
      <c r="C549" s="42"/>
      <c r="D549" s="42"/>
      <c r="E549" s="42"/>
      <c r="F549" s="42"/>
      <c r="G549" s="42"/>
      <c r="H549" s="44"/>
      <c r="I549" s="50"/>
      <c r="J549" s="44"/>
      <c r="K549" s="44"/>
      <c r="L549" s="44" t="str">
        <f aca="false">CONCATENATE(H549,M549)</f>
        <v/>
      </c>
      <c r="M549" s="45" t="str">
        <f aca="false">IF(OR(ISBLANK(J549),ISBLANK(K549)),IF(OR(H549="ALI",H549="AIE"),"L",IF(ISBLANK(H549),"","A")),IF(H549="EE",IF(K549&gt;=3,IF(J549&gt;=5,"H","A"),IF(K549&gt;=2,IF(J549&gt;=16,"H",IF(J549&lt;=4,"L","A")),IF(J549&lt;=15,"L","A"))),IF(OR(H549="SE",H549="CE"),IF(K549&gt;=4,IF(J549&gt;=6,"H","A"),IF(K549&gt;=2,IF(J549&gt;=20,"H",IF(J549&lt;=5,"L","A")),IF(J549&lt;=19,"L","A"))),IF(OR(H549="ALI",H549="AIE"),IF(K549&gt;=6,IF(J549&gt;=20,"H","A"),IF(K549&gt;=2,IF(J549&gt;=51,"H",IF(J549&lt;=19,"L","A")),IF(J549&lt;=50,"L","A")))))))</f>
        <v/>
      </c>
      <c r="N549" s="46" t="str">
        <f aca="false">IF(M549="L","Baixa",IF(M549="A","Média",IF(M549="","","Alta")))</f>
        <v/>
      </c>
      <c r="O549" s="47" t="str">
        <f aca="false">IF(ISBLANK(H549),"",IF(H549="ALI",IF(M549="L",7,IF(M549="A",10,15)),IF(H549="AIE",IF(M549="L",5,IF(M549="A",7,10)),IF(H549="SE",IF(M549="L",4,IF(M549="A",5,7)),IF(OR(H549="EE",H549="CE"),IF(M549="L",3,IF(M549="A",4,6)))))))</f>
        <v/>
      </c>
      <c r="P549" s="48" t="str">
        <f aca="false">IF(I549="I",O549*Contagem!$W$15,IF(I549="E",O549*Contagem!$W$17,IF(I549="A",O549*Contagem!$W$16,IF(I549="T",O549*Contagem!$W$18,""))))</f>
        <v/>
      </c>
      <c r="Q549" s="49"/>
    </row>
    <row r="550" customFormat="false" ht="12" hidden="false" customHeight="true" outlineLevel="0" collapsed="false">
      <c r="A550" s="40" t="n">
        <f aca="false">IF(H550="",IF(C550="",A549,A549+1),A549)</f>
        <v>62</v>
      </c>
      <c r="B550" s="41" t="str">
        <f aca="false">IF(A550=A549,"",CONCATENATE("F",A550))</f>
        <v/>
      </c>
      <c r="C550" s="42"/>
      <c r="D550" s="42"/>
      <c r="E550" s="42"/>
      <c r="F550" s="42"/>
      <c r="G550" s="42"/>
      <c r="H550" s="44"/>
      <c r="I550" s="50"/>
      <c r="J550" s="44"/>
      <c r="K550" s="44"/>
      <c r="L550" s="44" t="str">
        <f aca="false">CONCATENATE(H550,M550)</f>
        <v/>
      </c>
      <c r="M550" s="45" t="str">
        <f aca="false">IF(OR(ISBLANK(J550),ISBLANK(K550)),IF(OR(H550="ALI",H550="AIE"),"L",IF(ISBLANK(H550),"","A")),IF(H550="EE",IF(K550&gt;=3,IF(J550&gt;=5,"H","A"),IF(K550&gt;=2,IF(J550&gt;=16,"H",IF(J550&lt;=4,"L","A")),IF(J550&lt;=15,"L","A"))),IF(OR(H550="SE",H550="CE"),IF(K550&gt;=4,IF(J550&gt;=6,"H","A"),IF(K550&gt;=2,IF(J550&gt;=20,"H",IF(J550&lt;=5,"L","A")),IF(J550&lt;=19,"L","A"))),IF(OR(H550="ALI",H550="AIE"),IF(K550&gt;=6,IF(J550&gt;=20,"H","A"),IF(K550&gt;=2,IF(J550&gt;=51,"H",IF(J550&lt;=19,"L","A")),IF(J550&lt;=50,"L","A")))))))</f>
        <v/>
      </c>
      <c r="N550" s="46" t="str">
        <f aca="false">IF(M550="L","Baixa",IF(M550="A","Média",IF(M550="","","Alta")))</f>
        <v/>
      </c>
      <c r="O550" s="47" t="str">
        <f aca="false">IF(ISBLANK(H550),"",IF(H550="ALI",IF(M550="L",7,IF(M550="A",10,15)),IF(H550="AIE",IF(M550="L",5,IF(M550="A",7,10)),IF(H550="SE",IF(M550="L",4,IF(M550="A",5,7)),IF(OR(H550="EE",H550="CE"),IF(M550="L",3,IF(M550="A",4,6)))))))</f>
        <v/>
      </c>
      <c r="P550" s="48" t="str">
        <f aca="false">IF(I550="I",O550*Contagem!$W$15,IF(I550="E",O550*Contagem!$W$17,IF(I550="A",O550*Contagem!$W$16,IF(I550="T",O550*Contagem!$W$18,""))))</f>
        <v/>
      </c>
      <c r="Q550" s="49"/>
    </row>
    <row r="551" customFormat="false" ht="12" hidden="false" customHeight="true" outlineLevel="0" collapsed="false">
      <c r="A551" s="40" t="n">
        <f aca="false">IF(H551="",IF(C551="",A550,A550+1),A550)</f>
        <v>62</v>
      </c>
      <c r="B551" s="41" t="str">
        <f aca="false">IF(A551=A550,"",CONCATENATE("F",A551))</f>
        <v/>
      </c>
      <c r="C551" s="42"/>
      <c r="D551" s="42"/>
      <c r="E551" s="42"/>
      <c r="F551" s="42"/>
      <c r="G551" s="42"/>
      <c r="H551" s="44"/>
      <c r="I551" s="50"/>
      <c r="J551" s="44"/>
      <c r="K551" s="44"/>
      <c r="L551" s="44" t="str">
        <f aca="false">CONCATENATE(H551,M551)</f>
        <v/>
      </c>
      <c r="M551" s="45" t="str">
        <f aca="false">IF(OR(ISBLANK(J551),ISBLANK(K551)),IF(OR(H551="ALI",H551="AIE"),"L",IF(ISBLANK(H551),"","A")),IF(H551="EE",IF(K551&gt;=3,IF(J551&gt;=5,"H","A"),IF(K551&gt;=2,IF(J551&gt;=16,"H",IF(J551&lt;=4,"L","A")),IF(J551&lt;=15,"L","A"))),IF(OR(H551="SE",H551="CE"),IF(K551&gt;=4,IF(J551&gt;=6,"H","A"),IF(K551&gt;=2,IF(J551&gt;=20,"H",IF(J551&lt;=5,"L","A")),IF(J551&lt;=19,"L","A"))),IF(OR(H551="ALI",H551="AIE"),IF(K551&gt;=6,IF(J551&gt;=20,"H","A"),IF(K551&gt;=2,IF(J551&gt;=51,"H",IF(J551&lt;=19,"L","A")),IF(J551&lt;=50,"L","A")))))))</f>
        <v/>
      </c>
      <c r="N551" s="46" t="str">
        <f aca="false">IF(M551="L","Baixa",IF(M551="A","Média",IF(M551="","","Alta")))</f>
        <v/>
      </c>
      <c r="O551" s="47" t="str">
        <f aca="false">IF(ISBLANK(H551),"",IF(H551="ALI",IF(M551="L",7,IF(M551="A",10,15)),IF(H551="AIE",IF(M551="L",5,IF(M551="A",7,10)),IF(H551="SE",IF(M551="L",4,IF(M551="A",5,7)),IF(OR(H551="EE",H551="CE"),IF(M551="L",3,IF(M551="A",4,6)))))))</f>
        <v/>
      </c>
      <c r="P551" s="48" t="str">
        <f aca="false">IF(I551="I",O551*Contagem!$W$15,IF(I551="E",O551*Contagem!$W$17,IF(I551="A",O551*Contagem!$W$16,IF(I551="T",O551*Contagem!$W$18,""))))</f>
        <v/>
      </c>
      <c r="Q551" s="49"/>
    </row>
    <row r="552" customFormat="false" ht="12" hidden="false" customHeight="true" outlineLevel="0" collapsed="false">
      <c r="A552" s="40" t="n">
        <f aca="false">IF(H552="",IF(C552="",A551,A551+1),A551)</f>
        <v>62</v>
      </c>
      <c r="B552" s="41" t="str">
        <f aca="false">IF(A552=A551,"",CONCATENATE("F",A552))</f>
        <v/>
      </c>
      <c r="C552" s="42"/>
      <c r="D552" s="42"/>
      <c r="E552" s="42"/>
      <c r="F552" s="42"/>
      <c r="G552" s="42"/>
      <c r="H552" s="44"/>
      <c r="I552" s="50"/>
      <c r="J552" s="44"/>
      <c r="K552" s="44"/>
      <c r="L552" s="44" t="str">
        <f aca="false">CONCATENATE(H552,M552)</f>
        <v/>
      </c>
      <c r="M552" s="45" t="str">
        <f aca="false">IF(OR(ISBLANK(J552),ISBLANK(K552)),IF(OR(H552="ALI",H552="AIE"),"L",IF(ISBLANK(H552),"","A")),IF(H552="EE",IF(K552&gt;=3,IF(J552&gt;=5,"H","A"),IF(K552&gt;=2,IF(J552&gt;=16,"H",IF(J552&lt;=4,"L","A")),IF(J552&lt;=15,"L","A"))),IF(OR(H552="SE",H552="CE"),IF(K552&gt;=4,IF(J552&gt;=6,"H","A"),IF(K552&gt;=2,IF(J552&gt;=20,"H",IF(J552&lt;=5,"L","A")),IF(J552&lt;=19,"L","A"))),IF(OR(H552="ALI",H552="AIE"),IF(K552&gt;=6,IF(J552&gt;=20,"H","A"),IF(K552&gt;=2,IF(J552&gt;=51,"H",IF(J552&lt;=19,"L","A")),IF(J552&lt;=50,"L","A")))))))</f>
        <v/>
      </c>
      <c r="N552" s="46" t="str">
        <f aca="false">IF(M552="L","Baixa",IF(M552="A","Média",IF(M552="","","Alta")))</f>
        <v/>
      </c>
      <c r="O552" s="47" t="str">
        <f aca="false">IF(ISBLANK(H552),"",IF(H552="ALI",IF(M552="L",7,IF(M552="A",10,15)),IF(H552="AIE",IF(M552="L",5,IF(M552="A",7,10)),IF(H552="SE",IF(M552="L",4,IF(M552="A",5,7)),IF(OR(H552="EE",H552="CE"),IF(M552="L",3,IF(M552="A",4,6)))))))</f>
        <v/>
      </c>
      <c r="P552" s="48" t="str">
        <f aca="false">IF(I552="I",O552*Contagem!$W$15,IF(I552="E",O552*Contagem!$W$17,IF(I552="A",O552*Contagem!$W$16,IF(I552="T",O552*Contagem!$W$18,""))))</f>
        <v/>
      </c>
      <c r="Q552" s="49"/>
    </row>
    <row r="553" customFormat="false" ht="12" hidden="false" customHeight="true" outlineLevel="0" collapsed="false">
      <c r="A553" s="40" t="n">
        <f aca="false">IF(H553="",IF(C553="",A552,A552+1),A552)</f>
        <v>62</v>
      </c>
      <c r="B553" s="41" t="str">
        <f aca="false">IF(A553=A552,"",CONCATENATE("F",A553))</f>
        <v/>
      </c>
      <c r="C553" s="42"/>
      <c r="D553" s="42"/>
      <c r="E553" s="42"/>
      <c r="F553" s="42"/>
      <c r="G553" s="42"/>
      <c r="H553" s="44"/>
      <c r="I553" s="50"/>
      <c r="J553" s="44"/>
      <c r="K553" s="44"/>
      <c r="L553" s="44" t="str">
        <f aca="false">CONCATENATE(H553,M553)</f>
        <v/>
      </c>
      <c r="M553" s="45" t="str">
        <f aca="false">IF(OR(ISBLANK(J553),ISBLANK(K553)),IF(OR(H553="ALI",H553="AIE"),"L",IF(ISBLANK(H553),"","A")),IF(H553="EE",IF(K553&gt;=3,IF(J553&gt;=5,"H","A"),IF(K553&gt;=2,IF(J553&gt;=16,"H",IF(J553&lt;=4,"L","A")),IF(J553&lt;=15,"L","A"))),IF(OR(H553="SE",H553="CE"),IF(K553&gt;=4,IF(J553&gt;=6,"H","A"),IF(K553&gt;=2,IF(J553&gt;=20,"H",IF(J553&lt;=5,"L","A")),IF(J553&lt;=19,"L","A"))),IF(OR(H553="ALI",H553="AIE"),IF(K553&gt;=6,IF(J553&gt;=20,"H","A"),IF(K553&gt;=2,IF(J553&gt;=51,"H",IF(J553&lt;=19,"L","A")),IF(J553&lt;=50,"L","A")))))))</f>
        <v/>
      </c>
      <c r="N553" s="46" t="str">
        <f aca="false">IF(M553="L","Baixa",IF(M553="A","Média",IF(M553="","","Alta")))</f>
        <v/>
      </c>
      <c r="O553" s="47" t="str">
        <f aca="false">IF(ISBLANK(H553),"",IF(H553="ALI",IF(M553="L",7,IF(M553="A",10,15)),IF(H553="AIE",IF(M553="L",5,IF(M553="A",7,10)),IF(H553="SE",IF(M553="L",4,IF(M553="A",5,7)),IF(OR(H553="EE",H553="CE"),IF(M553="L",3,IF(M553="A",4,6)))))))</f>
        <v/>
      </c>
      <c r="P553" s="48" t="str">
        <f aca="false">IF(I553="I",O553*Contagem!$W$15,IF(I553="E",O553*Contagem!$W$17,IF(I553="A",O553*Contagem!$W$16,IF(I553="T",O553*Contagem!$W$18,""))))</f>
        <v/>
      </c>
      <c r="Q553" s="49"/>
    </row>
    <row r="554" customFormat="false" ht="12" hidden="false" customHeight="true" outlineLevel="0" collapsed="false">
      <c r="A554" s="40" t="n">
        <f aca="false">IF(H554="",IF(C554="",A553,A553+1),A553)</f>
        <v>62</v>
      </c>
      <c r="B554" s="41" t="str">
        <f aca="false">IF(A554=A553,"",CONCATENATE("F",A554))</f>
        <v/>
      </c>
      <c r="C554" s="42"/>
      <c r="D554" s="42"/>
      <c r="E554" s="42"/>
      <c r="F554" s="42"/>
      <c r="G554" s="42"/>
      <c r="H554" s="44"/>
      <c r="I554" s="50"/>
      <c r="J554" s="44"/>
      <c r="K554" s="44"/>
      <c r="L554" s="44" t="str">
        <f aca="false">CONCATENATE(H554,M554)</f>
        <v/>
      </c>
      <c r="M554" s="45" t="str">
        <f aca="false">IF(OR(ISBLANK(J554),ISBLANK(K554)),IF(OR(H554="ALI",H554="AIE"),"L",IF(ISBLANK(H554),"","A")),IF(H554="EE",IF(K554&gt;=3,IF(J554&gt;=5,"H","A"),IF(K554&gt;=2,IF(J554&gt;=16,"H",IF(J554&lt;=4,"L","A")),IF(J554&lt;=15,"L","A"))),IF(OR(H554="SE",H554="CE"),IF(K554&gt;=4,IF(J554&gt;=6,"H","A"),IF(K554&gt;=2,IF(J554&gt;=20,"H",IF(J554&lt;=5,"L","A")),IF(J554&lt;=19,"L","A"))),IF(OR(H554="ALI",H554="AIE"),IF(K554&gt;=6,IF(J554&gt;=20,"H","A"),IF(K554&gt;=2,IF(J554&gt;=51,"H",IF(J554&lt;=19,"L","A")),IF(J554&lt;=50,"L","A")))))))</f>
        <v/>
      </c>
      <c r="N554" s="46" t="str">
        <f aca="false">IF(M554="L","Baixa",IF(M554="A","Média",IF(M554="","","Alta")))</f>
        <v/>
      </c>
      <c r="O554" s="47" t="str">
        <f aca="false">IF(ISBLANK(H554),"",IF(H554="ALI",IF(M554="L",7,IF(M554="A",10,15)),IF(H554="AIE",IF(M554="L",5,IF(M554="A",7,10)),IF(H554="SE",IF(M554="L",4,IF(M554="A",5,7)),IF(OR(H554="EE",H554="CE"),IF(M554="L",3,IF(M554="A",4,6)))))))</f>
        <v/>
      </c>
      <c r="P554" s="48" t="str">
        <f aca="false">IF(I554="I",O554*Contagem!$W$15,IF(I554="E",O554*Contagem!$W$17,IF(I554="A",O554*Contagem!$W$16,IF(I554="T",O554*Contagem!$W$18,""))))</f>
        <v/>
      </c>
      <c r="Q554" s="49"/>
    </row>
    <row r="555" customFormat="false" ht="12" hidden="false" customHeight="true" outlineLevel="0" collapsed="false">
      <c r="A555" s="40" t="n">
        <f aca="false">IF(H555="",IF(C555="",A554,A554+1),A554)</f>
        <v>62</v>
      </c>
      <c r="B555" s="41" t="str">
        <f aca="false">IF(A555=A554,"",CONCATENATE("F",A555))</f>
        <v/>
      </c>
      <c r="C555" s="42"/>
      <c r="D555" s="42"/>
      <c r="E555" s="42"/>
      <c r="F555" s="42"/>
      <c r="G555" s="42"/>
      <c r="H555" s="44"/>
      <c r="I555" s="50"/>
      <c r="J555" s="44"/>
      <c r="K555" s="44"/>
      <c r="L555" s="44" t="str">
        <f aca="false">CONCATENATE(H555,M555)</f>
        <v/>
      </c>
      <c r="M555" s="45" t="str">
        <f aca="false">IF(OR(ISBLANK(J555),ISBLANK(K555)),IF(OR(H555="ALI",H555="AIE"),"L",IF(ISBLANK(H555),"","A")),IF(H555="EE",IF(K555&gt;=3,IF(J555&gt;=5,"H","A"),IF(K555&gt;=2,IF(J555&gt;=16,"H",IF(J555&lt;=4,"L","A")),IF(J555&lt;=15,"L","A"))),IF(OR(H555="SE",H555="CE"),IF(K555&gt;=4,IF(J555&gt;=6,"H","A"),IF(K555&gt;=2,IF(J555&gt;=20,"H",IF(J555&lt;=5,"L","A")),IF(J555&lt;=19,"L","A"))),IF(OR(H555="ALI",H555="AIE"),IF(K555&gt;=6,IF(J555&gt;=20,"H","A"),IF(K555&gt;=2,IF(J555&gt;=51,"H",IF(J555&lt;=19,"L","A")),IF(J555&lt;=50,"L","A")))))))</f>
        <v/>
      </c>
      <c r="N555" s="46" t="str">
        <f aca="false">IF(M555="L","Baixa",IF(M555="A","Média",IF(M555="","","Alta")))</f>
        <v/>
      </c>
      <c r="O555" s="47" t="str">
        <f aca="false">IF(ISBLANK(H555),"",IF(H555="ALI",IF(M555="L",7,IF(M555="A",10,15)),IF(H555="AIE",IF(M555="L",5,IF(M555="A",7,10)),IF(H555="SE",IF(M555="L",4,IF(M555="A",5,7)),IF(OR(H555="EE",H555="CE"),IF(M555="L",3,IF(M555="A",4,6)))))))</f>
        <v/>
      </c>
      <c r="P555" s="48" t="str">
        <f aca="false">IF(I555="I",O555*Contagem!$W$15,IF(I555="E",O555*Contagem!$W$17,IF(I555="A",O555*Contagem!$W$16,IF(I555="T",O555*Contagem!$W$18,""))))</f>
        <v/>
      </c>
      <c r="Q555" s="49"/>
    </row>
    <row r="556" customFormat="false" ht="12" hidden="false" customHeight="true" outlineLevel="0" collapsed="false">
      <c r="A556" s="40" t="n">
        <f aca="false">IF(H556="",IF(C556="",A555,A555+1),A555)</f>
        <v>62</v>
      </c>
      <c r="B556" s="41" t="str">
        <f aca="false">IF(A556=A555,"",CONCATENATE("F",A556))</f>
        <v/>
      </c>
      <c r="C556" s="42"/>
      <c r="D556" s="42"/>
      <c r="E556" s="42"/>
      <c r="F556" s="42"/>
      <c r="G556" s="42"/>
      <c r="H556" s="44"/>
      <c r="I556" s="50"/>
      <c r="J556" s="44"/>
      <c r="K556" s="44"/>
      <c r="L556" s="44" t="str">
        <f aca="false">CONCATENATE(H556,M556)</f>
        <v/>
      </c>
      <c r="M556" s="45" t="str">
        <f aca="false">IF(OR(ISBLANK(J556),ISBLANK(K556)),IF(OR(H556="ALI",H556="AIE"),"L",IF(ISBLANK(H556),"","A")),IF(H556="EE",IF(K556&gt;=3,IF(J556&gt;=5,"H","A"),IF(K556&gt;=2,IF(J556&gt;=16,"H",IF(J556&lt;=4,"L","A")),IF(J556&lt;=15,"L","A"))),IF(OR(H556="SE",H556="CE"),IF(K556&gt;=4,IF(J556&gt;=6,"H","A"),IF(K556&gt;=2,IF(J556&gt;=20,"H",IF(J556&lt;=5,"L","A")),IF(J556&lt;=19,"L","A"))),IF(OR(H556="ALI",H556="AIE"),IF(K556&gt;=6,IF(J556&gt;=20,"H","A"),IF(K556&gt;=2,IF(J556&gt;=51,"H",IF(J556&lt;=19,"L","A")),IF(J556&lt;=50,"L","A")))))))</f>
        <v/>
      </c>
      <c r="N556" s="46" t="str">
        <f aca="false">IF(M556="L","Baixa",IF(M556="A","Média",IF(M556="","","Alta")))</f>
        <v/>
      </c>
      <c r="O556" s="47" t="str">
        <f aca="false">IF(ISBLANK(H556),"",IF(H556="ALI",IF(M556="L",7,IF(M556="A",10,15)),IF(H556="AIE",IF(M556="L",5,IF(M556="A",7,10)),IF(H556="SE",IF(M556="L",4,IF(M556="A",5,7)),IF(OR(H556="EE",H556="CE"),IF(M556="L",3,IF(M556="A",4,6)))))))</f>
        <v/>
      </c>
      <c r="P556" s="48" t="str">
        <f aca="false">IF(I556="I",O556*Contagem!$W$15,IF(I556="E",O556*Contagem!$W$17,IF(I556="A",O556*Contagem!$W$16,IF(I556="T",O556*Contagem!$W$18,""))))</f>
        <v/>
      </c>
      <c r="Q556" s="49"/>
    </row>
    <row r="557" customFormat="false" ht="12" hidden="false" customHeight="true" outlineLevel="0" collapsed="false">
      <c r="A557" s="40" t="n">
        <f aca="false">IF(H557="",IF(C557="",A556,A556+1),A556)</f>
        <v>62</v>
      </c>
      <c r="B557" s="41" t="str">
        <f aca="false">IF(A557=A556,"",CONCATENATE("F",A557))</f>
        <v/>
      </c>
      <c r="C557" s="42"/>
      <c r="D557" s="42"/>
      <c r="E557" s="42"/>
      <c r="F557" s="42"/>
      <c r="G557" s="42"/>
      <c r="H557" s="44"/>
      <c r="I557" s="50"/>
      <c r="J557" s="44"/>
      <c r="K557" s="44"/>
      <c r="L557" s="44" t="str">
        <f aca="false">CONCATENATE(H557,M557)</f>
        <v/>
      </c>
      <c r="M557" s="45" t="str">
        <f aca="false">IF(OR(ISBLANK(J557),ISBLANK(K557)),IF(OR(H557="ALI",H557="AIE"),"L",IF(ISBLANK(H557),"","A")),IF(H557="EE",IF(K557&gt;=3,IF(J557&gt;=5,"H","A"),IF(K557&gt;=2,IF(J557&gt;=16,"H",IF(J557&lt;=4,"L","A")),IF(J557&lt;=15,"L","A"))),IF(OR(H557="SE",H557="CE"),IF(K557&gt;=4,IF(J557&gt;=6,"H","A"),IF(K557&gt;=2,IF(J557&gt;=20,"H",IF(J557&lt;=5,"L","A")),IF(J557&lt;=19,"L","A"))),IF(OR(H557="ALI",H557="AIE"),IF(K557&gt;=6,IF(J557&gt;=20,"H","A"),IF(K557&gt;=2,IF(J557&gt;=51,"H",IF(J557&lt;=19,"L","A")),IF(J557&lt;=50,"L","A")))))))</f>
        <v/>
      </c>
      <c r="N557" s="46" t="str">
        <f aca="false">IF(M557="L","Baixa",IF(M557="A","Média",IF(M557="","","Alta")))</f>
        <v/>
      </c>
      <c r="O557" s="47" t="str">
        <f aca="false">IF(ISBLANK(H557),"",IF(H557="ALI",IF(M557="L",7,IF(M557="A",10,15)),IF(H557="AIE",IF(M557="L",5,IF(M557="A",7,10)),IF(H557="SE",IF(M557="L",4,IF(M557="A",5,7)),IF(OR(H557="EE",H557="CE"),IF(M557="L",3,IF(M557="A",4,6)))))))</f>
        <v/>
      </c>
      <c r="P557" s="48" t="str">
        <f aca="false">IF(I557="I",O557*Contagem!$W$15,IF(I557="E",O557*Contagem!$W$17,IF(I557="A",O557*Contagem!$W$16,IF(I557="T",O557*Contagem!$W$18,""))))</f>
        <v/>
      </c>
      <c r="Q557" s="49"/>
    </row>
    <row r="558" customFormat="false" ht="12" hidden="false" customHeight="true" outlineLevel="0" collapsed="false">
      <c r="A558" s="40" t="n">
        <f aca="false">IF(H558="",IF(C558="",A557,A557+1),A557)</f>
        <v>62</v>
      </c>
      <c r="B558" s="41" t="str">
        <f aca="false">IF(A558=A557,"",CONCATENATE("F",A558))</f>
        <v/>
      </c>
      <c r="C558" s="42"/>
      <c r="D558" s="42"/>
      <c r="E558" s="42"/>
      <c r="F558" s="42"/>
      <c r="G558" s="42"/>
      <c r="H558" s="44"/>
      <c r="I558" s="50"/>
      <c r="J558" s="44"/>
      <c r="K558" s="44"/>
      <c r="L558" s="44" t="str">
        <f aca="false">CONCATENATE(H558,M558)</f>
        <v/>
      </c>
      <c r="M558" s="45" t="str">
        <f aca="false">IF(OR(ISBLANK(J558),ISBLANK(K558)),IF(OR(H558="ALI",H558="AIE"),"L",IF(ISBLANK(H558),"","A")),IF(H558="EE",IF(K558&gt;=3,IF(J558&gt;=5,"H","A"),IF(K558&gt;=2,IF(J558&gt;=16,"H",IF(J558&lt;=4,"L","A")),IF(J558&lt;=15,"L","A"))),IF(OR(H558="SE",H558="CE"),IF(K558&gt;=4,IF(J558&gt;=6,"H","A"),IF(K558&gt;=2,IF(J558&gt;=20,"H",IF(J558&lt;=5,"L","A")),IF(J558&lt;=19,"L","A"))),IF(OR(H558="ALI",H558="AIE"),IF(K558&gt;=6,IF(J558&gt;=20,"H","A"),IF(K558&gt;=2,IF(J558&gt;=51,"H",IF(J558&lt;=19,"L","A")),IF(J558&lt;=50,"L","A")))))))</f>
        <v/>
      </c>
      <c r="N558" s="46" t="str">
        <f aca="false">IF(M558="L","Baixa",IF(M558="A","Média",IF(M558="","","Alta")))</f>
        <v/>
      </c>
      <c r="O558" s="47" t="str">
        <f aca="false">IF(ISBLANK(H558),"",IF(H558="ALI",IF(M558="L",7,IF(M558="A",10,15)),IF(H558="AIE",IF(M558="L",5,IF(M558="A",7,10)),IF(H558="SE",IF(M558="L",4,IF(M558="A",5,7)),IF(OR(H558="EE",H558="CE"),IF(M558="L",3,IF(M558="A",4,6)))))))</f>
        <v/>
      </c>
      <c r="P558" s="48" t="str">
        <f aca="false">IF(I558="I",O558*Contagem!$W$15,IF(I558="E",O558*Contagem!$W$17,IF(I558="A",O558*Contagem!$W$16,IF(I558="T",O558*Contagem!$W$18,""))))</f>
        <v/>
      </c>
      <c r="Q558" s="49"/>
    </row>
    <row r="559" customFormat="false" ht="12" hidden="false" customHeight="true" outlineLevel="0" collapsed="false">
      <c r="A559" s="40" t="n">
        <f aca="false">IF(H559="",IF(C559="",A558,A558+1),A558)</f>
        <v>62</v>
      </c>
      <c r="B559" s="41" t="str">
        <f aca="false">IF(A559=A558,"",CONCATENATE("F",A559))</f>
        <v/>
      </c>
      <c r="C559" s="42"/>
      <c r="D559" s="42"/>
      <c r="E559" s="42"/>
      <c r="F559" s="42"/>
      <c r="G559" s="42"/>
      <c r="H559" s="44"/>
      <c r="I559" s="50"/>
      <c r="J559" s="44"/>
      <c r="K559" s="44"/>
      <c r="L559" s="44" t="str">
        <f aca="false">CONCATENATE(H559,M559)</f>
        <v/>
      </c>
      <c r="M559" s="45" t="str">
        <f aca="false">IF(OR(ISBLANK(J559),ISBLANK(K559)),IF(OR(H559="ALI",H559="AIE"),"L",IF(ISBLANK(H559),"","A")),IF(H559="EE",IF(K559&gt;=3,IF(J559&gt;=5,"H","A"),IF(K559&gt;=2,IF(J559&gt;=16,"H",IF(J559&lt;=4,"L","A")),IF(J559&lt;=15,"L","A"))),IF(OR(H559="SE",H559="CE"),IF(K559&gt;=4,IF(J559&gt;=6,"H","A"),IF(K559&gt;=2,IF(J559&gt;=20,"H",IF(J559&lt;=5,"L","A")),IF(J559&lt;=19,"L","A"))),IF(OR(H559="ALI",H559="AIE"),IF(K559&gt;=6,IF(J559&gt;=20,"H","A"),IF(K559&gt;=2,IF(J559&gt;=51,"H",IF(J559&lt;=19,"L","A")),IF(J559&lt;=50,"L","A")))))))</f>
        <v/>
      </c>
      <c r="N559" s="46" t="str">
        <f aca="false">IF(M559="L","Baixa",IF(M559="A","Média",IF(M559="","","Alta")))</f>
        <v/>
      </c>
      <c r="O559" s="47" t="str">
        <f aca="false">IF(ISBLANK(H559),"",IF(H559="ALI",IF(M559="L",7,IF(M559="A",10,15)),IF(H559="AIE",IF(M559="L",5,IF(M559="A",7,10)),IF(H559="SE",IF(M559="L",4,IF(M559="A",5,7)),IF(OR(H559="EE",H559="CE"),IF(M559="L",3,IF(M559="A",4,6)))))))</f>
        <v/>
      </c>
      <c r="P559" s="48" t="str">
        <f aca="false">IF(I559="I",O559*Contagem!$W$15,IF(I559="E",O559*Contagem!$W$17,IF(I559="A",O559*Contagem!$W$16,IF(I559="T",O559*Contagem!$W$18,""))))</f>
        <v/>
      </c>
      <c r="Q559" s="49"/>
    </row>
    <row r="560" customFormat="false" ht="12" hidden="false" customHeight="true" outlineLevel="0" collapsed="false">
      <c r="A560" s="40" t="n">
        <f aca="false">IF(H560="",IF(C560="",A559,A559+1),A559)</f>
        <v>62</v>
      </c>
      <c r="B560" s="41" t="str">
        <f aca="false">IF(A560=A559,"",CONCATENATE("F",A560))</f>
        <v/>
      </c>
      <c r="C560" s="42"/>
      <c r="D560" s="42"/>
      <c r="E560" s="42"/>
      <c r="F560" s="42"/>
      <c r="G560" s="42"/>
      <c r="H560" s="44"/>
      <c r="I560" s="50"/>
      <c r="J560" s="44"/>
      <c r="K560" s="44"/>
      <c r="L560" s="44" t="str">
        <f aca="false">CONCATENATE(H560,M560)</f>
        <v/>
      </c>
      <c r="M560" s="45" t="str">
        <f aca="false">IF(OR(ISBLANK(J560),ISBLANK(K560)),IF(OR(H560="ALI",H560="AIE"),"L",IF(ISBLANK(H560),"","A")),IF(H560="EE",IF(K560&gt;=3,IF(J560&gt;=5,"H","A"),IF(K560&gt;=2,IF(J560&gt;=16,"H",IF(J560&lt;=4,"L","A")),IF(J560&lt;=15,"L","A"))),IF(OR(H560="SE",H560="CE"),IF(K560&gt;=4,IF(J560&gt;=6,"H","A"),IF(K560&gt;=2,IF(J560&gt;=20,"H",IF(J560&lt;=5,"L","A")),IF(J560&lt;=19,"L","A"))),IF(OR(H560="ALI",H560="AIE"),IF(K560&gt;=6,IF(J560&gt;=20,"H","A"),IF(K560&gt;=2,IF(J560&gt;=51,"H",IF(J560&lt;=19,"L","A")),IF(J560&lt;=50,"L","A")))))))</f>
        <v/>
      </c>
      <c r="N560" s="46" t="str">
        <f aca="false">IF(M560="L","Baixa",IF(M560="A","Média",IF(M560="","","Alta")))</f>
        <v/>
      </c>
      <c r="O560" s="47" t="str">
        <f aca="false">IF(ISBLANK(H560),"",IF(H560="ALI",IF(M560="L",7,IF(M560="A",10,15)),IF(H560="AIE",IF(M560="L",5,IF(M560="A",7,10)),IF(H560="SE",IF(M560="L",4,IF(M560="A",5,7)),IF(OR(H560="EE",H560="CE"),IF(M560="L",3,IF(M560="A",4,6)))))))</f>
        <v/>
      </c>
      <c r="P560" s="48" t="str">
        <f aca="false">IF(I560="I",O560*Contagem!$W$15,IF(I560="E",O560*Contagem!$W$17,IF(I560="A",O560*Contagem!$W$16,IF(I560="T",O560*Contagem!$W$18,""))))</f>
        <v/>
      </c>
      <c r="Q560" s="49"/>
    </row>
    <row r="561" customFormat="false" ht="12" hidden="false" customHeight="true" outlineLevel="0" collapsed="false">
      <c r="A561" s="40" t="n">
        <f aca="false">IF(H561="",IF(C561="",A560,A560+1),A560)</f>
        <v>62</v>
      </c>
      <c r="B561" s="41" t="str">
        <f aca="false">IF(A561=A560,"",CONCATENATE("F",A561))</f>
        <v/>
      </c>
      <c r="C561" s="42"/>
      <c r="D561" s="42"/>
      <c r="E561" s="42"/>
      <c r="F561" s="42"/>
      <c r="G561" s="42"/>
      <c r="H561" s="44"/>
      <c r="I561" s="50"/>
      <c r="J561" s="44"/>
      <c r="K561" s="44"/>
      <c r="L561" s="44" t="str">
        <f aca="false">CONCATENATE(H561,M561)</f>
        <v/>
      </c>
      <c r="M561" s="45" t="str">
        <f aca="false">IF(OR(ISBLANK(J561),ISBLANK(K561)),IF(OR(H561="ALI",H561="AIE"),"L",IF(ISBLANK(H561),"","A")),IF(H561="EE",IF(K561&gt;=3,IF(J561&gt;=5,"H","A"),IF(K561&gt;=2,IF(J561&gt;=16,"H",IF(J561&lt;=4,"L","A")),IF(J561&lt;=15,"L","A"))),IF(OR(H561="SE",H561="CE"),IF(K561&gt;=4,IF(J561&gt;=6,"H","A"),IF(K561&gt;=2,IF(J561&gt;=20,"H",IF(J561&lt;=5,"L","A")),IF(J561&lt;=19,"L","A"))),IF(OR(H561="ALI",H561="AIE"),IF(K561&gt;=6,IF(J561&gt;=20,"H","A"),IF(K561&gt;=2,IF(J561&gt;=51,"H",IF(J561&lt;=19,"L","A")),IF(J561&lt;=50,"L","A")))))))</f>
        <v/>
      </c>
      <c r="N561" s="46" t="str">
        <f aca="false">IF(M561="L","Baixa",IF(M561="A","Média",IF(M561="","","Alta")))</f>
        <v/>
      </c>
      <c r="O561" s="47" t="str">
        <f aca="false">IF(ISBLANK(H561),"",IF(H561="ALI",IF(M561="L",7,IF(M561="A",10,15)),IF(H561="AIE",IF(M561="L",5,IF(M561="A",7,10)),IF(H561="SE",IF(M561="L",4,IF(M561="A",5,7)),IF(OR(H561="EE",H561="CE"),IF(M561="L",3,IF(M561="A",4,6)))))))</f>
        <v/>
      </c>
      <c r="P561" s="48" t="str">
        <f aca="false">IF(I561="I",O561*Contagem!$W$15,IF(I561="E",O561*Contagem!$W$17,IF(I561="A",O561*Contagem!$W$16,IF(I561="T",O561*Contagem!$W$18,""))))</f>
        <v/>
      </c>
      <c r="Q561" s="49"/>
    </row>
    <row r="562" customFormat="false" ht="12" hidden="false" customHeight="true" outlineLevel="0" collapsed="false">
      <c r="A562" s="40" t="n">
        <f aca="false">IF(H562="",IF(C562="",A561,A561+1),A561)</f>
        <v>62</v>
      </c>
      <c r="B562" s="41" t="str">
        <f aca="false">IF(A562=A561,"",CONCATENATE("F",A562))</f>
        <v/>
      </c>
      <c r="C562" s="42"/>
      <c r="D562" s="42"/>
      <c r="E562" s="42"/>
      <c r="F562" s="42"/>
      <c r="G562" s="42"/>
      <c r="H562" s="44"/>
      <c r="I562" s="50"/>
      <c r="J562" s="44"/>
      <c r="K562" s="44"/>
      <c r="L562" s="44" t="str">
        <f aca="false">CONCATENATE(H562,M562)</f>
        <v/>
      </c>
      <c r="M562" s="45" t="str">
        <f aca="false">IF(OR(ISBLANK(J562),ISBLANK(K562)),IF(OR(H562="ALI",H562="AIE"),"L",IF(ISBLANK(H562),"","A")),IF(H562="EE",IF(K562&gt;=3,IF(J562&gt;=5,"H","A"),IF(K562&gt;=2,IF(J562&gt;=16,"H",IF(J562&lt;=4,"L","A")),IF(J562&lt;=15,"L","A"))),IF(OR(H562="SE",H562="CE"),IF(K562&gt;=4,IF(J562&gt;=6,"H","A"),IF(K562&gt;=2,IF(J562&gt;=20,"H",IF(J562&lt;=5,"L","A")),IF(J562&lt;=19,"L","A"))),IF(OR(H562="ALI",H562="AIE"),IF(K562&gt;=6,IF(J562&gt;=20,"H","A"),IF(K562&gt;=2,IF(J562&gt;=51,"H",IF(J562&lt;=19,"L","A")),IF(J562&lt;=50,"L","A")))))))</f>
        <v/>
      </c>
      <c r="N562" s="46" t="str">
        <f aca="false">IF(M562="L","Baixa",IF(M562="A","Média",IF(M562="","","Alta")))</f>
        <v/>
      </c>
      <c r="O562" s="47" t="str">
        <f aca="false">IF(ISBLANK(H562),"",IF(H562="ALI",IF(M562="L",7,IF(M562="A",10,15)),IF(H562="AIE",IF(M562="L",5,IF(M562="A",7,10)),IF(H562="SE",IF(M562="L",4,IF(M562="A",5,7)),IF(OR(H562="EE",H562="CE"),IF(M562="L",3,IF(M562="A",4,6)))))))</f>
        <v/>
      </c>
      <c r="P562" s="48" t="str">
        <f aca="false">IF(I562="I",O562*Contagem!$W$15,IF(I562="E",O562*Contagem!$W$17,IF(I562="A",O562*Contagem!$W$16,IF(I562="T",O562*Contagem!$W$18,""))))</f>
        <v/>
      </c>
      <c r="Q562" s="49"/>
    </row>
    <row r="563" customFormat="false" ht="12" hidden="false" customHeight="true" outlineLevel="0" collapsed="false">
      <c r="A563" s="40" t="n">
        <f aca="false">IF(H563="",IF(C563="",A562,A562+1),A562)</f>
        <v>62</v>
      </c>
      <c r="B563" s="41" t="str">
        <f aca="false">IF(A563=A562,"",CONCATENATE("F",A563))</f>
        <v/>
      </c>
      <c r="C563" s="42"/>
      <c r="D563" s="42"/>
      <c r="E563" s="42"/>
      <c r="F563" s="42"/>
      <c r="G563" s="42"/>
      <c r="H563" s="44"/>
      <c r="I563" s="50"/>
      <c r="J563" s="44"/>
      <c r="K563" s="44"/>
      <c r="L563" s="44" t="str">
        <f aca="false">CONCATENATE(H563,M563)</f>
        <v/>
      </c>
      <c r="M563" s="45" t="str">
        <f aca="false">IF(OR(ISBLANK(J563),ISBLANK(K563)),IF(OR(H563="ALI",H563="AIE"),"L",IF(ISBLANK(H563),"","A")),IF(H563="EE",IF(K563&gt;=3,IF(J563&gt;=5,"H","A"),IF(K563&gt;=2,IF(J563&gt;=16,"H",IF(J563&lt;=4,"L","A")),IF(J563&lt;=15,"L","A"))),IF(OR(H563="SE",H563="CE"),IF(K563&gt;=4,IF(J563&gt;=6,"H","A"),IF(K563&gt;=2,IF(J563&gt;=20,"H",IF(J563&lt;=5,"L","A")),IF(J563&lt;=19,"L","A"))),IF(OR(H563="ALI",H563="AIE"),IF(K563&gt;=6,IF(J563&gt;=20,"H","A"),IF(K563&gt;=2,IF(J563&gt;=51,"H",IF(J563&lt;=19,"L","A")),IF(J563&lt;=50,"L","A")))))))</f>
        <v/>
      </c>
      <c r="N563" s="46" t="str">
        <f aca="false">IF(M563="L","Baixa",IF(M563="A","Média",IF(M563="","","Alta")))</f>
        <v/>
      </c>
      <c r="O563" s="47" t="str">
        <f aca="false">IF(ISBLANK(H563),"",IF(H563="ALI",IF(M563="L",7,IF(M563="A",10,15)),IF(H563="AIE",IF(M563="L",5,IF(M563="A",7,10)),IF(H563="SE",IF(M563="L",4,IF(M563="A",5,7)),IF(OR(H563="EE",H563="CE"),IF(M563="L",3,IF(M563="A",4,6)))))))</f>
        <v/>
      </c>
      <c r="P563" s="48" t="str">
        <f aca="false">IF(I563="I",O563*Contagem!$W$15,IF(I563="E",O563*Contagem!$W$17,IF(I563="A",O563*Contagem!$W$16,IF(I563="T",O563*Contagem!$W$18,""))))</f>
        <v/>
      </c>
      <c r="Q563" s="49"/>
    </row>
    <row r="564" customFormat="false" ht="12" hidden="false" customHeight="true" outlineLevel="0" collapsed="false">
      <c r="A564" s="40" t="n">
        <f aca="false">IF(H564="",IF(C564="",A563,A563+1),A563)</f>
        <v>62</v>
      </c>
      <c r="B564" s="41" t="str">
        <f aca="false">IF(A564=A563,"",CONCATENATE("F",A564))</f>
        <v/>
      </c>
      <c r="C564" s="42"/>
      <c r="D564" s="42"/>
      <c r="E564" s="42"/>
      <c r="F564" s="42"/>
      <c r="G564" s="42"/>
      <c r="H564" s="44"/>
      <c r="I564" s="50"/>
      <c r="J564" s="44"/>
      <c r="K564" s="44"/>
      <c r="L564" s="44" t="str">
        <f aca="false">CONCATENATE(H564,M564)</f>
        <v/>
      </c>
      <c r="M564" s="45" t="str">
        <f aca="false">IF(OR(ISBLANK(J564),ISBLANK(K564)),IF(OR(H564="ALI",H564="AIE"),"L",IF(ISBLANK(H564),"","A")),IF(H564="EE",IF(K564&gt;=3,IF(J564&gt;=5,"H","A"),IF(K564&gt;=2,IF(J564&gt;=16,"H",IF(J564&lt;=4,"L","A")),IF(J564&lt;=15,"L","A"))),IF(OR(H564="SE",H564="CE"),IF(K564&gt;=4,IF(J564&gt;=6,"H","A"),IF(K564&gt;=2,IF(J564&gt;=20,"H",IF(J564&lt;=5,"L","A")),IF(J564&lt;=19,"L","A"))),IF(OR(H564="ALI",H564="AIE"),IF(K564&gt;=6,IF(J564&gt;=20,"H","A"),IF(K564&gt;=2,IF(J564&gt;=51,"H",IF(J564&lt;=19,"L","A")),IF(J564&lt;=50,"L","A")))))))</f>
        <v/>
      </c>
      <c r="N564" s="46" t="str">
        <f aca="false">IF(M564="L","Baixa",IF(M564="A","Média",IF(M564="","","Alta")))</f>
        <v/>
      </c>
      <c r="O564" s="47" t="str">
        <f aca="false">IF(ISBLANK(H564),"",IF(H564="ALI",IF(M564="L",7,IF(M564="A",10,15)),IF(H564="AIE",IF(M564="L",5,IF(M564="A",7,10)),IF(H564="SE",IF(M564="L",4,IF(M564="A",5,7)),IF(OR(H564="EE",H564="CE"),IF(M564="L",3,IF(M564="A",4,6)))))))</f>
        <v/>
      </c>
      <c r="P564" s="48" t="str">
        <f aca="false">IF(I564="I",O564*Contagem!$W$15,IF(I564="E",O564*Contagem!$W$17,IF(I564="A",O564*Contagem!$W$16,IF(I564="T",O564*Contagem!$W$18,""))))</f>
        <v/>
      </c>
      <c r="Q564" s="49"/>
    </row>
    <row r="565" customFormat="false" ht="12" hidden="false" customHeight="true" outlineLevel="0" collapsed="false">
      <c r="A565" s="40" t="n">
        <f aca="false">IF(H565="",IF(C565="",A564,A564+1),A564)</f>
        <v>62</v>
      </c>
      <c r="B565" s="41" t="str">
        <f aca="false">IF(A565=A564,"",CONCATENATE("F",A565))</f>
        <v/>
      </c>
      <c r="C565" s="42"/>
      <c r="D565" s="42"/>
      <c r="E565" s="42"/>
      <c r="F565" s="42"/>
      <c r="G565" s="42"/>
      <c r="H565" s="44"/>
      <c r="I565" s="50"/>
      <c r="J565" s="44"/>
      <c r="K565" s="44"/>
      <c r="L565" s="44" t="str">
        <f aca="false">CONCATENATE(H565,M565)</f>
        <v/>
      </c>
      <c r="M565" s="45" t="str">
        <f aca="false">IF(OR(ISBLANK(J565),ISBLANK(K565)),IF(OR(H565="ALI",H565="AIE"),"L",IF(ISBLANK(H565),"","A")),IF(H565="EE",IF(K565&gt;=3,IF(J565&gt;=5,"H","A"),IF(K565&gt;=2,IF(J565&gt;=16,"H",IF(J565&lt;=4,"L","A")),IF(J565&lt;=15,"L","A"))),IF(OR(H565="SE",H565="CE"),IF(K565&gt;=4,IF(J565&gt;=6,"H","A"),IF(K565&gt;=2,IF(J565&gt;=20,"H",IF(J565&lt;=5,"L","A")),IF(J565&lt;=19,"L","A"))),IF(OR(H565="ALI",H565="AIE"),IF(K565&gt;=6,IF(J565&gt;=20,"H","A"),IF(K565&gt;=2,IF(J565&gt;=51,"H",IF(J565&lt;=19,"L","A")),IF(J565&lt;=50,"L","A")))))))</f>
        <v/>
      </c>
      <c r="N565" s="46" t="str">
        <f aca="false">IF(M565="L","Baixa",IF(M565="A","Média",IF(M565="","","Alta")))</f>
        <v/>
      </c>
      <c r="O565" s="47" t="str">
        <f aca="false">IF(ISBLANK(H565),"",IF(H565="ALI",IF(M565="L",7,IF(M565="A",10,15)),IF(H565="AIE",IF(M565="L",5,IF(M565="A",7,10)),IF(H565="SE",IF(M565="L",4,IF(M565="A",5,7)),IF(OR(H565="EE",H565="CE"),IF(M565="L",3,IF(M565="A",4,6)))))))</f>
        <v/>
      </c>
      <c r="P565" s="48" t="str">
        <f aca="false">IF(I565="I",O565*Contagem!$W$15,IF(I565="E",O565*Contagem!$W$17,IF(I565="A",O565*Contagem!$W$16,IF(I565="T",O565*Contagem!$W$18,""))))</f>
        <v/>
      </c>
      <c r="Q565" s="49"/>
    </row>
    <row r="566" customFormat="false" ht="12" hidden="false" customHeight="true" outlineLevel="0" collapsed="false">
      <c r="A566" s="40" t="n">
        <f aca="false">IF(H566="",IF(C566="",A565,A565+1),A565)</f>
        <v>62</v>
      </c>
      <c r="B566" s="41" t="str">
        <f aca="false">IF(A566=A565,"",CONCATENATE("F",A566))</f>
        <v/>
      </c>
      <c r="C566" s="42"/>
      <c r="D566" s="42"/>
      <c r="E566" s="42"/>
      <c r="F566" s="42"/>
      <c r="G566" s="42"/>
      <c r="H566" s="44"/>
      <c r="I566" s="50"/>
      <c r="J566" s="44"/>
      <c r="K566" s="44"/>
      <c r="L566" s="44" t="str">
        <f aca="false">CONCATENATE(H566,M566)</f>
        <v/>
      </c>
      <c r="M566" s="45" t="str">
        <f aca="false">IF(OR(ISBLANK(J566),ISBLANK(K566)),IF(OR(H566="ALI",H566="AIE"),"L",IF(ISBLANK(H566),"","A")),IF(H566="EE",IF(K566&gt;=3,IF(J566&gt;=5,"H","A"),IF(K566&gt;=2,IF(J566&gt;=16,"H",IF(J566&lt;=4,"L","A")),IF(J566&lt;=15,"L","A"))),IF(OR(H566="SE",H566="CE"),IF(K566&gt;=4,IF(J566&gt;=6,"H","A"),IF(K566&gt;=2,IF(J566&gt;=20,"H",IF(J566&lt;=5,"L","A")),IF(J566&lt;=19,"L","A"))),IF(OR(H566="ALI",H566="AIE"),IF(K566&gt;=6,IF(J566&gt;=20,"H","A"),IF(K566&gt;=2,IF(J566&gt;=51,"H",IF(J566&lt;=19,"L","A")),IF(J566&lt;=50,"L","A")))))))</f>
        <v/>
      </c>
      <c r="N566" s="46" t="str">
        <f aca="false">IF(M566="L","Baixa",IF(M566="A","Média",IF(M566="","","Alta")))</f>
        <v/>
      </c>
      <c r="O566" s="47" t="str">
        <f aca="false">IF(ISBLANK(H566),"",IF(H566="ALI",IF(M566="L",7,IF(M566="A",10,15)),IF(H566="AIE",IF(M566="L",5,IF(M566="A",7,10)),IF(H566="SE",IF(M566="L",4,IF(M566="A",5,7)),IF(OR(H566="EE",H566="CE"),IF(M566="L",3,IF(M566="A",4,6)))))))</f>
        <v/>
      </c>
      <c r="P566" s="48" t="str">
        <f aca="false">IF(I566="I",O566*Contagem!$W$15,IF(I566="E",O566*Contagem!$W$17,IF(I566="A",O566*Contagem!$W$16,IF(I566="T",O566*Contagem!$W$18,""))))</f>
        <v/>
      </c>
      <c r="Q566" s="49"/>
    </row>
    <row r="567" customFormat="false" ht="12" hidden="false" customHeight="true" outlineLevel="0" collapsed="false">
      <c r="A567" s="40" t="n">
        <f aca="false">IF(H567="",IF(C567="",A566,A566+1),A566)</f>
        <v>62</v>
      </c>
      <c r="B567" s="41" t="str">
        <f aca="false">IF(A567=A566,"",CONCATENATE("F",A567))</f>
        <v/>
      </c>
      <c r="C567" s="42"/>
      <c r="D567" s="42"/>
      <c r="E567" s="42"/>
      <c r="F567" s="42"/>
      <c r="G567" s="42"/>
      <c r="H567" s="44"/>
      <c r="I567" s="50"/>
      <c r="J567" s="44"/>
      <c r="K567" s="44"/>
      <c r="L567" s="44" t="str">
        <f aca="false">CONCATENATE(H567,M567)</f>
        <v/>
      </c>
      <c r="M567" s="45" t="str">
        <f aca="false">IF(OR(ISBLANK(J567),ISBLANK(K567)),IF(OR(H567="ALI",H567="AIE"),"L",IF(ISBLANK(H567),"","A")),IF(H567="EE",IF(K567&gt;=3,IF(J567&gt;=5,"H","A"),IF(K567&gt;=2,IF(J567&gt;=16,"H",IF(J567&lt;=4,"L","A")),IF(J567&lt;=15,"L","A"))),IF(OR(H567="SE",H567="CE"),IF(K567&gt;=4,IF(J567&gt;=6,"H","A"),IF(K567&gt;=2,IF(J567&gt;=20,"H",IF(J567&lt;=5,"L","A")),IF(J567&lt;=19,"L","A"))),IF(OR(H567="ALI",H567="AIE"),IF(K567&gt;=6,IF(J567&gt;=20,"H","A"),IF(K567&gt;=2,IF(J567&gt;=51,"H",IF(J567&lt;=19,"L","A")),IF(J567&lt;=50,"L","A")))))))</f>
        <v/>
      </c>
      <c r="N567" s="46" t="str">
        <f aca="false">IF(M567="L","Baixa",IF(M567="A","Média",IF(M567="","","Alta")))</f>
        <v/>
      </c>
      <c r="O567" s="47" t="str">
        <f aca="false">IF(ISBLANK(H567),"",IF(H567="ALI",IF(M567="L",7,IF(M567="A",10,15)),IF(H567="AIE",IF(M567="L",5,IF(M567="A",7,10)),IF(H567="SE",IF(M567="L",4,IF(M567="A",5,7)),IF(OR(H567="EE",H567="CE"),IF(M567="L",3,IF(M567="A",4,6)))))))</f>
        <v/>
      </c>
      <c r="P567" s="48" t="str">
        <f aca="false">IF(I567="I",O567*Contagem!$W$15,IF(I567="E",O567*Contagem!$W$17,IF(I567="A",O567*Contagem!$W$16,IF(I567="T",O567*Contagem!$W$18,""))))</f>
        <v/>
      </c>
      <c r="Q567" s="49"/>
    </row>
    <row r="568" customFormat="false" ht="12" hidden="false" customHeight="true" outlineLevel="0" collapsed="false">
      <c r="A568" s="40" t="n">
        <f aca="false">IF(H568="",IF(C568="",A567,A567+1),A567)</f>
        <v>62</v>
      </c>
      <c r="B568" s="41" t="str">
        <f aca="false">IF(A568=A567,"",CONCATENATE("F",A568))</f>
        <v/>
      </c>
      <c r="C568" s="42"/>
      <c r="D568" s="42"/>
      <c r="E568" s="42"/>
      <c r="F568" s="42"/>
      <c r="G568" s="42"/>
      <c r="H568" s="44"/>
      <c r="I568" s="50"/>
      <c r="J568" s="44"/>
      <c r="K568" s="44"/>
      <c r="L568" s="44" t="str">
        <f aca="false">CONCATENATE(H568,M568)</f>
        <v/>
      </c>
      <c r="M568" s="45" t="str">
        <f aca="false">IF(OR(ISBLANK(J568),ISBLANK(K568)),IF(OR(H568="ALI",H568="AIE"),"L",IF(ISBLANK(H568),"","A")),IF(H568="EE",IF(K568&gt;=3,IF(J568&gt;=5,"H","A"),IF(K568&gt;=2,IF(J568&gt;=16,"H",IF(J568&lt;=4,"L","A")),IF(J568&lt;=15,"L","A"))),IF(OR(H568="SE",H568="CE"),IF(K568&gt;=4,IF(J568&gt;=6,"H","A"),IF(K568&gt;=2,IF(J568&gt;=20,"H",IF(J568&lt;=5,"L","A")),IF(J568&lt;=19,"L","A"))),IF(OR(H568="ALI",H568="AIE"),IF(K568&gt;=6,IF(J568&gt;=20,"H","A"),IF(K568&gt;=2,IF(J568&gt;=51,"H",IF(J568&lt;=19,"L","A")),IF(J568&lt;=50,"L","A")))))))</f>
        <v/>
      </c>
      <c r="N568" s="46" t="str">
        <f aca="false">IF(M568="L","Baixa",IF(M568="A","Média",IF(M568="","","Alta")))</f>
        <v/>
      </c>
      <c r="O568" s="47" t="str">
        <f aca="false">IF(ISBLANK(H568),"",IF(H568="ALI",IF(M568="L",7,IF(M568="A",10,15)),IF(H568="AIE",IF(M568="L",5,IF(M568="A",7,10)),IF(H568="SE",IF(M568="L",4,IF(M568="A",5,7)),IF(OR(H568="EE",H568="CE"),IF(M568="L",3,IF(M568="A",4,6)))))))</f>
        <v/>
      </c>
      <c r="P568" s="48" t="str">
        <f aca="false">IF(I568="I",O568*Contagem!$W$15,IF(I568="E",O568*Contagem!$W$17,IF(I568="A",O568*Contagem!$W$16,IF(I568="T",O568*Contagem!$W$18,""))))</f>
        <v/>
      </c>
      <c r="Q568" s="49"/>
    </row>
    <row r="569" customFormat="false" ht="12" hidden="false" customHeight="true" outlineLevel="0" collapsed="false">
      <c r="A569" s="40" t="n">
        <f aca="false">IF(H569="",IF(C569="",A568,A568+1),A568)</f>
        <v>62</v>
      </c>
      <c r="B569" s="41" t="str">
        <f aca="false">IF(A569=A568,"",CONCATENATE("F",A569))</f>
        <v/>
      </c>
      <c r="C569" s="42"/>
      <c r="D569" s="42"/>
      <c r="E569" s="42"/>
      <c r="F569" s="42"/>
      <c r="G569" s="42"/>
      <c r="H569" s="44"/>
      <c r="I569" s="50"/>
      <c r="J569" s="44"/>
      <c r="K569" s="44"/>
      <c r="L569" s="44" t="str">
        <f aca="false">CONCATENATE(H569,M569)</f>
        <v/>
      </c>
      <c r="M569" s="45" t="str">
        <f aca="false">IF(OR(ISBLANK(J569),ISBLANK(K569)),IF(OR(H569="ALI",H569="AIE"),"L",IF(ISBLANK(H569),"","A")),IF(H569="EE",IF(K569&gt;=3,IF(J569&gt;=5,"H","A"),IF(K569&gt;=2,IF(J569&gt;=16,"H",IF(J569&lt;=4,"L","A")),IF(J569&lt;=15,"L","A"))),IF(OR(H569="SE",H569="CE"),IF(K569&gt;=4,IF(J569&gt;=6,"H","A"),IF(K569&gt;=2,IF(J569&gt;=20,"H",IF(J569&lt;=5,"L","A")),IF(J569&lt;=19,"L","A"))),IF(OR(H569="ALI",H569="AIE"),IF(K569&gt;=6,IF(J569&gt;=20,"H","A"),IF(K569&gt;=2,IF(J569&gt;=51,"H",IF(J569&lt;=19,"L","A")),IF(J569&lt;=50,"L","A")))))))</f>
        <v/>
      </c>
      <c r="N569" s="46" t="str">
        <f aca="false">IF(M569="L","Baixa",IF(M569="A","Média",IF(M569="","","Alta")))</f>
        <v/>
      </c>
      <c r="O569" s="47" t="str">
        <f aca="false">IF(ISBLANK(H569),"",IF(H569="ALI",IF(M569="L",7,IF(M569="A",10,15)),IF(H569="AIE",IF(M569="L",5,IF(M569="A",7,10)),IF(H569="SE",IF(M569="L",4,IF(M569="A",5,7)),IF(OR(H569="EE",H569="CE"),IF(M569="L",3,IF(M569="A",4,6)))))))</f>
        <v/>
      </c>
      <c r="P569" s="48" t="str">
        <f aca="false">IF(I569="I",O569*Contagem!$W$15,IF(I569="E",O569*Contagem!$W$17,IF(I569="A",O569*Contagem!$W$16,IF(I569="T",O569*Contagem!$W$18,""))))</f>
        <v/>
      </c>
      <c r="Q569" s="49"/>
    </row>
    <row r="570" customFormat="false" ht="12" hidden="false" customHeight="true" outlineLevel="0" collapsed="false">
      <c r="A570" s="40" t="n">
        <f aca="false">IF(H570="",IF(C570="",A569,A569+1),A569)</f>
        <v>62</v>
      </c>
      <c r="B570" s="41" t="str">
        <f aca="false">IF(A570=A569,"",CONCATENATE("F",A570))</f>
        <v/>
      </c>
      <c r="C570" s="42"/>
      <c r="D570" s="42"/>
      <c r="E570" s="42"/>
      <c r="F570" s="42"/>
      <c r="G570" s="42"/>
      <c r="H570" s="44"/>
      <c r="I570" s="50"/>
      <c r="J570" s="44"/>
      <c r="K570" s="44"/>
      <c r="L570" s="44" t="str">
        <f aca="false">CONCATENATE(H570,M570)</f>
        <v/>
      </c>
      <c r="M570" s="45" t="str">
        <f aca="false">IF(OR(ISBLANK(J570),ISBLANK(K570)),IF(OR(H570="ALI",H570="AIE"),"L",IF(ISBLANK(H570),"","A")),IF(H570="EE",IF(K570&gt;=3,IF(J570&gt;=5,"H","A"),IF(K570&gt;=2,IF(J570&gt;=16,"H",IF(J570&lt;=4,"L","A")),IF(J570&lt;=15,"L","A"))),IF(OR(H570="SE",H570="CE"),IF(K570&gt;=4,IF(J570&gt;=6,"H","A"),IF(K570&gt;=2,IF(J570&gt;=20,"H",IF(J570&lt;=5,"L","A")),IF(J570&lt;=19,"L","A"))),IF(OR(H570="ALI",H570="AIE"),IF(K570&gt;=6,IF(J570&gt;=20,"H","A"),IF(K570&gt;=2,IF(J570&gt;=51,"H",IF(J570&lt;=19,"L","A")),IF(J570&lt;=50,"L","A")))))))</f>
        <v/>
      </c>
      <c r="N570" s="46" t="str">
        <f aca="false">IF(M570="L","Baixa",IF(M570="A","Média",IF(M570="","","Alta")))</f>
        <v/>
      </c>
      <c r="O570" s="47" t="str">
        <f aca="false">IF(ISBLANK(H570),"",IF(H570="ALI",IF(M570="L",7,IF(M570="A",10,15)),IF(H570="AIE",IF(M570="L",5,IF(M570="A",7,10)),IF(H570="SE",IF(M570="L",4,IF(M570="A",5,7)),IF(OR(H570="EE",H570="CE"),IF(M570="L",3,IF(M570="A",4,6)))))))</f>
        <v/>
      </c>
      <c r="P570" s="48" t="str">
        <f aca="false">IF(I570="I",O570*Contagem!$W$15,IF(I570="E",O570*Contagem!$W$17,IF(I570="A",O570*Contagem!$W$16,IF(I570="T",O570*Contagem!$W$18,""))))</f>
        <v/>
      </c>
      <c r="Q570" s="49"/>
    </row>
    <row r="571" customFormat="false" ht="12" hidden="false" customHeight="true" outlineLevel="0" collapsed="false">
      <c r="A571" s="40" t="n">
        <f aca="false">IF(H571="",IF(C571="",A570,A570+1),A570)</f>
        <v>62</v>
      </c>
      <c r="B571" s="41" t="str">
        <f aca="false">IF(A571=A570,"",CONCATENATE("F",A571))</f>
        <v/>
      </c>
      <c r="C571" s="42"/>
      <c r="D571" s="42"/>
      <c r="E571" s="42"/>
      <c r="F571" s="42"/>
      <c r="G571" s="42"/>
      <c r="H571" s="44"/>
      <c r="I571" s="50"/>
      <c r="J571" s="44"/>
      <c r="K571" s="44"/>
      <c r="L571" s="44" t="str">
        <f aca="false">CONCATENATE(H571,M571)</f>
        <v/>
      </c>
      <c r="M571" s="45" t="str">
        <f aca="false">IF(OR(ISBLANK(J571),ISBLANK(K571)),IF(OR(H571="ALI",H571="AIE"),"L",IF(ISBLANK(H571),"","A")),IF(H571="EE",IF(K571&gt;=3,IF(J571&gt;=5,"H","A"),IF(K571&gt;=2,IF(J571&gt;=16,"H",IF(J571&lt;=4,"L","A")),IF(J571&lt;=15,"L","A"))),IF(OR(H571="SE",H571="CE"),IF(K571&gt;=4,IF(J571&gt;=6,"H","A"),IF(K571&gt;=2,IF(J571&gt;=20,"H",IF(J571&lt;=5,"L","A")),IF(J571&lt;=19,"L","A"))),IF(OR(H571="ALI",H571="AIE"),IF(K571&gt;=6,IF(J571&gt;=20,"H","A"),IF(K571&gt;=2,IF(J571&gt;=51,"H",IF(J571&lt;=19,"L","A")),IF(J571&lt;=50,"L","A")))))))</f>
        <v/>
      </c>
      <c r="N571" s="46" t="str">
        <f aca="false">IF(M571="L","Baixa",IF(M571="A","Média",IF(M571="","","Alta")))</f>
        <v/>
      </c>
      <c r="O571" s="47" t="str">
        <f aca="false">IF(ISBLANK(H571),"",IF(H571="ALI",IF(M571="L",7,IF(M571="A",10,15)),IF(H571="AIE",IF(M571="L",5,IF(M571="A",7,10)),IF(H571="SE",IF(M571="L",4,IF(M571="A",5,7)),IF(OR(H571="EE",H571="CE"),IF(M571="L",3,IF(M571="A",4,6)))))))</f>
        <v/>
      </c>
      <c r="P571" s="48" t="str">
        <f aca="false">IF(I571="I",O571*Contagem!$W$15,IF(I571="E",O571*Contagem!$W$17,IF(I571="A",O571*Contagem!$W$16,IF(I571="T",O571*Contagem!$W$18,""))))</f>
        <v/>
      </c>
      <c r="Q571" s="49"/>
    </row>
    <row r="572" customFormat="false" ht="12" hidden="false" customHeight="true" outlineLevel="0" collapsed="false">
      <c r="A572" s="40" t="n">
        <f aca="false">IF(H572="",IF(C572="",A571,A571+1),A571)</f>
        <v>62</v>
      </c>
      <c r="B572" s="41" t="str">
        <f aca="false">IF(A572=A571,"",CONCATENATE("F",A572))</f>
        <v/>
      </c>
      <c r="C572" s="42"/>
      <c r="D572" s="42"/>
      <c r="E572" s="42"/>
      <c r="F572" s="42"/>
      <c r="G572" s="42"/>
      <c r="H572" s="44"/>
      <c r="I572" s="50"/>
      <c r="J572" s="44"/>
      <c r="K572" s="44"/>
      <c r="L572" s="44" t="str">
        <f aca="false">CONCATENATE(H572,M572)</f>
        <v/>
      </c>
      <c r="M572" s="45" t="str">
        <f aca="false">IF(OR(ISBLANK(J572),ISBLANK(K572)),IF(OR(H572="ALI",H572="AIE"),"L",IF(ISBLANK(H572),"","A")),IF(H572="EE",IF(K572&gt;=3,IF(J572&gt;=5,"H","A"),IF(K572&gt;=2,IF(J572&gt;=16,"H",IF(J572&lt;=4,"L","A")),IF(J572&lt;=15,"L","A"))),IF(OR(H572="SE",H572="CE"),IF(K572&gt;=4,IF(J572&gt;=6,"H","A"),IF(K572&gt;=2,IF(J572&gt;=20,"H",IF(J572&lt;=5,"L","A")),IF(J572&lt;=19,"L","A"))),IF(OR(H572="ALI",H572="AIE"),IF(K572&gt;=6,IF(J572&gt;=20,"H","A"),IF(K572&gt;=2,IF(J572&gt;=51,"H",IF(J572&lt;=19,"L","A")),IF(J572&lt;=50,"L","A")))))))</f>
        <v/>
      </c>
      <c r="N572" s="46" t="str">
        <f aca="false">IF(M572="L","Baixa",IF(M572="A","Média",IF(M572="","","Alta")))</f>
        <v/>
      </c>
      <c r="O572" s="47" t="str">
        <f aca="false">IF(ISBLANK(H572),"",IF(H572="ALI",IF(M572="L",7,IF(M572="A",10,15)),IF(H572="AIE",IF(M572="L",5,IF(M572="A",7,10)),IF(H572="SE",IF(M572="L",4,IF(M572="A",5,7)),IF(OR(H572="EE",H572="CE"),IF(M572="L",3,IF(M572="A",4,6)))))))</f>
        <v/>
      </c>
      <c r="P572" s="48" t="str">
        <f aca="false">IF(I572="I",O572*Contagem!$W$15,IF(I572="E",O572*Contagem!$W$17,IF(I572="A",O572*Contagem!$W$16,IF(I572="T",O572*Contagem!$W$18,""))))</f>
        <v/>
      </c>
      <c r="Q572" s="49"/>
    </row>
    <row r="573" customFormat="false" ht="12" hidden="false" customHeight="true" outlineLevel="0" collapsed="false">
      <c r="A573" s="40" t="n">
        <f aca="false">IF(H573="",IF(C573="",A572,A572+1),A572)</f>
        <v>62</v>
      </c>
      <c r="B573" s="41" t="str">
        <f aca="false">IF(A573=A572,"",CONCATENATE("F",A573))</f>
        <v/>
      </c>
      <c r="C573" s="42"/>
      <c r="D573" s="42"/>
      <c r="E573" s="42"/>
      <c r="F573" s="42"/>
      <c r="G573" s="42"/>
      <c r="H573" s="44"/>
      <c r="I573" s="50"/>
      <c r="J573" s="44"/>
      <c r="K573" s="44"/>
      <c r="L573" s="44" t="str">
        <f aca="false">CONCATENATE(H573,M573)</f>
        <v/>
      </c>
      <c r="M573" s="45" t="str">
        <f aca="false">IF(OR(ISBLANK(J573),ISBLANK(K573)),IF(OR(H573="ALI",H573="AIE"),"L",IF(ISBLANK(H573),"","A")),IF(H573="EE",IF(K573&gt;=3,IF(J573&gt;=5,"H","A"),IF(K573&gt;=2,IF(J573&gt;=16,"H",IF(J573&lt;=4,"L","A")),IF(J573&lt;=15,"L","A"))),IF(OR(H573="SE",H573="CE"),IF(K573&gt;=4,IF(J573&gt;=6,"H","A"),IF(K573&gt;=2,IF(J573&gt;=20,"H",IF(J573&lt;=5,"L","A")),IF(J573&lt;=19,"L","A"))),IF(OR(H573="ALI",H573="AIE"),IF(K573&gt;=6,IF(J573&gt;=20,"H","A"),IF(K573&gt;=2,IF(J573&gt;=51,"H",IF(J573&lt;=19,"L","A")),IF(J573&lt;=50,"L","A")))))))</f>
        <v/>
      </c>
      <c r="N573" s="46" t="str">
        <f aca="false">IF(M573="L","Baixa",IF(M573="A","Média",IF(M573="","","Alta")))</f>
        <v/>
      </c>
      <c r="O573" s="47" t="str">
        <f aca="false">IF(ISBLANK(H573),"",IF(H573="ALI",IF(M573="L",7,IF(M573="A",10,15)),IF(H573="AIE",IF(M573="L",5,IF(M573="A",7,10)),IF(H573="SE",IF(M573="L",4,IF(M573="A",5,7)),IF(OR(H573="EE",H573="CE"),IF(M573="L",3,IF(M573="A",4,6)))))))</f>
        <v/>
      </c>
      <c r="P573" s="48" t="str">
        <f aca="false">IF(I573="I",O573*Contagem!$W$15,IF(I573="E",O573*Contagem!$W$17,IF(I573="A",O573*Contagem!$W$16,IF(I573="T",O573*Contagem!$W$18,""))))</f>
        <v/>
      </c>
      <c r="Q573" s="49"/>
    </row>
    <row r="574" customFormat="false" ht="12" hidden="false" customHeight="true" outlineLevel="0" collapsed="false">
      <c r="A574" s="40" t="n">
        <f aca="false">IF(H574="",IF(C574="",A573,A573+1),A573)</f>
        <v>62</v>
      </c>
      <c r="B574" s="41" t="str">
        <f aca="false">IF(A574=A573,"",CONCATENATE("F",A574))</f>
        <v/>
      </c>
      <c r="C574" s="42"/>
      <c r="D574" s="42"/>
      <c r="E574" s="42"/>
      <c r="F574" s="42"/>
      <c r="G574" s="42"/>
      <c r="H574" s="44"/>
      <c r="I574" s="50"/>
      <c r="J574" s="44"/>
      <c r="K574" s="44"/>
      <c r="L574" s="44" t="str">
        <f aca="false">CONCATENATE(H574,M574)</f>
        <v/>
      </c>
      <c r="M574" s="45" t="str">
        <f aca="false">IF(OR(ISBLANK(J574),ISBLANK(K574)),IF(OR(H574="ALI",H574="AIE"),"L",IF(ISBLANK(H574),"","A")),IF(H574="EE",IF(K574&gt;=3,IF(J574&gt;=5,"H","A"),IF(K574&gt;=2,IF(J574&gt;=16,"H",IF(J574&lt;=4,"L","A")),IF(J574&lt;=15,"L","A"))),IF(OR(H574="SE",H574="CE"),IF(K574&gt;=4,IF(J574&gt;=6,"H","A"),IF(K574&gt;=2,IF(J574&gt;=20,"H",IF(J574&lt;=5,"L","A")),IF(J574&lt;=19,"L","A"))),IF(OR(H574="ALI",H574="AIE"),IF(K574&gt;=6,IF(J574&gt;=20,"H","A"),IF(K574&gt;=2,IF(J574&gt;=51,"H",IF(J574&lt;=19,"L","A")),IF(J574&lt;=50,"L","A")))))))</f>
        <v/>
      </c>
      <c r="N574" s="46" t="str">
        <f aca="false">IF(M574="L","Baixa",IF(M574="A","Média",IF(M574="","","Alta")))</f>
        <v/>
      </c>
      <c r="O574" s="47" t="str">
        <f aca="false">IF(ISBLANK(H574),"",IF(H574="ALI",IF(M574="L",7,IF(M574="A",10,15)),IF(H574="AIE",IF(M574="L",5,IF(M574="A",7,10)),IF(H574="SE",IF(M574="L",4,IF(M574="A",5,7)),IF(OR(H574="EE",H574="CE"),IF(M574="L",3,IF(M574="A",4,6)))))))</f>
        <v/>
      </c>
      <c r="P574" s="48" t="str">
        <f aca="false">IF(I574="I",O574*Contagem!$W$15,IF(I574="E",O574*Contagem!$W$17,IF(I574="A",O574*Contagem!$W$16,IF(I574="T",O574*Contagem!$W$18,""))))</f>
        <v/>
      </c>
      <c r="Q574" s="49"/>
    </row>
    <row r="575" customFormat="false" ht="12" hidden="false" customHeight="true" outlineLevel="0" collapsed="false">
      <c r="A575" s="40" t="n">
        <f aca="false">IF(H575="",IF(C575="",A574,A574+1),A574)</f>
        <v>62</v>
      </c>
      <c r="B575" s="41" t="str">
        <f aca="false">IF(A575=A574,"",CONCATENATE("F",A575))</f>
        <v/>
      </c>
      <c r="C575" s="42"/>
      <c r="D575" s="42"/>
      <c r="E575" s="42"/>
      <c r="F575" s="42"/>
      <c r="G575" s="42"/>
      <c r="H575" s="44"/>
      <c r="I575" s="50"/>
      <c r="J575" s="44"/>
      <c r="K575" s="44"/>
      <c r="L575" s="44" t="str">
        <f aca="false">CONCATENATE(H575,M575)</f>
        <v/>
      </c>
      <c r="M575" s="45" t="str">
        <f aca="false">IF(OR(ISBLANK(J575),ISBLANK(K575)),IF(OR(H575="ALI",H575="AIE"),"L",IF(ISBLANK(H575),"","A")),IF(H575="EE",IF(K575&gt;=3,IF(J575&gt;=5,"H","A"),IF(K575&gt;=2,IF(J575&gt;=16,"H",IF(J575&lt;=4,"L","A")),IF(J575&lt;=15,"L","A"))),IF(OR(H575="SE",H575="CE"),IF(K575&gt;=4,IF(J575&gt;=6,"H","A"),IF(K575&gt;=2,IF(J575&gt;=20,"H",IF(J575&lt;=5,"L","A")),IF(J575&lt;=19,"L","A"))),IF(OR(H575="ALI",H575="AIE"),IF(K575&gt;=6,IF(J575&gt;=20,"H","A"),IF(K575&gt;=2,IF(J575&gt;=51,"H",IF(J575&lt;=19,"L","A")),IF(J575&lt;=50,"L","A")))))))</f>
        <v/>
      </c>
      <c r="N575" s="46" t="str">
        <f aca="false">IF(M575="L","Baixa",IF(M575="A","Média",IF(M575="","","Alta")))</f>
        <v/>
      </c>
      <c r="O575" s="47" t="str">
        <f aca="false">IF(ISBLANK(H575),"",IF(H575="ALI",IF(M575="L",7,IF(M575="A",10,15)),IF(H575="AIE",IF(M575="L",5,IF(M575="A",7,10)),IF(H575="SE",IF(M575="L",4,IF(M575="A",5,7)),IF(OR(H575="EE",H575="CE"),IF(M575="L",3,IF(M575="A",4,6)))))))</f>
        <v/>
      </c>
      <c r="P575" s="48" t="str">
        <f aca="false">IF(I575="I",O575*Contagem!$W$15,IF(I575="E",O575*Contagem!$W$17,IF(I575="A",O575*Contagem!$W$16,IF(I575="T",O575*Contagem!$W$18,""))))</f>
        <v/>
      </c>
      <c r="Q575" s="49"/>
    </row>
    <row r="576" customFormat="false" ht="12" hidden="false" customHeight="true" outlineLevel="0" collapsed="false">
      <c r="A576" s="40" t="n">
        <f aca="false">IF(H576="",IF(C576="",A575,A575+1),A575)</f>
        <v>62</v>
      </c>
      <c r="B576" s="41" t="str">
        <f aca="false">IF(A576=A575,"",CONCATENATE("F",A576))</f>
        <v/>
      </c>
      <c r="C576" s="42"/>
      <c r="D576" s="42"/>
      <c r="E576" s="42"/>
      <c r="F576" s="42"/>
      <c r="G576" s="42"/>
      <c r="H576" s="44"/>
      <c r="I576" s="50"/>
      <c r="J576" s="44"/>
      <c r="K576" s="44"/>
      <c r="L576" s="44" t="str">
        <f aca="false">CONCATENATE(H576,M576)</f>
        <v/>
      </c>
      <c r="M576" s="45" t="str">
        <f aca="false">IF(OR(ISBLANK(J576),ISBLANK(K576)),IF(OR(H576="ALI",H576="AIE"),"L",IF(ISBLANK(H576),"","A")),IF(H576="EE",IF(K576&gt;=3,IF(J576&gt;=5,"H","A"),IF(K576&gt;=2,IF(J576&gt;=16,"H",IF(J576&lt;=4,"L","A")),IF(J576&lt;=15,"L","A"))),IF(OR(H576="SE",H576="CE"),IF(K576&gt;=4,IF(J576&gt;=6,"H","A"),IF(K576&gt;=2,IF(J576&gt;=20,"H",IF(J576&lt;=5,"L","A")),IF(J576&lt;=19,"L","A"))),IF(OR(H576="ALI",H576="AIE"),IF(K576&gt;=6,IF(J576&gt;=20,"H","A"),IF(K576&gt;=2,IF(J576&gt;=51,"H",IF(J576&lt;=19,"L","A")),IF(J576&lt;=50,"L","A")))))))</f>
        <v/>
      </c>
      <c r="N576" s="46" t="str">
        <f aca="false">IF(M576="L","Baixa",IF(M576="A","Média",IF(M576="","","Alta")))</f>
        <v/>
      </c>
      <c r="O576" s="47" t="str">
        <f aca="false">IF(ISBLANK(H576),"",IF(H576="ALI",IF(M576="L",7,IF(M576="A",10,15)),IF(H576="AIE",IF(M576="L",5,IF(M576="A",7,10)),IF(H576="SE",IF(M576="L",4,IF(M576="A",5,7)),IF(OR(H576="EE",H576="CE"),IF(M576="L",3,IF(M576="A",4,6)))))))</f>
        <v/>
      </c>
      <c r="P576" s="48" t="str">
        <f aca="false">IF(I576="I",O576*Contagem!$W$15,IF(I576="E",O576*Contagem!$W$17,IF(I576="A",O576*Contagem!$W$16,IF(I576="T",O576*Contagem!$W$18,""))))</f>
        <v/>
      </c>
      <c r="Q576" s="49"/>
    </row>
    <row r="577" customFormat="false" ht="12" hidden="false" customHeight="true" outlineLevel="0" collapsed="false">
      <c r="A577" s="40" t="n">
        <f aca="false">IF(H577="",IF(C577="",A576,A576+1),A576)</f>
        <v>62</v>
      </c>
      <c r="B577" s="41" t="str">
        <f aca="false">IF(A577=A576,"",CONCATENATE("F",A577))</f>
        <v/>
      </c>
      <c r="C577" s="42"/>
      <c r="D577" s="42"/>
      <c r="E577" s="42"/>
      <c r="F577" s="42"/>
      <c r="G577" s="42"/>
      <c r="H577" s="44"/>
      <c r="I577" s="50"/>
      <c r="J577" s="44"/>
      <c r="K577" s="44"/>
      <c r="L577" s="44" t="str">
        <f aca="false">CONCATENATE(H577,M577)</f>
        <v/>
      </c>
      <c r="M577" s="45" t="str">
        <f aca="false">IF(OR(ISBLANK(J577),ISBLANK(K577)),IF(OR(H577="ALI",H577="AIE"),"L",IF(ISBLANK(H577),"","A")),IF(H577="EE",IF(K577&gt;=3,IF(J577&gt;=5,"H","A"),IF(K577&gt;=2,IF(J577&gt;=16,"H",IF(J577&lt;=4,"L","A")),IF(J577&lt;=15,"L","A"))),IF(OR(H577="SE",H577="CE"),IF(K577&gt;=4,IF(J577&gt;=6,"H","A"),IF(K577&gt;=2,IF(J577&gt;=20,"H",IF(J577&lt;=5,"L","A")),IF(J577&lt;=19,"L","A"))),IF(OR(H577="ALI",H577="AIE"),IF(K577&gt;=6,IF(J577&gt;=20,"H","A"),IF(K577&gt;=2,IF(J577&gt;=51,"H",IF(J577&lt;=19,"L","A")),IF(J577&lt;=50,"L","A")))))))</f>
        <v/>
      </c>
      <c r="N577" s="46" t="str">
        <f aca="false">IF(M577="L","Baixa",IF(M577="A","Média",IF(M577="","","Alta")))</f>
        <v/>
      </c>
      <c r="O577" s="47" t="str">
        <f aca="false">IF(ISBLANK(H577),"",IF(H577="ALI",IF(M577="L",7,IF(M577="A",10,15)),IF(H577="AIE",IF(M577="L",5,IF(M577="A",7,10)),IF(H577="SE",IF(M577="L",4,IF(M577="A",5,7)),IF(OR(H577="EE",H577="CE"),IF(M577="L",3,IF(M577="A",4,6)))))))</f>
        <v/>
      </c>
      <c r="P577" s="48" t="str">
        <f aca="false">IF(I577="I",O577*Contagem!$W$15,IF(I577="E",O577*Contagem!$W$17,IF(I577="A",O577*Contagem!$W$16,IF(I577="T",O577*Contagem!$W$18,""))))</f>
        <v/>
      </c>
      <c r="Q577" s="49"/>
    </row>
    <row r="578" customFormat="false" ht="12" hidden="false" customHeight="true" outlineLevel="0" collapsed="false">
      <c r="A578" s="40" t="n">
        <f aca="false">IF(H578="",IF(C578="",A577,A577+1),A577)</f>
        <v>62</v>
      </c>
      <c r="B578" s="41" t="str">
        <f aca="false">IF(A578=A577,"",CONCATENATE("F",A578))</f>
        <v/>
      </c>
      <c r="C578" s="42"/>
      <c r="D578" s="42"/>
      <c r="E578" s="42"/>
      <c r="F578" s="42"/>
      <c r="G578" s="42"/>
      <c r="H578" s="44"/>
      <c r="I578" s="50"/>
      <c r="J578" s="44"/>
      <c r="K578" s="44"/>
      <c r="L578" s="44" t="str">
        <f aca="false">CONCATENATE(H578,M578)</f>
        <v/>
      </c>
      <c r="M578" s="45" t="str">
        <f aca="false">IF(OR(ISBLANK(J578),ISBLANK(K578)),IF(OR(H578="ALI",H578="AIE"),"L",IF(ISBLANK(H578),"","A")),IF(H578="EE",IF(K578&gt;=3,IF(J578&gt;=5,"H","A"),IF(K578&gt;=2,IF(J578&gt;=16,"H",IF(J578&lt;=4,"L","A")),IF(J578&lt;=15,"L","A"))),IF(OR(H578="SE",H578="CE"),IF(K578&gt;=4,IF(J578&gt;=6,"H","A"),IF(K578&gt;=2,IF(J578&gt;=20,"H",IF(J578&lt;=5,"L","A")),IF(J578&lt;=19,"L","A"))),IF(OR(H578="ALI",H578="AIE"),IF(K578&gt;=6,IF(J578&gt;=20,"H","A"),IF(K578&gt;=2,IF(J578&gt;=51,"H",IF(J578&lt;=19,"L","A")),IF(J578&lt;=50,"L","A")))))))</f>
        <v/>
      </c>
      <c r="N578" s="46" t="str">
        <f aca="false">IF(M578="L","Baixa",IF(M578="A","Média",IF(M578="","","Alta")))</f>
        <v/>
      </c>
      <c r="O578" s="47" t="str">
        <f aca="false">IF(ISBLANK(H578),"",IF(H578="ALI",IF(M578="L",7,IF(M578="A",10,15)),IF(H578="AIE",IF(M578="L",5,IF(M578="A",7,10)),IF(H578="SE",IF(M578="L",4,IF(M578="A",5,7)),IF(OR(H578="EE",H578="CE"),IF(M578="L",3,IF(M578="A",4,6)))))))</f>
        <v/>
      </c>
      <c r="P578" s="48" t="str">
        <f aca="false">IF(I578="I",O578*Contagem!$W$15,IF(I578="E",O578*Contagem!$W$17,IF(I578="A",O578*Contagem!$W$16,IF(I578="T",O578*Contagem!$W$18,""))))</f>
        <v/>
      </c>
      <c r="Q578" s="49"/>
    </row>
    <row r="579" customFormat="false" ht="12" hidden="false" customHeight="true" outlineLevel="0" collapsed="false">
      <c r="A579" s="40" t="n">
        <f aca="false">IF(H579="",IF(C579="",A578,A578+1),A578)</f>
        <v>62</v>
      </c>
      <c r="B579" s="41" t="str">
        <f aca="false">IF(A579=A578,"",CONCATENATE("F",A579))</f>
        <v/>
      </c>
      <c r="C579" s="42"/>
      <c r="D579" s="42"/>
      <c r="E579" s="42"/>
      <c r="F579" s="42"/>
      <c r="G579" s="42"/>
      <c r="H579" s="44"/>
      <c r="I579" s="50"/>
      <c r="J579" s="44"/>
      <c r="K579" s="44"/>
      <c r="L579" s="44" t="str">
        <f aca="false">CONCATENATE(H579,M579)</f>
        <v/>
      </c>
      <c r="M579" s="45" t="str">
        <f aca="false">IF(OR(ISBLANK(J579),ISBLANK(K579)),IF(OR(H579="ALI",H579="AIE"),"L",IF(ISBLANK(H579),"","A")),IF(H579="EE",IF(K579&gt;=3,IF(J579&gt;=5,"H","A"),IF(K579&gt;=2,IF(J579&gt;=16,"H",IF(J579&lt;=4,"L","A")),IF(J579&lt;=15,"L","A"))),IF(OR(H579="SE",H579="CE"),IF(K579&gt;=4,IF(J579&gt;=6,"H","A"),IF(K579&gt;=2,IF(J579&gt;=20,"H",IF(J579&lt;=5,"L","A")),IF(J579&lt;=19,"L","A"))),IF(OR(H579="ALI",H579="AIE"),IF(K579&gt;=6,IF(J579&gt;=20,"H","A"),IF(K579&gt;=2,IF(J579&gt;=51,"H",IF(J579&lt;=19,"L","A")),IF(J579&lt;=50,"L","A")))))))</f>
        <v/>
      </c>
      <c r="N579" s="46" t="str">
        <f aca="false">IF(M579="L","Baixa",IF(M579="A","Média",IF(M579="","","Alta")))</f>
        <v/>
      </c>
      <c r="O579" s="47" t="str">
        <f aca="false">IF(ISBLANK(H579),"",IF(H579="ALI",IF(M579="L",7,IF(M579="A",10,15)),IF(H579="AIE",IF(M579="L",5,IF(M579="A",7,10)),IF(H579="SE",IF(M579="L",4,IF(M579="A",5,7)),IF(OR(H579="EE",H579="CE"),IF(M579="L",3,IF(M579="A",4,6)))))))</f>
        <v/>
      </c>
      <c r="P579" s="48" t="str">
        <f aca="false">IF(I579="I",O579*Contagem!$W$15,IF(I579="E",O579*Contagem!$W$17,IF(I579="A",O579*Contagem!$W$16,IF(I579="T",O579*Contagem!$W$18,""))))</f>
        <v/>
      </c>
      <c r="Q579" s="49"/>
    </row>
    <row r="580" customFormat="false" ht="12" hidden="false" customHeight="true" outlineLevel="0" collapsed="false">
      <c r="A580" s="40" t="n">
        <f aca="false">IF(H580="",IF(C580="",A579,A579+1),A579)</f>
        <v>62</v>
      </c>
      <c r="B580" s="41" t="str">
        <f aca="false">IF(A580=A579,"",CONCATENATE("F",A580))</f>
        <v/>
      </c>
      <c r="C580" s="42"/>
      <c r="D580" s="42"/>
      <c r="E580" s="42"/>
      <c r="F580" s="42"/>
      <c r="G580" s="42"/>
      <c r="H580" s="44"/>
      <c r="I580" s="50"/>
      <c r="J580" s="44"/>
      <c r="K580" s="44"/>
      <c r="L580" s="44" t="str">
        <f aca="false">CONCATENATE(H580,M580)</f>
        <v/>
      </c>
      <c r="M580" s="45" t="str">
        <f aca="false">IF(OR(ISBLANK(J580),ISBLANK(K580)),IF(OR(H580="ALI",H580="AIE"),"L",IF(ISBLANK(H580),"","A")),IF(H580="EE",IF(K580&gt;=3,IF(J580&gt;=5,"H","A"),IF(K580&gt;=2,IF(J580&gt;=16,"H",IF(J580&lt;=4,"L","A")),IF(J580&lt;=15,"L","A"))),IF(OR(H580="SE",H580="CE"),IF(K580&gt;=4,IF(J580&gt;=6,"H","A"),IF(K580&gt;=2,IF(J580&gt;=20,"H",IF(J580&lt;=5,"L","A")),IF(J580&lt;=19,"L","A"))),IF(OR(H580="ALI",H580="AIE"),IF(K580&gt;=6,IF(J580&gt;=20,"H","A"),IF(K580&gt;=2,IF(J580&gt;=51,"H",IF(J580&lt;=19,"L","A")),IF(J580&lt;=50,"L","A")))))))</f>
        <v/>
      </c>
      <c r="N580" s="46" t="str">
        <f aca="false">IF(M580="L","Baixa",IF(M580="A","Média",IF(M580="","","Alta")))</f>
        <v/>
      </c>
      <c r="O580" s="47" t="str">
        <f aca="false">IF(ISBLANK(H580),"",IF(H580="ALI",IF(M580="L",7,IF(M580="A",10,15)),IF(H580="AIE",IF(M580="L",5,IF(M580="A",7,10)),IF(H580="SE",IF(M580="L",4,IF(M580="A",5,7)),IF(OR(H580="EE",H580="CE"),IF(M580="L",3,IF(M580="A",4,6)))))))</f>
        <v/>
      </c>
      <c r="P580" s="48" t="str">
        <f aca="false">IF(I580="I",O580*Contagem!$W$15,IF(I580="E",O580*Contagem!$W$17,IF(I580="A",O580*Contagem!$W$16,IF(I580="T",O580*Contagem!$W$18,""))))</f>
        <v/>
      </c>
      <c r="Q580" s="49"/>
    </row>
    <row r="581" customFormat="false" ht="12" hidden="false" customHeight="true" outlineLevel="0" collapsed="false">
      <c r="A581" s="40" t="n">
        <f aca="false">IF(H581="",IF(C581="",A580,A580+1),A580)</f>
        <v>62</v>
      </c>
      <c r="B581" s="41" t="str">
        <f aca="false">IF(A581=A580,"",CONCATENATE("F",A581))</f>
        <v/>
      </c>
      <c r="C581" s="42"/>
      <c r="D581" s="42"/>
      <c r="E581" s="42"/>
      <c r="F581" s="42"/>
      <c r="G581" s="42"/>
      <c r="H581" s="44"/>
      <c r="I581" s="50"/>
      <c r="J581" s="44"/>
      <c r="K581" s="44"/>
      <c r="L581" s="44" t="str">
        <f aca="false">CONCATENATE(H581,M581)</f>
        <v/>
      </c>
      <c r="M581" s="45" t="str">
        <f aca="false">IF(OR(ISBLANK(J581),ISBLANK(K581)),IF(OR(H581="ALI",H581="AIE"),"L",IF(ISBLANK(H581),"","A")),IF(H581="EE",IF(K581&gt;=3,IF(J581&gt;=5,"H","A"),IF(K581&gt;=2,IF(J581&gt;=16,"H",IF(J581&lt;=4,"L","A")),IF(J581&lt;=15,"L","A"))),IF(OR(H581="SE",H581="CE"),IF(K581&gt;=4,IF(J581&gt;=6,"H","A"),IF(K581&gt;=2,IF(J581&gt;=20,"H",IF(J581&lt;=5,"L","A")),IF(J581&lt;=19,"L","A"))),IF(OR(H581="ALI",H581="AIE"),IF(K581&gt;=6,IF(J581&gt;=20,"H","A"),IF(K581&gt;=2,IF(J581&gt;=51,"H",IF(J581&lt;=19,"L","A")),IF(J581&lt;=50,"L","A")))))))</f>
        <v/>
      </c>
      <c r="N581" s="46" t="str">
        <f aca="false">IF(M581="L","Baixa",IF(M581="A","Média",IF(M581="","","Alta")))</f>
        <v/>
      </c>
      <c r="O581" s="47" t="str">
        <f aca="false">IF(ISBLANK(H581),"",IF(H581="ALI",IF(M581="L",7,IF(M581="A",10,15)),IF(H581="AIE",IF(M581="L",5,IF(M581="A",7,10)),IF(H581="SE",IF(M581="L",4,IF(M581="A",5,7)),IF(OR(H581="EE",H581="CE"),IF(M581="L",3,IF(M581="A",4,6)))))))</f>
        <v/>
      </c>
      <c r="P581" s="48" t="str">
        <f aca="false">IF(I581="I",O581*Contagem!$W$15,IF(I581="E",O581*Contagem!$W$17,IF(I581="A",O581*Contagem!$W$16,IF(I581="T",O581*Contagem!$W$18,""))))</f>
        <v/>
      </c>
      <c r="Q581" s="49"/>
    </row>
    <row r="582" customFormat="false" ht="12" hidden="false" customHeight="true" outlineLevel="0" collapsed="false">
      <c r="A582" s="40" t="n">
        <f aca="false">IF(H582="",IF(C582="",A581,A581+1),A581)</f>
        <v>62</v>
      </c>
      <c r="B582" s="41" t="str">
        <f aca="false">IF(A582=A581,"",CONCATENATE("F",A582))</f>
        <v/>
      </c>
      <c r="C582" s="42"/>
      <c r="D582" s="42"/>
      <c r="E582" s="42"/>
      <c r="F582" s="42"/>
      <c r="G582" s="42"/>
      <c r="H582" s="44"/>
      <c r="I582" s="50"/>
      <c r="J582" s="44"/>
      <c r="K582" s="44"/>
      <c r="L582" s="44" t="str">
        <f aca="false">CONCATENATE(H582,M582)</f>
        <v/>
      </c>
      <c r="M582" s="45" t="str">
        <f aca="false">IF(OR(ISBLANK(J582),ISBLANK(K582)),IF(OR(H582="ALI",H582="AIE"),"L",IF(ISBLANK(H582),"","A")),IF(H582="EE",IF(K582&gt;=3,IF(J582&gt;=5,"H","A"),IF(K582&gt;=2,IF(J582&gt;=16,"H",IF(J582&lt;=4,"L","A")),IF(J582&lt;=15,"L","A"))),IF(OR(H582="SE",H582="CE"),IF(K582&gt;=4,IF(J582&gt;=6,"H","A"),IF(K582&gt;=2,IF(J582&gt;=20,"H",IF(J582&lt;=5,"L","A")),IF(J582&lt;=19,"L","A"))),IF(OR(H582="ALI",H582="AIE"),IF(K582&gt;=6,IF(J582&gt;=20,"H","A"),IF(K582&gt;=2,IF(J582&gt;=51,"H",IF(J582&lt;=19,"L","A")),IF(J582&lt;=50,"L","A")))))))</f>
        <v/>
      </c>
      <c r="N582" s="46" t="str">
        <f aca="false">IF(M582="L","Baixa",IF(M582="A","Média",IF(M582="","","Alta")))</f>
        <v/>
      </c>
      <c r="O582" s="47" t="str">
        <f aca="false">IF(ISBLANK(H582),"",IF(H582="ALI",IF(M582="L",7,IF(M582="A",10,15)),IF(H582="AIE",IF(M582="L",5,IF(M582="A",7,10)),IF(H582="SE",IF(M582="L",4,IF(M582="A",5,7)),IF(OR(H582="EE",H582="CE"),IF(M582="L",3,IF(M582="A",4,6)))))))</f>
        <v/>
      </c>
      <c r="P582" s="48" t="str">
        <f aca="false">IF(I582="I",O582*Contagem!$W$15,IF(I582="E",O582*Contagem!$W$17,IF(I582="A",O582*Contagem!$W$16,IF(I582="T",O582*Contagem!$W$18,""))))</f>
        <v/>
      </c>
      <c r="Q582" s="49"/>
    </row>
    <row r="583" customFormat="false" ht="12" hidden="false" customHeight="true" outlineLevel="0" collapsed="false">
      <c r="A583" s="40" t="n">
        <f aca="false">IF(H583="",IF(C583="",A582,A582+1),A582)</f>
        <v>62</v>
      </c>
      <c r="B583" s="41" t="str">
        <f aca="false">IF(A583=A582,"",CONCATENATE("F",A583))</f>
        <v/>
      </c>
      <c r="C583" s="42"/>
      <c r="D583" s="42"/>
      <c r="E583" s="42"/>
      <c r="F583" s="42"/>
      <c r="G583" s="42"/>
      <c r="H583" s="44"/>
      <c r="I583" s="50"/>
      <c r="J583" s="44"/>
      <c r="K583" s="44"/>
      <c r="L583" s="44" t="str">
        <f aca="false">CONCATENATE(H583,M583)</f>
        <v/>
      </c>
      <c r="M583" s="45" t="str">
        <f aca="false">IF(OR(ISBLANK(J583),ISBLANK(K583)),IF(OR(H583="ALI",H583="AIE"),"L",IF(ISBLANK(H583),"","A")),IF(H583="EE",IF(K583&gt;=3,IF(J583&gt;=5,"H","A"),IF(K583&gt;=2,IF(J583&gt;=16,"H",IF(J583&lt;=4,"L","A")),IF(J583&lt;=15,"L","A"))),IF(OR(H583="SE",H583="CE"),IF(K583&gt;=4,IF(J583&gt;=6,"H","A"),IF(K583&gt;=2,IF(J583&gt;=20,"H",IF(J583&lt;=5,"L","A")),IF(J583&lt;=19,"L","A"))),IF(OR(H583="ALI",H583="AIE"),IF(K583&gt;=6,IF(J583&gt;=20,"H","A"),IF(K583&gt;=2,IF(J583&gt;=51,"H",IF(J583&lt;=19,"L","A")),IF(J583&lt;=50,"L","A")))))))</f>
        <v/>
      </c>
      <c r="N583" s="46" t="str">
        <f aca="false">IF(M583="L","Baixa",IF(M583="A","Média",IF(M583="","","Alta")))</f>
        <v/>
      </c>
      <c r="O583" s="47" t="str">
        <f aca="false">IF(ISBLANK(H583),"",IF(H583="ALI",IF(M583="L",7,IF(M583="A",10,15)),IF(H583="AIE",IF(M583="L",5,IF(M583="A",7,10)),IF(H583="SE",IF(M583="L",4,IF(M583="A",5,7)),IF(OR(H583="EE",H583="CE"),IF(M583="L",3,IF(M583="A",4,6)))))))</f>
        <v/>
      </c>
      <c r="P583" s="48" t="str">
        <f aca="false">IF(I583="I",O583*Contagem!$W$15,IF(I583="E",O583*Contagem!$W$17,IF(I583="A",O583*Contagem!$W$16,IF(I583="T",O583*Contagem!$W$18,""))))</f>
        <v/>
      </c>
      <c r="Q583" s="49"/>
    </row>
    <row r="584" customFormat="false" ht="12" hidden="false" customHeight="true" outlineLevel="0" collapsed="false">
      <c r="A584" s="40" t="n">
        <f aca="false">IF(H584="",IF(C584="",A583,A583+1),A583)</f>
        <v>62</v>
      </c>
      <c r="B584" s="41" t="str">
        <f aca="false">IF(A584=A583,"",CONCATENATE("F",A584))</f>
        <v/>
      </c>
      <c r="C584" s="42"/>
      <c r="D584" s="42"/>
      <c r="E584" s="42"/>
      <c r="F584" s="42"/>
      <c r="G584" s="42"/>
      <c r="H584" s="44"/>
      <c r="I584" s="50"/>
      <c r="J584" s="44"/>
      <c r="K584" s="44"/>
      <c r="L584" s="44" t="str">
        <f aca="false">CONCATENATE(H584,M584)</f>
        <v/>
      </c>
      <c r="M584" s="45" t="str">
        <f aca="false">IF(OR(ISBLANK(J584),ISBLANK(K584)),IF(OR(H584="ALI",H584="AIE"),"L",IF(ISBLANK(H584),"","A")),IF(H584="EE",IF(K584&gt;=3,IF(J584&gt;=5,"H","A"),IF(K584&gt;=2,IF(J584&gt;=16,"H",IF(J584&lt;=4,"L","A")),IF(J584&lt;=15,"L","A"))),IF(OR(H584="SE",H584="CE"),IF(K584&gt;=4,IF(J584&gt;=6,"H","A"),IF(K584&gt;=2,IF(J584&gt;=20,"H",IF(J584&lt;=5,"L","A")),IF(J584&lt;=19,"L","A"))),IF(OR(H584="ALI",H584="AIE"),IF(K584&gt;=6,IF(J584&gt;=20,"H","A"),IF(K584&gt;=2,IF(J584&gt;=51,"H",IF(J584&lt;=19,"L","A")),IF(J584&lt;=50,"L","A")))))))</f>
        <v/>
      </c>
      <c r="N584" s="46" t="str">
        <f aca="false">IF(M584="L","Baixa",IF(M584="A","Média",IF(M584="","","Alta")))</f>
        <v/>
      </c>
      <c r="O584" s="47" t="str">
        <f aca="false">IF(ISBLANK(H584),"",IF(H584="ALI",IF(M584="L",7,IF(M584="A",10,15)),IF(H584="AIE",IF(M584="L",5,IF(M584="A",7,10)),IF(H584="SE",IF(M584="L",4,IF(M584="A",5,7)),IF(OR(H584="EE",H584="CE"),IF(M584="L",3,IF(M584="A",4,6)))))))</f>
        <v/>
      </c>
      <c r="P584" s="48" t="str">
        <f aca="false">IF(I584="I",O584*Contagem!$W$15,IF(I584="E",O584*Contagem!$W$17,IF(I584="A",O584*Contagem!$W$16,IF(I584="T",O584*Contagem!$W$18,""))))</f>
        <v/>
      </c>
      <c r="Q584" s="49"/>
    </row>
    <row r="585" customFormat="false" ht="12" hidden="false" customHeight="true" outlineLevel="0" collapsed="false">
      <c r="A585" s="40" t="n">
        <f aca="false">IF(H585="",IF(C585="",A584,A584+1),A584)</f>
        <v>62</v>
      </c>
      <c r="B585" s="41" t="str">
        <f aca="false">IF(A585=A584,"",CONCATENATE("F",A585))</f>
        <v/>
      </c>
      <c r="C585" s="42"/>
      <c r="D585" s="42"/>
      <c r="E585" s="42"/>
      <c r="F585" s="42"/>
      <c r="G585" s="42"/>
      <c r="H585" s="44"/>
      <c r="I585" s="50"/>
      <c r="J585" s="44"/>
      <c r="K585" s="44"/>
      <c r="L585" s="44" t="str">
        <f aca="false">CONCATENATE(H585,M585)</f>
        <v/>
      </c>
      <c r="M585" s="45" t="str">
        <f aca="false">IF(OR(ISBLANK(J585),ISBLANK(K585)),IF(OR(H585="ALI",H585="AIE"),"L",IF(ISBLANK(H585),"","A")),IF(H585="EE",IF(K585&gt;=3,IF(J585&gt;=5,"H","A"),IF(K585&gt;=2,IF(J585&gt;=16,"H",IF(J585&lt;=4,"L","A")),IF(J585&lt;=15,"L","A"))),IF(OR(H585="SE",H585="CE"),IF(K585&gt;=4,IF(J585&gt;=6,"H","A"),IF(K585&gt;=2,IF(J585&gt;=20,"H",IF(J585&lt;=5,"L","A")),IF(J585&lt;=19,"L","A"))),IF(OR(H585="ALI",H585="AIE"),IF(K585&gt;=6,IF(J585&gt;=20,"H","A"),IF(K585&gt;=2,IF(J585&gt;=51,"H",IF(J585&lt;=19,"L","A")),IF(J585&lt;=50,"L","A")))))))</f>
        <v/>
      </c>
      <c r="N585" s="46" t="str">
        <f aca="false">IF(M585="L","Baixa",IF(M585="A","Média",IF(M585="","","Alta")))</f>
        <v/>
      </c>
      <c r="O585" s="47" t="str">
        <f aca="false">IF(ISBLANK(H585),"",IF(H585="ALI",IF(M585="L",7,IF(M585="A",10,15)),IF(H585="AIE",IF(M585="L",5,IF(M585="A",7,10)),IF(H585="SE",IF(M585="L",4,IF(M585="A",5,7)),IF(OR(H585="EE",H585="CE"),IF(M585="L",3,IF(M585="A",4,6)))))))</f>
        <v/>
      </c>
      <c r="P585" s="48" t="str">
        <f aca="false">IF(I585="I",O585*Contagem!$W$15,IF(I585="E",O585*Contagem!$W$17,IF(I585="A",O585*Contagem!$W$16,IF(I585="T",O585*Contagem!$W$18,""))))</f>
        <v/>
      </c>
      <c r="Q585" s="49"/>
    </row>
    <row r="586" customFormat="false" ht="12" hidden="false" customHeight="true" outlineLevel="0" collapsed="false">
      <c r="A586" s="40" t="n">
        <f aca="false">IF(H586="",IF(C586="",A585,A585+1),A585)</f>
        <v>62</v>
      </c>
      <c r="B586" s="41" t="str">
        <f aca="false">IF(A586=A585,"",CONCATENATE("F",A586))</f>
        <v/>
      </c>
      <c r="C586" s="42"/>
      <c r="D586" s="42"/>
      <c r="E586" s="42"/>
      <c r="F586" s="42"/>
      <c r="G586" s="42"/>
      <c r="H586" s="44"/>
      <c r="I586" s="50"/>
      <c r="J586" s="44"/>
      <c r="K586" s="44"/>
      <c r="L586" s="44" t="str">
        <f aca="false">CONCATENATE(H586,M586)</f>
        <v/>
      </c>
      <c r="M586" s="45" t="str">
        <f aca="false">IF(OR(ISBLANK(J586),ISBLANK(K586)),IF(OR(H586="ALI",H586="AIE"),"L",IF(ISBLANK(H586),"","A")),IF(H586="EE",IF(K586&gt;=3,IF(J586&gt;=5,"H","A"),IF(K586&gt;=2,IF(J586&gt;=16,"H",IF(J586&lt;=4,"L","A")),IF(J586&lt;=15,"L","A"))),IF(OR(H586="SE",H586="CE"),IF(K586&gt;=4,IF(J586&gt;=6,"H","A"),IF(K586&gt;=2,IF(J586&gt;=20,"H",IF(J586&lt;=5,"L","A")),IF(J586&lt;=19,"L","A"))),IF(OR(H586="ALI",H586="AIE"),IF(K586&gt;=6,IF(J586&gt;=20,"H","A"),IF(K586&gt;=2,IF(J586&gt;=51,"H",IF(J586&lt;=19,"L","A")),IF(J586&lt;=50,"L","A")))))))</f>
        <v/>
      </c>
      <c r="N586" s="46" t="str">
        <f aca="false">IF(M586="L","Baixa",IF(M586="A","Média",IF(M586="","","Alta")))</f>
        <v/>
      </c>
      <c r="O586" s="47" t="str">
        <f aca="false">IF(ISBLANK(H586),"",IF(H586="ALI",IF(M586="L",7,IF(M586="A",10,15)),IF(H586="AIE",IF(M586="L",5,IF(M586="A",7,10)),IF(H586="SE",IF(M586="L",4,IF(M586="A",5,7)),IF(OR(H586="EE",H586="CE"),IF(M586="L",3,IF(M586="A",4,6)))))))</f>
        <v/>
      </c>
      <c r="P586" s="48" t="str">
        <f aca="false">IF(I586="I",O586*Contagem!$W$15,IF(I586="E",O586*Contagem!$W$17,IF(I586="A",O586*Contagem!$W$16,IF(I586="T",O586*Contagem!$W$18,""))))</f>
        <v/>
      </c>
      <c r="Q586" s="49"/>
    </row>
    <row r="587" customFormat="false" ht="12" hidden="false" customHeight="true" outlineLevel="0" collapsed="false">
      <c r="A587" s="40" t="n">
        <f aca="false">IF(H587="",IF(C587="",A586,A586+1),A586)</f>
        <v>62</v>
      </c>
      <c r="B587" s="41" t="str">
        <f aca="false">IF(A587=A586,"",CONCATENATE("F",A587))</f>
        <v/>
      </c>
      <c r="C587" s="42"/>
      <c r="D587" s="42"/>
      <c r="E587" s="42"/>
      <c r="F587" s="42"/>
      <c r="G587" s="42"/>
      <c r="H587" s="44"/>
      <c r="I587" s="50"/>
      <c r="J587" s="44"/>
      <c r="K587" s="44"/>
      <c r="L587" s="44" t="str">
        <f aca="false">CONCATENATE(H587,M587)</f>
        <v/>
      </c>
      <c r="M587" s="45" t="str">
        <f aca="false">IF(OR(ISBLANK(J587),ISBLANK(K587)),IF(OR(H587="ALI",H587="AIE"),"L",IF(ISBLANK(H587),"","A")),IF(H587="EE",IF(K587&gt;=3,IF(J587&gt;=5,"H","A"),IF(K587&gt;=2,IF(J587&gt;=16,"H",IF(J587&lt;=4,"L","A")),IF(J587&lt;=15,"L","A"))),IF(OR(H587="SE",H587="CE"),IF(K587&gt;=4,IF(J587&gt;=6,"H","A"),IF(K587&gt;=2,IF(J587&gt;=20,"H",IF(J587&lt;=5,"L","A")),IF(J587&lt;=19,"L","A"))),IF(OR(H587="ALI",H587="AIE"),IF(K587&gt;=6,IF(J587&gt;=20,"H","A"),IF(K587&gt;=2,IF(J587&gt;=51,"H",IF(J587&lt;=19,"L","A")),IF(J587&lt;=50,"L","A")))))))</f>
        <v/>
      </c>
      <c r="N587" s="46" t="str">
        <f aca="false">IF(M587="L","Baixa",IF(M587="A","Média",IF(M587="","","Alta")))</f>
        <v/>
      </c>
      <c r="O587" s="47" t="str">
        <f aca="false">IF(ISBLANK(H587),"",IF(H587="ALI",IF(M587="L",7,IF(M587="A",10,15)),IF(H587="AIE",IF(M587="L",5,IF(M587="A",7,10)),IF(H587="SE",IF(M587="L",4,IF(M587="A",5,7)),IF(OR(H587="EE",H587="CE"),IF(M587="L",3,IF(M587="A",4,6)))))))</f>
        <v/>
      </c>
      <c r="P587" s="48" t="str">
        <f aca="false">IF(I587="I",O587*Contagem!$W$15,IF(I587="E",O587*Contagem!$W$17,IF(I587="A",O587*Contagem!$W$16,IF(I587="T",O587*Contagem!$W$18,""))))</f>
        <v/>
      </c>
      <c r="Q587" s="49"/>
    </row>
    <row r="588" customFormat="false" ht="12" hidden="false" customHeight="true" outlineLevel="0" collapsed="false">
      <c r="A588" s="40" t="n">
        <f aca="false">IF(H588="",IF(C588="",A587,A587+1),A587)</f>
        <v>62</v>
      </c>
      <c r="B588" s="41" t="str">
        <f aca="false">IF(A588=A587,"",CONCATENATE("F",A588))</f>
        <v/>
      </c>
      <c r="C588" s="42"/>
      <c r="D588" s="42"/>
      <c r="E588" s="42"/>
      <c r="F588" s="42"/>
      <c r="G588" s="42"/>
      <c r="H588" s="44"/>
      <c r="I588" s="50"/>
      <c r="J588" s="44"/>
      <c r="K588" s="44"/>
      <c r="L588" s="44" t="str">
        <f aca="false">CONCATENATE(H588,M588)</f>
        <v/>
      </c>
      <c r="M588" s="45" t="str">
        <f aca="false">IF(OR(ISBLANK(J588),ISBLANK(K588)),IF(OR(H588="ALI",H588="AIE"),"L",IF(ISBLANK(H588),"","A")),IF(H588="EE",IF(K588&gt;=3,IF(J588&gt;=5,"H","A"),IF(K588&gt;=2,IF(J588&gt;=16,"H",IF(J588&lt;=4,"L","A")),IF(J588&lt;=15,"L","A"))),IF(OR(H588="SE",H588="CE"),IF(K588&gt;=4,IF(J588&gt;=6,"H","A"),IF(K588&gt;=2,IF(J588&gt;=20,"H",IF(J588&lt;=5,"L","A")),IF(J588&lt;=19,"L","A"))),IF(OR(H588="ALI",H588="AIE"),IF(K588&gt;=6,IF(J588&gt;=20,"H","A"),IF(K588&gt;=2,IF(J588&gt;=51,"H",IF(J588&lt;=19,"L","A")),IF(J588&lt;=50,"L","A")))))))</f>
        <v/>
      </c>
      <c r="N588" s="46" t="str">
        <f aca="false">IF(M588="L","Baixa",IF(M588="A","Média",IF(M588="","","Alta")))</f>
        <v/>
      </c>
      <c r="O588" s="47" t="str">
        <f aca="false">IF(ISBLANK(H588),"",IF(H588="ALI",IF(M588="L",7,IF(M588="A",10,15)),IF(H588="AIE",IF(M588="L",5,IF(M588="A",7,10)),IF(H588="SE",IF(M588="L",4,IF(M588="A",5,7)),IF(OR(H588="EE",H588="CE"),IF(M588="L",3,IF(M588="A",4,6)))))))</f>
        <v/>
      </c>
      <c r="P588" s="48" t="str">
        <f aca="false">IF(I588="I",O588*Contagem!$W$15,IF(I588="E",O588*Contagem!$W$17,IF(I588="A",O588*Contagem!$W$16,IF(I588="T",O588*Contagem!$W$18,""))))</f>
        <v/>
      </c>
      <c r="Q588" s="49"/>
    </row>
    <row r="589" customFormat="false" ht="12" hidden="false" customHeight="true" outlineLevel="0" collapsed="false">
      <c r="A589" s="40" t="n">
        <f aca="false">IF(H589="",IF(C589="",A588,A588+1),A588)</f>
        <v>62</v>
      </c>
      <c r="B589" s="41" t="str">
        <f aca="false">IF(A589=A588,"",CONCATENATE("F",A589))</f>
        <v/>
      </c>
      <c r="C589" s="42"/>
      <c r="D589" s="42"/>
      <c r="E589" s="42"/>
      <c r="F589" s="42"/>
      <c r="G589" s="42"/>
      <c r="H589" s="44"/>
      <c r="I589" s="50"/>
      <c r="J589" s="44"/>
      <c r="K589" s="44"/>
      <c r="L589" s="44" t="str">
        <f aca="false">CONCATENATE(H589,M589)</f>
        <v/>
      </c>
      <c r="M589" s="45" t="str">
        <f aca="false">IF(OR(ISBLANK(J589),ISBLANK(K589)),IF(OR(H589="ALI",H589="AIE"),"L",IF(ISBLANK(H589),"","A")),IF(H589="EE",IF(K589&gt;=3,IF(J589&gt;=5,"H","A"),IF(K589&gt;=2,IF(J589&gt;=16,"H",IF(J589&lt;=4,"L","A")),IF(J589&lt;=15,"L","A"))),IF(OR(H589="SE",H589="CE"),IF(K589&gt;=4,IF(J589&gt;=6,"H","A"),IF(K589&gt;=2,IF(J589&gt;=20,"H",IF(J589&lt;=5,"L","A")),IF(J589&lt;=19,"L","A"))),IF(OR(H589="ALI",H589="AIE"),IF(K589&gt;=6,IF(J589&gt;=20,"H","A"),IF(K589&gt;=2,IF(J589&gt;=51,"H",IF(J589&lt;=19,"L","A")),IF(J589&lt;=50,"L","A")))))))</f>
        <v/>
      </c>
      <c r="N589" s="46" t="str">
        <f aca="false">IF(M589="L","Baixa",IF(M589="A","Média",IF(M589="","","Alta")))</f>
        <v/>
      </c>
      <c r="O589" s="47" t="str">
        <f aca="false">IF(ISBLANK(H589),"",IF(H589="ALI",IF(M589="L",7,IF(M589="A",10,15)),IF(H589="AIE",IF(M589="L",5,IF(M589="A",7,10)),IF(H589="SE",IF(M589="L",4,IF(M589="A",5,7)),IF(OR(H589="EE",H589="CE"),IF(M589="L",3,IF(M589="A",4,6)))))))</f>
        <v/>
      </c>
      <c r="P589" s="48" t="str">
        <f aca="false">IF(I589="I",O589*Contagem!$W$15,IF(I589="E",O589*Contagem!$W$17,IF(I589="A",O589*Contagem!$W$16,IF(I589="T",O589*Contagem!$W$18,""))))</f>
        <v/>
      </c>
      <c r="Q589" s="49"/>
    </row>
    <row r="590" customFormat="false" ht="12" hidden="false" customHeight="true" outlineLevel="0" collapsed="false">
      <c r="A590" s="40" t="n">
        <f aca="false">IF(H590="",IF(C590="",A589,A589+1),A589)</f>
        <v>62</v>
      </c>
      <c r="B590" s="41" t="str">
        <f aca="false">IF(A590=A589,"",CONCATENATE("F",A590))</f>
        <v/>
      </c>
      <c r="C590" s="42"/>
      <c r="D590" s="42"/>
      <c r="E590" s="42"/>
      <c r="F590" s="42"/>
      <c r="G590" s="42"/>
      <c r="H590" s="44"/>
      <c r="I590" s="50"/>
      <c r="J590" s="44"/>
      <c r="K590" s="44"/>
      <c r="L590" s="44" t="str">
        <f aca="false">CONCATENATE(H590,M590)</f>
        <v/>
      </c>
      <c r="M590" s="45" t="str">
        <f aca="false">IF(OR(ISBLANK(J590),ISBLANK(K590)),IF(OR(H590="ALI",H590="AIE"),"L",IF(ISBLANK(H590),"","A")),IF(H590="EE",IF(K590&gt;=3,IF(J590&gt;=5,"H","A"),IF(K590&gt;=2,IF(J590&gt;=16,"H",IF(J590&lt;=4,"L","A")),IF(J590&lt;=15,"L","A"))),IF(OR(H590="SE",H590="CE"),IF(K590&gt;=4,IF(J590&gt;=6,"H","A"),IF(K590&gt;=2,IF(J590&gt;=20,"H",IF(J590&lt;=5,"L","A")),IF(J590&lt;=19,"L","A"))),IF(OR(H590="ALI",H590="AIE"),IF(K590&gt;=6,IF(J590&gt;=20,"H","A"),IF(K590&gt;=2,IF(J590&gt;=51,"H",IF(J590&lt;=19,"L","A")),IF(J590&lt;=50,"L","A")))))))</f>
        <v/>
      </c>
      <c r="N590" s="46" t="str">
        <f aca="false">IF(M590="L","Baixa",IF(M590="A","Média",IF(M590="","","Alta")))</f>
        <v/>
      </c>
      <c r="O590" s="47" t="str">
        <f aca="false">IF(ISBLANK(H590),"",IF(H590="ALI",IF(M590="L",7,IF(M590="A",10,15)),IF(H590="AIE",IF(M590="L",5,IF(M590="A",7,10)),IF(H590="SE",IF(M590="L",4,IF(M590="A",5,7)),IF(OR(H590="EE",H590="CE"),IF(M590="L",3,IF(M590="A",4,6)))))))</f>
        <v/>
      </c>
      <c r="P590" s="48" t="str">
        <f aca="false">IF(I590="I",O590*Contagem!$W$15,IF(I590="E",O590*Contagem!$W$17,IF(I590="A",O590*Contagem!$W$16,IF(I590="T",O590*Contagem!$W$18,""))))</f>
        <v/>
      </c>
      <c r="Q590" s="49"/>
    </row>
    <row r="591" customFormat="false" ht="12" hidden="false" customHeight="true" outlineLevel="0" collapsed="false">
      <c r="A591" s="40" t="n">
        <f aca="false">IF(H591="",IF(C591="",A590,A590+1),A590)</f>
        <v>62</v>
      </c>
      <c r="B591" s="41" t="str">
        <f aca="false">IF(A591=A590,"",CONCATENATE("F",A591))</f>
        <v/>
      </c>
      <c r="C591" s="42"/>
      <c r="D591" s="42"/>
      <c r="E591" s="42"/>
      <c r="F591" s="42"/>
      <c r="G591" s="42"/>
      <c r="H591" s="44"/>
      <c r="I591" s="50"/>
      <c r="J591" s="44"/>
      <c r="K591" s="44"/>
      <c r="L591" s="44" t="str">
        <f aca="false">CONCATENATE(H591,M591)</f>
        <v/>
      </c>
      <c r="M591" s="45" t="str">
        <f aca="false">IF(OR(ISBLANK(J591),ISBLANK(K591)),IF(OR(H591="ALI",H591="AIE"),"L",IF(ISBLANK(H591),"","A")),IF(H591="EE",IF(K591&gt;=3,IF(J591&gt;=5,"H","A"),IF(K591&gt;=2,IF(J591&gt;=16,"H",IF(J591&lt;=4,"L","A")),IF(J591&lt;=15,"L","A"))),IF(OR(H591="SE",H591="CE"),IF(K591&gt;=4,IF(J591&gt;=6,"H","A"),IF(K591&gt;=2,IF(J591&gt;=20,"H",IF(J591&lt;=5,"L","A")),IF(J591&lt;=19,"L","A"))),IF(OR(H591="ALI",H591="AIE"),IF(K591&gt;=6,IF(J591&gt;=20,"H","A"),IF(K591&gt;=2,IF(J591&gt;=51,"H",IF(J591&lt;=19,"L","A")),IF(J591&lt;=50,"L","A")))))))</f>
        <v/>
      </c>
      <c r="N591" s="46" t="str">
        <f aca="false">IF(M591="L","Baixa",IF(M591="A","Média",IF(M591="","","Alta")))</f>
        <v/>
      </c>
      <c r="O591" s="47" t="str">
        <f aca="false">IF(ISBLANK(H591),"",IF(H591="ALI",IF(M591="L",7,IF(M591="A",10,15)),IF(H591="AIE",IF(M591="L",5,IF(M591="A",7,10)),IF(H591="SE",IF(M591="L",4,IF(M591="A",5,7)),IF(OR(H591="EE",H591="CE"),IF(M591="L",3,IF(M591="A",4,6)))))))</f>
        <v/>
      </c>
      <c r="P591" s="48" t="str">
        <f aca="false">IF(I591="I",O591*Contagem!$W$15,IF(I591="E",O591*Contagem!$W$17,IF(I591="A",O591*Contagem!$W$16,IF(I591="T",O591*Contagem!$W$18,""))))</f>
        <v/>
      </c>
      <c r="Q591" s="49"/>
    </row>
    <row r="592" customFormat="false" ht="12" hidden="false" customHeight="true" outlineLevel="0" collapsed="false">
      <c r="A592" s="40" t="n">
        <f aca="false">IF(H592="",IF(C592="",A591,A591+1),A591)</f>
        <v>62</v>
      </c>
      <c r="B592" s="41" t="str">
        <f aca="false">IF(A592=A591,"",CONCATENATE("F",A592))</f>
        <v/>
      </c>
      <c r="C592" s="42"/>
      <c r="D592" s="42"/>
      <c r="E592" s="42"/>
      <c r="F592" s="42"/>
      <c r="G592" s="42"/>
      <c r="H592" s="44"/>
      <c r="I592" s="50"/>
      <c r="J592" s="44"/>
      <c r="K592" s="44"/>
      <c r="L592" s="44" t="str">
        <f aca="false">CONCATENATE(H592,M592)</f>
        <v/>
      </c>
      <c r="M592" s="45" t="str">
        <f aca="false">IF(OR(ISBLANK(J592),ISBLANK(K592)),IF(OR(H592="ALI",H592="AIE"),"L",IF(ISBLANK(H592),"","A")),IF(H592="EE",IF(K592&gt;=3,IF(J592&gt;=5,"H","A"),IF(K592&gt;=2,IF(J592&gt;=16,"H",IF(J592&lt;=4,"L","A")),IF(J592&lt;=15,"L","A"))),IF(OR(H592="SE",H592="CE"),IF(K592&gt;=4,IF(J592&gt;=6,"H","A"),IF(K592&gt;=2,IF(J592&gt;=20,"H",IF(J592&lt;=5,"L","A")),IF(J592&lt;=19,"L","A"))),IF(OR(H592="ALI",H592="AIE"),IF(K592&gt;=6,IF(J592&gt;=20,"H","A"),IF(K592&gt;=2,IF(J592&gt;=51,"H",IF(J592&lt;=19,"L","A")),IF(J592&lt;=50,"L","A")))))))</f>
        <v/>
      </c>
      <c r="N592" s="46" t="str">
        <f aca="false">IF(M592="L","Baixa",IF(M592="A","Média",IF(M592="","","Alta")))</f>
        <v/>
      </c>
      <c r="O592" s="47" t="str">
        <f aca="false">IF(ISBLANK(H592),"",IF(H592="ALI",IF(M592="L",7,IF(M592="A",10,15)),IF(H592="AIE",IF(M592="L",5,IF(M592="A",7,10)),IF(H592="SE",IF(M592="L",4,IF(M592="A",5,7)),IF(OR(H592="EE",H592="CE"),IF(M592="L",3,IF(M592="A",4,6)))))))</f>
        <v/>
      </c>
      <c r="P592" s="48" t="str">
        <f aca="false">IF(I592="I",O592*Contagem!$W$15,IF(I592="E",O592*Contagem!$W$17,IF(I592="A",O592*Contagem!$W$16,IF(I592="T",O592*Contagem!$W$18,""))))</f>
        <v/>
      </c>
      <c r="Q592" s="49"/>
    </row>
    <row r="593" customFormat="false" ht="12" hidden="false" customHeight="true" outlineLevel="0" collapsed="false">
      <c r="A593" s="40" t="n">
        <f aca="false">IF(H593="",IF(C593="",A592,A592+1),A592)</f>
        <v>62</v>
      </c>
      <c r="B593" s="41" t="str">
        <f aca="false">IF(A593=A592,"",CONCATENATE("F",A593))</f>
        <v/>
      </c>
      <c r="C593" s="42"/>
      <c r="D593" s="42"/>
      <c r="E593" s="42"/>
      <c r="F593" s="42"/>
      <c r="G593" s="42"/>
      <c r="H593" s="44"/>
      <c r="I593" s="50"/>
      <c r="J593" s="44"/>
      <c r="K593" s="44"/>
      <c r="L593" s="44" t="str">
        <f aca="false">CONCATENATE(H593,M593)</f>
        <v/>
      </c>
      <c r="M593" s="45" t="str">
        <f aca="false">IF(OR(ISBLANK(J593),ISBLANK(K593)),IF(OR(H593="ALI",H593="AIE"),"L",IF(ISBLANK(H593),"","A")),IF(H593="EE",IF(K593&gt;=3,IF(J593&gt;=5,"H","A"),IF(K593&gt;=2,IF(J593&gt;=16,"H",IF(J593&lt;=4,"L","A")),IF(J593&lt;=15,"L","A"))),IF(OR(H593="SE",H593="CE"),IF(K593&gt;=4,IF(J593&gt;=6,"H","A"),IF(K593&gt;=2,IF(J593&gt;=20,"H",IF(J593&lt;=5,"L","A")),IF(J593&lt;=19,"L","A"))),IF(OR(H593="ALI",H593="AIE"),IF(K593&gt;=6,IF(J593&gt;=20,"H","A"),IF(K593&gt;=2,IF(J593&gt;=51,"H",IF(J593&lt;=19,"L","A")),IF(J593&lt;=50,"L","A")))))))</f>
        <v/>
      </c>
      <c r="N593" s="46" t="str">
        <f aca="false">IF(M593="L","Baixa",IF(M593="A","Média",IF(M593="","","Alta")))</f>
        <v/>
      </c>
      <c r="O593" s="47" t="str">
        <f aca="false">IF(ISBLANK(H593),"",IF(H593="ALI",IF(M593="L",7,IF(M593="A",10,15)),IF(H593="AIE",IF(M593="L",5,IF(M593="A",7,10)),IF(H593="SE",IF(M593="L",4,IF(M593="A",5,7)),IF(OR(H593="EE",H593="CE"),IF(M593="L",3,IF(M593="A",4,6)))))))</f>
        <v/>
      </c>
      <c r="P593" s="48" t="str">
        <f aca="false">IF(I593="I",O593*Contagem!$W$15,IF(I593="E",O593*Contagem!$W$17,IF(I593="A",O593*Contagem!$W$16,IF(I593="T",O593*Contagem!$W$18,""))))</f>
        <v/>
      </c>
      <c r="Q593" s="49"/>
    </row>
    <row r="594" customFormat="false" ht="12" hidden="false" customHeight="true" outlineLevel="0" collapsed="false">
      <c r="A594" s="40" t="n">
        <f aca="false">IF(H594="",IF(C594="",A593,A593+1),A593)</f>
        <v>62</v>
      </c>
      <c r="B594" s="41" t="str">
        <f aca="false">IF(A594=A593,"",CONCATENATE("F",A594))</f>
        <v/>
      </c>
      <c r="C594" s="42"/>
      <c r="D594" s="42"/>
      <c r="E594" s="42"/>
      <c r="F594" s="42"/>
      <c r="G594" s="42"/>
      <c r="H594" s="44"/>
      <c r="I594" s="50"/>
      <c r="J594" s="44"/>
      <c r="K594" s="44"/>
      <c r="L594" s="44" t="str">
        <f aca="false">CONCATENATE(H594,M594)</f>
        <v/>
      </c>
      <c r="M594" s="45" t="str">
        <f aca="false">IF(OR(ISBLANK(J594),ISBLANK(K594)),IF(OR(H594="ALI",H594="AIE"),"L",IF(ISBLANK(H594),"","A")),IF(H594="EE",IF(K594&gt;=3,IF(J594&gt;=5,"H","A"),IF(K594&gt;=2,IF(J594&gt;=16,"H",IF(J594&lt;=4,"L","A")),IF(J594&lt;=15,"L","A"))),IF(OR(H594="SE",H594="CE"),IF(K594&gt;=4,IF(J594&gt;=6,"H","A"),IF(K594&gt;=2,IF(J594&gt;=20,"H",IF(J594&lt;=5,"L","A")),IF(J594&lt;=19,"L","A"))),IF(OR(H594="ALI",H594="AIE"),IF(K594&gt;=6,IF(J594&gt;=20,"H","A"),IF(K594&gt;=2,IF(J594&gt;=51,"H",IF(J594&lt;=19,"L","A")),IF(J594&lt;=50,"L","A")))))))</f>
        <v/>
      </c>
      <c r="N594" s="46" t="str">
        <f aca="false">IF(M594="L","Baixa",IF(M594="A","Média",IF(M594="","","Alta")))</f>
        <v/>
      </c>
      <c r="O594" s="47" t="str">
        <f aca="false">IF(ISBLANK(H594),"",IF(H594="ALI",IF(M594="L",7,IF(M594="A",10,15)),IF(H594="AIE",IF(M594="L",5,IF(M594="A",7,10)),IF(H594="SE",IF(M594="L",4,IF(M594="A",5,7)),IF(OR(H594="EE",H594="CE"),IF(M594="L",3,IF(M594="A",4,6)))))))</f>
        <v/>
      </c>
      <c r="P594" s="48" t="str">
        <f aca="false">IF(I594="I",O594*Contagem!$W$15,IF(I594="E",O594*Contagem!$W$17,IF(I594="A",O594*Contagem!$W$16,IF(I594="T",O594*Contagem!$W$18,""))))</f>
        <v/>
      </c>
      <c r="Q594" s="49"/>
    </row>
    <row r="595" customFormat="false" ht="12" hidden="false" customHeight="true" outlineLevel="0" collapsed="false">
      <c r="A595" s="40" t="n">
        <f aca="false">IF(H595="",IF(C595="",A594,A594+1),A594)</f>
        <v>62</v>
      </c>
      <c r="B595" s="41" t="str">
        <f aca="false">IF(A595=A594,"",CONCATENATE("F",A595))</f>
        <v/>
      </c>
      <c r="C595" s="42"/>
      <c r="D595" s="42"/>
      <c r="E595" s="42"/>
      <c r="F595" s="42"/>
      <c r="G595" s="42"/>
      <c r="H595" s="44"/>
      <c r="I595" s="50"/>
      <c r="J595" s="44"/>
      <c r="K595" s="44"/>
      <c r="L595" s="44" t="str">
        <f aca="false">CONCATENATE(H595,M595)</f>
        <v/>
      </c>
      <c r="M595" s="45" t="str">
        <f aca="false">IF(OR(ISBLANK(J595),ISBLANK(K595)),IF(OR(H595="ALI",H595="AIE"),"L",IF(ISBLANK(H595),"","A")),IF(H595="EE",IF(K595&gt;=3,IF(J595&gt;=5,"H","A"),IF(K595&gt;=2,IF(J595&gt;=16,"H",IF(J595&lt;=4,"L","A")),IF(J595&lt;=15,"L","A"))),IF(OR(H595="SE",H595="CE"),IF(K595&gt;=4,IF(J595&gt;=6,"H","A"),IF(K595&gt;=2,IF(J595&gt;=20,"H",IF(J595&lt;=5,"L","A")),IF(J595&lt;=19,"L","A"))),IF(OR(H595="ALI",H595="AIE"),IF(K595&gt;=6,IF(J595&gt;=20,"H","A"),IF(K595&gt;=2,IF(J595&gt;=51,"H",IF(J595&lt;=19,"L","A")),IF(J595&lt;=50,"L","A")))))))</f>
        <v/>
      </c>
      <c r="N595" s="46" t="str">
        <f aca="false">IF(M595="L","Baixa",IF(M595="A","Média",IF(M595="","","Alta")))</f>
        <v/>
      </c>
      <c r="O595" s="47" t="str">
        <f aca="false">IF(ISBLANK(H595),"",IF(H595="ALI",IF(M595="L",7,IF(M595="A",10,15)),IF(H595="AIE",IF(M595="L",5,IF(M595="A",7,10)),IF(H595="SE",IF(M595="L",4,IF(M595="A",5,7)),IF(OR(H595="EE",H595="CE"),IF(M595="L",3,IF(M595="A",4,6)))))))</f>
        <v/>
      </c>
      <c r="P595" s="48" t="str">
        <f aca="false">IF(I595="I",O595*Contagem!$W$15,IF(I595="E",O595*Contagem!$W$17,IF(I595="A",O595*Contagem!$W$16,IF(I595="T",O595*Contagem!$W$18,""))))</f>
        <v/>
      </c>
      <c r="Q595" s="49"/>
    </row>
    <row r="596" customFormat="false" ht="12" hidden="false" customHeight="true" outlineLevel="0" collapsed="false">
      <c r="A596" s="40" t="n">
        <f aca="false">IF(H596="",IF(C596="",A595,A595+1),A595)</f>
        <v>62</v>
      </c>
      <c r="B596" s="41" t="str">
        <f aca="false">IF(A596=A595,"",CONCATENATE("F",A596))</f>
        <v/>
      </c>
      <c r="C596" s="42"/>
      <c r="D596" s="42"/>
      <c r="E596" s="42"/>
      <c r="F596" s="42"/>
      <c r="G596" s="42"/>
      <c r="H596" s="44"/>
      <c r="I596" s="50"/>
      <c r="J596" s="44"/>
      <c r="K596" s="44"/>
      <c r="L596" s="44" t="str">
        <f aca="false">CONCATENATE(H596,M596)</f>
        <v/>
      </c>
      <c r="M596" s="45" t="str">
        <f aca="false">IF(OR(ISBLANK(J596),ISBLANK(K596)),IF(OR(H596="ALI",H596="AIE"),"L",IF(ISBLANK(H596),"","A")),IF(H596="EE",IF(K596&gt;=3,IF(J596&gt;=5,"H","A"),IF(K596&gt;=2,IF(J596&gt;=16,"H",IF(J596&lt;=4,"L","A")),IF(J596&lt;=15,"L","A"))),IF(OR(H596="SE",H596="CE"),IF(K596&gt;=4,IF(J596&gt;=6,"H","A"),IF(K596&gt;=2,IF(J596&gt;=20,"H",IF(J596&lt;=5,"L","A")),IF(J596&lt;=19,"L","A"))),IF(OR(H596="ALI",H596="AIE"),IF(K596&gt;=6,IF(J596&gt;=20,"H","A"),IF(K596&gt;=2,IF(J596&gt;=51,"H",IF(J596&lt;=19,"L","A")),IF(J596&lt;=50,"L","A")))))))</f>
        <v/>
      </c>
      <c r="N596" s="46" t="str">
        <f aca="false">IF(M596="L","Baixa",IF(M596="A","Média",IF(M596="","","Alta")))</f>
        <v/>
      </c>
      <c r="O596" s="47" t="str">
        <f aca="false">IF(ISBLANK(H596),"",IF(H596="ALI",IF(M596="L",7,IF(M596="A",10,15)),IF(H596="AIE",IF(M596="L",5,IF(M596="A",7,10)),IF(H596="SE",IF(M596="L",4,IF(M596="A",5,7)),IF(OR(H596="EE",H596="CE"),IF(M596="L",3,IF(M596="A",4,6)))))))</f>
        <v/>
      </c>
      <c r="P596" s="48" t="str">
        <f aca="false">IF(I596="I",O596*Contagem!$W$15,IF(I596="E",O596*Contagem!$W$17,IF(I596="A",O596*Contagem!$W$16,IF(I596="T",O596*Contagem!$W$18,""))))</f>
        <v/>
      </c>
      <c r="Q596" s="49"/>
    </row>
    <row r="597" customFormat="false" ht="12" hidden="false" customHeight="true" outlineLevel="0" collapsed="false">
      <c r="A597" s="40" t="n">
        <f aca="false">IF(H597="",IF(C597="",A596,A596+1),A596)</f>
        <v>62</v>
      </c>
      <c r="B597" s="41" t="str">
        <f aca="false">IF(A597=A596,"",CONCATENATE("F",A597))</f>
        <v/>
      </c>
      <c r="C597" s="42"/>
      <c r="D597" s="42"/>
      <c r="E597" s="42"/>
      <c r="F597" s="42"/>
      <c r="G597" s="42"/>
      <c r="H597" s="44"/>
      <c r="I597" s="50"/>
      <c r="J597" s="44"/>
      <c r="K597" s="44"/>
      <c r="L597" s="44" t="str">
        <f aca="false">CONCATENATE(H597,M597)</f>
        <v/>
      </c>
      <c r="M597" s="45" t="str">
        <f aca="false">IF(OR(ISBLANK(J597),ISBLANK(K597)),IF(OR(H597="ALI",H597="AIE"),"L",IF(ISBLANK(H597),"","A")),IF(H597="EE",IF(K597&gt;=3,IF(J597&gt;=5,"H","A"),IF(K597&gt;=2,IF(J597&gt;=16,"H",IF(J597&lt;=4,"L","A")),IF(J597&lt;=15,"L","A"))),IF(OR(H597="SE",H597="CE"),IF(K597&gt;=4,IF(J597&gt;=6,"H","A"),IF(K597&gt;=2,IF(J597&gt;=20,"H",IF(J597&lt;=5,"L","A")),IF(J597&lt;=19,"L","A"))),IF(OR(H597="ALI",H597="AIE"),IF(K597&gt;=6,IF(J597&gt;=20,"H","A"),IF(K597&gt;=2,IF(J597&gt;=51,"H",IF(J597&lt;=19,"L","A")),IF(J597&lt;=50,"L","A")))))))</f>
        <v/>
      </c>
      <c r="N597" s="46" t="str">
        <f aca="false">IF(M597="L","Baixa",IF(M597="A","Média",IF(M597="","","Alta")))</f>
        <v/>
      </c>
      <c r="O597" s="47" t="str">
        <f aca="false">IF(ISBLANK(H597),"",IF(H597="ALI",IF(M597="L",7,IF(M597="A",10,15)),IF(H597="AIE",IF(M597="L",5,IF(M597="A",7,10)),IF(H597="SE",IF(M597="L",4,IF(M597="A",5,7)),IF(OR(H597="EE",H597="CE"),IF(M597="L",3,IF(M597="A",4,6)))))))</f>
        <v/>
      </c>
      <c r="P597" s="48" t="str">
        <f aca="false">IF(I597="I",O597*Contagem!$W$15,IF(I597="E",O597*Contagem!$W$17,IF(I597="A",O597*Contagem!$W$16,IF(I597="T",O597*Contagem!$W$18,""))))</f>
        <v/>
      </c>
      <c r="Q597" s="49"/>
    </row>
    <row r="598" customFormat="false" ht="12" hidden="false" customHeight="true" outlineLevel="0" collapsed="false">
      <c r="A598" s="40" t="n">
        <f aca="false">IF(H598="",IF(C598="",A597,A597+1),A597)</f>
        <v>62</v>
      </c>
      <c r="B598" s="41" t="str">
        <f aca="false">IF(A598=A597,"",CONCATENATE("F",A598))</f>
        <v/>
      </c>
      <c r="C598" s="42"/>
      <c r="D598" s="42"/>
      <c r="E598" s="42"/>
      <c r="F598" s="42"/>
      <c r="G598" s="42"/>
      <c r="H598" s="44"/>
      <c r="I598" s="50"/>
      <c r="J598" s="44"/>
      <c r="K598" s="44"/>
      <c r="L598" s="44" t="str">
        <f aca="false">CONCATENATE(H598,M598)</f>
        <v/>
      </c>
      <c r="M598" s="45" t="str">
        <f aca="false">IF(OR(ISBLANK(J598),ISBLANK(K598)),IF(OR(H598="ALI",H598="AIE"),"L",IF(ISBLANK(H598),"","A")),IF(H598="EE",IF(K598&gt;=3,IF(J598&gt;=5,"H","A"),IF(K598&gt;=2,IF(J598&gt;=16,"H",IF(J598&lt;=4,"L","A")),IF(J598&lt;=15,"L","A"))),IF(OR(H598="SE",H598="CE"),IF(K598&gt;=4,IF(J598&gt;=6,"H","A"),IF(K598&gt;=2,IF(J598&gt;=20,"H",IF(J598&lt;=5,"L","A")),IF(J598&lt;=19,"L","A"))),IF(OR(H598="ALI",H598="AIE"),IF(K598&gt;=6,IF(J598&gt;=20,"H","A"),IF(K598&gt;=2,IF(J598&gt;=51,"H",IF(J598&lt;=19,"L","A")),IF(J598&lt;=50,"L","A")))))))</f>
        <v/>
      </c>
      <c r="N598" s="46" t="str">
        <f aca="false">IF(M598="L","Baixa",IF(M598="A","Média",IF(M598="","","Alta")))</f>
        <v/>
      </c>
      <c r="O598" s="47" t="str">
        <f aca="false">IF(ISBLANK(H598),"",IF(H598="ALI",IF(M598="L",7,IF(M598="A",10,15)),IF(H598="AIE",IF(M598="L",5,IF(M598="A",7,10)),IF(H598="SE",IF(M598="L",4,IF(M598="A",5,7)),IF(OR(H598="EE",H598="CE"),IF(M598="L",3,IF(M598="A",4,6)))))))</f>
        <v/>
      </c>
      <c r="P598" s="48" t="str">
        <f aca="false">IF(I598="I",O598*Contagem!$W$15,IF(I598="E",O598*Contagem!$W$17,IF(I598="A",O598*Contagem!$W$16,IF(I598="T",O598*Contagem!$W$18,""))))</f>
        <v/>
      </c>
      <c r="Q598" s="49"/>
    </row>
    <row r="599" customFormat="false" ht="12" hidden="false" customHeight="true" outlineLevel="0" collapsed="false">
      <c r="A599" s="40" t="n">
        <f aca="false">IF(H599="",IF(C599="",A598,A598+1),A598)</f>
        <v>62</v>
      </c>
      <c r="B599" s="41" t="str">
        <f aca="false">IF(A599=A598,"",CONCATENATE("F",A599))</f>
        <v/>
      </c>
      <c r="C599" s="42"/>
      <c r="D599" s="42"/>
      <c r="E599" s="42"/>
      <c r="F599" s="42"/>
      <c r="G599" s="42"/>
      <c r="H599" s="44"/>
      <c r="I599" s="50"/>
      <c r="J599" s="44"/>
      <c r="K599" s="44"/>
      <c r="L599" s="44" t="str">
        <f aca="false">CONCATENATE(H599,M599)</f>
        <v/>
      </c>
      <c r="M599" s="45" t="str">
        <f aca="false">IF(OR(ISBLANK(J599),ISBLANK(K599)),IF(OR(H599="ALI",H599="AIE"),"L",IF(ISBLANK(H599),"","A")),IF(H599="EE",IF(K599&gt;=3,IF(J599&gt;=5,"H","A"),IF(K599&gt;=2,IF(J599&gt;=16,"H",IF(J599&lt;=4,"L","A")),IF(J599&lt;=15,"L","A"))),IF(OR(H599="SE",H599="CE"),IF(K599&gt;=4,IF(J599&gt;=6,"H","A"),IF(K599&gt;=2,IF(J599&gt;=20,"H",IF(J599&lt;=5,"L","A")),IF(J599&lt;=19,"L","A"))),IF(OR(H599="ALI",H599="AIE"),IF(K599&gt;=6,IF(J599&gt;=20,"H","A"),IF(K599&gt;=2,IF(J599&gt;=51,"H",IF(J599&lt;=19,"L","A")),IF(J599&lt;=50,"L","A")))))))</f>
        <v/>
      </c>
      <c r="N599" s="46" t="str">
        <f aca="false">IF(M599="L","Baixa",IF(M599="A","Média",IF(M599="","","Alta")))</f>
        <v/>
      </c>
      <c r="O599" s="47" t="str">
        <f aca="false">IF(ISBLANK(H599),"",IF(H599="ALI",IF(M599="L",7,IF(M599="A",10,15)),IF(H599="AIE",IF(M599="L",5,IF(M599="A",7,10)),IF(H599="SE",IF(M599="L",4,IF(M599="A",5,7)),IF(OR(H599="EE",H599="CE"),IF(M599="L",3,IF(M599="A",4,6)))))))</f>
        <v/>
      </c>
      <c r="P599" s="48" t="str">
        <f aca="false">IF(I599="I",O599*Contagem!$W$15,IF(I599="E",O599*Contagem!$W$17,IF(I599="A",O599*Contagem!$W$16,IF(I599="T",O599*Contagem!$W$18,""))))</f>
        <v/>
      </c>
      <c r="Q599" s="49"/>
    </row>
    <row r="600" customFormat="false" ht="12" hidden="false" customHeight="true" outlineLevel="0" collapsed="false">
      <c r="A600" s="40" t="n">
        <f aca="false">IF(H600="",IF(C600="",A599,A599+1),A599)</f>
        <v>62</v>
      </c>
      <c r="B600" s="41" t="str">
        <f aca="false">IF(A600=A599,"",CONCATENATE("F",A600))</f>
        <v/>
      </c>
      <c r="C600" s="42"/>
      <c r="D600" s="42"/>
      <c r="E600" s="42"/>
      <c r="F600" s="42"/>
      <c r="G600" s="42"/>
      <c r="H600" s="44"/>
      <c r="I600" s="50"/>
      <c r="J600" s="44"/>
      <c r="K600" s="44"/>
      <c r="L600" s="44" t="str">
        <f aca="false">CONCATENATE(H600,M600)</f>
        <v/>
      </c>
      <c r="M600" s="45" t="str">
        <f aca="false">IF(OR(ISBLANK(J600),ISBLANK(K600)),IF(OR(H600="ALI",H600="AIE"),"L",IF(ISBLANK(H600),"","A")),IF(H600="EE",IF(K600&gt;=3,IF(J600&gt;=5,"H","A"),IF(K600&gt;=2,IF(J600&gt;=16,"H",IF(J600&lt;=4,"L","A")),IF(J600&lt;=15,"L","A"))),IF(OR(H600="SE",H600="CE"),IF(K600&gt;=4,IF(J600&gt;=6,"H","A"),IF(K600&gt;=2,IF(J600&gt;=20,"H",IF(J600&lt;=5,"L","A")),IF(J600&lt;=19,"L","A"))),IF(OR(H600="ALI",H600="AIE"),IF(K600&gt;=6,IF(J600&gt;=20,"H","A"),IF(K600&gt;=2,IF(J600&gt;=51,"H",IF(J600&lt;=19,"L","A")),IF(J600&lt;=50,"L","A")))))))</f>
        <v/>
      </c>
      <c r="N600" s="46" t="str">
        <f aca="false">IF(M600="L","Baixa",IF(M600="A","Média",IF(M600="","","Alta")))</f>
        <v/>
      </c>
      <c r="O600" s="47" t="str">
        <f aca="false">IF(ISBLANK(H600),"",IF(H600="ALI",IF(M600="L",7,IF(M600="A",10,15)),IF(H600="AIE",IF(M600="L",5,IF(M600="A",7,10)),IF(H600="SE",IF(M600="L",4,IF(M600="A",5,7)),IF(OR(H600="EE",H600="CE"),IF(M600="L",3,IF(M600="A",4,6)))))))</f>
        <v/>
      </c>
      <c r="P600" s="48" t="str">
        <f aca="false">IF(I600="I",O600*Contagem!$W$15,IF(I600="E",O600*Contagem!$W$17,IF(I600="A",O600*Contagem!$W$16,IF(I600="T",O600*Contagem!$W$18,""))))</f>
        <v/>
      </c>
      <c r="Q600" s="49"/>
    </row>
    <row r="601" customFormat="false" ht="12" hidden="false" customHeight="true" outlineLevel="0" collapsed="false">
      <c r="A601" s="40" t="n">
        <f aca="false">IF(H601="",IF(C601="",A600,A600+1),A600)</f>
        <v>62</v>
      </c>
      <c r="B601" s="41" t="str">
        <f aca="false">IF(A601=A600,"",CONCATENATE("F",A601))</f>
        <v/>
      </c>
      <c r="C601" s="42"/>
      <c r="D601" s="42"/>
      <c r="E601" s="42"/>
      <c r="F601" s="42"/>
      <c r="G601" s="42"/>
      <c r="H601" s="44"/>
      <c r="I601" s="50"/>
      <c r="J601" s="44"/>
      <c r="K601" s="44"/>
      <c r="L601" s="44" t="str">
        <f aca="false">CONCATENATE(H601,M601)</f>
        <v/>
      </c>
      <c r="M601" s="45" t="str">
        <f aca="false">IF(OR(ISBLANK(J601),ISBLANK(K601)),IF(OR(H601="ALI",H601="AIE"),"L",IF(ISBLANK(H601),"","A")),IF(H601="EE",IF(K601&gt;=3,IF(J601&gt;=5,"H","A"),IF(K601&gt;=2,IF(J601&gt;=16,"H",IF(J601&lt;=4,"L","A")),IF(J601&lt;=15,"L","A"))),IF(OR(H601="SE",H601="CE"),IF(K601&gt;=4,IF(J601&gt;=6,"H","A"),IF(K601&gt;=2,IF(J601&gt;=20,"H",IF(J601&lt;=5,"L","A")),IF(J601&lt;=19,"L","A"))),IF(OR(H601="ALI",H601="AIE"),IF(K601&gt;=6,IF(J601&gt;=20,"H","A"),IF(K601&gt;=2,IF(J601&gt;=51,"H",IF(J601&lt;=19,"L","A")),IF(J601&lt;=50,"L","A")))))))</f>
        <v/>
      </c>
      <c r="N601" s="46" t="str">
        <f aca="false">IF(M601="L","Baixa",IF(M601="A","Média",IF(M601="","","Alta")))</f>
        <v/>
      </c>
      <c r="O601" s="47" t="str">
        <f aca="false">IF(ISBLANK(H601),"",IF(H601="ALI",IF(M601="L",7,IF(M601="A",10,15)),IF(H601="AIE",IF(M601="L",5,IF(M601="A",7,10)),IF(H601="SE",IF(M601="L",4,IF(M601="A",5,7)),IF(OR(H601="EE",H601="CE"),IF(M601="L",3,IF(M601="A",4,6)))))))</f>
        <v/>
      </c>
      <c r="P601" s="48" t="str">
        <f aca="false">IF(I601="I",O601*Contagem!$W$15,IF(I601="E",O601*Contagem!$W$17,IF(I601="A",O601*Contagem!$W$16,IF(I601="T",O601*Contagem!$W$18,""))))</f>
        <v/>
      </c>
      <c r="Q601" s="49"/>
    </row>
    <row r="602" customFormat="false" ht="12" hidden="false" customHeight="true" outlineLevel="0" collapsed="false">
      <c r="A602" s="40" t="n">
        <f aca="false">IF(H602="",IF(C602="",A601,A601+1),A601)</f>
        <v>62</v>
      </c>
      <c r="B602" s="41" t="str">
        <f aca="false">IF(A602=A601,"",CONCATENATE("F",A602))</f>
        <v/>
      </c>
      <c r="C602" s="42"/>
      <c r="D602" s="42"/>
      <c r="E602" s="42"/>
      <c r="F602" s="42"/>
      <c r="G602" s="42"/>
      <c r="H602" s="44"/>
      <c r="I602" s="50"/>
      <c r="J602" s="44"/>
      <c r="K602" s="44"/>
      <c r="L602" s="44" t="str">
        <f aca="false">CONCATENATE(H602,M602)</f>
        <v/>
      </c>
      <c r="M602" s="45" t="str">
        <f aca="false">IF(OR(ISBLANK(J602),ISBLANK(K602)),IF(OR(H602="ALI",H602="AIE"),"L",IF(ISBLANK(H602),"","A")),IF(H602="EE",IF(K602&gt;=3,IF(J602&gt;=5,"H","A"),IF(K602&gt;=2,IF(J602&gt;=16,"H",IF(J602&lt;=4,"L","A")),IF(J602&lt;=15,"L","A"))),IF(OR(H602="SE",H602="CE"),IF(K602&gt;=4,IF(J602&gt;=6,"H","A"),IF(K602&gt;=2,IF(J602&gt;=20,"H",IF(J602&lt;=5,"L","A")),IF(J602&lt;=19,"L","A"))),IF(OR(H602="ALI",H602="AIE"),IF(K602&gt;=6,IF(J602&gt;=20,"H","A"),IF(K602&gt;=2,IF(J602&gt;=51,"H",IF(J602&lt;=19,"L","A")),IF(J602&lt;=50,"L","A")))))))</f>
        <v/>
      </c>
      <c r="N602" s="46" t="str">
        <f aca="false">IF(M602="L","Baixa",IF(M602="A","Média",IF(M602="","","Alta")))</f>
        <v/>
      </c>
      <c r="O602" s="47" t="str">
        <f aca="false">IF(ISBLANK(H602),"",IF(H602="ALI",IF(M602="L",7,IF(M602="A",10,15)),IF(H602="AIE",IF(M602="L",5,IF(M602="A",7,10)),IF(H602="SE",IF(M602="L",4,IF(M602="A",5,7)),IF(OR(H602="EE",H602="CE"),IF(M602="L",3,IF(M602="A",4,6)))))))</f>
        <v/>
      </c>
      <c r="P602" s="48" t="str">
        <f aca="false">IF(I602="I",O602*Contagem!$W$15,IF(I602="E",O602*Contagem!$W$17,IF(I602="A",O602*Contagem!$W$16,IF(I602="T",O602*Contagem!$W$18,""))))</f>
        <v/>
      </c>
      <c r="Q602" s="49"/>
    </row>
    <row r="603" customFormat="false" ht="12" hidden="false" customHeight="true" outlineLevel="0" collapsed="false">
      <c r="A603" s="40" t="n">
        <f aca="false">IF(H603="",IF(C603="",A602,A602+1),A602)</f>
        <v>62</v>
      </c>
      <c r="B603" s="41" t="str">
        <f aca="false">IF(A603=A602,"",CONCATENATE("F",A603))</f>
        <v/>
      </c>
      <c r="C603" s="42"/>
      <c r="D603" s="42"/>
      <c r="E603" s="42"/>
      <c r="F603" s="42"/>
      <c r="G603" s="42"/>
      <c r="H603" s="44"/>
      <c r="I603" s="50"/>
      <c r="J603" s="44"/>
      <c r="K603" s="44"/>
      <c r="L603" s="44" t="str">
        <f aca="false">CONCATENATE(H603,M603)</f>
        <v/>
      </c>
      <c r="M603" s="45" t="str">
        <f aca="false">IF(OR(ISBLANK(J603),ISBLANK(K603)),IF(OR(H603="ALI",H603="AIE"),"L",IF(ISBLANK(H603),"","A")),IF(H603="EE",IF(K603&gt;=3,IF(J603&gt;=5,"H","A"),IF(K603&gt;=2,IF(J603&gt;=16,"H",IF(J603&lt;=4,"L","A")),IF(J603&lt;=15,"L","A"))),IF(OR(H603="SE",H603="CE"),IF(K603&gt;=4,IF(J603&gt;=6,"H","A"),IF(K603&gt;=2,IF(J603&gt;=20,"H",IF(J603&lt;=5,"L","A")),IF(J603&lt;=19,"L","A"))),IF(OR(H603="ALI",H603="AIE"),IF(K603&gt;=6,IF(J603&gt;=20,"H","A"),IF(K603&gt;=2,IF(J603&gt;=51,"H",IF(J603&lt;=19,"L","A")),IF(J603&lt;=50,"L","A")))))))</f>
        <v/>
      </c>
      <c r="N603" s="46" t="str">
        <f aca="false">IF(M603="L","Baixa",IF(M603="A","Média",IF(M603="","","Alta")))</f>
        <v/>
      </c>
      <c r="O603" s="47" t="str">
        <f aca="false">IF(ISBLANK(H603),"",IF(H603="ALI",IF(M603="L",7,IF(M603="A",10,15)),IF(H603="AIE",IF(M603="L",5,IF(M603="A",7,10)),IF(H603="SE",IF(M603="L",4,IF(M603="A",5,7)),IF(OR(H603="EE",H603="CE"),IF(M603="L",3,IF(M603="A",4,6)))))))</f>
        <v/>
      </c>
      <c r="P603" s="48" t="str">
        <f aca="false">IF(I603="I",O603*Contagem!$W$15,IF(I603="E",O603*Contagem!$W$17,IF(I603="A",O603*Contagem!$W$16,IF(I603="T",O603*Contagem!$W$18,""))))</f>
        <v/>
      </c>
      <c r="Q603" s="49"/>
    </row>
    <row r="604" customFormat="false" ht="12" hidden="false" customHeight="true" outlineLevel="0" collapsed="false">
      <c r="A604" s="40" t="n">
        <f aca="false">IF(H604="",IF(C604="",A603,A603+1),A603)</f>
        <v>62</v>
      </c>
      <c r="B604" s="41" t="str">
        <f aca="false">IF(A604=A603,"",CONCATENATE("F",A604))</f>
        <v/>
      </c>
      <c r="C604" s="42"/>
      <c r="D604" s="42"/>
      <c r="E604" s="42"/>
      <c r="F604" s="42"/>
      <c r="G604" s="42"/>
      <c r="H604" s="44"/>
      <c r="I604" s="50"/>
      <c r="J604" s="44"/>
      <c r="K604" s="44"/>
      <c r="L604" s="44" t="str">
        <f aca="false">CONCATENATE(H604,M604)</f>
        <v/>
      </c>
      <c r="M604" s="45" t="str">
        <f aca="false">IF(OR(ISBLANK(J604),ISBLANK(K604)),IF(OR(H604="ALI",H604="AIE"),"L",IF(ISBLANK(H604),"","A")),IF(H604="EE",IF(K604&gt;=3,IF(J604&gt;=5,"H","A"),IF(K604&gt;=2,IF(J604&gt;=16,"H",IF(J604&lt;=4,"L","A")),IF(J604&lt;=15,"L","A"))),IF(OR(H604="SE",H604="CE"),IF(K604&gt;=4,IF(J604&gt;=6,"H","A"),IF(K604&gt;=2,IF(J604&gt;=20,"H",IF(J604&lt;=5,"L","A")),IF(J604&lt;=19,"L","A"))),IF(OR(H604="ALI",H604="AIE"),IF(K604&gt;=6,IF(J604&gt;=20,"H","A"),IF(K604&gt;=2,IF(J604&gt;=51,"H",IF(J604&lt;=19,"L","A")),IF(J604&lt;=50,"L","A")))))))</f>
        <v/>
      </c>
      <c r="N604" s="46" t="str">
        <f aca="false">IF(M604="L","Baixa",IF(M604="A","Média",IF(M604="","","Alta")))</f>
        <v/>
      </c>
      <c r="O604" s="47" t="str">
        <f aca="false">IF(ISBLANK(H604),"",IF(H604="ALI",IF(M604="L",7,IF(M604="A",10,15)),IF(H604="AIE",IF(M604="L",5,IF(M604="A",7,10)),IF(H604="SE",IF(M604="L",4,IF(M604="A",5,7)),IF(OR(H604="EE",H604="CE"),IF(M604="L",3,IF(M604="A",4,6)))))))</f>
        <v/>
      </c>
      <c r="P604" s="48" t="str">
        <f aca="false">IF(I604="I",O604*Contagem!$W$15,IF(I604="E",O604*Contagem!$W$17,IF(I604="A",O604*Contagem!$W$16,IF(I604="T",O604*Contagem!$W$18,""))))</f>
        <v/>
      </c>
      <c r="Q604" s="49"/>
    </row>
    <row r="605" customFormat="false" ht="12" hidden="false" customHeight="true" outlineLevel="0" collapsed="false">
      <c r="A605" s="40" t="n">
        <f aca="false">IF(H605="",IF(C605="",A604,A604+1),A604)</f>
        <v>62</v>
      </c>
      <c r="B605" s="41" t="str">
        <f aca="false">IF(A605=A604,"",CONCATENATE("F",A605))</f>
        <v/>
      </c>
      <c r="C605" s="42"/>
      <c r="D605" s="42"/>
      <c r="E605" s="42"/>
      <c r="F605" s="42"/>
      <c r="G605" s="42"/>
      <c r="H605" s="44"/>
      <c r="I605" s="50"/>
      <c r="J605" s="44"/>
      <c r="K605" s="44"/>
      <c r="L605" s="44" t="str">
        <f aca="false">CONCATENATE(H605,M605)</f>
        <v/>
      </c>
      <c r="M605" s="45" t="str">
        <f aca="false">IF(OR(ISBLANK(J605),ISBLANK(K605)),IF(OR(H605="ALI",H605="AIE"),"L",IF(ISBLANK(H605),"","A")),IF(H605="EE",IF(K605&gt;=3,IF(J605&gt;=5,"H","A"),IF(K605&gt;=2,IF(J605&gt;=16,"H",IF(J605&lt;=4,"L","A")),IF(J605&lt;=15,"L","A"))),IF(OR(H605="SE",H605="CE"),IF(K605&gt;=4,IF(J605&gt;=6,"H","A"),IF(K605&gt;=2,IF(J605&gt;=20,"H",IF(J605&lt;=5,"L","A")),IF(J605&lt;=19,"L","A"))),IF(OR(H605="ALI",H605="AIE"),IF(K605&gt;=6,IF(J605&gt;=20,"H","A"),IF(K605&gt;=2,IF(J605&gt;=51,"H",IF(J605&lt;=19,"L","A")),IF(J605&lt;=50,"L","A")))))))</f>
        <v/>
      </c>
      <c r="N605" s="46" t="str">
        <f aca="false">IF(M605="L","Baixa",IF(M605="A","Média",IF(M605="","","Alta")))</f>
        <v/>
      </c>
      <c r="O605" s="47" t="str">
        <f aca="false">IF(ISBLANK(H605),"",IF(H605="ALI",IF(M605="L",7,IF(M605="A",10,15)),IF(H605="AIE",IF(M605="L",5,IF(M605="A",7,10)),IF(H605="SE",IF(M605="L",4,IF(M605="A",5,7)),IF(OR(H605="EE",H605="CE"),IF(M605="L",3,IF(M605="A",4,6)))))))</f>
        <v/>
      </c>
      <c r="P605" s="48" t="str">
        <f aca="false">IF(I605="I",O605*Contagem!$W$15,IF(I605="E",O605*Contagem!$W$17,IF(I605="A",O605*Contagem!$W$16,IF(I605="T",O605*Contagem!$W$18,""))))</f>
        <v/>
      </c>
      <c r="Q605" s="49"/>
    </row>
    <row r="606" customFormat="false" ht="12" hidden="false" customHeight="true" outlineLevel="0" collapsed="false">
      <c r="A606" s="40" t="n">
        <f aca="false">IF(H606="",IF(C606="",A605,A605+1),A605)</f>
        <v>62</v>
      </c>
      <c r="B606" s="41" t="str">
        <f aca="false">IF(A606=A605,"",CONCATENATE("F",A606))</f>
        <v/>
      </c>
      <c r="C606" s="42"/>
      <c r="D606" s="42"/>
      <c r="E606" s="42"/>
      <c r="F606" s="42"/>
      <c r="G606" s="42"/>
      <c r="H606" s="44"/>
      <c r="I606" s="50"/>
      <c r="J606" s="44"/>
      <c r="K606" s="44"/>
      <c r="L606" s="44" t="str">
        <f aca="false">CONCATENATE(H606,M606)</f>
        <v/>
      </c>
      <c r="M606" s="45" t="str">
        <f aca="false">IF(OR(ISBLANK(J606),ISBLANK(K606)),IF(OR(H606="ALI",H606="AIE"),"L",IF(ISBLANK(H606),"","A")),IF(H606="EE",IF(K606&gt;=3,IF(J606&gt;=5,"H","A"),IF(K606&gt;=2,IF(J606&gt;=16,"H",IF(J606&lt;=4,"L","A")),IF(J606&lt;=15,"L","A"))),IF(OR(H606="SE",H606="CE"),IF(K606&gt;=4,IF(J606&gt;=6,"H","A"),IF(K606&gt;=2,IF(J606&gt;=20,"H",IF(J606&lt;=5,"L","A")),IF(J606&lt;=19,"L","A"))),IF(OR(H606="ALI",H606="AIE"),IF(K606&gt;=6,IF(J606&gt;=20,"H","A"),IF(K606&gt;=2,IF(J606&gt;=51,"H",IF(J606&lt;=19,"L","A")),IF(J606&lt;=50,"L","A")))))))</f>
        <v/>
      </c>
      <c r="N606" s="46" t="str">
        <f aca="false">IF(M606="L","Baixa",IF(M606="A","Média",IF(M606="","","Alta")))</f>
        <v/>
      </c>
      <c r="O606" s="47" t="str">
        <f aca="false">IF(ISBLANK(H606),"",IF(H606="ALI",IF(M606="L",7,IF(M606="A",10,15)),IF(H606="AIE",IF(M606="L",5,IF(M606="A",7,10)),IF(H606="SE",IF(M606="L",4,IF(M606="A",5,7)),IF(OR(H606="EE",H606="CE"),IF(M606="L",3,IF(M606="A",4,6)))))))</f>
        <v/>
      </c>
      <c r="P606" s="48" t="str">
        <f aca="false">IF(I606="I",O606*Contagem!$W$15,IF(I606="E",O606*Contagem!$W$17,IF(I606="A",O606*Contagem!$W$16,IF(I606="T",O606*Contagem!$W$18,""))))</f>
        <v/>
      </c>
      <c r="Q606" s="49"/>
    </row>
    <row r="607" customFormat="false" ht="12" hidden="false" customHeight="true" outlineLevel="0" collapsed="false">
      <c r="A607" s="40" t="n">
        <f aca="false">IF(H607="",IF(C607="",A606,A606+1),A606)</f>
        <v>62</v>
      </c>
      <c r="B607" s="41" t="str">
        <f aca="false">IF(A607=A606,"",CONCATENATE("F",A607))</f>
        <v/>
      </c>
      <c r="C607" s="42"/>
      <c r="D607" s="42"/>
      <c r="E607" s="42"/>
      <c r="F607" s="42"/>
      <c r="G607" s="42"/>
      <c r="H607" s="44"/>
      <c r="I607" s="50"/>
      <c r="J607" s="44"/>
      <c r="K607" s="44"/>
      <c r="L607" s="44" t="str">
        <f aca="false">CONCATENATE(H607,M607)</f>
        <v/>
      </c>
      <c r="M607" s="45" t="str">
        <f aca="false">IF(OR(ISBLANK(J607),ISBLANK(K607)),IF(OR(H607="ALI",H607="AIE"),"L",IF(ISBLANK(H607),"","A")),IF(H607="EE",IF(K607&gt;=3,IF(J607&gt;=5,"H","A"),IF(K607&gt;=2,IF(J607&gt;=16,"H",IF(J607&lt;=4,"L","A")),IF(J607&lt;=15,"L","A"))),IF(OR(H607="SE",H607="CE"),IF(K607&gt;=4,IF(J607&gt;=6,"H","A"),IF(K607&gt;=2,IF(J607&gt;=20,"H",IF(J607&lt;=5,"L","A")),IF(J607&lt;=19,"L","A"))),IF(OR(H607="ALI",H607="AIE"),IF(K607&gt;=6,IF(J607&gt;=20,"H","A"),IF(K607&gt;=2,IF(J607&gt;=51,"H",IF(J607&lt;=19,"L","A")),IF(J607&lt;=50,"L","A")))))))</f>
        <v/>
      </c>
      <c r="N607" s="46" t="str">
        <f aca="false">IF(M607="L","Baixa",IF(M607="A","Média",IF(M607="","","Alta")))</f>
        <v/>
      </c>
      <c r="O607" s="47" t="str">
        <f aca="false">IF(ISBLANK(H607),"",IF(H607="ALI",IF(M607="L",7,IF(M607="A",10,15)),IF(H607="AIE",IF(M607="L",5,IF(M607="A",7,10)),IF(H607="SE",IF(M607="L",4,IF(M607="A",5,7)),IF(OR(H607="EE",H607="CE"),IF(M607="L",3,IF(M607="A",4,6)))))))</f>
        <v/>
      </c>
      <c r="P607" s="48" t="str">
        <f aca="false">IF(I607="I",O607*Contagem!$W$15,IF(I607="E",O607*Contagem!$W$17,IF(I607="A",O607*Contagem!$W$16,IF(I607="T",O607*Contagem!$W$18,""))))</f>
        <v/>
      </c>
      <c r="Q607" s="49"/>
    </row>
    <row r="608" customFormat="false" ht="12" hidden="false" customHeight="true" outlineLevel="0" collapsed="false">
      <c r="A608" s="40" t="n">
        <f aca="false">IF(H608="",IF(C608="",A607,A607+1),A607)</f>
        <v>62</v>
      </c>
      <c r="B608" s="41" t="str">
        <f aca="false">IF(A608=A607,"",CONCATENATE("F",A608))</f>
        <v/>
      </c>
      <c r="C608" s="42"/>
      <c r="D608" s="42"/>
      <c r="E608" s="42"/>
      <c r="F608" s="42"/>
      <c r="G608" s="42"/>
      <c r="H608" s="44"/>
      <c r="I608" s="50"/>
      <c r="J608" s="44"/>
      <c r="K608" s="44"/>
      <c r="L608" s="44" t="str">
        <f aca="false">CONCATENATE(H608,M608)</f>
        <v/>
      </c>
      <c r="M608" s="45" t="str">
        <f aca="false">IF(OR(ISBLANK(J608),ISBLANK(K608)),IF(OR(H608="ALI",H608="AIE"),"L",IF(ISBLANK(H608),"","A")),IF(H608="EE",IF(K608&gt;=3,IF(J608&gt;=5,"H","A"),IF(K608&gt;=2,IF(J608&gt;=16,"H",IF(J608&lt;=4,"L","A")),IF(J608&lt;=15,"L","A"))),IF(OR(H608="SE",H608="CE"),IF(K608&gt;=4,IF(J608&gt;=6,"H","A"),IF(K608&gt;=2,IF(J608&gt;=20,"H",IF(J608&lt;=5,"L","A")),IF(J608&lt;=19,"L","A"))),IF(OR(H608="ALI",H608="AIE"),IF(K608&gt;=6,IF(J608&gt;=20,"H","A"),IF(K608&gt;=2,IF(J608&gt;=51,"H",IF(J608&lt;=19,"L","A")),IF(J608&lt;=50,"L","A")))))))</f>
        <v/>
      </c>
      <c r="N608" s="46" t="str">
        <f aca="false">IF(M608="L","Baixa",IF(M608="A","Média",IF(M608="","","Alta")))</f>
        <v/>
      </c>
      <c r="O608" s="47" t="str">
        <f aca="false">IF(ISBLANK(H608),"",IF(H608="ALI",IF(M608="L",7,IF(M608="A",10,15)),IF(H608="AIE",IF(M608="L",5,IF(M608="A",7,10)),IF(H608="SE",IF(M608="L",4,IF(M608="A",5,7)),IF(OR(H608="EE",H608="CE"),IF(M608="L",3,IF(M608="A",4,6)))))))</f>
        <v/>
      </c>
      <c r="P608" s="48" t="str">
        <f aca="false">IF(I608="I",O608*Contagem!$W$15,IF(I608="E",O608*Contagem!$W$17,IF(I608="A",O608*Contagem!$W$16,IF(I608="T",O608*Contagem!$W$18,""))))</f>
        <v/>
      </c>
      <c r="Q608" s="49"/>
    </row>
    <row r="609" customFormat="false" ht="12" hidden="false" customHeight="true" outlineLevel="0" collapsed="false">
      <c r="A609" s="40" t="n">
        <f aca="false">IF(H609="",IF(C609="",A608,A608+1),A608)</f>
        <v>62</v>
      </c>
      <c r="B609" s="41" t="str">
        <f aca="false">IF(A609=A608,"",CONCATENATE("F",A609))</f>
        <v/>
      </c>
      <c r="C609" s="42"/>
      <c r="D609" s="42"/>
      <c r="E609" s="42"/>
      <c r="F609" s="42"/>
      <c r="G609" s="42"/>
      <c r="H609" s="44"/>
      <c r="I609" s="50"/>
      <c r="J609" s="44"/>
      <c r="K609" s="44"/>
      <c r="L609" s="44" t="str">
        <f aca="false">CONCATENATE(H609,M609)</f>
        <v/>
      </c>
      <c r="M609" s="45" t="str">
        <f aca="false">IF(OR(ISBLANK(J609),ISBLANK(K609)),IF(OR(H609="ALI",H609="AIE"),"L",IF(ISBLANK(H609),"","A")),IF(H609="EE",IF(K609&gt;=3,IF(J609&gt;=5,"H","A"),IF(K609&gt;=2,IF(J609&gt;=16,"H",IF(J609&lt;=4,"L","A")),IF(J609&lt;=15,"L","A"))),IF(OR(H609="SE",H609="CE"),IF(K609&gt;=4,IF(J609&gt;=6,"H","A"),IF(K609&gt;=2,IF(J609&gt;=20,"H",IF(J609&lt;=5,"L","A")),IF(J609&lt;=19,"L","A"))),IF(OR(H609="ALI",H609="AIE"),IF(K609&gt;=6,IF(J609&gt;=20,"H","A"),IF(K609&gt;=2,IF(J609&gt;=51,"H",IF(J609&lt;=19,"L","A")),IF(J609&lt;=50,"L","A")))))))</f>
        <v/>
      </c>
      <c r="N609" s="46" t="str">
        <f aca="false">IF(M609="L","Baixa",IF(M609="A","Média",IF(M609="","","Alta")))</f>
        <v/>
      </c>
      <c r="O609" s="47" t="str">
        <f aca="false">IF(ISBLANK(H609),"",IF(H609="ALI",IF(M609="L",7,IF(M609="A",10,15)),IF(H609="AIE",IF(M609="L",5,IF(M609="A",7,10)),IF(H609="SE",IF(M609="L",4,IF(M609="A",5,7)),IF(OR(H609="EE",H609="CE"),IF(M609="L",3,IF(M609="A",4,6)))))))</f>
        <v/>
      </c>
      <c r="P609" s="48" t="str">
        <f aca="false">IF(I609="I",O609*Contagem!$W$15,IF(I609="E",O609*Contagem!$W$17,IF(I609="A",O609*Contagem!$W$16,IF(I609="T",O609*Contagem!$W$18,""))))</f>
        <v/>
      </c>
      <c r="Q609" s="49"/>
    </row>
    <row r="610" customFormat="false" ht="12" hidden="false" customHeight="true" outlineLevel="0" collapsed="false">
      <c r="A610" s="40" t="n">
        <f aca="false">IF(H610="",IF(C610="",A609,A609+1),A609)</f>
        <v>62</v>
      </c>
      <c r="B610" s="41" t="str">
        <f aca="false">IF(A610=A609,"",CONCATENATE("F",A610))</f>
        <v/>
      </c>
      <c r="C610" s="42"/>
      <c r="D610" s="42"/>
      <c r="E610" s="42"/>
      <c r="F610" s="42"/>
      <c r="G610" s="42"/>
      <c r="H610" s="44"/>
      <c r="I610" s="50"/>
      <c r="J610" s="44"/>
      <c r="K610" s="44"/>
      <c r="L610" s="44" t="str">
        <f aca="false">CONCATENATE(H610,M610)</f>
        <v/>
      </c>
      <c r="M610" s="45" t="str">
        <f aca="false">IF(OR(ISBLANK(J610),ISBLANK(K610)),IF(OR(H610="ALI",H610="AIE"),"L",IF(ISBLANK(H610),"","A")),IF(H610="EE",IF(K610&gt;=3,IF(J610&gt;=5,"H","A"),IF(K610&gt;=2,IF(J610&gt;=16,"H",IF(J610&lt;=4,"L","A")),IF(J610&lt;=15,"L","A"))),IF(OR(H610="SE",H610="CE"),IF(K610&gt;=4,IF(J610&gt;=6,"H","A"),IF(K610&gt;=2,IF(J610&gt;=20,"H",IF(J610&lt;=5,"L","A")),IF(J610&lt;=19,"L","A"))),IF(OR(H610="ALI",H610="AIE"),IF(K610&gt;=6,IF(J610&gt;=20,"H","A"),IF(K610&gt;=2,IF(J610&gt;=51,"H",IF(J610&lt;=19,"L","A")),IF(J610&lt;=50,"L","A")))))))</f>
        <v/>
      </c>
      <c r="N610" s="46" t="str">
        <f aca="false">IF(M610="L","Baixa",IF(M610="A","Média",IF(M610="","","Alta")))</f>
        <v/>
      </c>
      <c r="O610" s="47" t="str">
        <f aca="false">IF(ISBLANK(H610),"",IF(H610="ALI",IF(M610="L",7,IF(M610="A",10,15)),IF(H610="AIE",IF(M610="L",5,IF(M610="A",7,10)),IF(H610="SE",IF(M610="L",4,IF(M610="A",5,7)),IF(OR(H610="EE",H610="CE"),IF(M610="L",3,IF(M610="A",4,6)))))))</f>
        <v/>
      </c>
      <c r="P610" s="48" t="str">
        <f aca="false">IF(I610="I",O610*Contagem!$W$15,IF(I610="E",O610*Contagem!$W$17,IF(I610="A",O610*Contagem!$W$16,IF(I610="T",O610*Contagem!$W$18,""))))</f>
        <v/>
      </c>
      <c r="Q610" s="49"/>
    </row>
    <row r="611" customFormat="false" ht="12" hidden="false" customHeight="true" outlineLevel="0" collapsed="false">
      <c r="A611" s="40" t="n">
        <f aca="false">IF(H611="",IF(C611="",A610,A610+1),A610)</f>
        <v>62</v>
      </c>
      <c r="B611" s="41" t="str">
        <f aca="false">IF(A611=A610,"",CONCATENATE("F",A611))</f>
        <v/>
      </c>
      <c r="C611" s="42"/>
      <c r="D611" s="42"/>
      <c r="E611" s="42"/>
      <c r="F611" s="42"/>
      <c r="G611" s="42"/>
      <c r="H611" s="44"/>
      <c r="I611" s="50"/>
      <c r="J611" s="44"/>
      <c r="K611" s="44"/>
      <c r="L611" s="44" t="str">
        <f aca="false">CONCATENATE(H611,M611)</f>
        <v/>
      </c>
      <c r="M611" s="45" t="str">
        <f aca="false">IF(OR(ISBLANK(J611),ISBLANK(K611)),IF(OR(H611="ALI",H611="AIE"),"L",IF(ISBLANK(H611),"","A")),IF(H611="EE",IF(K611&gt;=3,IF(J611&gt;=5,"H","A"),IF(K611&gt;=2,IF(J611&gt;=16,"H",IF(J611&lt;=4,"L","A")),IF(J611&lt;=15,"L","A"))),IF(OR(H611="SE",H611="CE"),IF(K611&gt;=4,IF(J611&gt;=6,"H","A"),IF(K611&gt;=2,IF(J611&gt;=20,"H",IF(J611&lt;=5,"L","A")),IF(J611&lt;=19,"L","A"))),IF(OR(H611="ALI",H611="AIE"),IF(K611&gt;=6,IF(J611&gt;=20,"H","A"),IF(K611&gt;=2,IF(J611&gt;=51,"H",IF(J611&lt;=19,"L","A")),IF(J611&lt;=50,"L","A")))))))</f>
        <v/>
      </c>
      <c r="N611" s="46" t="str">
        <f aca="false">IF(M611="L","Baixa",IF(M611="A","Média",IF(M611="","","Alta")))</f>
        <v/>
      </c>
      <c r="O611" s="47" t="str">
        <f aca="false">IF(ISBLANK(H611),"",IF(H611="ALI",IF(M611="L",7,IF(M611="A",10,15)),IF(H611="AIE",IF(M611="L",5,IF(M611="A",7,10)),IF(H611="SE",IF(M611="L",4,IF(M611="A",5,7)),IF(OR(H611="EE",H611="CE"),IF(M611="L",3,IF(M611="A",4,6)))))))</f>
        <v/>
      </c>
      <c r="P611" s="48" t="str">
        <f aca="false">IF(I611="I",O611*Contagem!$W$15,IF(I611="E",O611*Contagem!$W$17,IF(I611="A",O611*Contagem!$W$16,IF(I611="T",O611*Contagem!$W$18,""))))</f>
        <v/>
      </c>
      <c r="Q611" s="49"/>
    </row>
    <row r="612" customFormat="false" ht="12" hidden="false" customHeight="true" outlineLevel="0" collapsed="false">
      <c r="A612" s="40" t="n">
        <f aca="false">IF(H612="",IF(C612="",A611,A611+1),A611)</f>
        <v>62</v>
      </c>
      <c r="B612" s="41" t="str">
        <f aca="false">IF(A612=A611,"",CONCATENATE("F",A612))</f>
        <v/>
      </c>
      <c r="C612" s="42"/>
      <c r="D612" s="42"/>
      <c r="E612" s="42"/>
      <c r="F612" s="42"/>
      <c r="G612" s="42"/>
      <c r="H612" s="44"/>
      <c r="I612" s="50"/>
      <c r="J612" s="44"/>
      <c r="K612" s="44"/>
      <c r="L612" s="44" t="str">
        <f aca="false">CONCATENATE(H612,M612)</f>
        <v/>
      </c>
      <c r="M612" s="45" t="str">
        <f aca="false">IF(OR(ISBLANK(J612),ISBLANK(K612)),IF(OR(H612="ALI",H612="AIE"),"L",IF(ISBLANK(H612),"","A")),IF(H612="EE",IF(K612&gt;=3,IF(J612&gt;=5,"H","A"),IF(K612&gt;=2,IF(J612&gt;=16,"H",IF(J612&lt;=4,"L","A")),IF(J612&lt;=15,"L","A"))),IF(OR(H612="SE",H612="CE"),IF(K612&gt;=4,IF(J612&gt;=6,"H","A"),IF(K612&gt;=2,IF(J612&gt;=20,"H",IF(J612&lt;=5,"L","A")),IF(J612&lt;=19,"L","A"))),IF(OR(H612="ALI",H612="AIE"),IF(K612&gt;=6,IF(J612&gt;=20,"H","A"),IF(K612&gt;=2,IF(J612&gt;=51,"H",IF(J612&lt;=19,"L","A")),IF(J612&lt;=50,"L","A")))))))</f>
        <v/>
      </c>
      <c r="N612" s="46" t="str">
        <f aca="false">IF(M612="L","Baixa",IF(M612="A","Média",IF(M612="","","Alta")))</f>
        <v/>
      </c>
      <c r="O612" s="47" t="str">
        <f aca="false">IF(ISBLANK(H612),"",IF(H612="ALI",IF(M612="L",7,IF(M612="A",10,15)),IF(H612="AIE",IF(M612="L",5,IF(M612="A",7,10)),IF(H612="SE",IF(M612="L",4,IF(M612="A",5,7)),IF(OR(H612="EE",H612="CE"),IF(M612="L",3,IF(M612="A",4,6)))))))</f>
        <v/>
      </c>
      <c r="P612" s="48" t="str">
        <f aca="false">IF(I612="I",O612*Contagem!$W$15,IF(I612="E",O612*Contagem!$W$17,IF(I612="A",O612*Contagem!$W$16,IF(I612="T",O612*Contagem!$W$18,""))))</f>
        <v/>
      </c>
      <c r="Q612" s="49"/>
    </row>
    <row r="613" customFormat="false" ht="12" hidden="false" customHeight="true" outlineLevel="0" collapsed="false">
      <c r="A613" s="40" t="n">
        <f aca="false">IF(H613="",IF(C613="",A612,A612+1),A612)</f>
        <v>62</v>
      </c>
      <c r="B613" s="41" t="str">
        <f aca="false">IF(A613=A612,"",CONCATENATE("F",A613))</f>
        <v/>
      </c>
      <c r="C613" s="42"/>
      <c r="D613" s="42"/>
      <c r="E613" s="42"/>
      <c r="F613" s="42"/>
      <c r="G613" s="42"/>
      <c r="H613" s="44"/>
      <c r="I613" s="50"/>
      <c r="J613" s="44"/>
      <c r="K613" s="44"/>
      <c r="L613" s="44" t="str">
        <f aca="false">CONCATENATE(H613,M613)</f>
        <v/>
      </c>
      <c r="M613" s="45" t="str">
        <f aca="false">IF(OR(ISBLANK(J613),ISBLANK(K613)),IF(OR(H613="ALI",H613="AIE"),"L",IF(ISBLANK(H613),"","A")),IF(H613="EE",IF(K613&gt;=3,IF(J613&gt;=5,"H","A"),IF(K613&gt;=2,IF(J613&gt;=16,"H",IF(J613&lt;=4,"L","A")),IF(J613&lt;=15,"L","A"))),IF(OR(H613="SE",H613="CE"),IF(K613&gt;=4,IF(J613&gt;=6,"H","A"),IF(K613&gt;=2,IF(J613&gt;=20,"H",IF(J613&lt;=5,"L","A")),IF(J613&lt;=19,"L","A"))),IF(OR(H613="ALI",H613="AIE"),IF(K613&gt;=6,IF(J613&gt;=20,"H","A"),IF(K613&gt;=2,IF(J613&gt;=51,"H",IF(J613&lt;=19,"L","A")),IF(J613&lt;=50,"L","A")))))))</f>
        <v/>
      </c>
      <c r="N613" s="46" t="str">
        <f aca="false">IF(M613="L","Baixa",IF(M613="A","Média",IF(M613="","","Alta")))</f>
        <v/>
      </c>
      <c r="O613" s="47" t="str">
        <f aca="false">IF(ISBLANK(H613),"",IF(H613="ALI",IF(M613="L",7,IF(M613="A",10,15)),IF(H613="AIE",IF(M613="L",5,IF(M613="A",7,10)),IF(H613="SE",IF(M613="L",4,IF(M613="A",5,7)),IF(OR(H613="EE",H613="CE"),IF(M613="L",3,IF(M613="A",4,6)))))))</f>
        <v/>
      </c>
      <c r="P613" s="48" t="str">
        <f aca="false">IF(I613="I",O613*Contagem!$W$15,IF(I613="E",O613*Contagem!$W$17,IF(I613="A",O613*Contagem!$W$16,IF(I613="T",O613*Contagem!$W$18,""))))</f>
        <v/>
      </c>
      <c r="Q613" s="49"/>
    </row>
    <row r="614" customFormat="false" ht="12" hidden="false" customHeight="true" outlineLevel="0" collapsed="false">
      <c r="A614" s="40" t="n">
        <f aca="false">IF(H614="",IF(C614="",A613,A613+1),A613)</f>
        <v>62</v>
      </c>
      <c r="B614" s="41" t="str">
        <f aca="false">IF(A614=A613,"",CONCATENATE("F",A614))</f>
        <v/>
      </c>
      <c r="C614" s="42"/>
      <c r="D614" s="42"/>
      <c r="E614" s="42"/>
      <c r="F614" s="42"/>
      <c r="G614" s="42"/>
      <c r="H614" s="44"/>
      <c r="I614" s="50"/>
      <c r="J614" s="44"/>
      <c r="K614" s="44"/>
      <c r="L614" s="44" t="str">
        <f aca="false">CONCATENATE(H614,M614)</f>
        <v/>
      </c>
      <c r="M614" s="45" t="str">
        <f aca="false">IF(OR(ISBLANK(J614),ISBLANK(K614)),IF(OR(H614="ALI",H614="AIE"),"L",IF(ISBLANK(H614),"","A")),IF(H614="EE",IF(K614&gt;=3,IF(J614&gt;=5,"H","A"),IF(K614&gt;=2,IF(J614&gt;=16,"H",IF(J614&lt;=4,"L","A")),IF(J614&lt;=15,"L","A"))),IF(OR(H614="SE",H614="CE"),IF(K614&gt;=4,IF(J614&gt;=6,"H","A"),IF(K614&gt;=2,IF(J614&gt;=20,"H",IF(J614&lt;=5,"L","A")),IF(J614&lt;=19,"L","A"))),IF(OR(H614="ALI",H614="AIE"),IF(K614&gt;=6,IF(J614&gt;=20,"H","A"),IF(K614&gt;=2,IF(J614&gt;=51,"H",IF(J614&lt;=19,"L","A")),IF(J614&lt;=50,"L","A")))))))</f>
        <v/>
      </c>
      <c r="N614" s="46" t="str">
        <f aca="false">IF(M614="L","Baixa",IF(M614="A","Média",IF(M614="","","Alta")))</f>
        <v/>
      </c>
      <c r="O614" s="47" t="str">
        <f aca="false">IF(ISBLANK(H614),"",IF(H614="ALI",IF(M614="L",7,IF(M614="A",10,15)),IF(H614="AIE",IF(M614="L",5,IF(M614="A",7,10)),IF(H614="SE",IF(M614="L",4,IF(M614="A",5,7)),IF(OR(H614="EE",H614="CE"),IF(M614="L",3,IF(M614="A",4,6)))))))</f>
        <v/>
      </c>
      <c r="P614" s="48" t="str">
        <f aca="false">IF(I614="I",O614*Contagem!$W$15,IF(I614="E",O614*Contagem!$W$17,IF(I614="A",O614*Contagem!$W$16,IF(I614="T",O614*Contagem!$W$18,""))))</f>
        <v/>
      </c>
      <c r="Q614" s="49"/>
    </row>
    <row r="615" customFormat="false" ht="12" hidden="false" customHeight="true" outlineLevel="0" collapsed="false">
      <c r="A615" s="40" t="n">
        <f aca="false">IF(H615="",IF(C615="",A614,A614+1),A614)</f>
        <v>62</v>
      </c>
      <c r="B615" s="41" t="str">
        <f aca="false">IF(A615=A614,"",CONCATENATE("F",A615))</f>
        <v/>
      </c>
      <c r="C615" s="42"/>
      <c r="D615" s="42"/>
      <c r="E615" s="42"/>
      <c r="F615" s="42"/>
      <c r="G615" s="42"/>
      <c r="H615" s="44"/>
      <c r="I615" s="50"/>
      <c r="J615" s="44"/>
      <c r="K615" s="44"/>
      <c r="L615" s="44" t="str">
        <f aca="false">CONCATENATE(H615,M615)</f>
        <v/>
      </c>
      <c r="M615" s="45" t="str">
        <f aca="false">IF(OR(ISBLANK(J615),ISBLANK(K615)),IF(OR(H615="ALI",H615="AIE"),"L",IF(ISBLANK(H615),"","A")),IF(H615="EE",IF(K615&gt;=3,IF(J615&gt;=5,"H","A"),IF(K615&gt;=2,IF(J615&gt;=16,"H",IF(J615&lt;=4,"L","A")),IF(J615&lt;=15,"L","A"))),IF(OR(H615="SE",H615="CE"),IF(K615&gt;=4,IF(J615&gt;=6,"H","A"),IF(K615&gt;=2,IF(J615&gt;=20,"H",IF(J615&lt;=5,"L","A")),IF(J615&lt;=19,"L","A"))),IF(OR(H615="ALI",H615="AIE"),IF(K615&gt;=6,IF(J615&gt;=20,"H","A"),IF(K615&gt;=2,IF(J615&gt;=51,"H",IF(J615&lt;=19,"L","A")),IF(J615&lt;=50,"L","A")))))))</f>
        <v/>
      </c>
      <c r="N615" s="46" t="str">
        <f aca="false">IF(M615="L","Baixa",IF(M615="A","Média",IF(M615="","","Alta")))</f>
        <v/>
      </c>
      <c r="O615" s="47" t="str">
        <f aca="false">IF(ISBLANK(H615),"",IF(H615="ALI",IF(M615="L",7,IF(M615="A",10,15)),IF(H615="AIE",IF(M615="L",5,IF(M615="A",7,10)),IF(H615="SE",IF(M615="L",4,IF(M615="A",5,7)),IF(OR(H615="EE",H615="CE"),IF(M615="L",3,IF(M615="A",4,6)))))))</f>
        <v/>
      </c>
      <c r="P615" s="48" t="str">
        <f aca="false">IF(I615="I",O615*Contagem!$W$15,IF(I615="E",O615*Contagem!$W$17,IF(I615="A",O615*Contagem!$W$16,IF(I615="T",O615*Contagem!$W$18,""))))</f>
        <v/>
      </c>
      <c r="Q615" s="49"/>
    </row>
    <row r="616" customFormat="false" ht="12" hidden="false" customHeight="true" outlineLevel="0" collapsed="false">
      <c r="A616" s="40" t="n">
        <f aca="false">IF(H616="",IF(C616="",A615,A615+1),A615)</f>
        <v>62</v>
      </c>
      <c r="B616" s="41" t="str">
        <f aca="false">IF(A616=A615,"",CONCATENATE("F",A616))</f>
        <v/>
      </c>
      <c r="C616" s="42"/>
      <c r="D616" s="42"/>
      <c r="E616" s="42"/>
      <c r="F616" s="42"/>
      <c r="G616" s="42"/>
      <c r="H616" s="44"/>
      <c r="I616" s="50"/>
      <c r="J616" s="44"/>
      <c r="K616" s="44"/>
      <c r="L616" s="44" t="str">
        <f aca="false">CONCATENATE(H616,M616)</f>
        <v/>
      </c>
      <c r="M616" s="45" t="str">
        <f aca="false">IF(OR(ISBLANK(J616),ISBLANK(K616)),IF(OR(H616="ALI",H616="AIE"),"L",IF(ISBLANK(H616),"","A")),IF(H616="EE",IF(K616&gt;=3,IF(J616&gt;=5,"H","A"),IF(K616&gt;=2,IF(J616&gt;=16,"H",IF(J616&lt;=4,"L","A")),IF(J616&lt;=15,"L","A"))),IF(OR(H616="SE",H616="CE"),IF(K616&gt;=4,IF(J616&gt;=6,"H","A"),IF(K616&gt;=2,IF(J616&gt;=20,"H",IF(J616&lt;=5,"L","A")),IF(J616&lt;=19,"L","A"))),IF(OR(H616="ALI",H616="AIE"),IF(K616&gt;=6,IF(J616&gt;=20,"H","A"),IF(K616&gt;=2,IF(J616&gt;=51,"H",IF(J616&lt;=19,"L","A")),IF(J616&lt;=50,"L","A")))))))</f>
        <v/>
      </c>
      <c r="N616" s="46" t="str">
        <f aca="false">IF(M616="L","Baixa",IF(M616="A","Média",IF(M616="","","Alta")))</f>
        <v/>
      </c>
      <c r="O616" s="47" t="str">
        <f aca="false">IF(ISBLANK(H616),"",IF(H616="ALI",IF(M616="L",7,IF(M616="A",10,15)),IF(H616="AIE",IF(M616="L",5,IF(M616="A",7,10)),IF(H616="SE",IF(M616="L",4,IF(M616="A",5,7)),IF(OR(H616="EE",H616="CE"),IF(M616="L",3,IF(M616="A",4,6)))))))</f>
        <v/>
      </c>
      <c r="P616" s="48" t="str">
        <f aca="false">IF(I616="I",O616*Contagem!$W$15,IF(I616="E",O616*Contagem!$W$17,IF(I616="A",O616*Contagem!$W$16,IF(I616="T",O616*Contagem!$W$18,""))))</f>
        <v/>
      </c>
      <c r="Q616" s="49"/>
    </row>
    <row r="617" customFormat="false" ht="12" hidden="false" customHeight="true" outlineLevel="0" collapsed="false">
      <c r="A617" s="40" t="n">
        <f aca="false">IF(H617="",IF(C617="",A616,A616+1),A616)</f>
        <v>62</v>
      </c>
      <c r="B617" s="41" t="str">
        <f aca="false">IF(A617=A616,"",CONCATENATE("F",A617))</f>
        <v/>
      </c>
      <c r="C617" s="42"/>
      <c r="D617" s="42"/>
      <c r="E617" s="42"/>
      <c r="F617" s="42"/>
      <c r="G617" s="42"/>
      <c r="H617" s="44"/>
      <c r="I617" s="50"/>
      <c r="J617" s="44"/>
      <c r="K617" s="44"/>
      <c r="L617" s="44" t="str">
        <f aca="false">CONCATENATE(H617,M617)</f>
        <v/>
      </c>
      <c r="M617" s="45" t="str">
        <f aca="false">IF(OR(ISBLANK(J617),ISBLANK(K617)),IF(OR(H617="ALI",H617="AIE"),"L",IF(ISBLANK(H617),"","A")),IF(H617="EE",IF(K617&gt;=3,IF(J617&gt;=5,"H","A"),IF(K617&gt;=2,IF(J617&gt;=16,"H",IF(J617&lt;=4,"L","A")),IF(J617&lt;=15,"L","A"))),IF(OR(H617="SE",H617="CE"),IF(K617&gt;=4,IF(J617&gt;=6,"H","A"),IF(K617&gt;=2,IF(J617&gt;=20,"H",IF(J617&lt;=5,"L","A")),IF(J617&lt;=19,"L","A"))),IF(OR(H617="ALI",H617="AIE"),IF(K617&gt;=6,IF(J617&gt;=20,"H","A"),IF(K617&gt;=2,IF(J617&gt;=51,"H",IF(J617&lt;=19,"L","A")),IF(J617&lt;=50,"L","A")))))))</f>
        <v/>
      </c>
      <c r="N617" s="46" t="str">
        <f aca="false">IF(M617="L","Baixa",IF(M617="A","Média",IF(M617="","","Alta")))</f>
        <v/>
      </c>
      <c r="O617" s="47" t="str">
        <f aca="false">IF(ISBLANK(H617),"",IF(H617="ALI",IF(M617="L",7,IF(M617="A",10,15)),IF(H617="AIE",IF(M617="L",5,IF(M617="A",7,10)),IF(H617="SE",IF(M617="L",4,IF(M617="A",5,7)),IF(OR(H617="EE",H617="CE"),IF(M617="L",3,IF(M617="A",4,6)))))))</f>
        <v/>
      </c>
      <c r="P617" s="48" t="str">
        <f aca="false">IF(I617="I",O617*Contagem!$W$15,IF(I617="E",O617*Contagem!$W$17,IF(I617="A",O617*Contagem!$W$16,IF(I617="T",O617*Contagem!$W$18,""))))</f>
        <v/>
      </c>
      <c r="Q617" s="49"/>
    </row>
    <row r="618" customFormat="false" ht="12" hidden="false" customHeight="true" outlineLevel="0" collapsed="false">
      <c r="A618" s="40" t="n">
        <f aca="false">IF(H618="",IF(C618="",A617,A617+1),A617)</f>
        <v>62</v>
      </c>
      <c r="B618" s="41" t="str">
        <f aca="false">IF(A618=A617,"",CONCATENATE("F",A618))</f>
        <v/>
      </c>
      <c r="C618" s="42"/>
      <c r="D618" s="42"/>
      <c r="E618" s="42"/>
      <c r="F618" s="42"/>
      <c r="G618" s="42"/>
      <c r="H618" s="44"/>
      <c r="I618" s="50"/>
      <c r="J618" s="44"/>
      <c r="K618" s="44"/>
      <c r="L618" s="44" t="str">
        <f aca="false">CONCATENATE(H618,M618)</f>
        <v/>
      </c>
      <c r="M618" s="45" t="str">
        <f aca="false">IF(OR(ISBLANK(J618),ISBLANK(K618)),IF(OR(H618="ALI",H618="AIE"),"L",IF(ISBLANK(H618),"","A")),IF(H618="EE",IF(K618&gt;=3,IF(J618&gt;=5,"H","A"),IF(K618&gt;=2,IF(J618&gt;=16,"H",IF(J618&lt;=4,"L","A")),IF(J618&lt;=15,"L","A"))),IF(OR(H618="SE",H618="CE"),IF(K618&gt;=4,IF(J618&gt;=6,"H","A"),IF(K618&gt;=2,IF(J618&gt;=20,"H",IF(J618&lt;=5,"L","A")),IF(J618&lt;=19,"L","A"))),IF(OR(H618="ALI",H618="AIE"),IF(K618&gt;=6,IF(J618&gt;=20,"H","A"),IF(K618&gt;=2,IF(J618&gt;=51,"H",IF(J618&lt;=19,"L","A")),IF(J618&lt;=50,"L","A")))))))</f>
        <v/>
      </c>
      <c r="N618" s="46" t="str">
        <f aca="false">IF(M618="L","Baixa",IF(M618="A","Média",IF(M618="","","Alta")))</f>
        <v/>
      </c>
      <c r="O618" s="47" t="str">
        <f aca="false">IF(ISBLANK(H618),"",IF(H618="ALI",IF(M618="L",7,IF(M618="A",10,15)),IF(H618="AIE",IF(M618="L",5,IF(M618="A",7,10)),IF(H618="SE",IF(M618="L",4,IF(M618="A",5,7)),IF(OR(H618="EE",H618="CE"),IF(M618="L",3,IF(M618="A",4,6)))))))</f>
        <v/>
      </c>
      <c r="P618" s="48" t="str">
        <f aca="false">IF(I618="I",O618*Contagem!$W$15,IF(I618="E",O618*Contagem!$W$17,IF(I618="A",O618*Contagem!$W$16,IF(I618="T",O618*Contagem!$W$18,""))))</f>
        <v/>
      </c>
      <c r="Q618" s="49"/>
    </row>
    <row r="619" customFormat="false" ht="12" hidden="false" customHeight="true" outlineLevel="0" collapsed="false">
      <c r="A619" s="40" t="n">
        <f aca="false">IF(H619="",IF(C619="",A618,A618+1),A618)</f>
        <v>62</v>
      </c>
      <c r="B619" s="41" t="str">
        <f aca="false">IF(A619=A618,"",CONCATENATE("F",A619))</f>
        <v/>
      </c>
      <c r="C619" s="42"/>
      <c r="D619" s="42"/>
      <c r="E619" s="42"/>
      <c r="F619" s="42"/>
      <c r="G619" s="42"/>
      <c r="H619" s="44"/>
      <c r="I619" s="50"/>
      <c r="J619" s="44"/>
      <c r="K619" s="44"/>
      <c r="L619" s="44" t="str">
        <f aca="false">CONCATENATE(H619,M619)</f>
        <v/>
      </c>
      <c r="M619" s="45" t="str">
        <f aca="false">IF(OR(ISBLANK(J619),ISBLANK(K619)),IF(OR(H619="ALI",H619="AIE"),"L",IF(ISBLANK(H619),"","A")),IF(H619="EE",IF(K619&gt;=3,IF(J619&gt;=5,"H","A"),IF(K619&gt;=2,IF(J619&gt;=16,"H",IF(J619&lt;=4,"L","A")),IF(J619&lt;=15,"L","A"))),IF(OR(H619="SE",H619="CE"),IF(K619&gt;=4,IF(J619&gt;=6,"H","A"),IF(K619&gt;=2,IF(J619&gt;=20,"H",IF(J619&lt;=5,"L","A")),IF(J619&lt;=19,"L","A"))),IF(OR(H619="ALI",H619="AIE"),IF(K619&gt;=6,IF(J619&gt;=20,"H","A"),IF(K619&gt;=2,IF(J619&gt;=51,"H",IF(J619&lt;=19,"L","A")),IF(J619&lt;=50,"L","A")))))))</f>
        <v/>
      </c>
      <c r="N619" s="46" t="str">
        <f aca="false">IF(M619="L","Baixa",IF(M619="A","Média",IF(M619="","","Alta")))</f>
        <v/>
      </c>
      <c r="O619" s="47" t="str">
        <f aca="false">IF(ISBLANK(H619),"",IF(H619="ALI",IF(M619="L",7,IF(M619="A",10,15)),IF(H619="AIE",IF(M619="L",5,IF(M619="A",7,10)),IF(H619="SE",IF(M619="L",4,IF(M619="A",5,7)),IF(OR(H619="EE",H619="CE"),IF(M619="L",3,IF(M619="A",4,6)))))))</f>
        <v/>
      </c>
      <c r="P619" s="48" t="str">
        <f aca="false">IF(I619="I",O619*Contagem!$W$15,IF(I619="E",O619*Contagem!$W$17,IF(I619="A",O619*Contagem!$W$16,IF(I619="T",O619*Contagem!$W$18,""))))</f>
        <v/>
      </c>
      <c r="Q619" s="49"/>
    </row>
    <row r="620" customFormat="false" ht="12" hidden="false" customHeight="true" outlineLevel="0" collapsed="false">
      <c r="A620" s="40" t="n">
        <f aca="false">IF(H620="",IF(C620="",A619,A619+1),A619)</f>
        <v>62</v>
      </c>
      <c r="B620" s="41" t="str">
        <f aca="false">IF(A620=A619,"",CONCATENATE("F",A620))</f>
        <v/>
      </c>
      <c r="C620" s="42"/>
      <c r="D620" s="42"/>
      <c r="E620" s="42"/>
      <c r="F620" s="42"/>
      <c r="G620" s="42"/>
      <c r="H620" s="44"/>
      <c r="I620" s="50"/>
      <c r="J620" s="44"/>
      <c r="K620" s="44"/>
      <c r="L620" s="44" t="str">
        <f aca="false">CONCATENATE(H620,M620)</f>
        <v/>
      </c>
      <c r="M620" s="45" t="str">
        <f aca="false">IF(OR(ISBLANK(J620),ISBLANK(K620)),IF(OR(H620="ALI",H620="AIE"),"L",IF(ISBLANK(H620),"","A")),IF(H620="EE",IF(K620&gt;=3,IF(J620&gt;=5,"H","A"),IF(K620&gt;=2,IF(J620&gt;=16,"H",IF(J620&lt;=4,"L","A")),IF(J620&lt;=15,"L","A"))),IF(OR(H620="SE",H620="CE"),IF(K620&gt;=4,IF(J620&gt;=6,"H","A"),IF(K620&gt;=2,IF(J620&gt;=20,"H",IF(J620&lt;=5,"L","A")),IF(J620&lt;=19,"L","A"))),IF(OR(H620="ALI",H620="AIE"),IF(K620&gt;=6,IF(J620&gt;=20,"H","A"),IF(K620&gt;=2,IF(J620&gt;=51,"H",IF(J620&lt;=19,"L","A")),IF(J620&lt;=50,"L","A")))))))</f>
        <v/>
      </c>
      <c r="N620" s="46" t="str">
        <f aca="false">IF(M620="L","Baixa",IF(M620="A","Média",IF(M620="","","Alta")))</f>
        <v/>
      </c>
      <c r="O620" s="47" t="str">
        <f aca="false">IF(ISBLANK(H620),"",IF(H620="ALI",IF(M620="L",7,IF(M620="A",10,15)),IF(H620="AIE",IF(M620="L",5,IF(M620="A",7,10)),IF(H620="SE",IF(M620="L",4,IF(M620="A",5,7)),IF(OR(H620="EE",H620="CE"),IF(M620="L",3,IF(M620="A",4,6)))))))</f>
        <v/>
      </c>
      <c r="P620" s="48" t="str">
        <f aca="false">IF(I620="I",O620*Contagem!$W$15,IF(I620="E",O620*Contagem!$W$17,IF(I620="A",O620*Contagem!$W$16,IF(I620="T",O620*Contagem!$W$18,""))))</f>
        <v/>
      </c>
      <c r="Q620" s="49"/>
    </row>
    <row r="621" customFormat="false" ht="12" hidden="false" customHeight="true" outlineLevel="0" collapsed="false">
      <c r="A621" s="40" t="n">
        <f aca="false">IF(H621="",IF(C621="",A620,A620+1),A620)</f>
        <v>62</v>
      </c>
      <c r="B621" s="41" t="str">
        <f aca="false">IF(A621=A620,"",CONCATENATE("F",A621))</f>
        <v/>
      </c>
      <c r="C621" s="42"/>
      <c r="D621" s="42"/>
      <c r="E621" s="42"/>
      <c r="F621" s="42"/>
      <c r="G621" s="42"/>
      <c r="H621" s="44"/>
      <c r="I621" s="50"/>
      <c r="J621" s="44"/>
      <c r="K621" s="44"/>
      <c r="L621" s="44" t="str">
        <f aca="false">CONCATENATE(H621,M621)</f>
        <v/>
      </c>
      <c r="M621" s="45" t="str">
        <f aca="false">IF(OR(ISBLANK(J621),ISBLANK(K621)),IF(OR(H621="ALI",H621="AIE"),"L",IF(ISBLANK(H621),"","A")),IF(H621="EE",IF(K621&gt;=3,IF(J621&gt;=5,"H","A"),IF(K621&gt;=2,IF(J621&gt;=16,"H",IF(J621&lt;=4,"L","A")),IF(J621&lt;=15,"L","A"))),IF(OR(H621="SE",H621="CE"),IF(K621&gt;=4,IF(J621&gt;=6,"H","A"),IF(K621&gt;=2,IF(J621&gt;=20,"H",IF(J621&lt;=5,"L","A")),IF(J621&lt;=19,"L","A"))),IF(OR(H621="ALI",H621="AIE"),IF(K621&gt;=6,IF(J621&gt;=20,"H","A"),IF(K621&gt;=2,IF(J621&gt;=51,"H",IF(J621&lt;=19,"L","A")),IF(J621&lt;=50,"L","A")))))))</f>
        <v/>
      </c>
      <c r="N621" s="46" t="str">
        <f aca="false">IF(M621="L","Baixa",IF(M621="A","Média",IF(M621="","","Alta")))</f>
        <v/>
      </c>
      <c r="O621" s="47" t="str">
        <f aca="false">IF(ISBLANK(H621),"",IF(H621="ALI",IF(M621="L",7,IF(M621="A",10,15)),IF(H621="AIE",IF(M621="L",5,IF(M621="A",7,10)),IF(H621="SE",IF(M621="L",4,IF(M621="A",5,7)),IF(OR(H621="EE",H621="CE"),IF(M621="L",3,IF(M621="A",4,6)))))))</f>
        <v/>
      </c>
      <c r="P621" s="48" t="str">
        <f aca="false">IF(I621="I",O621*Contagem!$W$15,IF(I621="E",O621*Contagem!$W$17,IF(I621="A",O621*Contagem!$W$16,IF(I621="T",O621*Contagem!$W$18,""))))</f>
        <v/>
      </c>
      <c r="Q621" s="49"/>
    </row>
    <row r="622" customFormat="false" ht="12" hidden="false" customHeight="true" outlineLevel="0" collapsed="false">
      <c r="A622" s="40" t="n">
        <f aca="false">IF(H622="",IF(C622="",A621,A621+1),A621)</f>
        <v>62</v>
      </c>
      <c r="B622" s="41" t="str">
        <f aca="false">IF(A622=A621,"",CONCATENATE("F",A622))</f>
        <v/>
      </c>
      <c r="C622" s="42"/>
      <c r="D622" s="42"/>
      <c r="E622" s="42"/>
      <c r="F622" s="42"/>
      <c r="G622" s="42"/>
      <c r="H622" s="44"/>
      <c r="I622" s="50"/>
      <c r="J622" s="44"/>
      <c r="K622" s="44"/>
      <c r="L622" s="44" t="str">
        <f aca="false">CONCATENATE(H622,M622)</f>
        <v/>
      </c>
      <c r="M622" s="45" t="str">
        <f aca="false">IF(OR(ISBLANK(J622),ISBLANK(K622)),IF(OR(H622="ALI",H622="AIE"),"L",IF(ISBLANK(H622),"","A")),IF(H622="EE",IF(K622&gt;=3,IF(J622&gt;=5,"H","A"),IF(K622&gt;=2,IF(J622&gt;=16,"H",IF(J622&lt;=4,"L","A")),IF(J622&lt;=15,"L","A"))),IF(OR(H622="SE",H622="CE"),IF(K622&gt;=4,IF(J622&gt;=6,"H","A"),IF(K622&gt;=2,IF(J622&gt;=20,"H",IF(J622&lt;=5,"L","A")),IF(J622&lt;=19,"L","A"))),IF(OR(H622="ALI",H622="AIE"),IF(K622&gt;=6,IF(J622&gt;=20,"H","A"),IF(K622&gt;=2,IF(J622&gt;=51,"H",IF(J622&lt;=19,"L","A")),IF(J622&lt;=50,"L","A")))))))</f>
        <v/>
      </c>
      <c r="N622" s="46" t="str">
        <f aca="false">IF(M622="L","Baixa",IF(M622="A","Média",IF(M622="","","Alta")))</f>
        <v/>
      </c>
      <c r="O622" s="47" t="str">
        <f aca="false">IF(ISBLANK(H622),"",IF(H622="ALI",IF(M622="L",7,IF(M622="A",10,15)),IF(H622="AIE",IF(M622="L",5,IF(M622="A",7,10)),IF(H622="SE",IF(M622="L",4,IF(M622="A",5,7)),IF(OR(H622="EE",H622="CE"),IF(M622="L",3,IF(M622="A",4,6)))))))</f>
        <v/>
      </c>
      <c r="P622" s="48" t="str">
        <f aca="false">IF(I622="I",O622*Contagem!$W$15,IF(I622="E",O622*Contagem!$W$17,IF(I622="A",O622*Contagem!$W$16,IF(I622="T",O622*Contagem!$W$18,""))))</f>
        <v/>
      </c>
      <c r="Q622" s="49"/>
    </row>
    <row r="623" customFormat="false" ht="12" hidden="false" customHeight="true" outlineLevel="0" collapsed="false">
      <c r="A623" s="40" t="n">
        <f aca="false">IF(H623="",IF(C623="",A622,A622+1),A622)</f>
        <v>62</v>
      </c>
      <c r="B623" s="41" t="str">
        <f aca="false">IF(A623=A622,"",CONCATENATE("F",A623))</f>
        <v/>
      </c>
      <c r="C623" s="42"/>
      <c r="D623" s="42"/>
      <c r="E623" s="42"/>
      <c r="F623" s="42"/>
      <c r="G623" s="42"/>
      <c r="H623" s="44"/>
      <c r="I623" s="50"/>
      <c r="J623" s="44"/>
      <c r="K623" s="44"/>
      <c r="L623" s="44" t="str">
        <f aca="false">CONCATENATE(H623,M623)</f>
        <v/>
      </c>
      <c r="M623" s="45" t="str">
        <f aca="false">IF(OR(ISBLANK(J623),ISBLANK(K623)),IF(OR(H623="ALI",H623="AIE"),"L",IF(ISBLANK(H623),"","A")),IF(H623="EE",IF(K623&gt;=3,IF(J623&gt;=5,"H","A"),IF(K623&gt;=2,IF(J623&gt;=16,"H",IF(J623&lt;=4,"L","A")),IF(J623&lt;=15,"L","A"))),IF(OR(H623="SE",H623="CE"),IF(K623&gt;=4,IF(J623&gt;=6,"H","A"),IF(K623&gt;=2,IF(J623&gt;=20,"H",IF(J623&lt;=5,"L","A")),IF(J623&lt;=19,"L","A"))),IF(OR(H623="ALI",H623="AIE"),IF(K623&gt;=6,IF(J623&gt;=20,"H","A"),IF(K623&gt;=2,IF(J623&gt;=51,"H",IF(J623&lt;=19,"L","A")),IF(J623&lt;=50,"L","A")))))))</f>
        <v/>
      </c>
      <c r="N623" s="46" t="str">
        <f aca="false">IF(M623="L","Baixa",IF(M623="A","Média",IF(M623="","","Alta")))</f>
        <v/>
      </c>
      <c r="O623" s="47" t="str">
        <f aca="false">IF(ISBLANK(H623),"",IF(H623="ALI",IF(M623="L",7,IF(M623="A",10,15)),IF(H623="AIE",IF(M623="L",5,IF(M623="A",7,10)),IF(H623="SE",IF(M623="L",4,IF(M623="A",5,7)),IF(OR(H623="EE",H623="CE"),IF(M623="L",3,IF(M623="A",4,6)))))))</f>
        <v/>
      </c>
      <c r="P623" s="48" t="str">
        <f aca="false">IF(I623="I",O623*Contagem!$W$15,IF(I623="E",O623*Contagem!$W$17,IF(I623="A",O623*Contagem!$W$16,IF(I623="T",O623*Contagem!$W$18,""))))</f>
        <v/>
      </c>
      <c r="Q623" s="49"/>
    </row>
    <row r="624" customFormat="false" ht="12" hidden="false" customHeight="true" outlineLevel="0" collapsed="false">
      <c r="A624" s="40" t="n">
        <f aca="false">IF(H624="",IF(C624="",A623,A623+1),A623)</f>
        <v>62</v>
      </c>
      <c r="B624" s="41" t="str">
        <f aca="false">IF(A624=A623,"",CONCATENATE("F",A624))</f>
        <v/>
      </c>
      <c r="C624" s="42"/>
      <c r="D624" s="42"/>
      <c r="E624" s="42"/>
      <c r="F624" s="42"/>
      <c r="G624" s="42"/>
      <c r="H624" s="44"/>
      <c r="I624" s="50"/>
      <c r="J624" s="44"/>
      <c r="K624" s="44"/>
      <c r="L624" s="44" t="str">
        <f aca="false">CONCATENATE(H624,M624)</f>
        <v/>
      </c>
      <c r="M624" s="45" t="str">
        <f aca="false">IF(OR(ISBLANK(J624),ISBLANK(K624)),IF(OR(H624="ALI",H624="AIE"),"L",IF(ISBLANK(H624),"","A")),IF(H624="EE",IF(K624&gt;=3,IF(J624&gt;=5,"H","A"),IF(K624&gt;=2,IF(J624&gt;=16,"H",IF(J624&lt;=4,"L","A")),IF(J624&lt;=15,"L","A"))),IF(OR(H624="SE",H624="CE"),IF(K624&gt;=4,IF(J624&gt;=6,"H","A"),IF(K624&gt;=2,IF(J624&gt;=20,"H",IF(J624&lt;=5,"L","A")),IF(J624&lt;=19,"L","A"))),IF(OR(H624="ALI",H624="AIE"),IF(K624&gt;=6,IF(J624&gt;=20,"H","A"),IF(K624&gt;=2,IF(J624&gt;=51,"H",IF(J624&lt;=19,"L","A")),IF(J624&lt;=50,"L","A")))))))</f>
        <v/>
      </c>
      <c r="N624" s="46" t="str">
        <f aca="false">IF(M624="L","Baixa",IF(M624="A","Média",IF(M624="","","Alta")))</f>
        <v/>
      </c>
      <c r="O624" s="47" t="str">
        <f aca="false">IF(ISBLANK(H624),"",IF(H624="ALI",IF(M624="L",7,IF(M624="A",10,15)),IF(H624="AIE",IF(M624="L",5,IF(M624="A",7,10)),IF(H624="SE",IF(M624="L",4,IF(M624="A",5,7)),IF(OR(H624="EE",H624="CE"),IF(M624="L",3,IF(M624="A",4,6)))))))</f>
        <v/>
      </c>
      <c r="P624" s="48" t="str">
        <f aca="false">IF(I624="I",O624*Contagem!$W$15,IF(I624="E",O624*Contagem!$W$17,IF(I624="A",O624*Contagem!$W$16,IF(I624="T",O624*Contagem!$W$18,""))))</f>
        <v/>
      </c>
      <c r="Q624" s="49"/>
    </row>
    <row r="625" customFormat="false" ht="12" hidden="false" customHeight="true" outlineLevel="0" collapsed="false">
      <c r="A625" s="40" t="n">
        <f aca="false">IF(H625="",IF(C625="",A624,A624+1),A624)</f>
        <v>62</v>
      </c>
      <c r="B625" s="41" t="str">
        <f aca="false">IF(A625=A624,"",CONCATENATE("F",A625))</f>
        <v/>
      </c>
      <c r="C625" s="42"/>
      <c r="D625" s="42"/>
      <c r="E625" s="42"/>
      <c r="F625" s="42"/>
      <c r="G625" s="42"/>
      <c r="H625" s="44"/>
      <c r="I625" s="50"/>
      <c r="J625" s="44"/>
      <c r="K625" s="44"/>
      <c r="L625" s="44" t="str">
        <f aca="false">CONCATENATE(H625,M625)</f>
        <v/>
      </c>
      <c r="M625" s="45" t="str">
        <f aca="false">IF(OR(ISBLANK(J625),ISBLANK(K625)),IF(OR(H625="ALI",H625="AIE"),"L",IF(ISBLANK(H625),"","A")),IF(H625="EE",IF(K625&gt;=3,IF(J625&gt;=5,"H","A"),IF(K625&gt;=2,IF(J625&gt;=16,"H",IF(J625&lt;=4,"L","A")),IF(J625&lt;=15,"L","A"))),IF(OR(H625="SE",H625="CE"),IF(K625&gt;=4,IF(J625&gt;=6,"H","A"),IF(K625&gt;=2,IF(J625&gt;=20,"H",IF(J625&lt;=5,"L","A")),IF(J625&lt;=19,"L","A"))),IF(OR(H625="ALI",H625="AIE"),IF(K625&gt;=6,IF(J625&gt;=20,"H","A"),IF(K625&gt;=2,IF(J625&gt;=51,"H",IF(J625&lt;=19,"L","A")),IF(J625&lt;=50,"L","A")))))))</f>
        <v/>
      </c>
      <c r="N625" s="46" t="str">
        <f aca="false">IF(M625="L","Baixa",IF(M625="A","Média",IF(M625="","","Alta")))</f>
        <v/>
      </c>
      <c r="O625" s="47" t="str">
        <f aca="false">IF(ISBLANK(H625),"",IF(H625="ALI",IF(M625="L",7,IF(M625="A",10,15)),IF(H625="AIE",IF(M625="L",5,IF(M625="A",7,10)),IF(H625="SE",IF(M625="L",4,IF(M625="A",5,7)),IF(OR(H625="EE",H625="CE"),IF(M625="L",3,IF(M625="A",4,6)))))))</f>
        <v/>
      </c>
      <c r="P625" s="48" t="str">
        <f aca="false">IF(I625="I",O625*Contagem!$W$15,IF(I625="E",O625*Contagem!$W$17,IF(I625="A",O625*Contagem!$W$16,IF(I625="T",O625*Contagem!$W$18,""))))</f>
        <v/>
      </c>
      <c r="Q625" s="49"/>
    </row>
    <row r="626" customFormat="false" ht="12" hidden="false" customHeight="true" outlineLevel="0" collapsed="false">
      <c r="A626" s="40" t="n">
        <f aca="false">IF(H626="",IF(C626="",A625,A625+1),A625)</f>
        <v>62</v>
      </c>
      <c r="B626" s="41" t="str">
        <f aca="false">IF(A626=A625,"",CONCATENATE("F",A626))</f>
        <v/>
      </c>
      <c r="C626" s="42"/>
      <c r="D626" s="42"/>
      <c r="E626" s="42"/>
      <c r="F626" s="42"/>
      <c r="G626" s="42"/>
      <c r="H626" s="44"/>
      <c r="I626" s="50"/>
      <c r="J626" s="44"/>
      <c r="K626" s="44"/>
      <c r="L626" s="44" t="str">
        <f aca="false">CONCATENATE(H626,M626)</f>
        <v/>
      </c>
      <c r="M626" s="45" t="str">
        <f aca="false">IF(OR(ISBLANK(J626),ISBLANK(K626)),IF(OR(H626="ALI",H626="AIE"),"L",IF(ISBLANK(H626),"","A")),IF(H626="EE",IF(K626&gt;=3,IF(J626&gt;=5,"H","A"),IF(K626&gt;=2,IF(J626&gt;=16,"H",IF(J626&lt;=4,"L","A")),IF(J626&lt;=15,"L","A"))),IF(OR(H626="SE",H626="CE"),IF(K626&gt;=4,IF(J626&gt;=6,"H","A"),IF(K626&gt;=2,IF(J626&gt;=20,"H",IF(J626&lt;=5,"L","A")),IF(J626&lt;=19,"L","A"))),IF(OR(H626="ALI",H626="AIE"),IF(K626&gt;=6,IF(J626&gt;=20,"H","A"),IF(K626&gt;=2,IF(J626&gt;=51,"H",IF(J626&lt;=19,"L","A")),IF(J626&lt;=50,"L","A")))))))</f>
        <v/>
      </c>
      <c r="N626" s="46" t="str">
        <f aca="false">IF(M626="L","Baixa",IF(M626="A","Média",IF(M626="","","Alta")))</f>
        <v/>
      </c>
      <c r="O626" s="47" t="str">
        <f aca="false">IF(ISBLANK(H626),"",IF(H626="ALI",IF(M626="L",7,IF(M626="A",10,15)),IF(H626="AIE",IF(M626="L",5,IF(M626="A",7,10)),IF(H626="SE",IF(M626="L",4,IF(M626="A",5,7)),IF(OR(H626="EE",H626="CE"),IF(M626="L",3,IF(M626="A",4,6)))))))</f>
        <v/>
      </c>
      <c r="P626" s="48" t="str">
        <f aca="false">IF(I626="I",O626*Contagem!$W$15,IF(I626="E",O626*Contagem!$W$17,IF(I626="A",O626*Contagem!$W$16,IF(I626="T",O626*Contagem!$W$18,""))))</f>
        <v/>
      </c>
      <c r="Q626" s="49"/>
    </row>
    <row r="627" customFormat="false" ht="12" hidden="false" customHeight="true" outlineLevel="0" collapsed="false">
      <c r="A627" s="40" t="n">
        <f aca="false">IF(H627="",IF(C627="",A626,A626+1),A626)</f>
        <v>62</v>
      </c>
      <c r="B627" s="41" t="str">
        <f aca="false">IF(A627=A626,"",CONCATENATE("F",A627))</f>
        <v/>
      </c>
      <c r="C627" s="42"/>
      <c r="D627" s="42"/>
      <c r="E627" s="42"/>
      <c r="F627" s="42"/>
      <c r="G627" s="42"/>
      <c r="H627" s="44"/>
      <c r="I627" s="50"/>
      <c r="J627" s="44"/>
      <c r="K627" s="44"/>
      <c r="L627" s="44" t="str">
        <f aca="false">CONCATENATE(H627,M627)</f>
        <v/>
      </c>
      <c r="M627" s="45" t="str">
        <f aca="false">IF(OR(ISBLANK(J627),ISBLANK(K627)),IF(OR(H627="ALI",H627="AIE"),"L",IF(ISBLANK(H627),"","A")),IF(H627="EE",IF(K627&gt;=3,IF(J627&gt;=5,"H","A"),IF(K627&gt;=2,IF(J627&gt;=16,"H",IF(J627&lt;=4,"L","A")),IF(J627&lt;=15,"L","A"))),IF(OR(H627="SE",H627="CE"),IF(K627&gt;=4,IF(J627&gt;=6,"H","A"),IF(K627&gt;=2,IF(J627&gt;=20,"H",IF(J627&lt;=5,"L","A")),IF(J627&lt;=19,"L","A"))),IF(OR(H627="ALI",H627="AIE"),IF(K627&gt;=6,IF(J627&gt;=20,"H","A"),IF(K627&gt;=2,IF(J627&gt;=51,"H",IF(J627&lt;=19,"L","A")),IF(J627&lt;=50,"L","A")))))))</f>
        <v/>
      </c>
      <c r="N627" s="46" t="str">
        <f aca="false">IF(M627="L","Baixa",IF(M627="A","Média",IF(M627="","","Alta")))</f>
        <v/>
      </c>
      <c r="O627" s="47" t="str">
        <f aca="false">IF(ISBLANK(H627),"",IF(H627="ALI",IF(M627="L",7,IF(M627="A",10,15)),IF(H627="AIE",IF(M627="L",5,IF(M627="A",7,10)),IF(H627="SE",IF(M627="L",4,IF(M627="A",5,7)),IF(OR(H627="EE",H627="CE"),IF(M627="L",3,IF(M627="A",4,6)))))))</f>
        <v/>
      </c>
      <c r="P627" s="48" t="str">
        <f aca="false">IF(I627="I",O627*Contagem!$W$15,IF(I627="E",O627*Contagem!$W$17,IF(I627="A",O627*Contagem!$W$16,IF(I627="T",O627*Contagem!$W$18,""))))</f>
        <v/>
      </c>
      <c r="Q627" s="49"/>
    </row>
    <row r="628" customFormat="false" ht="12" hidden="false" customHeight="true" outlineLevel="0" collapsed="false">
      <c r="A628" s="40" t="n">
        <f aca="false">IF(H628="",IF(C628="",A627,A627+1),A627)</f>
        <v>62</v>
      </c>
      <c r="B628" s="41" t="str">
        <f aca="false">IF(A628=A627,"",CONCATENATE("F",A628))</f>
        <v/>
      </c>
      <c r="C628" s="42"/>
      <c r="D628" s="42"/>
      <c r="E628" s="42"/>
      <c r="F628" s="42"/>
      <c r="G628" s="42"/>
      <c r="H628" s="44"/>
      <c r="I628" s="50"/>
      <c r="J628" s="44"/>
      <c r="K628" s="44"/>
      <c r="L628" s="44" t="str">
        <f aca="false">CONCATENATE(H628,M628)</f>
        <v/>
      </c>
      <c r="M628" s="45" t="str">
        <f aca="false">IF(OR(ISBLANK(J628),ISBLANK(K628)),IF(OR(H628="ALI",H628="AIE"),"L",IF(ISBLANK(H628),"","A")),IF(H628="EE",IF(K628&gt;=3,IF(J628&gt;=5,"H","A"),IF(K628&gt;=2,IF(J628&gt;=16,"H",IF(J628&lt;=4,"L","A")),IF(J628&lt;=15,"L","A"))),IF(OR(H628="SE",H628="CE"),IF(K628&gt;=4,IF(J628&gt;=6,"H","A"),IF(K628&gt;=2,IF(J628&gt;=20,"H",IF(J628&lt;=5,"L","A")),IF(J628&lt;=19,"L","A"))),IF(OR(H628="ALI",H628="AIE"),IF(K628&gt;=6,IF(J628&gt;=20,"H","A"),IF(K628&gt;=2,IF(J628&gt;=51,"H",IF(J628&lt;=19,"L","A")),IF(J628&lt;=50,"L","A")))))))</f>
        <v/>
      </c>
      <c r="N628" s="46" t="str">
        <f aca="false">IF(M628="L","Baixa",IF(M628="A","Média",IF(M628="","","Alta")))</f>
        <v/>
      </c>
      <c r="O628" s="47" t="str">
        <f aca="false">IF(ISBLANK(H628),"",IF(H628="ALI",IF(M628="L",7,IF(M628="A",10,15)),IF(H628="AIE",IF(M628="L",5,IF(M628="A",7,10)),IF(H628="SE",IF(M628="L",4,IF(M628="A",5,7)),IF(OR(H628="EE",H628="CE"),IF(M628="L",3,IF(M628="A",4,6)))))))</f>
        <v/>
      </c>
      <c r="P628" s="48" t="str">
        <f aca="false">IF(I628="I",O628*Contagem!$W$15,IF(I628="E",O628*Contagem!$W$17,IF(I628="A",O628*Contagem!$W$16,IF(I628="T",O628*Contagem!$W$18,""))))</f>
        <v/>
      </c>
      <c r="Q628" s="49"/>
    </row>
    <row r="629" customFormat="false" ht="12" hidden="false" customHeight="true" outlineLevel="0" collapsed="false">
      <c r="A629" s="40" t="n">
        <f aca="false">IF(H629="",IF(C629="",A628,A628+1),A628)</f>
        <v>62</v>
      </c>
      <c r="B629" s="41" t="str">
        <f aca="false">IF(A629=A628,"",CONCATENATE("F",A629))</f>
        <v/>
      </c>
      <c r="C629" s="42"/>
      <c r="D629" s="42"/>
      <c r="E629" s="42"/>
      <c r="F629" s="42"/>
      <c r="G629" s="42"/>
      <c r="H629" s="44"/>
      <c r="I629" s="50"/>
      <c r="J629" s="44"/>
      <c r="K629" s="44"/>
      <c r="L629" s="44" t="str">
        <f aca="false">CONCATENATE(H629,M629)</f>
        <v/>
      </c>
      <c r="M629" s="45" t="str">
        <f aca="false">IF(OR(ISBLANK(J629),ISBLANK(K629)),IF(OR(H629="ALI",H629="AIE"),"L",IF(ISBLANK(H629),"","A")),IF(H629="EE",IF(K629&gt;=3,IF(J629&gt;=5,"H","A"),IF(K629&gt;=2,IF(J629&gt;=16,"H",IF(J629&lt;=4,"L","A")),IF(J629&lt;=15,"L","A"))),IF(OR(H629="SE",H629="CE"),IF(K629&gt;=4,IF(J629&gt;=6,"H","A"),IF(K629&gt;=2,IF(J629&gt;=20,"H",IF(J629&lt;=5,"L","A")),IF(J629&lt;=19,"L","A"))),IF(OR(H629="ALI",H629="AIE"),IF(K629&gt;=6,IF(J629&gt;=20,"H","A"),IF(K629&gt;=2,IF(J629&gt;=51,"H",IF(J629&lt;=19,"L","A")),IF(J629&lt;=50,"L","A")))))))</f>
        <v/>
      </c>
      <c r="N629" s="46" t="str">
        <f aca="false">IF(M629="L","Baixa",IF(M629="A","Média",IF(M629="","","Alta")))</f>
        <v/>
      </c>
      <c r="O629" s="47" t="str">
        <f aca="false">IF(ISBLANK(H629),"",IF(H629="ALI",IF(M629="L",7,IF(M629="A",10,15)),IF(H629="AIE",IF(M629="L",5,IF(M629="A",7,10)),IF(H629="SE",IF(M629="L",4,IF(M629="A",5,7)),IF(OR(H629="EE",H629="CE"),IF(M629="L",3,IF(M629="A",4,6)))))))</f>
        <v/>
      </c>
      <c r="P629" s="48" t="str">
        <f aca="false">IF(I629="I",O629*Contagem!$W$15,IF(I629="E",O629*Contagem!$W$17,IF(I629="A",O629*Contagem!$W$16,IF(I629="T",O629*Contagem!$W$18,""))))</f>
        <v/>
      </c>
      <c r="Q629" s="49"/>
    </row>
    <row r="630" customFormat="false" ht="12" hidden="false" customHeight="true" outlineLevel="0" collapsed="false">
      <c r="A630" s="40" t="n">
        <f aca="false">IF(H630="",IF(C630="",A629,A629+1),A629)</f>
        <v>62</v>
      </c>
      <c r="B630" s="41" t="str">
        <f aca="false">IF(A630=A629,"",CONCATENATE("F",A630))</f>
        <v/>
      </c>
      <c r="C630" s="42"/>
      <c r="D630" s="42"/>
      <c r="E630" s="42"/>
      <c r="F630" s="42"/>
      <c r="G630" s="42"/>
      <c r="H630" s="44"/>
      <c r="I630" s="50"/>
      <c r="J630" s="44"/>
      <c r="K630" s="44"/>
      <c r="L630" s="44" t="str">
        <f aca="false">CONCATENATE(H630,M630)</f>
        <v/>
      </c>
      <c r="M630" s="45" t="str">
        <f aca="false">IF(OR(ISBLANK(J630),ISBLANK(K630)),IF(OR(H630="ALI",H630="AIE"),"L",IF(ISBLANK(H630),"","A")),IF(H630="EE",IF(K630&gt;=3,IF(J630&gt;=5,"H","A"),IF(K630&gt;=2,IF(J630&gt;=16,"H",IF(J630&lt;=4,"L","A")),IF(J630&lt;=15,"L","A"))),IF(OR(H630="SE",H630="CE"),IF(K630&gt;=4,IF(J630&gt;=6,"H","A"),IF(K630&gt;=2,IF(J630&gt;=20,"H",IF(J630&lt;=5,"L","A")),IF(J630&lt;=19,"L","A"))),IF(OR(H630="ALI",H630="AIE"),IF(K630&gt;=6,IF(J630&gt;=20,"H","A"),IF(K630&gt;=2,IF(J630&gt;=51,"H",IF(J630&lt;=19,"L","A")),IF(J630&lt;=50,"L","A")))))))</f>
        <v/>
      </c>
      <c r="N630" s="46" t="str">
        <f aca="false">IF(M630="L","Baixa",IF(M630="A","Média",IF(M630="","","Alta")))</f>
        <v/>
      </c>
      <c r="O630" s="47" t="str">
        <f aca="false">IF(ISBLANK(H630),"",IF(H630="ALI",IF(M630="L",7,IF(M630="A",10,15)),IF(H630="AIE",IF(M630="L",5,IF(M630="A",7,10)),IF(H630="SE",IF(M630="L",4,IF(M630="A",5,7)),IF(OR(H630="EE",H630="CE"),IF(M630="L",3,IF(M630="A",4,6)))))))</f>
        <v/>
      </c>
      <c r="P630" s="48" t="str">
        <f aca="false">IF(I630="I",O630*Contagem!$W$15,IF(I630="E",O630*Contagem!$W$17,IF(I630="A",O630*Contagem!$W$16,IF(I630="T",O630*Contagem!$W$18,""))))</f>
        <v/>
      </c>
      <c r="Q630" s="49"/>
    </row>
    <row r="631" customFormat="false" ht="12" hidden="false" customHeight="true" outlineLevel="0" collapsed="false">
      <c r="A631" s="40" t="n">
        <f aca="false">IF(H631="",IF(C631="",A630,A630+1),A630)</f>
        <v>62</v>
      </c>
      <c r="B631" s="41" t="str">
        <f aca="false">IF(A631=A630,"",CONCATENATE("F",A631))</f>
        <v/>
      </c>
      <c r="C631" s="42"/>
      <c r="D631" s="42"/>
      <c r="E631" s="42"/>
      <c r="F631" s="42"/>
      <c r="G631" s="42"/>
      <c r="H631" s="44"/>
      <c r="I631" s="50"/>
      <c r="J631" s="44"/>
      <c r="K631" s="44"/>
      <c r="L631" s="44" t="str">
        <f aca="false">CONCATENATE(H631,M631)</f>
        <v/>
      </c>
      <c r="M631" s="45" t="str">
        <f aca="false">IF(OR(ISBLANK(J631),ISBLANK(K631)),IF(OR(H631="ALI",H631="AIE"),"L",IF(ISBLANK(H631),"","A")),IF(H631="EE",IF(K631&gt;=3,IF(J631&gt;=5,"H","A"),IF(K631&gt;=2,IF(J631&gt;=16,"H",IF(J631&lt;=4,"L","A")),IF(J631&lt;=15,"L","A"))),IF(OR(H631="SE",H631="CE"),IF(K631&gt;=4,IF(J631&gt;=6,"H","A"),IF(K631&gt;=2,IF(J631&gt;=20,"H",IF(J631&lt;=5,"L","A")),IF(J631&lt;=19,"L","A"))),IF(OR(H631="ALI",H631="AIE"),IF(K631&gt;=6,IF(J631&gt;=20,"H","A"),IF(K631&gt;=2,IF(J631&gt;=51,"H",IF(J631&lt;=19,"L","A")),IF(J631&lt;=50,"L","A")))))))</f>
        <v/>
      </c>
      <c r="N631" s="46" t="str">
        <f aca="false">IF(M631="L","Baixa",IF(M631="A","Média",IF(M631="","","Alta")))</f>
        <v/>
      </c>
      <c r="O631" s="47" t="str">
        <f aca="false">IF(ISBLANK(H631),"",IF(H631="ALI",IF(M631="L",7,IF(M631="A",10,15)),IF(H631="AIE",IF(M631="L",5,IF(M631="A",7,10)),IF(H631="SE",IF(M631="L",4,IF(M631="A",5,7)),IF(OR(H631="EE",H631="CE"),IF(M631="L",3,IF(M631="A",4,6)))))))</f>
        <v/>
      </c>
      <c r="P631" s="48" t="str">
        <f aca="false">IF(I631="I",O631*Contagem!$W$15,IF(I631="E",O631*Contagem!$W$17,IF(I631="A",O631*Contagem!$W$16,IF(I631="T",O631*Contagem!$W$18,""))))</f>
        <v/>
      </c>
      <c r="Q631" s="49"/>
    </row>
    <row r="632" customFormat="false" ht="12" hidden="false" customHeight="true" outlineLevel="0" collapsed="false">
      <c r="A632" s="40" t="n">
        <f aca="false">IF(H632="",IF(C632="",A631,A631+1),A631)</f>
        <v>62</v>
      </c>
      <c r="B632" s="41" t="str">
        <f aca="false">IF(A632=A631,"",CONCATENATE("F",A632))</f>
        <v/>
      </c>
      <c r="C632" s="42"/>
      <c r="D632" s="42"/>
      <c r="E632" s="42"/>
      <c r="F632" s="42"/>
      <c r="G632" s="42"/>
      <c r="H632" s="44"/>
      <c r="I632" s="50"/>
      <c r="J632" s="44"/>
      <c r="K632" s="44"/>
      <c r="L632" s="44" t="str">
        <f aca="false">CONCATENATE(H632,M632)</f>
        <v/>
      </c>
      <c r="M632" s="45" t="str">
        <f aca="false">IF(OR(ISBLANK(J632),ISBLANK(K632)),IF(OR(H632="ALI",H632="AIE"),"L",IF(ISBLANK(H632),"","A")),IF(H632="EE",IF(K632&gt;=3,IF(J632&gt;=5,"H","A"),IF(K632&gt;=2,IF(J632&gt;=16,"H",IF(J632&lt;=4,"L","A")),IF(J632&lt;=15,"L","A"))),IF(OR(H632="SE",H632="CE"),IF(K632&gt;=4,IF(J632&gt;=6,"H","A"),IF(K632&gt;=2,IF(J632&gt;=20,"H",IF(J632&lt;=5,"L","A")),IF(J632&lt;=19,"L","A"))),IF(OR(H632="ALI",H632="AIE"),IF(K632&gt;=6,IF(J632&gt;=20,"H","A"),IF(K632&gt;=2,IF(J632&gt;=51,"H",IF(J632&lt;=19,"L","A")),IF(J632&lt;=50,"L","A")))))))</f>
        <v/>
      </c>
      <c r="N632" s="46" t="str">
        <f aca="false">IF(M632="L","Baixa",IF(M632="A","Média",IF(M632="","","Alta")))</f>
        <v/>
      </c>
      <c r="O632" s="47" t="str">
        <f aca="false">IF(ISBLANK(H632),"",IF(H632="ALI",IF(M632="L",7,IF(M632="A",10,15)),IF(H632="AIE",IF(M632="L",5,IF(M632="A",7,10)),IF(H632="SE",IF(M632="L",4,IF(M632="A",5,7)),IF(OR(H632="EE",H632="CE"),IF(M632="L",3,IF(M632="A",4,6)))))))</f>
        <v/>
      </c>
      <c r="P632" s="48" t="str">
        <f aca="false">IF(I632="I",O632*Contagem!$W$15,IF(I632="E",O632*Contagem!$W$17,IF(I632="A",O632*Contagem!$W$16,IF(I632="T",O632*Contagem!$W$18,""))))</f>
        <v/>
      </c>
      <c r="Q632" s="49"/>
    </row>
    <row r="633" customFormat="false" ht="12" hidden="false" customHeight="true" outlineLevel="0" collapsed="false">
      <c r="A633" s="40" t="n">
        <f aca="false">IF(H633="",IF(C633="",A632,A632+1),A632)</f>
        <v>62</v>
      </c>
      <c r="B633" s="41" t="str">
        <f aca="false">IF(A633=A632,"",CONCATENATE("F",A633))</f>
        <v/>
      </c>
      <c r="C633" s="42"/>
      <c r="D633" s="42"/>
      <c r="E633" s="42"/>
      <c r="F633" s="42"/>
      <c r="G633" s="42"/>
      <c r="H633" s="44"/>
      <c r="I633" s="50"/>
      <c r="J633" s="44"/>
      <c r="K633" s="44"/>
      <c r="L633" s="44" t="str">
        <f aca="false">CONCATENATE(H633,M633)</f>
        <v/>
      </c>
      <c r="M633" s="45" t="str">
        <f aca="false">IF(OR(ISBLANK(J633),ISBLANK(K633)),IF(OR(H633="ALI",H633="AIE"),"L",IF(ISBLANK(H633),"","A")),IF(H633="EE",IF(K633&gt;=3,IF(J633&gt;=5,"H","A"),IF(K633&gt;=2,IF(J633&gt;=16,"H",IF(J633&lt;=4,"L","A")),IF(J633&lt;=15,"L","A"))),IF(OR(H633="SE",H633="CE"),IF(K633&gt;=4,IF(J633&gt;=6,"H","A"),IF(K633&gt;=2,IF(J633&gt;=20,"H",IF(J633&lt;=5,"L","A")),IF(J633&lt;=19,"L","A"))),IF(OR(H633="ALI",H633="AIE"),IF(K633&gt;=6,IF(J633&gt;=20,"H","A"),IF(K633&gt;=2,IF(J633&gt;=51,"H",IF(J633&lt;=19,"L","A")),IF(J633&lt;=50,"L","A")))))))</f>
        <v/>
      </c>
      <c r="N633" s="46" t="str">
        <f aca="false">IF(M633="L","Baixa",IF(M633="A","Média",IF(M633="","","Alta")))</f>
        <v/>
      </c>
      <c r="O633" s="47" t="str">
        <f aca="false">IF(ISBLANK(H633),"",IF(H633="ALI",IF(M633="L",7,IF(M633="A",10,15)),IF(H633="AIE",IF(M633="L",5,IF(M633="A",7,10)),IF(H633="SE",IF(M633="L",4,IF(M633="A",5,7)),IF(OR(H633="EE",H633="CE"),IF(M633="L",3,IF(M633="A",4,6)))))))</f>
        <v/>
      </c>
      <c r="P633" s="48" t="str">
        <f aca="false">IF(I633="I",O633*Contagem!$W$15,IF(I633="E",O633*Contagem!$W$17,IF(I633="A",O633*Contagem!$W$16,IF(I633="T",O633*Contagem!$W$18,""))))</f>
        <v/>
      </c>
      <c r="Q633" s="49"/>
    </row>
    <row r="634" customFormat="false" ht="12" hidden="false" customHeight="true" outlineLevel="0" collapsed="false">
      <c r="A634" s="40" t="n">
        <f aca="false">IF(H634="",IF(C634="",A633,A633+1),A633)</f>
        <v>62</v>
      </c>
      <c r="B634" s="41" t="str">
        <f aca="false">IF(A634=A633,"",CONCATENATE("F",A634))</f>
        <v/>
      </c>
      <c r="C634" s="42"/>
      <c r="D634" s="42"/>
      <c r="E634" s="42"/>
      <c r="F634" s="42"/>
      <c r="G634" s="42"/>
      <c r="H634" s="44"/>
      <c r="I634" s="50"/>
      <c r="J634" s="44"/>
      <c r="K634" s="44"/>
      <c r="L634" s="44" t="str">
        <f aca="false">CONCATENATE(H634,M634)</f>
        <v/>
      </c>
      <c r="M634" s="45" t="str">
        <f aca="false">IF(OR(ISBLANK(J634),ISBLANK(K634)),IF(OR(H634="ALI",H634="AIE"),"L",IF(ISBLANK(H634),"","A")),IF(H634="EE",IF(K634&gt;=3,IF(J634&gt;=5,"H","A"),IF(K634&gt;=2,IF(J634&gt;=16,"H",IF(J634&lt;=4,"L","A")),IF(J634&lt;=15,"L","A"))),IF(OR(H634="SE",H634="CE"),IF(K634&gt;=4,IF(J634&gt;=6,"H","A"),IF(K634&gt;=2,IF(J634&gt;=20,"H",IF(J634&lt;=5,"L","A")),IF(J634&lt;=19,"L","A"))),IF(OR(H634="ALI",H634="AIE"),IF(K634&gt;=6,IF(J634&gt;=20,"H","A"),IF(K634&gt;=2,IF(J634&gt;=51,"H",IF(J634&lt;=19,"L","A")),IF(J634&lt;=50,"L","A")))))))</f>
        <v/>
      </c>
      <c r="N634" s="46" t="str">
        <f aca="false">IF(M634="L","Baixa",IF(M634="A","Média",IF(M634="","","Alta")))</f>
        <v/>
      </c>
      <c r="O634" s="47" t="str">
        <f aca="false">IF(ISBLANK(H634),"",IF(H634="ALI",IF(M634="L",7,IF(M634="A",10,15)),IF(H634="AIE",IF(M634="L",5,IF(M634="A",7,10)),IF(H634="SE",IF(M634="L",4,IF(M634="A",5,7)),IF(OR(H634="EE",H634="CE"),IF(M634="L",3,IF(M634="A",4,6)))))))</f>
        <v/>
      </c>
      <c r="P634" s="48" t="str">
        <f aca="false">IF(I634="I",O634*Contagem!$W$15,IF(I634="E",O634*Contagem!$W$17,IF(I634="A",O634*Contagem!$W$16,IF(I634="T",O634*Contagem!$W$18,""))))</f>
        <v/>
      </c>
      <c r="Q634" s="49"/>
    </row>
    <row r="635" customFormat="false" ht="12" hidden="false" customHeight="true" outlineLevel="0" collapsed="false">
      <c r="A635" s="40" t="n">
        <f aca="false">IF(H635="",IF(C635="",A634,A634+1),A634)</f>
        <v>62</v>
      </c>
      <c r="B635" s="41" t="str">
        <f aca="false">IF(A635=A634,"",CONCATENATE("F",A635))</f>
        <v/>
      </c>
      <c r="C635" s="42"/>
      <c r="D635" s="42"/>
      <c r="E635" s="42"/>
      <c r="F635" s="42"/>
      <c r="G635" s="42"/>
      <c r="H635" s="44"/>
      <c r="I635" s="50"/>
      <c r="J635" s="44"/>
      <c r="K635" s="44"/>
      <c r="L635" s="44" t="str">
        <f aca="false">CONCATENATE(H635,M635)</f>
        <v/>
      </c>
      <c r="M635" s="45" t="str">
        <f aca="false">IF(OR(ISBLANK(J635),ISBLANK(K635)),IF(OR(H635="ALI",H635="AIE"),"L",IF(ISBLANK(H635),"","A")),IF(H635="EE",IF(K635&gt;=3,IF(J635&gt;=5,"H","A"),IF(K635&gt;=2,IF(J635&gt;=16,"H",IF(J635&lt;=4,"L","A")),IF(J635&lt;=15,"L","A"))),IF(OR(H635="SE",H635="CE"),IF(K635&gt;=4,IF(J635&gt;=6,"H","A"),IF(K635&gt;=2,IF(J635&gt;=20,"H",IF(J635&lt;=5,"L","A")),IF(J635&lt;=19,"L","A"))),IF(OR(H635="ALI",H635="AIE"),IF(K635&gt;=6,IF(J635&gt;=20,"H","A"),IF(K635&gt;=2,IF(J635&gt;=51,"H",IF(J635&lt;=19,"L","A")),IF(J635&lt;=50,"L","A")))))))</f>
        <v/>
      </c>
      <c r="N635" s="46" t="str">
        <f aca="false">IF(M635="L","Baixa",IF(M635="A","Média",IF(M635="","","Alta")))</f>
        <v/>
      </c>
      <c r="O635" s="47" t="str">
        <f aca="false">IF(ISBLANK(H635),"",IF(H635="ALI",IF(M635="L",7,IF(M635="A",10,15)),IF(H635="AIE",IF(M635="L",5,IF(M635="A",7,10)),IF(H635="SE",IF(M635="L",4,IF(M635="A",5,7)),IF(OR(H635="EE",H635="CE"),IF(M635="L",3,IF(M635="A",4,6)))))))</f>
        <v/>
      </c>
      <c r="P635" s="48" t="str">
        <f aca="false">IF(I635="I",O635*Contagem!$W$15,IF(I635="E",O635*Contagem!$W$17,IF(I635="A",O635*Contagem!$W$16,IF(I635="T",O635*Contagem!$W$18,""))))</f>
        <v/>
      </c>
      <c r="Q635" s="49"/>
    </row>
    <row r="636" customFormat="false" ht="12" hidden="false" customHeight="true" outlineLevel="0" collapsed="false">
      <c r="A636" s="40" t="n">
        <f aca="false">IF(H636="",IF(C636="",A635,A635+1),A635)</f>
        <v>62</v>
      </c>
      <c r="B636" s="41" t="str">
        <f aca="false">IF(A636=A635,"",CONCATENATE("F",A636))</f>
        <v/>
      </c>
      <c r="C636" s="42"/>
      <c r="D636" s="42"/>
      <c r="E636" s="42"/>
      <c r="F636" s="42"/>
      <c r="G636" s="42"/>
      <c r="H636" s="44"/>
      <c r="I636" s="50"/>
      <c r="J636" s="44"/>
      <c r="K636" s="44"/>
      <c r="L636" s="44" t="str">
        <f aca="false">CONCATENATE(H636,M636)</f>
        <v/>
      </c>
      <c r="M636" s="45" t="str">
        <f aca="false">IF(OR(ISBLANK(J636),ISBLANK(K636)),IF(OR(H636="ALI",H636="AIE"),"L",IF(ISBLANK(H636),"","A")),IF(H636="EE",IF(K636&gt;=3,IF(J636&gt;=5,"H","A"),IF(K636&gt;=2,IF(J636&gt;=16,"H",IF(J636&lt;=4,"L","A")),IF(J636&lt;=15,"L","A"))),IF(OR(H636="SE",H636="CE"),IF(K636&gt;=4,IF(J636&gt;=6,"H","A"),IF(K636&gt;=2,IF(J636&gt;=20,"H",IF(J636&lt;=5,"L","A")),IF(J636&lt;=19,"L","A"))),IF(OR(H636="ALI",H636="AIE"),IF(K636&gt;=6,IF(J636&gt;=20,"H","A"),IF(K636&gt;=2,IF(J636&gt;=51,"H",IF(J636&lt;=19,"L","A")),IF(J636&lt;=50,"L","A")))))))</f>
        <v/>
      </c>
      <c r="N636" s="46" t="str">
        <f aca="false">IF(M636="L","Baixa",IF(M636="A","Média",IF(M636="","","Alta")))</f>
        <v/>
      </c>
      <c r="O636" s="47" t="str">
        <f aca="false">IF(ISBLANK(H636),"",IF(H636="ALI",IF(M636="L",7,IF(M636="A",10,15)),IF(H636="AIE",IF(M636="L",5,IF(M636="A",7,10)),IF(H636="SE",IF(M636="L",4,IF(M636="A",5,7)),IF(OR(H636="EE",H636="CE"),IF(M636="L",3,IF(M636="A",4,6)))))))</f>
        <v/>
      </c>
      <c r="P636" s="48" t="str">
        <f aca="false">IF(I636="I",O636*Contagem!$W$15,IF(I636="E",O636*Contagem!$W$17,IF(I636="A",O636*Contagem!$W$16,IF(I636="T",O636*Contagem!$W$18,""))))</f>
        <v/>
      </c>
      <c r="Q636" s="49"/>
    </row>
    <row r="637" customFormat="false" ht="12" hidden="false" customHeight="true" outlineLevel="0" collapsed="false">
      <c r="A637" s="40" t="n">
        <f aca="false">IF(H637="",IF(C637="",A636,A636+1),A636)</f>
        <v>62</v>
      </c>
      <c r="B637" s="41" t="str">
        <f aca="false">IF(A637=A636,"",CONCATENATE("F",A637))</f>
        <v/>
      </c>
      <c r="C637" s="42"/>
      <c r="D637" s="42"/>
      <c r="E637" s="42"/>
      <c r="F637" s="42"/>
      <c r="G637" s="42"/>
      <c r="H637" s="44"/>
      <c r="I637" s="50"/>
      <c r="J637" s="44"/>
      <c r="K637" s="44"/>
      <c r="L637" s="44" t="str">
        <f aca="false">CONCATENATE(H637,M637)</f>
        <v/>
      </c>
      <c r="M637" s="45" t="str">
        <f aca="false">IF(OR(ISBLANK(J637),ISBLANK(K637)),IF(OR(H637="ALI",H637="AIE"),"L",IF(ISBLANK(H637),"","A")),IF(H637="EE",IF(K637&gt;=3,IF(J637&gt;=5,"H","A"),IF(K637&gt;=2,IF(J637&gt;=16,"H",IF(J637&lt;=4,"L","A")),IF(J637&lt;=15,"L","A"))),IF(OR(H637="SE",H637="CE"),IF(K637&gt;=4,IF(J637&gt;=6,"H","A"),IF(K637&gt;=2,IF(J637&gt;=20,"H",IF(J637&lt;=5,"L","A")),IF(J637&lt;=19,"L","A"))),IF(OR(H637="ALI",H637="AIE"),IF(K637&gt;=6,IF(J637&gt;=20,"H","A"),IF(K637&gt;=2,IF(J637&gt;=51,"H",IF(J637&lt;=19,"L","A")),IF(J637&lt;=50,"L","A")))))))</f>
        <v/>
      </c>
      <c r="N637" s="46" t="str">
        <f aca="false">IF(M637="L","Baixa",IF(M637="A","Média",IF(M637="","","Alta")))</f>
        <v/>
      </c>
      <c r="O637" s="47" t="str">
        <f aca="false">IF(ISBLANK(H637),"",IF(H637="ALI",IF(M637="L",7,IF(M637="A",10,15)),IF(H637="AIE",IF(M637="L",5,IF(M637="A",7,10)),IF(H637="SE",IF(M637="L",4,IF(M637="A",5,7)),IF(OR(H637="EE",H637="CE"),IF(M637="L",3,IF(M637="A",4,6)))))))</f>
        <v/>
      </c>
      <c r="P637" s="48" t="str">
        <f aca="false">IF(I637="I",O637*Contagem!$W$15,IF(I637="E",O637*Contagem!$W$17,IF(I637="A",O637*Contagem!$W$16,IF(I637="T",O637*Contagem!$W$18,""))))</f>
        <v/>
      </c>
      <c r="Q637" s="49"/>
    </row>
    <row r="638" customFormat="false" ht="12" hidden="false" customHeight="true" outlineLevel="0" collapsed="false">
      <c r="A638" s="40" t="n">
        <f aca="false">IF(H638="",IF(C638="",A637,A637+1),A637)</f>
        <v>62</v>
      </c>
      <c r="B638" s="41" t="str">
        <f aca="false">IF(A638=A637,"",CONCATENATE("F",A638))</f>
        <v/>
      </c>
      <c r="C638" s="42"/>
      <c r="D638" s="42"/>
      <c r="E638" s="42"/>
      <c r="F638" s="42"/>
      <c r="G638" s="42"/>
      <c r="H638" s="44"/>
      <c r="I638" s="50"/>
      <c r="J638" s="44"/>
      <c r="K638" s="44"/>
      <c r="L638" s="44" t="str">
        <f aca="false">CONCATENATE(H638,M638)</f>
        <v/>
      </c>
      <c r="M638" s="45" t="str">
        <f aca="false">IF(OR(ISBLANK(J638),ISBLANK(K638)),IF(OR(H638="ALI",H638="AIE"),"L",IF(ISBLANK(H638),"","A")),IF(H638="EE",IF(K638&gt;=3,IF(J638&gt;=5,"H","A"),IF(K638&gt;=2,IF(J638&gt;=16,"H",IF(J638&lt;=4,"L","A")),IF(J638&lt;=15,"L","A"))),IF(OR(H638="SE",H638="CE"),IF(K638&gt;=4,IF(J638&gt;=6,"H","A"),IF(K638&gt;=2,IF(J638&gt;=20,"H",IF(J638&lt;=5,"L","A")),IF(J638&lt;=19,"L","A"))),IF(OR(H638="ALI",H638="AIE"),IF(K638&gt;=6,IF(J638&gt;=20,"H","A"),IF(K638&gt;=2,IF(J638&gt;=51,"H",IF(J638&lt;=19,"L","A")),IF(J638&lt;=50,"L","A")))))))</f>
        <v/>
      </c>
      <c r="N638" s="46" t="str">
        <f aca="false">IF(M638="L","Baixa",IF(M638="A","Média",IF(M638="","","Alta")))</f>
        <v/>
      </c>
      <c r="O638" s="47" t="str">
        <f aca="false">IF(ISBLANK(H638),"",IF(H638="ALI",IF(M638="L",7,IF(M638="A",10,15)),IF(H638="AIE",IF(M638="L",5,IF(M638="A",7,10)),IF(H638="SE",IF(M638="L",4,IF(M638="A",5,7)),IF(OR(H638="EE",H638="CE"),IF(M638="L",3,IF(M638="A",4,6)))))))</f>
        <v/>
      </c>
      <c r="P638" s="48" t="str">
        <f aca="false">IF(I638="I",O638*Contagem!$W$15,IF(I638="E",O638*Contagem!$W$17,IF(I638="A",O638*Contagem!$W$16,IF(I638="T",O638*Contagem!$W$18,""))))</f>
        <v/>
      </c>
      <c r="Q638" s="49"/>
    </row>
    <row r="639" customFormat="false" ht="12" hidden="false" customHeight="true" outlineLevel="0" collapsed="false">
      <c r="A639" s="40" t="n">
        <f aca="false">IF(H639="",IF(C639="",A638,A638+1),A638)</f>
        <v>62</v>
      </c>
      <c r="B639" s="41" t="str">
        <f aca="false">IF(A639=A638,"",CONCATENATE("F",A639))</f>
        <v/>
      </c>
      <c r="C639" s="42"/>
      <c r="D639" s="42"/>
      <c r="E639" s="42"/>
      <c r="F639" s="42"/>
      <c r="G639" s="42"/>
      <c r="H639" s="44"/>
      <c r="I639" s="50"/>
      <c r="J639" s="44"/>
      <c r="K639" s="44"/>
      <c r="L639" s="44" t="str">
        <f aca="false">CONCATENATE(H639,M639)</f>
        <v/>
      </c>
      <c r="M639" s="45" t="str">
        <f aca="false">IF(OR(ISBLANK(J639),ISBLANK(K639)),IF(OR(H639="ALI",H639="AIE"),"L",IF(ISBLANK(H639),"","A")),IF(H639="EE",IF(K639&gt;=3,IF(J639&gt;=5,"H","A"),IF(K639&gt;=2,IF(J639&gt;=16,"H",IF(J639&lt;=4,"L","A")),IF(J639&lt;=15,"L","A"))),IF(OR(H639="SE",H639="CE"),IF(K639&gt;=4,IF(J639&gt;=6,"H","A"),IF(K639&gt;=2,IF(J639&gt;=20,"H",IF(J639&lt;=5,"L","A")),IF(J639&lt;=19,"L","A"))),IF(OR(H639="ALI",H639="AIE"),IF(K639&gt;=6,IF(J639&gt;=20,"H","A"),IF(K639&gt;=2,IF(J639&gt;=51,"H",IF(J639&lt;=19,"L","A")),IF(J639&lt;=50,"L","A")))))))</f>
        <v/>
      </c>
      <c r="N639" s="46" t="str">
        <f aca="false">IF(M639="L","Baixa",IF(M639="A","Média",IF(M639="","","Alta")))</f>
        <v/>
      </c>
      <c r="O639" s="47" t="str">
        <f aca="false">IF(ISBLANK(H639),"",IF(H639="ALI",IF(M639="L",7,IF(M639="A",10,15)),IF(H639="AIE",IF(M639="L",5,IF(M639="A",7,10)),IF(H639="SE",IF(M639="L",4,IF(M639="A",5,7)),IF(OR(H639="EE",H639="CE"),IF(M639="L",3,IF(M639="A",4,6)))))))</f>
        <v/>
      </c>
      <c r="P639" s="48" t="str">
        <f aca="false">IF(I639="I",O639*Contagem!$W$15,IF(I639="E",O639*Contagem!$W$17,IF(I639="A",O639*Contagem!$W$16,IF(I639="T",O639*Contagem!$W$18,""))))</f>
        <v/>
      </c>
      <c r="Q639" s="49"/>
    </row>
    <row r="640" customFormat="false" ht="12" hidden="false" customHeight="true" outlineLevel="0" collapsed="false">
      <c r="A640" s="40" t="n">
        <f aca="false">IF(H640="",IF(C640="",A639,A639+1),A639)</f>
        <v>62</v>
      </c>
      <c r="B640" s="41" t="str">
        <f aca="false">IF(A640=A639,"",CONCATENATE("F",A640))</f>
        <v/>
      </c>
      <c r="C640" s="42"/>
      <c r="D640" s="42"/>
      <c r="E640" s="42"/>
      <c r="F640" s="42"/>
      <c r="G640" s="42"/>
      <c r="H640" s="44"/>
      <c r="I640" s="50"/>
      <c r="J640" s="44"/>
      <c r="K640" s="44"/>
      <c r="L640" s="44" t="str">
        <f aca="false">CONCATENATE(H640,M640)</f>
        <v/>
      </c>
      <c r="M640" s="45" t="str">
        <f aca="false">IF(OR(ISBLANK(J640),ISBLANK(K640)),IF(OR(H640="ALI",H640="AIE"),"L",IF(ISBLANK(H640),"","A")),IF(H640="EE",IF(K640&gt;=3,IF(J640&gt;=5,"H","A"),IF(K640&gt;=2,IF(J640&gt;=16,"H",IF(J640&lt;=4,"L","A")),IF(J640&lt;=15,"L","A"))),IF(OR(H640="SE",H640="CE"),IF(K640&gt;=4,IF(J640&gt;=6,"H","A"),IF(K640&gt;=2,IF(J640&gt;=20,"H",IF(J640&lt;=5,"L","A")),IF(J640&lt;=19,"L","A"))),IF(OR(H640="ALI",H640="AIE"),IF(K640&gt;=6,IF(J640&gt;=20,"H","A"),IF(K640&gt;=2,IF(J640&gt;=51,"H",IF(J640&lt;=19,"L","A")),IF(J640&lt;=50,"L","A")))))))</f>
        <v/>
      </c>
      <c r="N640" s="46" t="str">
        <f aca="false">IF(M640="L","Baixa",IF(M640="A","Média",IF(M640="","","Alta")))</f>
        <v/>
      </c>
      <c r="O640" s="47" t="str">
        <f aca="false">IF(ISBLANK(H640),"",IF(H640="ALI",IF(M640="L",7,IF(M640="A",10,15)),IF(H640="AIE",IF(M640="L",5,IF(M640="A",7,10)),IF(H640="SE",IF(M640="L",4,IF(M640="A",5,7)),IF(OR(H640="EE",H640="CE"),IF(M640="L",3,IF(M640="A",4,6)))))))</f>
        <v/>
      </c>
      <c r="P640" s="48" t="str">
        <f aca="false">IF(I640="I",O640*Contagem!$W$15,IF(I640="E",O640*Contagem!$W$17,IF(I640="A",O640*Contagem!$W$16,IF(I640="T",O640*Contagem!$W$18,""))))</f>
        <v/>
      </c>
      <c r="Q640" s="49"/>
    </row>
    <row r="641" customFormat="false" ht="12" hidden="false" customHeight="true" outlineLevel="0" collapsed="false">
      <c r="A641" s="40" t="n">
        <f aca="false">IF(H641="",IF(C641="",A640,A640+1),A640)</f>
        <v>62</v>
      </c>
      <c r="B641" s="41" t="str">
        <f aca="false">IF(A641=A640,"",CONCATENATE("F",A641))</f>
        <v/>
      </c>
      <c r="C641" s="42"/>
      <c r="D641" s="42"/>
      <c r="E641" s="42"/>
      <c r="F641" s="42"/>
      <c r="G641" s="42"/>
      <c r="H641" s="44"/>
      <c r="I641" s="50"/>
      <c r="J641" s="44"/>
      <c r="K641" s="44"/>
      <c r="L641" s="44" t="str">
        <f aca="false">CONCATENATE(H641,M641)</f>
        <v/>
      </c>
      <c r="M641" s="45" t="str">
        <f aca="false">IF(OR(ISBLANK(J641),ISBLANK(K641)),IF(OR(H641="ALI",H641="AIE"),"L",IF(ISBLANK(H641),"","A")),IF(H641="EE",IF(K641&gt;=3,IF(J641&gt;=5,"H","A"),IF(K641&gt;=2,IF(J641&gt;=16,"H",IF(J641&lt;=4,"L","A")),IF(J641&lt;=15,"L","A"))),IF(OR(H641="SE",H641="CE"),IF(K641&gt;=4,IF(J641&gt;=6,"H","A"),IF(K641&gt;=2,IF(J641&gt;=20,"H",IF(J641&lt;=5,"L","A")),IF(J641&lt;=19,"L","A"))),IF(OR(H641="ALI",H641="AIE"),IF(K641&gt;=6,IF(J641&gt;=20,"H","A"),IF(K641&gt;=2,IF(J641&gt;=51,"H",IF(J641&lt;=19,"L","A")),IF(J641&lt;=50,"L","A")))))))</f>
        <v/>
      </c>
      <c r="N641" s="46" t="str">
        <f aca="false">IF(M641="L","Baixa",IF(M641="A","Média",IF(M641="","","Alta")))</f>
        <v/>
      </c>
      <c r="O641" s="47" t="str">
        <f aca="false">IF(ISBLANK(H641),"",IF(H641="ALI",IF(M641="L",7,IF(M641="A",10,15)),IF(H641="AIE",IF(M641="L",5,IF(M641="A",7,10)),IF(H641="SE",IF(M641="L",4,IF(M641="A",5,7)),IF(OR(H641="EE",H641="CE"),IF(M641="L",3,IF(M641="A",4,6)))))))</f>
        <v/>
      </c>
      <c r="P641" s="48" t="str">
        <f aca="false">IF(I641="I",O641*Contagem!$W$15,IF(I641="E",O641*Contagem!$W$17,IF(I641="A",O641*Contagem!$W$16,IF(I641="T",O641*Contagem!$W$18,""))))</f>
        <v/>
      </c>
      <c r="Q641" s="49"/>
    </row>
    <row r="642" customFormat="false" ht="12" hidden="false" customHeight="true" outlineLevel="0" collapsed="false">
      <c r="A642" s="40" t="n">
        <f aca="false">IF(H642="",IF(C642="",A641,A641+1),A641)</f>
        <v>62</v>
      </c>
      <c r="B642" s="41" t="str">
        <f aca="false">IF(A642=A641,"",CONCATENATE("F",A642))</f>
        <v/>
      </c>
      <c r="C642" s="42"/>
      <c r="D642" s="42"/>
      <c r="E642" s="42"/>
      <c r="F642" s="42"/>
      <c r="G642" s="42"/>
      <c r="H642" s="44"/>
      <c r="I642" s="50"/>
      <c r="J642" s="44"/>
      <c r="K642" s="44"/>
      <c r="L642" s="44" t="str">
        <f aca="false">CONCATENATE(H642,M642)</f>
        <v/>
      </c>
      <c r="M642" s="45" t="str">
        <f aca="false">IF(OR(ISBLANK(J642),ISBLANK(K642)),IF(OR(H642="ALI",H642="AIE"),"L",IF(ISBLANK(H642),"","A")),IF(H642="EE",IF(K642&gt;=3,IF(J642&gt;=5,"H","A"),IF(K642&gt;=2,IF(J642&gt;=16,"H",IF(J642&lt;=4,"L","A")),IF(J642&lt;=15,"L","A"))),IF(OR(H642="SE",H642="CE"),IF(K642&gt;=4,IF(J642&gt;=6,"H","A"),IF(K642&gt;=2,IF(J642&gt;=20,"H",IF(J642&lt;=5,"L","A")),IF(J642&lt;=19,"L","A"))),IF(OR(H642="ALI",H642="AIE"),IF(K642&gt;=6,IF(J642&gt;=20,"H","A"),IF(K642&gt;=2,IF(J642&gt;=51,"H",IF(J642&lt;=19,"L","A")),IF(J642&lt;=50,"L","A")))))))</f>
        <v/>
      </c>
      <c r="N642" s="46" t="str">
        <f aca="false">IF(M642="L","Baixa",IF(M642="A","Média",IF(M642="","","Alta")))</f>
        <v/>
      </c>
      <c r="O642" s="47" t="str">
        <f aca="false">IF(ISBLANK(H642),"",IF(H642="ALI",IF(M642="L",7,IF(M642="A",10,15)),IF(H642="AIE",IF(M642="L",5,IF(M642="A",7,10)),IF(H642="SE",IF(M642="L",4,IF(M642="A",5,7)),IF(OR(H642="EE",H642="CE"),IF(M642="L",3,IF(M642="A",4,6)))))))</f>
        <v/>
      </c>
      <c r="P642" s="48" t="str">
        <f aca="false">IF(I642="I",O642*Contagem!$W$15,IF(I642="E",O642*Contagem!$W$17,IF(I642="A",O642*Contagem!$W$16,IF(I642="T",O642*Contagem!$W$18,""))))</f>
        <v/>
      </c>
      <c r="Q642" s="49"/>
    </row>
    <row r="643" customFormat="false" ht="12" hidden="false" customHeight="true" outlineLevel="0" collapsed="false">
      <c r="A643" s="40" t="n">
        <f aca="false">IF(H643="",IF(C643="",A642,A642+1),A642)</f>
        <v>62</v>
      </c>
      <c r="B643" s="41" t="str">
        <f aca="false">IF(A643=A642,"",CONCATENATE("F",A643))</f>
        <v/>
      </c>
      <c r="C643" s="42"/>
      <c r="D643" s="42"/>
      <c r="E643" s="42"/>
      <c r="F643" s="42"/>
      <c r="G643" s="42"/>
      <c r="H643" s="44"/>
      <c r="I643" s="50"/>
      <c r="J643" s="44"/>
      <c r="K643" s="44"/>
      <c r="L643" s="44" t="str">
        <f aca="false">CONCATENATE(H643,M643)</f>
        <v/>
      </c>
      <c r="M643" s="45" t="str">
        <f aca="false">IF(OR(ISBLANK(J643),ISBLANK(K643)),IF(OR(H643="ALI",H643="AIE"),"L",IF(ISBLANK(H643),"","A")),IF(H643="EE",IF(K643&gt;=3,IF(J643&gt;=5,"H","A"),IF(K643&gt;=2,IF(J643&gt;=16,"H",IF(J643&lt;=4,"L","A")),IF(J643&lt;=15,"L","A"))),IF(OR(H643="SE",H643="CE"),IF(K643&gt;=4,IF(J643&gt;=6,"H","A"),IF(K643&gt;=2,IF(J643&gt;=20,"H",IF(J643&lt;=5,"L","A")),IF(J643&lt;=19,"L","A"))),IF(OR(H643="ALI",H643="AIE"),IF(K643&gt;=6,IF(J643&gt;=20,"H","A"),IF(K643&gt;=2,IF(J643&gt;=51,"H",IF(J643&lt;=19,"L","A")),IF(J643&lt;=50,"L","A")))))))</f>
        <v/>
      </c>
      <c r="N643" s="46" t="str">
        <f aca="false">IF(M643="L","Baixa",IF(M643="A","Média",IF(M643="","","Alta")))</f>
        <v/>
      </c>
      <c r="O643" s="47" t="str">
        <f aca="false">IF(ISBLANK(H643),"",IF(H643="ALI",IF(M643="L",7,IF(M643="A",10,15)),IF(H643="AIE",IF(M643="L",5,IF(M643="A",7,10)),IF(H643="SE",IF(M643="L",4,IF(M643="A",5,7)),IF(OR(H643="EE",H643="CE"),IF(M643="L",3,IF(M643="A",4,6)))))))</f>
        <v/>
      </c>
      <c r="P643" s="48" t="str">
        <f aca="false">IF(I643="I",O643*Contagem!$W$15,IF(I643="E",O643*Contagem!$W$17,IF(I643="A",O643*Contagem!$W$16,IF(I643="T",O643*Contagem!$W$18,""))))</f>
        <v/>
      </c>
      <c r="Q643" s="49"/>
    </row>
    <row r="644" customFormat="false" ht="12" hidden="false" customHeight="true" outlineLevel="0" collapsed="false">
      <c r="A644" s="40" t="n">
        <f aca="false">IF(H644="",IF(C644="",A643,A643+1),A643)</f>
        <v>62</v>
      </c>
      <c r="B644" s="41" t="str">
        <f aca="false">IF(A644=A643,"",CONCATENATE("F",A644))</f>
        <v/>
      </c>
      <c r="C644" s="42"/>
      <c r="D644" s="42"/>
      <c r="E644" s="42"/>
      <c r="F644" s="42"/>
      <c r="G644" s="42"/>
      <c r="H644" s="44"/>
      <c r="I644" s="50"/>
      <c r="J644" s="44"/>
      <c r="K644" s="44"/>
      <c r="L644" s="44" t="str">
        <f aca="false">CONCATENATE(H644,M644)</f>
        <v/>
      </c>
      <c r="M644" s="45" t="str">
        <f aca="false">IF(OR(ISBLANK(J644),ISBLANK(K644)),IF(OR(H644="ALI",H644="AIE"),"L",IF(ISBLANK(H644),"","A")),IF(H644="EE",IF(K644&gt;=3,IF(J644&gt;=5,"H","A"),IF(K644&gt;=2,IF(J644&gt;=16,"H",IF(J644&lt;=4,"L","A")),IF(J644&lt;=15,"L","A"))),IF(OR(H644="SE",H644="CE"),IF(K644&gt;=4,IF(J644&gt;=6,"H","A"),IF(K644&gt;=2,IF(J644&gt;=20,"H",IF(J644&lt;=5,"L","A")),IF(J644&lt;=19,"L","A"))),IF(OR(H644="ALI",H644="AIE"),IF(K644&gt;=6,IF(J644&gt;=20,"H","A"),IF(K644&gt;=2,IF(J644&gt;=51,"H",IF(J644&lt;=19,"L","A")),IF(J644&lt;=50,"L","A")))))))</f>
        <v/>
      </c>
      <c r="N644" s="46" t="str">
        <f aca="false">IF(M644="L","Baixa",IF(M644="A","Média",IF(M644="","","Alta")))</f>
        <v/>
      </c>
      <c r="O644" s="47" t="str">
        <f aca="false">IF(ISBLANK(H644),"",IF(H644="ALI",IF(M644="L",7,IF(M644="A",10,15)),IF(H644="AIE",IF(M644="L",5,IF(M644="A",7,10)),IF(H644="SE",IF(M644="L",4,IF(M644="A",5,7)),IF(OR(H644="EE",H644="CE"),IF(M644="L",3,IF(M644="A",4,6)))))))</f>
        <v/>
      </c>
      <c r="P644" s="48" t="str">
        <f aca="false">IF(I644="I",O644*Contagem!$W$15,IF(I644="E",O644*Contagem!$W$17,IF(I644="A",O644*Contagem!$W$16,IF(I644="T",O644*Contagem!$W$18,""))))</f>
        <v/>
      </c>
      <c r="Q644" s="49"/>
    </row>
    <row r="645" customFormat="false" ht="12" hidden="false" customHeight="true" outlineLevel="0" collapsed="false">
      <c r="A645" s="40" t="n">
        <f aca="false">IF(H645="",IF(C645="",A644,A644+1),A644)</f>
        <v>62</v>
      </c>
      <c r="B645" s="41" t="str">
        <f aca="false">IF(A645=A644,"",CONCATENATE("F",A645))</f>
        <v/>
      </c>
      <c r="C645" s="42"/>
      <c r="D645" s="42"/>
      <c r="E645" s="42"/>
      <c r="F645" s="42"/>
      <c r="G645" s="42"/>
      <c r="H645" s="44"/>
      <c r="I645" s="50"/>
      <c r="J645" s="44"/>
      <c r="K645" s="44"/>
      <c r="L645" s="44" t="str">
        <f aca="false">CONCATENATE(H645,M645)</f>
        <v/>
      </c>
      <c r="M645" s="45" t="str">
        <f aca="false">IF(OR(ISBLANK(J645),ISBLANK(K645)),IF(OR(H645="ALI",H645="AIE"),"L",IF(ISBLANK(H645),"","A")),IF(H645="EE",IF(K645&gt;=3,IF(J645&gt;=5,"H","A"),IF(K645&gt;=2,IF(J645&gt;=16,"H",IF(J645&lt;=4,"L","A")),IF(J645&lt;=15,"L","A"))),IF(OR(H645="SE",H645="CE"),IF(K645&gt;=4,IF(J645&gt;=6,"H","A"),IF(K645&gt;=2,IF(J645&gt;=20,"H",IF(J645&lt;=5,"L","A")),IF(J645&lt;=19,"L","A"))),IF(OR(H645="ALI",H645="AIE"),IF(K645&gt;=6,IF(J645&gt;=20,"H","A"),IF(K645&gt;=2,IF(J645&gt;=51,"H",IF(J645&lt;=19,"L","A")),IF(J645&lt;=50,"L","A")))))))</f>
        <v/>
      </c>
      <c r="N645" s="46" t="str">
        <f aca="false">IF(M645="L","Baixa",IF(M645="A","Média",IF(M645="","","Alta")))</f>
        <v/>
      </c>
      <c r="O645" s="47" t="str">
        <f aca="false">IF(ISBLANK(H645),"",IF(H645="ALI",IF(M645="L",7,IF(M645="A",10,15)),IF(H645="AIE",IF(M645="L",5,IF(M645="A",7,10)),IF(H645="SE",IF(M645="L",4,IF(M645="A",5,7)),IF(OR(H645="EE",H645="CE"),IF(M645="L",3,IF(M645="A",4,6)))))))</f>
        <v/>
      </c>
      <c r="P645" s="48" t="str">
        <f aca="false">IF(I645="I",O645*Contagem!$W$15,IF(I645="E",O645*Contagem!$W$17,IF(I645="A",O645*Contagem!$W$16,IF(I645="T",O645*Contagem!$W$18,""))))</f>
        <v/>
      </c>
      <c r="Q645" s="49"/>
    </row>
    <row r="646" customFormat="false" ht="12" hidden="false" customHeight="true" outlineLevel="0" collapsed="false">
      <c r="A646" s="40" t="n">
        <f aca="false">IF(H646="",IF(C646="",A645,A645+1),A645)</f>
        <v>62</v>
      </c>
      <c r="B646" s="41" t="str">
        <f aca="false">IF(A646=A645,"",CONCATENATE("F",A646))</f>
        <v/>
      </c>
      <c r="C646" s="42"/>
      <c r="D646" s="42"/>
      <c r="E646" s="42"/>
      <c r="F646" s="42"/>
      <c r="G646" s="42"/>
      <c r="H646" s="44"/>
      <c r="I646" s="50"/>
      <c r="J646" s="44"/>
      <c r="K646" s="44"/>
      <c r="L646" s="44" t="str">
        <f aca="false">CONCATENATE(H646,M646)</f>
        <v/>
      </c>
      <c r="M646" s="45" t="str">
        <f aca="false">IF(OR(ISBLANK(J646),ISBLANK(K646)),IF(OR(H646="ALI",H646="AIE"),"L",IF(ISBLANK(H646),"","A")),IF(H646="EE",IF(K646&gt;=3,IF(J646&gt;=5,"H","A"),IF(K646&gt;=2,IF(J646&gt;=16,"H",IF(J646&lt;=4,"L","A")),IF(J646&lt;=15,"L","A"))),IF(OR(H646="SE",H646="CE"),IF(K646&gt;=4,IF(J646&gt;=6,"H","A"),IF(K646&gt;=2,IF(J646&gt;=20,"H",IF(J646&lt;=5,"L","A")),IF(J646&lt;=19,"L","A"))),IF(OR(H646="ALI",H646="AIE"),IF(K646&gt;=6,IF(J646&gt;=20,"H","A"),IF(K646&gt;=2,IF(J646&gt;=51,"H",IF(J646&lt;=19,"L","A")),IF(J646&lt;=50,"L","A")))))))</f>
        <v/>
      </c>
      <c r="N646" s="46" t="str">
        <f aca="false">IF(M646="L","Baixa",IF(M646="A","Média",IF(M646="","","Alta")))</f>
        <v/>
      </c>
      <c r="O646" s="47" t="str">
        <f aca="false">IF(ISBLANK(H646),"",IF(H646="ALI",IF(M646="L",7,IF(M646="A",10,15)),IF(H646="AIE",IF(M646="L",5,IF(M646="A",7,10)),IF(H646="SE",IF(M646="L",4,IF(M646="A",5,7)),IF(OR(H646="EE",H646="CE"),IF(M646="L",3,IF(M646="A",4,6)))))))</f>
        <v/>
      </c>
      <c r="P646" s="48" t="str">
        <f aca="false">IF(I646="I",O646*Contagem!$W$15,IF(I646="E",O646*Contagem!$W$17,IF(I646="A",O646*Contagem!$W$16,IF(I646="T",O646*Contagem!$W$18,""))))</f>
        <v/>
      </c>
      <c r="Q646" s="49"/>
    </row>
    <row r="647" customFormat="false" ht="12" hidden="false" customHeight="true" outlineLevel="0" collapsed="false">
      <c r="A647" s="40" t="n">
        <f aca="false">IF(H647="",IF(C647="",A646,A646+1),A646)</f>
        <v>62</v>
      </c>
      <c r="B647" s="41" t="str">
        <f aca="false">IF(A647=A646,"",CONCATENATE("F",A647))</f>
        <v/>
      </c>
      <c r="C647" s="42"/>
      <c r="D647" s="42"/>
      <c r="E647" s="42"/>
      <c r="F647" s="42"/>
      <c r="G647" s="42"/>
      <c r="H647" s="44"/>
      <c r="I647" s="50"/>
      <c r="J647" s="44"/>
      <c r="K647" s="44"/>
      <c r="L647" s="44" t="str">
        <f aca="false">CONCATENATE(H647,M647)</f>
        <v/>
      </c>
      <c r="M647" s="45" t="str">
        <f aca="false">IF(OR(ISBLANK(J647),ISBLANK(K647)),IF(OR(H647="ALI",H647="AIE"),"L",IF(ISBLANK(H647),"","A")),IF(H647="EE",IF(K647&gt;=3,IF(J647&gt;=5,"H","A"),IF(K647&gt;=2,IF(J647&gt;=16,"H",IF(J647&lt;=4,"L","A")),IF(J647&lt;=15,"L","A"))),IF(OR(H647="SE",H647="CE"),IF(K647&gt;=4,IF(J647&gt;=6,"H","A"),IF(K647&gt;=2,IF(J647&gt;=20,"H",IF(J647&lt;=5,"L","A")),IF(J647&lt;=19,"L","A"))),IF(OR(H647="ALI",H647="AIE"),IF(K647&gt;=6,IF(J647&gt;=20,"H","A"),IF(K647&gt;=2,IF(J647&gt;=51,"H",IF(J647&lt;=19,"L","A")),IF(J647&lt;=50,"L","A")))))))</f>
        <v/>
      </c>
      <c r="N647" s="46" t="str">
        <f aca="false">IF(M647="L","Baixa",IF(M647="A","Média",IF(M647="","","Alta")))</f>
        <v/>
      </c>
      <c r="O647" s="47" t="str">
        <f aca="false">IF(ISBLANK(H647),"",IF(H647="ALI",IF(M647="L",7,IF(M647="A",10,15)),IF(H647="AIE",IF(M647="L",5,IF(M647="A",7,10)),IF(H647="SE",IF(M647="L",4,IF(M647="A",5,7)),IF(OR(H647="EE",H647="CE"),IF(M647="L",3,IF(M647="A",4,6)))))))</f>
        <v/>
      </c>
      <c r="P647" s="48" t="str">
        <f aca="false">IF(I647="I",O647*Contagem!$W$15,IF(I647="E",O647*Contagem!$W$17,IF(I647="A",O647*Contagem!$W$16,IF(I647="T",O647*Contagem!$W$18,""))))</f>
        <v/>
      </c>
      <c r="Q647" s="49"/>
    </row>
    <row r="648" customFormat="false" ht="12" hidden="false" customHeight="true" outlineLevel="0" collapsed="false">
      <c r="A648" s="40" t="n">
        <f aca="false">IF(H648="",IF(C648="",A647,A647+1),A647)</f>
        <v>62</v>
      </c>
      <c r="B648" s="41" t="str">
        <f aca="false">IF(A648=A647,"",CONCATENATE("F",A648))</f>
        <v/>
      </c>
      <c r="C648" s="42"/>
      <c r="D648" s="42"/>
      <c r="E648" s="42"/>
      <c r="F648" s="42"/>
      <c r="G648" s="42"/>
      <c r="H648" s="44"/>
      <c r="I648" s="50"/>
      <c r="J648" s="44"/>
      <c r="K648" s="44"/>
      <c r="L648" s="44" t="str">
        <f aca="false">CONCATENATE(H648,M648)</f>
        <v/>
      </c>
      <c r="M648" s="45" t="str">
        <f aca="false">IF(OR(ISBLANK(J648),ISBLANK(K648)),IF(OR(H648="ALI",H648="AIE"),"L",IF(ISBLANK(H648),"","A")),IF(H648="EE",IF(K648&gt;=3,IF(J648&gt;=5,"H","A"),IF(K648&gt;=2,IF(J648&gt;=16,"H",IF(J648&lt;=4,"L","A")),IF(J648&lt;=15,"L","A"))),IF(OR(H648="SE",H648="CE"),IF(K648&gt;=4,IF(J648&gt;=6,"H","A"),IF(K648&gt;=2,IF(J648&gt;=20,"H",IF(J648&lt;=5,"L","A")),IF(J648&lt;=19,"L","A"))),IF(OR(H648="ALI",H648="AIE"),IF(K648&gt;=6,IF(J648&gt;=20,"H","A"),IF(K648&gt;=2,IF(J648&gt;=51,"H",IF(J648&lt;=19,"L","A")),IF(J648&lt;=50,"L","A")))))))</f>
        <v/>
      </c>
      <c r="N648" s="46" t="str">
        <f aca="false">IF(M648="L","Baixa",IF(M648="A","Média",IF(M648="","","Alta")))</f>
        <v/>
      </c>
      <c r="O648" s="47" t="str">
        <f aca="false">IF(ISBLANK(H648),"",IF(H648="ALI",IF(M648="L",7,IF(M648="A",10,15)),IF(H648="AIE",IF(M648="L",5,IF(M648="A",7,10)),IF(H648="SE",IF(M648="L",4,IF(M648="A",5,7)),IF(OR(H648="EE",H648="CE"),IF(M648="L",3,IF(M648="A",4,6)))))))</f>
        <v/>
      </c>
      <c r="P648" s="48" t="str">
        <f aca="false">IF(I648="I",O648*Contagem!$W$15,IF(I648="E",O648*Contagem!$W$17,IF(I648="A",O648*Contagem!$W$16,IF(I648="T",O648*Contagem!$W$18,""))))</f>
        <v/>
      </c>
      <c r="Q648" s="49"/>
    </row>
    <row r="649" customFormat="false" ht="12" hidden="false" customHeight="true" outlineLevel="0" collapsed="false">
      <c r="A649" s="40" t="n">
        <f aca="false">IF(H649="",IF(C649="",A648,A648+1),A648)</f>
        <v>62</v>
      </c>
      <c r="B649" s="41" t="str">
        <f aca="false">IF(A649=A648,"",CONCATENATE("F",A649))</f>
        <v/>
      </c>
      <c r="C649" s="42"/>
      <c r="D649" s="42"/>
      <c r="E649" s="42"/>
      <c r="F649" s="42"/>
      <c r="G649" s="42"/>
      <c r="H649" s="44"/>
      <c r="I649" s="50"/>
      <c r="J649" s="44"/>
      <c r="K649" s="44"/>
      <c r="L649" s="44" t="str">
        <f aca="false">CONCATENATE(H649,M649)</f>
        <v/>
      </c>
      <c r="M649" s="45" t="str">
        <f aca="false">IF(OR(ISBLANK(J649),ISBLANK(K649)),IF(OR(H649="ALI",H649="AIE"),"L",IF(ISBLANK(H649),"","A")),IF(H649="EE",IF(K649&gt;=3,IF(J649&gt;=5,"H","A"),IF(K649&gt;=2,IF(J649&gt;=16,"H",IF(J649&lt;=4,"L","A")),IF(J649&lt;=15,"L","A"))),IF(OR(H649="SE",H649="CE"),IF(K649&gt;=4,IF(J649&gt;=6,"H","A"),IF(K649&gt;=2,IF(J649&gt;=20,"H",IF(J649&lt;=5,"L","A")),IF(J649&lt;=19,"L","A"))),IF(OR(H649="ALI",H649="AIE"),IF(K649&gt;=6,IF(J649&gt;=20,"H","A"),IF(K649&gt;=2,IF(J649&gt;=51,"H",IF(J649&lt;=19,"L","A")),IF(J649&lt;=50,"L","A")))))))</f>
        <v/>
      </c>
      <c r="N649" s="46" t="str">
        <f aca="false">IF(M649="L","Baixa",IF(M649="A","Média",IF(M649="","","Alta")))</f>
        <v/>
      </c>
      <c r="O649" s="47" t="str">
        <f aca="false">IF(ISBLANK(H649),"",IF(H649="ALI",IF(M649="L",7,IF(M649="A",10,15)),IF(H649="AIE",IF(M649="L",5,IF(M649="A",7,10)),IF(H649="SE",IF(M649="L",4,IF(M649="A",5,7)),IF(OR(H649="EE",H649="CE"),IF(M649="L",3,IF(M649="A",4,6)))))))</f>
        <v/>
      </c>
      <c r="P649" s="48" t="str">
        <f aca="false">IF(I649="I",O649*Contagem!$W$15,IF(I649="E",O649*Contagem!$W$17,IF(I649="A",O649*Contagem!$W$16,IF(I649="T",O649*Contagem!$W$18,""))))</f>
        <v/>
      </c>
      <c r="Q649" s="49"/>
    </row>
    <row r="650" customFormat="false" ht="12" hidden="false" customHeight="true" outlineLevel="0" collapsed="false">
      <c r="A650" s="40" t="n">
        <f aca="false">IF(H650="",IF(C650="",A649,A649+1),A649)</f>
        <v>62</v>
      </c>
      <c r="B650" s="41" t="str">
        <f aca="false">IF(A650=A649,"",CONCATENATE("F",A650))</f>
        <v/>
      </c>
      <c r="C650" s="42"/>
      <c r="D650" s="42"/>
      <c r="E650" s="42"/>
      <c r="F650" s="42"/>
      <c r="G650" s="42"/>
      <c r="H650" s="44"/>
      <c r="I650" s="50"/>
      <c r="J650" s="44"/>
      <c r="K650" s="44"/>
      <c r="L650" s="44" t="str">
        <f aca="false">CONCATENATE(H650,M650)</f>
        <v/>
      </c>
      <c r="M650" s="45" t="str">
        <f aca="false">IF(OR(ISBLANK(J650),ISBLANK(K650)),IF(OR(H650="ALI",H650="AIE"),"L",IF(ISBLANK(H650),"","A")),IF(H650="EE",IF(K650&gt;=3,IF(J650&gt;=5,"H","A"),IF(K650&gt;=2,IF(J650&gt;=16,"H",IF(J650&lt;=4,"L","A")),IF(J650&lt;=15,"L","A"))),IF(OR(H650="SE",H650="CE"),IF(K650&gt;=4,IF(J650&gt;=6,"H","A"),IF(K650&gt;=2,IF(J650&gt;=20,"H",IF(J650&lt;=5,"L","A")),IF(J650&lt;=19,"L","A"))),IF(OR(H650="ALI",H650="AIE"),IF(K650&gt;=6,IF(J650&gt;=20,"H","A"),IF(K650&gt;=2,IF(J650&gt;=51,"H",IF(J650&lt;=19,"L","A")),IF(J650&lt;=50,"L","A")))))))</f>
        <v/>
      </c>
      <c r="N650" s="46" t="str">
        <f aca="false">IF(M650="L","Baixa",IF(M650="A","Média",IF(M650="","","Alta")))</f>
        <v/>
      </c>
      <c r="O650" s="47" t="str">
        <f aca="false">IF(ISBLANK(H650),"",IF(H650="ALI",IF(M650="L",7,IF(M650="A",10,15)),IF(H650="AIE",IF(M650="L",5,IF(M650="A",7,10)),IF(H650="SE",IF(M650="L",4,IF(M650="A",5,7)),IF(OR(H650="EE",H650="CE"),IF(M650="L",3,IF(M650="A",4,6)))))))</f>
        <v/>
      </c>
      <c r="P650" s="48" t="str">
        <f aca="false">IF(I650="I",O650*Contagem!$W$15,IF(I650="E",O650*Contagem!$W$17,IF(I650="A",O650*Contagem!$W$16,IF(I650="T",O650*Contagem!$W$18,""))))</f>
        <v/>
      </c>
      <c r="Q650" s="49"/>
    </row>
    <row r="651" customFormat="false" ht="12" hidden="false" customHeight="true" outlineLevel="0" collapsed="false">
      <c r="A651" s="40" t="n">
        <f aca="false">IF(H651="",IF(C651="",A650,A650+1),A650)</f>
        <v>62</v>
      </c>
      <c r="B651" s="41" t="str">
        <f aca="false">IF(A651=A650,"",CONCATENATE("F",A651))</f>
        <v/>
      </c>
      <c r="C651" s="42"/>
      <c r="D651" s="42"/>
      <c r="E651" s="42"/>
      <c r="F651" s="42"/>
      <c r="G651" s="42"/>
      <c r="H651" s="44"/>
      <c r="I651" s="50"/>
      <c r="J651" s="44"/>
      <c r="K651" s="44"/>
      <c r="L651" s="44" t="str">
        <f aca="false">CONCATENATE(H651,M651)</f>
        <v/>
      </c>
      <c r="M651" s="45" t="str">
        <f aca="false">IF(OR(ISBLANK(J651),ISBLANK(K651)),IF(OR(H651="ALI",H651="AIE"),"L",IF(ISBLANK(H651),"","A")),IF(H651="EE",IF(K651&gt;=3,IF(J651&gt;=5,"H","A"),IF(K651&gt;=2,IF(J651&gt;=16,"H",IF(J651&lt;=4,"L","A")),IF(J651&lt;=15,"L","A"))),IF(OR(H651="SE",H651="CE"),IF(K651&gt;=4,IF(J651&gt;=6,"H","A"),IF(K651&gt;=2,IF(J651&gt;=20,"H",IF(J651&lt;=5,"L","A")),IF(J651&lt;=19,"L","A"))),IF(OR(H651="ALI",H651="AIE"),IF(K651&gt;=6,IF(J651&gt;=20,"H","A"),IF(K651&gt;=2,IF(J651&gt;=51,"H",IF(J651&lt;=19,"L","A")),IF(J651&lt;=50,"L","A")))))))</f>
        <v/>
      </c>
      <c r="N651" s="46" t="str">
        <f aca="false">IF(M651="L","Baixa",IF(M651="A","Média",IF(M651="","","Alta")))</f>
        <v/>
      </c>
      <c r="O651" s="47" t="str">
        <f aca="false">IF(ISBLANK(H651),"",IF(H651="ALI",IF(M651="L",7,IF(M651="A",10,15)),IF(H651="AIE",IF(M651="L",5,IF(M651="A",7,10)),IF(H651="SE",IF(M651="L",4,IF(M651="A",5,7)),IF(OR(H651="EE",H651="CE"),IF(M651="L",3,IF(M651="A",4,6)))))))</f>
        <v/>
      </c>
      <c r="P651" s="48" t="str">
        <f aca="false">IF(I651="I",O651*Contagem!$W$15,IF(I651="E",O651*Contagem!$W$17,IF(I651="A",O651*Contagem!$W$16,IF(I651="T",O651*Contagem!$W$18,""))))</f>
        <v/>
      </c>
      <c r="Q651" s="49"/>
    </row>
    <row r="652" customFormat="false" ht="12" hidden="false" customHeight="true" outlineLevel="0" collapsed="false">
      <c r="A652" s="40" t="n">
        <f aca="false">IF(H652="",IF(C652="",A651,A651+1),A651)</f>
        <v>62</v>
      </c>
      <c r="B652" s="41" t="str">
        <f aca="false">IF(A652=A651,"",CONCATENATE("F",A652))</f>
        <v/>
      </c>
      <c r="C652" s="42"/>
      <c r="D652" s="42"/>
      <c r="E652" s="42"/>
      <c r="F652" s="42"/>
      <c r="G652" s="42"/>
      <c r="H652" s="44"/>
      <c r="I652" s="50"/>
      <c r="J652" s="44"/>
      <c r="K652" s="44"/>
      <c r="L652" s="44" t="str">
        <f aca="false">CONCATENATE(H652,M652)</f>
        <v/>
      </c>
      <c r="M652" s="45" t="str">
        <f aca="false">IF(OR(ISBLANK(J652),ISBLANK(K652)),IF(OR(H652="ALI",H652="AIE"),"L",IF(ISBLANK(H652),"","A")),IF(H652="EE",IF(K652&gt;=3,IF(J652&gt;=5,"H","A"),IF(K652&gt;=2,IF(J652&gt;=16,"H",IF(J652&lt;=4,"L","A")),IF(J652&lt;=15,"L","A"))),IF(OR(H652="SE",H652="CE"),IF(K652&gt;=4,IF(J652&gt;=6,"H","A"),IF(K652&gt;=2,IF(J652&gt;=20,"H",IF(J652&lt;=5,"L","A")),IF(J652&lt;=19,"L","A"))),IF(OR(H652="ALI",H652="AIE"),IF(K652&gt;=6,IF(J652&gt;=20,"H","A"),IF(K652&gt;=2,IF(J652&gt;=51,"H",IF(J652&lt;=19,"L","A")),IF(J652&lt;=50,"L","A")))))))</f>
        <v/>
      </c>
      <c r="N652" s="46" t="str">
        <f aca="false">IF(M652="L","Baixa",IF(M652="A","Média",IF(M652="","","Alta")))</f>
        <v/>
      </c>
      <c r="O652" s="47" t="str">
        <f aca="false">IF(ISBLANK(H652),"",IF(H652="ALI",IF(M652="L",7,IF(M652="A",10,15)),IF(H652="AIE",IF(M652="L",5,IF(M652="A",7,10)),IF(H652="SE",IF(M652="L",4,IF(M652="A",5,7)),IF(OR(H652="EE",H652="CE"),IF(M652="L",3,IF(M652="A",4,6)))))))</f>
        <v/>
      </c>
      <c r="P652" s="48" t="str">
        <f aca="false">IF(I652="I",O652*Contagem!$W$15,IF(I652="E",O652*Contagem!$W$17,IF(I652="A",O652*Contagem!$W$16,IF(I652="T",O652*Contagem!$W$18,""))))</f>
        <v/>
      </c>
      <c r="Q652" s="49"/>
    </row>
    <row r="653" customFormat="false" ht="12" hidden="false" customHeight="true" outlineLevel="0" collapsed="false">
      <c r="A653" s="40" t="n">
        <f aca="false">IF(H653="",IF(C653="",A652,A652+1),A652)</f>
        <v>62</v>
      </c>
      <c r="B653" s="41" t="str">
        <f aca="false">IF(A653=A652,"",CONCATENATE("F",A653))</f>
        <v/>
      </c>
      <c r="C653" s="42"/>
      <c r="D653" s="42"/>
      <c r="E653" s="42"/>
      <c r="F653" s="42"/>
      <c r="G653" s="42"/>
      <c r="H653" s="44"/>
      <c r="I653" s="50"/>
      <c r="J653" s="44"/>
      <c r="K653" s="44"/>
      <c r="L653" s="44" t="str">
        <f aca="false">CONCATENATE(H653,M653)</f>
        <v/>
      </c>
      <c r="M653" s="45" t="str">
        <f aca="false">IF(OR(ISBLANK(J653),ISBLANK(K653)),IF(OR(H653="ALI",H653="AIE"),"L",IF(ISBLANK(H653),"","A")),IF(H653="EE",IF(K653&gt;=3,IF(J653&gt;=5,"H","A"),IF(K653&gt;=2,IF(J653&gt;=16,"H",IF(J653&lt;=4,"L","A")),IF(J653&lt;=15,"L","A"))),IF(OR(H653="SE",H653="CE"),IF(K653&gt;=4,IF(J653&gt;=6,"H","A"),IF(K653&gt;=2,IF(J653&gt;=20,"H",IF(J653&lt;=5,"L","A")),IF(J653&lt;=19,"L","A"))),IF(OR(H653="ALI",H653="AIE"),IF(K653&gt;=6,IF(J653&gt;=20,"H","A"),IF(K653&gt;=2,IF(J653&gt;=51,"H",IF(J653&lt;=19,"L","A")),IF(J653&lt;=50,"L","A")))))))</f>
        <v/>
      </c>
      <c r="N653" s="46" t="str">
        <f aca="false">IF(M653="L","Baixa",IF(M653="A","Média",IF(M653="","","Alta")))</f>
        <v/>
      </c>
      <c r="O653" s="47" t="str">
        <f aca="false">IF(ISBLANK(H653),"",IF(H653="ALI",IF(M653="L",7,IF(M653="A",10,15)),IF(H653="AIE",IF(M653="L",5,IF(M653="A",7,10)),IF(H653="SE",IF(M653="L",4,IF(M653="A",5,7)),IF(OR(H653="EE",H653="CE"),IF(M653="L",3,IF(M653="A",4,6)))))))</f>
        <v/>
      </c>
      <c r="P653" s="48" t="str">
        <f aca="false">IF(I653="I",O653*Contagem!$W$15,IF(I653="E",O653*Contagem!$W$17,IF(I653="A",O653*Contagem!$W$16,IF(I653="T",O653*Contagem!$W$18,""))))</f>
        <v/>
      </c>
      <c r="Q653" s="49"/>
    </row>
    <row r="654" customFormat="false" ht="12" hidden="false" customHeight="true" outlineLevel="0" collapsed="false">
      <c r="A654" s="40" t="n">
        <f aca="false">IF(H654="",IF(C654="",A653,A653+1),A653)</f>
        <v>62</v>
      </c>
      <c r="B654" s="41" t="str">
        <f aca="false">IF(A654=A653,"",CONCATENATE("F",A654))</f>
        <v/>
      </c>
      <c r="C654" s="42"/>
      <c r="D654" s="42"/>
      <c r="E654" s="42"/>
      <c r="F654" s="42"/>
      <c r="G654" s="42"/>
      <c r="H654" s="44"/>
      <c r="I654" s="50"/>
      <c r="J654" s="44"/>
      <c r="K654" s="44"/>
      <c r="L654" s="44" t="str">
        <f aca="false">CONCATENATE(H654,M654)</f>
        <v/>
      </c>
      <c r="M654" s="45" t="str">
        <f aca="false">IF(OR(ISBLANK(J654),ISBLANK(K654)),IF(OR(H654="ALI",H654="AIE"),"L",IF(ISBLANK(H654),"","A")),IF(H654="EE",IF(K654&gt;=3,IF(J654&gt;=5,"H","A"),IF(K654&gt;=2,IF(J654&gt;=16,"H",IF(J654&lt;=4,"L","A")),IF(J654&lt;=15,"L","A"))),IF(OR(H654="SE",H654="CE"),IF(K654&gt;=4,IF(J654&gt;=6,"H","A"),IF(K654&gt;=2,IF(J654&gt;=20,"H",IF(J654&lt;=5,"L","A")),IF(J654&lt;=19,"L","A"))),IF(OR(H654="ALI",H654="AIE"),IF(K654&gt;=6,IF(J654&gt;=20,"H","A"),IF(K654&gt;=2,IF(J654&gt;=51,"H",IF(J654&lt;=19,"L","A")),IF(J654&lt;=50,"L","A")))))))</f>
        <v/>
      </c>
      <c r="N654" s="46" t="str">
        <f aca="false">IF(M654="L","Baixa",IF(M654="A","Média",IF(M654="","","Alta")))</f>
        <v/>
      </c>
      <c r="O654" s="47" t="str">
        <f aca="false">IF(ISBLANK(H654),"",IF(H654="ALI",IF(M654="L",7,IF(M654="A",10,15)),IF(H654="AIE",IF(M654="L",5,IF(M654="A",7,10)),IF(H654="SE",IF(M654="L",4,IF(M654="A",5,7)),IF(OR(H654="EE",H654="CE"),IF(M654="L",3,IF(M654="A",4,6)))))))</f>
        <v/>
      </c>
      <c r="P654" s="48" t="str">
        <f aca="false">IF(I654="I",O654*Contagem!$W$15,IF(I654="E",O654*Contagem!$W$17,IF(I654="A",O654*Contagem!$W$16,IF(I654="T",O654*Contagem!$W$18,""))))</f>
        <v/>
      </c>
      <c r="Q654" s="49"/>
    </row>
    <row r="655" customFormat="false" ht="12" hidden="false" customHeight="true" outlineLevel="0" collapsed="false">
      <c r="A655" s="40" t="n">
        <f aca="false">IF(H655="",IF(C655="",A654,A654+1),A654)</f>
        <v>62</v>
      </c>
      <c r="B655" s="41" t="str">
        <f aca="false">IF(A655=A654,"",CONCATENATE("F",A655))</f>
        <v/>
      </c>
      <c r="C655" s="42"/>
      <c r="D655" s="42"/>
      <c r="E655" s="42"/>
      <c r="F655" s="42"/>
      <c r="G655" s="42"/>
      <c r="H655" s="44"/>
      <c r="I655" s="50"/>
      <c r="J655" s="44"/>
      <c r="K655" s="44"/>
      <c r="L655" s="44" t="str">
        <f aca="false">CONCATENATE(H655,M655)</f>
        <v/>
      </c>
      <c r="M655" s="45" t="str">
        <f aca="false">IF(OR(ISBLANK(J655),ISBLANK(K655)),IF(OR(H655="ALI",H655="AIE"),"L",IF(ISBLANK(H655),"","A")),IF(H655="EE",IF(K655&gt;=3,IF(J655&gt;=5,"H","A"),IF(K655&gt;=2,IF(J655&gt;=16,"H",IF(J655&lt;=4,"L","A")),IF(J655&lt;=15,"L","A"))),IF(OR(H655="SE",H655="CE"),IF(K655&gt;=4,IF(J655&gt;=6,"H","A"),IF(K655&gt;=2,IF(J655&gt;=20,"H",IF(J655&lt;=5,"L","A")),IF(J655&lt;=19,"L","A"))),IF(OR(H655="ALI",H655="AIE"),IF(K655&gt;=6,IF(J655&gt;=20,"H","A"),IF(K655&gt;=2,IF(J655&gt;=51,"H",IF(J655&lt;=19,"L","A")),IF(J655&lt;=50,"L","A")))))))</f>
        <v/>
      </c>
      <c r="N655" s="46" t="str">
        <f aca="false">IF(M655="L","Baixa",IF(M655="A","Média",IF(M655="","","Alta")))</f>
        <v/>
      </c>
      <c r="O655" s="47" t="str">
        <f aca="false">IF(ISBLANK(H655),"",IF(H655="ALI",IF(M655="L",7,IF(M655="A",10,15)),IF(H655="AIE",IF(M655="L",5,IF(M655="A",7,10)),IF(H655="SE",IF(M655="L",4,IF(M655="A",5,7)),IF(OR(H655="EE",H655="CE"),IF(M655="L",3,IF(M655="A",4,6)))))))</f>
        <v/>
      </c>
      <c r="P655" s="48" t="str">
        <f aca="false">IF(I655="I",O655*Contagem!$W$15,IF(I655="E",O655*Contagem!$W$17,IF(I655="A",O655*Contagem!$W$16,IF(I655="T",O655*Contagem!$W$18,""))))</f>
        <v/>
      </c>
      <c r="Q655" s="49"/>
    </row>
    <row r="656" customFormat="false" ht="12" hidden="false" customHeight="true" outlineLevel="0" collapsed="false">
      <c r="A656" s="40" t="n">
        <f aca="false">IF(H656="",IF(C656="",A655,A655+1),A655)</f>
        <v>62</v>
      </c>
      <c r="B656" s="41" t="str">
        <f aca="false">IF(A656=A655,"",CONCATENATE("F",A656))</f>
        <v/>
      </c>
      <c r="C656" s="42"/>
      <c r="D656" s="42"/>
      <c r="E656" s="42"/>
      <c r="F656" s="42"/>
      <c r="G656" s="42"/>
      <c r="H656" s="44"/>
      <c r="I656" s="50"/>
      <c r="J656" s="44"/>
      <c r="K656" s="44"/>
      <c r="L656" s="44" t="str">
        <f aca="false">CONCATENATE(H656,M656)</f>
        <v/>
      </c>
      <c r="M656" s="45" t="str">
        <f aca="false">IF(OR(ISBLANK(J656),ISBLANK(K656)),IF(OR(H656="ALI",H656="AIE"),"L",IF(ISBLANK(H656),"","A")),IF(H656="EE",IF(K656&gt;=3,IF(J656&gt;=5,"H","A"),IF(K656&gt;=2,IF(J656&gt;=16,"H",IF(J656&lt;=4,"L","A")),IF(J656&lt;=15,"L","A"))),IF(OR(H656="SE",H656="CE"),IF(K656&gt;=4,IF(J656&gt;=6,"H","A"),IF(K656&gt;=2,IF(J656&gt;=20,"H",IF(J656&lt;=5,"L","A")),IF(J656&lt;=19,"L","A"))),IF(OR(H656="ALI",H656="AIE"),IF(K656&gt;=6,IF(J656&gt;=20,"H","A"),IF(K656&gt;=2,IF(J656&gt;=51,"H",IF(J656&lt;=19,"L","A")),IF(J656&lt;=50,"L","A")))))))</f>
        <v/>
      </c>
      <c r="N656" s="46" t="str">
        <f aca="false">IF(M656="L","Baixa",IF(M656="A","Média",IF(M656="","","Alta")))</f>
        <v/>
      </c>
      <c r="O656" s="47" t="str">
        <f aca="false">IF(ISBLANK(H656),"",IF(H656="ALI",IF(M656="L",7,IF(M656="A",10,15)),IF(H656="AIE",IF(M656="L",5,IF(M656="A",7,10)),IF(H656="SE",IF(M656="L",4,IF(M656="A",5,7)),IF(OR(H656="EE",H656="CE"),IF(M656="L",3,IF(M656="A",4,6)))))))</f>
        <v/>
      </c>
      <c r="P656" s="48" t="str">
        <f aca="false">IF(I656="I",O656*Contagem!$W$15,IF(I656="E",O656*Contagem!$W$17,IF(I656="A",O656*Contagem!$W$16,IF(I656="T",O656*Contagem!$W$18,""))))</f>
        <v/>
      </c>
      <c r="Q656" s="49"/>
    </row>
    <row r="657" customFormat="false" ht="12" hidden="false" customHeight="true" outlineLevel="0" collapsed="false">
      <c r="A657" s="40" t="n">
        <f aca="false">IF(H657="",IF(C657="",A656,A656+1),A656)</f>
        <v>62</v>
      </c>
      <c r="B657" s="41" t="str">
        <f aca="false">IF(A657=A656,"",CONCATENATE("F",A657))</f>
        <v/>
      </c>
      <c r="C657" s="42"/>
      <c r="D657" s="42"/>
      <c r="E657" s="42"/>
      <c r="F657" s="42"/>
      <c r="G657" s="42"/>
      <c r="H657" s="44"/>
      <c r="I657" s="50"/>
      <c r="J657" s="44"/>
      <c r="K657" s="44"/>
      <c r="L657" s="44" t="str">
        <f aca="false">CONCATENATE(H657,M657)</f>
        <v/>
      </c>
      <c r="M657" s="45" t="str">
        <f aca="false">IF(OR(ISBLANK(J657),ISBLANK(K657)),IF(OR(H657="ALI",H657="AIE"),"L",IF(ISBLANK(H657),"","A")),IF(H657="EE",IF(K657&gt;=3,IF(J657&gt;=5,"H","A"),IF(K657&gt;=2,IF(J657&gt;=16,"H",IF(J657&lt;=4,"L","A")),IF(J657&lt;=15,"L","A"))),IF(OR(H657="SE",H657="CE"),IF(K657&gt;=4,IF(J657&gt;=6,"H","A"),IF(K657&gt;=2,IF(J657&gt;=20,"H",IF(J657&lt;=5,"L","A")),IF(J657&lt;=19,"L","A"))),IF(OR(H657="ALI",H657="AIE"),IF(K657&gt;=6,IF(J657&gt;=20,"H","A"),IF(K657&gt;=2,IF(J657&gt;=51,"H",IF(J657&lt;=19,"L","A")),IF(J657&lt;=50,"L","A")))))))</f>
        <v/>
      </c>
      <c r="N657" s="46" t="str">
        <f aca="false">IF(M657="L","Baixa",IF(M657="A","Média",IF(M657="","","Alta")))</f>
        <v/>
      </c>
      <c r="O657" s="47" t="str">
        <f aca="false">IF(ISBLANK(H657),"",IF(H657="ALI",IF(M657="L",7,IF(M657="A",10,15)),IF(H657="AIE",IF(M657="L",5,IF(M657="A",7,10)),IF(H657="SE",IF(M657="L",4,IF(M657="A",5,7)),IF(OR(H657="EE",H657="CE"),IF(M657="L",3,IF(M657="A",4,6)))))))</f>
        <v/>
      </c>
      <c r="P657" s="48" t="str">
        <f aca="false">IF(I657="I",O657*Contagem!$W$15,IF(I657="E",O657*Contagem!$W$17,IF(I657="A",O657*Contagem!$W$16,IF(I657="T",O657*Contagem!$W$18,""))))</f>
        <v/>
      </c>
      <c r="Q657" s="49"/>
    </row>
    <row r="658" customFormat="false" ht="12" hidden="false" customHeight="true" outlineLevel="0" collapsed="false">
      <c r="A658" s="40" t="n">
        <f aca="false">IF(H658="",IF(C658="",A657,A657+1),A657)</f>
        <v>62</v>
      </c>
      <c r="B658" s="41" t="str">
        <f aca="false">IF(A658=A657,"",CONCATENATE("F",A658))</f>
        <v/>
      </c>
      <c r="C658" s="42"/>
      <c r="D658" s="42"/>
      <c r="E658" s="42"/>
      <c r="F658" s="42"/>
      <c r="G658" s="42"/>
      <c r="H658" s="44"/>
      <c r="I658" s="50"/>
      <c r="J658" s="44"/>
      <c r="K658" s="44"/>
      <c r="L658" s="44" t="str">
        <f aca="false">CONCATENATE(H658,M658)</f>
        <v/>
      </c>
      <c r="M658" s="45" t="str">
        <f aca="false">IF(OR(ISBLANK(J658),ISBLANK(K658)),IF(OR(H658="ALI",H658="AIE"),"L",IF(ISBLANK(H658),"","A")),IF(H658="EE",IF(K658&gt;=3,IF(J658&gt;=5,"H","A"),IF(K658&gt;=2,IF(J658&gt;=16,"H",IF(J658&lt;=4,"L","A")),IF(J658&lt;=15,"L","A"))),IF(OR(H658="SE",H658="CE"),IF(K658&gt;=4,IF(J658&gt;=6,"H","A"),IF(K658&gt;=2,IF(J658&gt;=20,"H",IF(J658&lt;=5,"L","A")),IF(J658&lt;=19,"L","A"))),IF(OR(H658="ALI",H658="AIE"),IF(K658&gt;=6,IF(J658&gt;=20,"H","A"),IF(K658&gt;=2,IF(J658&gt;=51,"H",IF(J658&lt;=19,"L","A")),IF(J658&lt;=50,"L","A")))))))</f>
        <v/>
      </c>
      <c r="N658" s="46" t="str">
        <f aca="false">IF(M658="L","Baixa",IF(M658="A","Média",IF(M658="","","Alta")))</f>
        <v/>
      </c>
      <c r="O658" s="47" t="str">
        <f aca="false">IF(ISBLANK(H658),"",IF(H658="ALI",IF(M658="L",7,IF(M658="A",10,15)),IF(H658="AIE",IF(M658="L",5,IF(M658="A",7,10)),IF(H658="SE",IF(M658="L",4,IF(M658="A",5,7)),IF(OR(H658="EE",H658="CE"),IF(M658="L",3,IF(M658="A",4,6)))))))</f>
        <v/>
      </c>
      <c r="P658" s="48" t="str">
        <f aca="false">IF(I658="I",O658*Contagem!$W$15,IF(I658="E",O658*Contagem!$W$17,IF(I658="A",O658*Contagem!$W$16,IF(I658="T",O658*Contagem!$W$18,""))))</f>
        <v/>
      </c>
      <c r="Q658" s="49"/>
    </row>
    <row r="659" customFormat="false" ht="12" hidden="false" customHeight="true" outlineLevel="0" collapsed="false">
      <c r="A659" s="40" t="n">
        <f aca="false">IF(H659="",IF(C659="",A658,A658+1),A658)</f>
        <v>62</v>
      </c>
      <c r="B659" s="41" t="str">
        <f aca="false">IF(A659=A658,"",CONCATENATE("F",A659))</f>
        <v/>
      </c>
      <c r="C659" s="42"/>
      <c r="D659" s="42"/>
      <c r="E659" s="42"/>
      <c r="F659" s="42"/>
      <c r="G659" s="42"/>
      <c r="H659" s="44"/>
      <c r="I659" s="50"/>
      <c r="J659" s="44"/>
      <c r="K659" s="44"/>
      <c r="L659" s="44" t="str">
        <f aca="false">CONCATENATE(H659,M659)</f>
        <v/>
      </c>
      <c r="M659" s="45" t="str">
        <f aca="false">IF(OR(ISBLANK(J659),ISBLANK(K659)),IF(OR(H659="ALI",H659="AIE"),"L",IF(ISBLANK(H659),"","A")),IF(H659="EE",IF(K659&gt;=3,IF(J659&gt;=5,"H","A"),IF(K659&gt;=2,IF(J659&gt;=16,"H",IF(J659&lt;=4,"L","A")),IF(J659&lt;=15,"L","A"))),IF(OR(H659="SE",H659="CE"),IF(K659&gt;=4,IF(J659&gt;=6,"H","A"),IF(K659&gt;=2,IF(J659&gt;=20,"H",IF(J659&lt;=5,"L","A")),IF(J659&lt;=19,"L","A"))),IF(OR(H659="ALI",H659="AIE"),IF(K659&gt;=6,IF(J659&gt;=20,"H","A"),IF(K659&gt;=2,IF(J659&gt;=51,"H",IF(J659&lt;=19,"L","A")),IF(J659&lt;=50,"L","A")))))))</f>
        <v/>
      </c>
      <c r="N659" s="46" t="str">
        <f aca="false">IF(M659="L","Baixa",IF(M659="A","Média",IF(M659="","","Alta")))</f>
        <v/>
      </c>
      <c r="O659" s="47" t="str">
        <f aca="false">IF(ISBLANK(H659),"",IF(H659="ALI",IF(M659="L",7,IF(M659="A",10,15)),IF(H659="AIE",IF(M659="L",5,IF(M659="A",7,10)),IF(H659="SE",IF(M659="L",4,IF(M659="A",5,7)),IF(OR(H659="EE",H659="CE"),IF(M659="L",3,IF(M659="A",4,6)))))))</f>
        <v/>
      </c>
      <c r="P659" s="48" t="str">
        <f aca="false">IF(I659="I",O659*Contagem!$W$15,IF(I659="E",O659*Contagem!$W$17,IF(I659="A",O659*Contagem!$W$16,IF(I659="T",O659*Contagem!$W$18,""))))</f>
        <v/>
      </c>
      <c r="Q659" s="49"/>
    </row>
    <row r="660" customFormat="false" ht="12" hidden="false" customHeight="true" outlineLevel="0" collapsed="false">
      <c r="A660" s="40" t="n">
        <f aca="false">IF(H660="",IF(C660="",A659,A659+1),A659)</f>
        <v>62</v>
      </c>
      <c r="B660" s="41" t="str">
        <f aca="false">IF(A660=A659,"",CONCATENATE("F",A660))</f>
        <v/>
      </c>
      <c r="C660" s="42"/>
      <c r="D660" s="42"/>
      <c r="E660" s="42"/>
      <c r="F660" s="42"/>
      <c r="G660" s="42"/>
      <c r="H660" s="44"/>
      <c r="I660" s="50"/>
      <c r="J660" s="44"/>
      <c r="K660" s="44"/>
      <c r="L660" s="44" t="str">
        <f aca="false">CONCATENATE(H660,M660)</f>
        <v/>
      </c>
      <c r="M660" s="45" t="str">
        <f aca="false">IF(OR(ISBLANK(J660),ISBLANK(K660)),IF(OR(H660="ALI",H660="AIE"),"L",IF(ISBLANK(H660),"","A")),IF(H660="EE",IF(K660&gt;=3,IF(J660&gt;=5,"H","A"),IF(K660&gt;=2,IF(J660&gt;=16,"H",IF(J660&lt;=4,"L","A")),IF(J660&lt;=15,"L","A"))),IF(OR(H660="SE",H660="CE"),IF(K660&gt;=4,IF(J660&gt;=6,"H","A"),IF(K660&gt;=2,IF(J660&gt;=20,"H",IF(J660&lt;=5,"L","A")),IF(J660&lt;=19,"L","A"))),IF(OR(H660="ALI",H660="AIE"),IF(K660&gt;=6,IF(J660&gt;=20,"H","A"),IF(K660&gt;=2,IF(J660&gt;=51,"H",IF(J660&lt;=19,"L","A")),IF(J660&lt;=50,"L","A")))))))</f>
        <v/>
      </c>
      <c r="N660" s="46" t="str">
        <f aca="false">IF(M660="L","Baixa",IF(M660="A","Média",IF(M660="","","Alta")))</f>
        <v/>
      </c>
      <c r="O660" s="47" t="str">
        <f aca="false">IF(ISBLANK(H660),"",IF(H660="ALI",IF(M660="L",7,IF(M660="A",10,15)),IF(H660="AIE",IF(M660="L",5,IF(M660="A",7,10)),IF(H660="SE",IF(M660="L",4,IF(M660="A",5,7)),IF(OR(H660="EE",H660="CE"),IF(M660="L",3,IF(M660="A",4,6)))))))</f>
        <v/>
      </c>
      <c r="P660" s="48" t="str">
        <f aca="false">IF(I660="I",O660*Contagem!$W$15,IF(I660="E",O660*Contagem!$W$17,IF(I660="A",O660*Contagem!$W$16,IF(I660="T",O660*Contagem!$W$18,""))))</f>
        <v/>
      </c>
      <c r="Q660" s="49"/>
    </row>
    <row r="661" customFormat="false" ht="12" hidden="false" customHeight="true" outlineLevel="0" collapsed="false">
      <c r="A661" s="40" t="n">
        <f aca="false">IF(H661="",IF(C661="",A660,A660+1),A660)</f>
        <v>62</v>
      </c>
      <c r="B661" s="41" t="str">
        <f aca="false">IF(A661=A660,"",CONCATENATE("F",A661))</f>
        <v/>
      </c>
      <c r="C661" s="42"/>
      <c r="D661" s="42"/>
      <c r="E661" s="42"/>
      <c r="F661" s="42"/>
      <c r="G661" s="42"/>
      <c r="H661" s="44"/>
      <c r="I661" s="50"/>
      <c r="J661" s="44"/>
      <c r="K661" s="44"/>
      <c r="L661" s="44" t="str">
        <f aca="false">CONCATENATE(H661,M661)</f>
        <v/>
      </c>
      <c r="M661" s="45" t="str">
        <f aca="false">IF(OR(ISBLANK(J661),ISBLANK(K661)),IF(OR(H661="ALI",H661="AIE"),"L",IF(ISBLANK(H661),"","A")),IF(H661="EE",IF(K661&gt;=3,IF(J661&gt;=5,"H","A"),IF(K661&gt;=2,IF(J661&gt;=16,"H",IF(J661&lt;=4,"L","A")),IF(J661&lt;=15,"L","A"))),IF(OR(H661="SE",H661="CE"),IF(K661&gt;=4,IF(J661&gt;=6,"H","A"),IF(K661&gt;=2,IF(J661&gt;=20,"H",IF(J661&lt;=5,"L","A")),IF(J661&lt;=19,"L","A"))),IF(OR(H661="ALI",H661="AIE"),IF(K661&gt;=6,IF(J661&gt;=20,"H","A"),IF(K661&gt;=2,IF(J661&gt;=51,"H",IF(J661&lt;=19,"L","A")),IF(J661&lt;=50,"L","A")))))))</f>
        <v/>
      </c>
      <c r="N661" s="46" t="str">
        <f aca="false">IF(M661="L","Baixa",IF(M661="A","Média",IF(M661="","","Alta")))</f>
        <v/>
      </c>
      <c r="O661" s="47" t="str">
        <f aca="false">IF(ISBLANK(H661),"",IF(H661="ALI",IF(M661="L",7,IF(M661="A",10,15)),IF(H661="AIE",IF(M661="L",5,IF(M661="A",7,10)),IF(H661="SE",IF(M661="L",4,IF(M661="A",5,7)),IF(OR(H661="EE",H661="CE"),IF(M661="L",3,IF(M661="A",4,6)))))))</f>
        <v/>
      </c>
      <c r="P661" s="48" t="str">
        <f aca="false">IF(I661="I",O661*Contagem!$W$15,IF(I661="E",O661*Contagem!$W$17,IF(I661="A",O661*Contagem!$W$16,IF(I661="T",O661*Contagem!$W$18,""))))</f>
        <v/>
      </c>
      <c r="Q661" s="49"/>
    </row>
    <row r="662" customFormat="false" ht="12" hidden="false" customHeight="true" outlineLevel="0" collapsed="false">
      <c r="A662" s="40" t="n">
        <f aca="false">IF(H662="",IF(C662="",A661,A661+1),A661)</f>
        <v>62</v>
      </c>
      <c r="B662" s="41" t="str">
        <f aca="false">IF(A662=A661,"",CONCATENATE("F",A662))</f>
        <v/>
      </c>
      <c r="C662" s="42"/>
      <c r="D662" s="42"/>
      <c r="E662" s="42"/>
      <c r="F662" s="42"/>
      <c r="G662" s="42"/>
      <c r="H662" s="44"/>
      <c r="I662" s="50"/>
      <c r="J662" s="44"/>
      <c r="K662" s="44"/>
      <c r="L662" s="44" t="str">
        <f aca="false">CONCATENATE(H662,M662)</f>
        <v/>
      </c>
      <c r="M662" s="45" t="str">
        <f aca="false">IF(OR(ISBLANK(J662),ISBLANK(K662)),IF(OR(H662="ALI",H662="AIE"),"L",IF(ISBLANK(H662),"","A")),IF(H662="EE",IF(K662&gt;=3,IF(J662&gt;=5,"H","A"),IF(K662&gt;=2,IF(J662&gt;=16,"H",IF(J662&lt;=4,"L","A")),IF(J662&lt;=15,"L","A"))),IF(OR(H662="SE",H662="CE"),IF(K662&gt;=4,IF(J662&gt;=6,"H","A"),IF(K662&gt;=2,IF(J662&gt;=20,"H",IF(J662&lt;=5,"L","A")),IF(J662&lt;=19,"L","A"))),IF(OR(H662="ALI",H662="AIE"),IF(K662&gt;=6,IF(J662&gt;=20,"H","A"),IF(K662&gt;=2,IF(J662&gt;=51,"H",IF(J662&lt;=19,"L","A")),IF(J662&lt;=50,"L","A")))))))</f>
        <v/>
      </c>
      <c r="N662" s="46" t="str">
        <f aca="false">IF(M662="L","Baixa",IF(M662="A","Média",IF(M662="","","Alta")))</f>
        <v/>
      </c>
      <c r="O662" s="47" t="str">
        <f aca="false">IF(ISBLANK(H662),"",IF(H662="ALI",IF(M662="L",7,IF(M662="A",10,15)),IF(H662="AIE",IF(M662="L",5,IF(M662="A",7,10)),IF(H662="SE",IF(M662="L",4,IF(M662="A",5,7)),IF(OR(H662="EE",H662="CE"),IF(M662="L",3,IF(M662="A",4,6)))))))</f>
        <v/>
      </c>
      <c r="P662" s="48" t="str">
        <f aca="false">IF(I662="I",O662*Contagem!$W$15,IF(I662="E",O662*Contagem!$W$17,IF(I662="A",O662*Contagem!$W$16,IF(I662="T",O662*Contagem!$W$18,""))))</f>
        <v/>
      </c>
      <c r="Q662" s="49"/>
    </row>
    <row r="663" customFormat="false" ht="12" hidden="false" customHeight="true" outlineLevel="0" collapsed="false">
      <c r="A663" s="40" t="n">
        <f aca="false">IF(H663="",IF(C663="",A662,A662+1),A662)</f>
        <v>62</v>
      </c>
      <c r="B663" s="41" t="str">
        <f aca="false">IF(A663=A662,"",CONCATENATE("F",A663))</f>
        <v/>
      </c>
      <c r="C663" s="42"/>
      <c r="D663" s="42"/>
      <c r="E663" s="42"/>
      <c r="F663" s="42"/>
      <c r="G663" s="42"/>
      <c r="H663" s="44"/>
      <c r="I663" s="50"/>
      <c r="J663" s="44"/>
      <c r="K663" s="44"/>
      <c r="L663" s="44" t="str">
        <f aca="false">CONCATENATE(H663,M663)</f>
        <v/>
      </c>
      <c r="M663" s="45" t="str">
        <f aca="false">IF(OR(ISBLANK(J663),ISBLANK(K663)),IF(OR(H663="ALI",H663="AIE"),"L",IF(ISBLANK(H663),"","A")),IF(H663="EE",IF(K663&gt;=3,IF(J663&gt;=5,"H","A"),IF(K663&gt;=2,IF(J663&gt;=16,"H",IF(J663&lt;=4,"L","A")),IF(J663&lt;=15,"L","A"))),IF(OR(H663="SE",H663="CE"),IF(K663&gt;=4,IF(J663&gt;=6,"H","A"),IF(K663&gt;=2,IF(J663&gt;=20,"H",IF(J663&lt;=5,"L","A")),IF(J663&lt;=19,"L","A"))),IF(OR(H663="ALI",H663="AIE"),IF(K663&gt;=6,IF(J663&gt;=20,"H","A"),IF(K663&gt;=2,IF(J663&gt;=51,"H",IF(J663&lt;=19,"L","A")),IF(J663&lt;=50,"L","A")))))))</f>
        <v/>
      </c>
      <c r="N663" s="46" t="str">
        <f aca="false">IF(M663="L","Baixa",IF(M663="A","Média",IF(M663="","","Alta")))</f>
        <v/>
      </c>
      <c r="O663" s="47" t="str">
        <f aca="false">IF(ISBLANK(H663),"",IF(H663="ALI",IF(M663="L",7,IF(M663="A",10,15)),IF(H663="AIE",IF(M663="L",5,IF(M663="A",7,10)),IF(H663="SE",IF(M663="L",4,IF(M663="A",5,7)),IF(OR(H663="EE",H663="CE"),IF(M663="L",3,IF(M663="A",4,6)))))))</f>
        <v/>
      </c>
      <c r="P663" s="48" t="str">
        <f aca="false">IF(I663="I",O663*Contagem!$W$15,IF(I663="E",O663*Contagem!$W$17,IF(I663="A",O663*Contagem!$W$16,IF(I663="T",O663*Contagem!$W$18,""))))</f>
        <v/>
      </c>
      <c r="Q663" s="49"/>
    </row>
    <row r="664" customFormat="false" ht="12" hidden="false" customHeight="true" outlineLevel="0" collapsed="false">
      <c r="A664" s="40" t="n">
        <f aca="false">IF(H664="",IF(C664="",A663,A663+1),A663)</f>
        <v>62</v>
      </c>
      <c r="B664" s="41" t="str">
        <f aca="false">IF(A664=A663,"",CONCATENATE("F",A664))</f>
        <v/>
      </c>
      <c r="C664" s="42"/>
      <c r="D664" s="42"/>
      <c r="E664" s="42"/>
      <c r="F664" s="42"/>
      <c r="G664" s="42"/>
      <c r="H664" s="44"/>
      <c r="I664" s="50"/>
      <c r="J664" s="44"/>
      <c r="K664" s="44"/>
      <c r="L664" s="44" t="str">
        <f aca="false">CONCATENATE(H664,M664)</f>
        <v/>
      </c>
      <c r="M664" s="45" t="str">
        <f aca="false">IF(OR(ISBLANK(J664),ISBLANK(K664)),IF(OR(H664="ALI",H664="AIE"),"L",IF(ISBLANK(H664),"","A")),IF(H664="EE",IF(K664&gt;=3,IF(J664&gt;=5,"H","A"),IF(K664&gt;=2,IF(J664&gt;=16,"H",IF(J664&lt;=4,"L","A")),IF(J664&lt;=15,"L","A"))),IF(OR(H664="SE",H664="CE"),IF(K664&gt;=4,IF(J664&gt;=6,"H","A"),IF(K664&gt;=2,IF(J664&gt;=20,"H",IF(J664&lt;=5,"L","A")),IF(J664&lt;=19,"L","A"))),IF(OR(H664="ALI",H664="AIE"),IF(K664&gt;=6,IF(J664&gt;=20,"H","A"),IF(K664&gt;=2,IF(J664&gt;=51,"H",IF(J664&lt;=19,"L","A")),IF(J664&lt;=50,"L","A")))))))</f>
        <v/>
      </c>
      <c r="N664" s="46" t="str">
        <f aca="false">IF(M664="L","Baixa",IF(M664="A","Média",IF(M664="","","Alta")))</f>
        <v/>
      </c>
      <c r="O664" s="47" t="str">
        <f aca="false">IF(ISBLANK(H664),"",IF(H664="ALI",IF(M664="L",7,IF(M664="A",10,15)),IF(H664="AIE",IF(M664="L",5,IF(M664="A",7,10)),IF(H664="SE",IF(M664="L",4,IF(M664="A",5,7)),IF(OR(H664="EE",H664="CE"),IF(M664="L",3,IF(M664="A",4,6)))))))</f>
        <v/>
      </c>
      <c r="P664" s="48" t="str">
        <f aca="false">IF(I664="I",O664*Contagem!$W$15,IF(I664="E",O664*Contagem!$W$17,IF(I664="A",O664*Contagem!$W$16,IF(I664="T",O664*Contagem!$W$18,""))))</f>
        <v/>
      </c>
      <c r="Q664" s="49"/>
    </row>
    <row r="665" customFormat="false" ht="12" hidden="false" customHeight="true" outlineLevel="0" collapsed="false">
      <c r="A665" s="40" t="n">
        <f aca="false">IF(H665="",IF(C665="",A664,A664+1),A664)</f>
        <v>62</v>
      </c>
      <c r="B665" s="41" t="str">
        <f aca="false">IF(A665=A664,"",CONCATENATE("F",A665))</f>
        <v/>
      </c>
      <c r="C665" s="42"/>
      <c r="D665" s="42"/>
      <c r="E665" s="42"/>
      <c r="F665" s="42"/>
      <c r="G665" s="42"/>
      <c r="H665" s="44"/>
      <c r="I665" s="50"/>
      <c r="J665" s="44"/>
      <c r="K665" s="44"/>
      <c r="L665" s="44" t="str">
        <f aca="false">CONCATENATE(H665,M665)</f>
        <v/>
      </c>
      <c r="M665" s="45" t="str">
        <f aca="false">IF(OR(ISBLANK(J665),ISBLANK(K665)),IF(OR(H665="ALI",H665="AIE"),"L",IF(ISBLANK(H665),"","A")),IF(H665="EE",IF(K665&gt;=3,IF(J665&gt;=5,"H","A"),IF(K665&gt;=2,IF(J665&gt;=16,"H",IF(J665&lt;=4,"L","A")),IF(J665&lt;=15,"L","A"))),IF(OR(H665="SE",H665="CE"),IF(K665&gt;=4,IF(J665&gt;=6,"H","A"),IF(K665&gt;=2,IF(J665&gt;=20,"H",IF(J665&lt;=5,"L","A")),IF(J665&lt;=19,"L","A"))),IF(OR(H665="ALI",H665="AIE"),IF(K665&gt;=6,IF(J665&gt;=20,"H","A"),IF(K665&gt;=2,IF(J665&gt;=51,"H",IF(J665&lt;=19,"L","A")),IF(J665&lt;=50,"L","A")))))))</f>
        <v/>
      </c>
      <c r="N665" s="46" t="str">
        <f aca="false">IF(M665="L","Baixa",IF(M665="A","Média",IF(M665="","","Alta")))</f>
        <v/>
      </c>
      <c r="O665" s="47" t="str">
        <f aca="false">IF(ISBLANK(H665),"",IF(H665="ALI",IF(M665="L",7,IF(M665="A",10,15)),IF(H665="AIE",IF(M665="L",5,IF(M665="A",7,10)),IF(H665="SE",IF(M665="L",4,IF(M665="A",5,7)),IF(OR(H665="EE",H665="CE"),IF(M665="L",3,IF(M665="A",4,6)))))))</f>
        <v/>
      </c>
      <c r="P665" s="48" t="str">
        <f aca="false">IF(I665="I",O665*Contagem!$W$15,IF(I665="E",O665*Contagem!$W$17,IF(I665="A",O665*Contagem!$W$16,IF(I665="T",O665*Contagem!$W$18,""))))</f>
        <v/>
      </c>
      <c r="Q665" s="49"/>
    </row>
    <row r="666" customFormat="false" ht="12" hidden="false" customHeight="true" outlineLevel="0" collapsed="false">
      <c r="A666" s="40" t="n">
        <f aca="false">IF(H666="",IF(C666="",A665,A665+1),A665)</f>
        <v>62</v>
      </c>
      <c r="B666" s="41" t="str">
        <f aca="false">IF(A666=A665,"",CONCATENATE("F",A666))</f>
        <v/>
      </c>
      <c r="C666" s="42"/>
      <c r="D666" s="42"/>
      <c r="E666" s="42"/>
      <c r="F666" s="42"/>
      <c r="G666" s="42"/>
      <c r="H666" s="44"/>
      <c r="I666" s="50"/>
      <c r="J666" s="44"/>
      <c r="K666" s="44"/>
      <c r="L666" s="44" t="str">
        <f aca="false">CONCATENATE(H666,M666)</f>
        <v/>
      </c>
      <c r="M666" s="45" t="str">
        <f aca="false">IF(OR(ISBLANK(J666),ISBLANK(K666)),IF(OR(H666="ALI",H666="AIE"),"L",IF(ISBLANK(H666),"","A")),IF(H666="EE",IF(K666&gt;=3,IF(J666&gt;=5,"H","A"),IF(K666&gt;=2,IF(J666&gt;=16,"H",IF(J666&lt;=4,"L","A")),IF(J666&lt;=15,"L","A"))),IF(OR(H666="SE",H666="CE"),IF(K666&gt;=4,IF(J666&gt;=6,"H","A"),IF(K666&gt;=2,IF(J666&gt;=20,"H",IF(J666&lt;=5,"L","A")),IF(J666&lt;=19,"L","A"))),IF(OR(H666="ALI",H666="AIE"),IF(K666&gt;=6,IF(J666&gt;=20,"H","A"),IF(K666&gt;=2,IF(J666&gt;=51,"H",IF(J666&lt;=19,"L","A")),IF(J666&lt;=50,"L","A")))))))</f>
        <v/>
      </c>
      <c r="N666" s="46" t="str">
        <f aca="false">IF(M666="L","Baixa",IF(M666="A","Média",IF(M666="","","Alta")))</f>
        <v/>
      </c>
      <c r="O666" s="47" t="str">
        <f aca="false">IF(ISBLANK(H666),"",IF(H666="ALI",IF(M666="L",7,IF(M666="A",10,15)),IF(H666="AIE",IF(M666="L",5,IF(M666="A",7,10)),IF(H666="SE",IF(M666="L",4,IF(M666="A",5,7)),IF(OR(H666="EE",H666="CE"),IF(M666="L",3,IF(M666="A",4,6)))))))</f>
        <v/>
      </c>
      <c r="P666" s="48" t="str">
        <f aca="false">IF(I666="I",O666*Contagem!$W$15,IF(I666="E",O666*Contagem!$W$17,IF(I666="A",O666*Contagem!$W$16,IF(I666="T",O666*Contagem!$W$18,""))))</f>
        <v/>
      </c>
      <c r="Q666" s="49"/>
    </row>
    <row r="667" customFormat="false" ht="12" hidden="false" customHeight="true" outlineLevel="0" collapsed="false">
      <c r="A667" s="40" t="n">
        <f aca="false">IF(H667="",IF(C667="",A666,A666+1),A666)</f>
        <v>62</v>
      </c>
      <c r="B667" s="41" t="str">
        <f aca="false">IF(A667=A666,"",CONCATENATE("F",A667))</f>
        <v/>
      </c>
      <c r="C667" s="42"/>
      <c r="D667" s="42"/>
      <c r="E667" s="42"/>
      <c r="F667" s="42"/>
      <c r="G667" s="42"/>
      <c r="H667" s="44"/>
      <c r="I667" s="50"/>
      <c r="J667" s="44"/>
      <c r="K667" s="44"/>
      <c r="L667" s="44" t="str">
        <f aca="false">CONCATENATE(H667,M667)</f>
        <v/>
      </c>
      <c r="M667" s="45" t="str">
        <f aca="false">IF(OR(ISBLANK(J667),ISBLANK(K667)),IF(OR(H667="ALI",H667="AIE"),"L",IF(ISBLANK(H667),"","A")),IF(H667="EE",IF(K667&gt;=3,IF(J667&gt;=5,"H","A"),IF(K667&gt;=2,IF(J667&gt;=16,"H",IF(J667&lt;=4,"L","A")),IF(J667&lt;=15,"L","A"))),IF(OR(H667="SE",H667="CE"),IF(K667&gt;=4,IF(J667&gt;=6,"H","A"),IF(K667&gt;=2,IF(J667&gt;=20,"H",IF(J667&lt;=5,"L","A")),IF(J667&lt;=19,"L","A"))),IF(OR(H667="ALI",H667="AIE"),IF(K667&gt;=6,IF(J667&gt;=20,"H","A"),IF(K667&gt;=2,IF(J667&gt;=51,"H",IF(J667&lt;=19,"L","A")),IF(J667&lt;=50,"L","A")))))))</f>
        <v/>
      </c>
      <c r="N667" s="46" t="str">
        <f aca="false">IF(M667="L","Baixa",IF(M667="A","Média",IF(M667="","","Alta")))</f>
        <v/>
      </c>
      <c r="O667" s="47" t="str">
        <f aca="false">IF(ISBLANK(H667),"",IF(H667="ALI",IF(M667="L",7,IF(M667="A",10,15)),IF(H667="AIE",IF(M667="L",5,IF(M667="A",7,10)),IF(H667="SE",IF(M667="L",4,IF(M667="A",5,7)),IF(OR(H667="EE",H667="CE"),IF(M667="L",3,IF(M667="A",4,6)))))))</f>
        <v/>
      </c>
      <c r="P667" s="48" t="str">
        <f aca="false">IF(I667="I",O667*Contagem!$W$15,IF(I667="E",O667*Contagem!$W$17,IF(I667="A",O667*Contagem!$W$16,IF(I667="T",O667*Contagem!$W$18,""))))</f>
        <v/>
      </c>
      <c r="Q667" s="49"/>
    </row>
    <row r="668" customFormat="false" ht="12" hidden="false" customHeight="true" outlineLevel="0" collapsed="false">
      <c r="A668" s="40" t="n">
        <f aca="false">IF(H668="",IF(C668="",A667,A667+1),A667)</f>
        <v>62</v>
      </c>
      <c r="B668" s="41" t="str">
        <f aca="false">IF(A668=A667,"",CONCATENATE("F",A668))</f>
        <v/>
      </c>
      <c r="C668" s="42"/>
      <c r="D668" s="42"/>
      <c r="E668" s="42"/>
      <c r="F668" s="42"/>
      <c r="G668" s="42"/>
      <c r="H668" s="44"/>
      <c r="I668" s="50"/>
      <c r="J668" s="44"/>
      <c r="K668" s="44"/>
      <c r="L668" s="44" t="str">
        <f aca="false">CONCATENATE(H668,M668)</f>
        <v/>
      </c>
      <c r="M668" s="45" t="str">
        <f aca="false">IF(OR(ISBLANK(J668),ISBLANK(K668)),IF(OR(H668="ALI",H668="AIE"),"L",IF(ISBLANK(H668),"","A")),IF(H668="EE",IF(K668&gt;=3,IF(J668&gt;=5,"H","A"),IF(K668&gt;=2,IF(J668&gt;=16,"H",IF(J668&lt;=4,"L","A")),IF(J668&lt;=15,"L","A"))),IF(OR(H668="SE",H668="CE"),IF(K668&gt;=4,IF(J668&gt;=6,"H","A"),IF(K668&gt;=2,IF(J668&gt;=20,"H",IF(J668&lt;=5,"L","A")),IF(J668&lt;=19,"L","A"))),IF(OR(H668="ALI",H668="AIE"),IF(K668&gt;=6,IF(J668&gt;=20,"H","A"),IF(K668&gt;=2,IF(J668&gt;=51,"H",IF(J668&lt;=19,"L","A")),IF(J668&lt;=50,"L","A")))))))</f>
        <v/>
      </c>
      <c r="N668" s="46" t="str">
        <f aca="false">IF(M668="L","Baixa",IF(M668="A","Média",IF(M668="","","Alta")))</f>
        <v/>
      </c>
      <c r="O668" s="47" t="str">
        <f aca="false">IF(ISBLANK(H668),"",IF(H668="ALI",IF(M668="L",7,IF(M668="A",10,15)),IF(H668="AIE",IF(M668="L",5,IF(M668="A",7,10)),IF(H668="SE",IF(M668="L",4,IF(M668="A",5,7)),IF(OR(H668="EE",H668="CE"),IF(M668="L",3,IF(M668="A",4,6)))))))</f>
        <v/>
      </c>
      <c r="P668" s="48" t="str">
        <f aca="false">IF(I668="I",O668*Contagem!$W$15,IF(I668="E",O668*Contagem!$W$17,IF(I668="A",O668*Contagem!$W$16,IF(I668="T",O668*Contagem!$W$18,""))))</f>
        <v/>
      </c>
      <c r="Q668" s="49"/>
    </row>
    <row r="669" customFormat="false" ht="12" hidden="false" customHeight="true" outlineLevel="0" collapsed="false">
      <c r="A669" s="40" t="n">
        <f aca="false">IF(H669="",IF(C669="",A668,A668+1),A668)</f>
        <v>62</v>
      </c>
      <c r="B669" s="41" t="str">
        <f aca="false">IF(A669=A668,"",CONCATENATE("F",A669))</f>
        <v/>
      </c>
      <c r="C669" s="42"/>
      <c r="D669" s="42"/>
      <c r="E669" s="42"/>
      <c r="F669" s="42"/>
      <c r="G669" s="42"/>
      <c r="H669" s="44"/>
      <c r="I669" s="50"/>
      <c r="J669" s="44"/>
      <c r="K669" s="44"/>
      <c r="L669" s="44" t="str">
        <f aca="false">CONCATENATE(H669,M669)</f>
        <v/>
      </c>
      <c r="M669" s="45" t="str">
        <f aca="false">IF(OR(ISBLANK(J669),ISBLANK(K669)),IF(OR(H669="ALI",H669="AIE"),"L",IF(ISBLANK(H669),"","A")),IF(H669="EE",IF(K669&gt;=3,IF(J669&gt;=5,"H","A"),IF(K669&gt;=2,IF(J669&gt;=16,"H",IF(J669&lt;=4,"L","A")),IF(J669&lt;=15,"L","A"))),IF(OR(H669="SE",H669="CE"),IF(K669&gt;=4,IF(J669&gt;=6,"H","A"),IF(K669&gt;=2,IF(J669&gt;=20,"H",IF(J669&lt;=5,"L","A")),IF(J669&lt;=19,"L","A"))),IF(OR(H669="ALI",H669="AIE"),IF(K669&gt;=6,IF(J669&gt;=20,"H","A"),IF(K669&gt;=2,IF(J669&gt;=51,"H",IF(J669&lt;=19,"L","A")),IF(J669&lt;=50,"L","A")))))))</f>
        <v/>
      </c>
      <c r="N669" s="46" t="str">
        <f aca="false">IF(M669="L","Baixa",IF(M669="A","Média",IF(M669="","","Alta")))</f>
        <v/>
      </c>
      <c r="O669" s="47" t="str">
        <f aca="false">IF(ISBLANK(H669),"",IF(H669="ALI",IF(M669="L",7,IF(M669="A",10,15)),IF(H669="AIE",IF(M669="L",5,IF(M669="A",7,10)),IF(H669="SE",IF(M669="L",4,IF(M669="A",5,7)),IF(OR(H669="EE",H669="CE"),IF(M669="L",3,IF(M669="A",4,6)))))))</f>
        <v/>
      </c>
      <c r="P669" s="48" t="str">
        <f aca="false">IF(I669="I",O669*Contagem!$W$15,IF(I669="E",O669*Contagem!$W$17,IF(I669="A",O669*Contagem!$W$16,IF(I669="T",O669*Contagem!$W$18,""))))</f>
        <v/>
      </c>
      <c r="Q669" s="49"/>
    </row>
    <row r="670" customFormat="false" ht="12" hidden="false" customHeight="true" outlineLevel="0" collapsed="false">
      <c r="A670" s="40" t="n">
        <f aca="false">IF(H670="",IF(C670="",A669,A669+1),A669)</f>
        <v>62</v>
      </c>
      <c r="B670" s="41" t="str">
        <f aca="false">IF(A670=A669,"",CONCATENATE("F",A670))</f>
        <v/>
      </c>
      <c r="C670" s="42"/>
      <c r="D670" s="42"/>
      <c r="E670" s="42"/>
      <c r="F670" s="42"/>
      <c r="G670" s="42"/>
      <c r="H670" s="44"/>
      <c r="I670" s="50"/>
      <c r="J670" s="44"/>
      <c r="K670" s="44"/>
      <c r="L670" s="44" t="str">
        <f aca="false">CONCATENATE(H670,M670)</f>
        <v/>
      </c>
      <c r="M670" s="45" t="str">
        <f aca="false">IF(OR(ISBLANK(J670),ISBLANK(K670)),IF(OR(H670="ALI",H670="AIE"),"L",IF(ISBLANK(H670),"","A")),IF(H670="EE",IF(K670&gt;=3,IF(J670&gt;=5,"H","A"),IF(K670&gt;=2,IF(J670&gt;=16,"H",IF(J670&lt;=4,"L","A")),IF(J670&lt;=15,"L","A"))),IF(OR(H670="SE",H670="CE"),IF(K670&gt;=4,IF(J670&gt;=6,"H","A"),IF(K670&gt;=2,IF(J670&gt;=20,"H",IF(J670&lt;=5,"L","A")),IF(J670&lt;=19,"L","A"))),IF(OR(H670="ALI",H670="AIE"),IF(K670&gt;=6,IF(J670&gt;=20,"H","A"),IF(K670&gt;=2,IF(J670&gt;=51,"H",IF(J670&lt;=19,"L","A")),IF(J670&lt;=50,"L","A")))))))</f>
        <v/>
      </c>
      <c r="N670" s="46" t="str">
        <f aca="false">IF(M670="L","Baixa",IF(M670="A","Média",IF(M670="","","Alta")))</f>
        <v/>
      </c>
      <c r="O670" s="47" t="str">
        <f aca="false">IF(ISBLANK(H670),"",IF(H670="ALI",IF(M670="L",7,IF(M670="A",10,15)),IF(H670="AIE",IF(M670="L",5,IF(M670="A",7,10)),IF(H670="SE",IF(M670="L",4,IF(M670="A",5,7)),IF(OR(H670="EE",H670="CE"),IF(M670="L",3,IF(M670="A",4,6)))))))</f>
        <v/>
      </c>
      <c r="P670" s="48" t="str">
        <f aca="false">IF(I670="I",O670*Contagem!$W$15,IF(I670="E",O670*Contagem!$W$17,IF(I670="A",O670*Contagem!$W$16,IF(I670="T",O670*Contagem!$W$18,""))))</f>
        <v/>
      </c>
      <c r="Q670" s="49"/>
    </row>
    <row r="671" customFormat="false" ht="12" hidden="false" customHeight="true" outlineLevel="0" collapsed="false">
      <c r="A671" s="40" t="n">
        <f aca="false">IF(H671="",IF(C671="",A670,A670+1),A670)</f>
        <v>62</v>
      </c>
      <c r="B671" s="41" t="str">
        <f aca="false">IF(A671=A670,"",CONCATENATE("F",A671))</f>
        <v/>
      </c>
      <c r="C671" s="42"/>
      <c r="D671" s="42"/>
      <c r="E671" s="42"/>
      <c r="F671" s="42"/>
      <c r="G671" s="42"/>
      <c r="H671" s="44"/>
      <c r="I671" s="50"/>
      <c r="J671" s="44"/>
      <c r="K671" s="44"/>
      <c r="L671" s="44" t="str">
        <f aca="false">CONCATENATE(H671,M671)</f>
        <v/>
      </c>
      <c r="M671" s="45" t="str">
        <f aca="false">IF(OR(ISBLANK(J671),ISBLANK(K671)),IF(OR(H671="ALI",H671="AIE"),"L",IF(ISBLANK(H671),"","A")),IF(H671="EE",IF(K671&gt;=3,IF(J671&gt;=5,"H","A"),IF(K671&gt;=2,IF(J671&gt;=16,"H",IF(J671&lt;=4,"L","A")),IF(J671&lt;=15,"L","A"))),IF(OR(H671="SE",H671="CE"),IF(K671&gt;=4,IF(J671&gt;=6,"H","A"),IF(K671&gt;=2,IF(J671&gt;=20,"H",IF(J671&lt;=5,"L","A")),IF(J671&lt;=19,"L","A"))),IF(OR(H671="ALI",H671="AIE"),IF(K671&gt;=6,IF(J671&gt;=20,"H","A"),IF(K671&gt;=2,IF(J671&gt;=51,"H",IF(J671&lt;=19,"L","A")),IF(J671&lt;=50,"L","A")))))))</f>
        <v/>
      </c>
      <c r="N671" s="46" t="str">
        <f aca="false">IF(M671="L","Baixa",IF(M671="A","Média",IF(M671="","","Alta")))</f>
        <v/>
      </c>
      <c r="O671" s="47" t="str">
        <f aca="false">IF(ISBLANK(H671),"",IF(H671="ALI",IF(M671="L",7,IF(M671="A",10,15)),IF(H671="AIE",IF(M671="L",5,IF(M671="A",7,10)),IF(H671="SE",IF(M671="L",4,IF(M671="A",5,7)),IF(OR(H671="EE",H671="CE"),IF(M671="L",3,IF(M671="A",4,6)))))))</f>
        <v/>
      </c>
      <c r="P671" s="48" t="str">
        <f aca="false">IF(I671="I",O671*Contagem!$W$15,IF(I671="E",O671*Contagem!$W$17,IF(I671="A",O671*Contagem!$W$16,IF(I671="T",O671*Contagem!$W$18,""))))</f>
        <v/>
      </c>
      <c r="Q671" s="49"/>
    </row>
    <row r="672" customFormat="false" ht="12" hidden="false" customHeight="true" outlineLevel="0" collapsed="false">
      <c r="A672" s="40" t="n">
        <f aca="false">IF(H672="",IF(C672="",A671,A671+1),A671)</f>
        <v>62</v>
      </c>
      <c r="B672" s="41" t="str">
        <f aca="false">IF(A672=A671,"",CONCATENATE("F",A672))</f>
        <v/>
      </c>
      <c r="C672" s="42"/>
      <c r="D672" s="42"/>
      <c r="E672" s="42"/>
      <c r="F672" s="42"/>
      <c r="G672" s="42"/>
      <c r="H672" s="44"/>
      <c r="I672" s="50"/>
      <c r="J672" s="44"/>
      <c r="K672" s="44"/>
      <c r="L672" s="44" t="str">
        <f aca="false">CONCATENATE(H672,M672)</f>
        <v/>
      </c>
      <c r="M672" s="45" t="str">
        <f aca="false">IF(OR(ISBLANK(J672),ISBLANK(K672)),IF(OR(H672="ALI",H672="AIE"),"L",IF(ISBLANK(H672),"","A")),IF(H672="EE",IF(K672&gt;=3,IF(J672&gt;=5,"H","A"),IF(K672&gt;=2,IF(J672&gt;=16,"H",IF(J672&lt;=4,"L","A")),IF(J672&lt;=15,"L","A"))),IF(OR(H672="SE",H672="CE"),IF(K672&gt;=4,IF(J672&gt;=6,"H","A"),IF(K672&gt;=2,IF(J672&gt;=20,"H",IF(J672&lt;=5,"L","A")),IF(J672&lt;=19,"L","A"))),IF(OR(H672="ALI",H672="AIE"),IF(K672&gt;=6,IF(J672&gt;=20,"H","A"),IF(K672&gt;=2,IF(J672&gt;=51,"H",IF(J672&lt;=19,"L","A")),IF(J672&lt;=50,"L","A")))))))</f>
        <v/>
      </c>
      <c r="N672" s="46" t="str">
        <f aca="false">IF(M672="L","Baixa",IF(M672="A","Média",IF(M672="","","Alta")))</f>
        <v/>
      </c>
      <c r="O672" s="47" t="str">
        <f aca="false">IF(ISBLANK(H672),"",IF(H672="ALI",IF(M672="L",7,IF(M672="A",10,15)),IF(H672="AIE",IF(M672="L",5,IF(M672="A",7,10)),IF(H672="SE",IF(M672="L",4,IF(M672="A",5,7)),IF(OR(H672="EE",H672="CE"),IF(M672="L",3,IF(M672="A",4,6)))))))</f>
        <v/>
      </c>
      <c r="P672" s="48" t="str">
        <f aca="false">IF(I672="I",O672*Contagem!$W$15,IF(I672="E",O672*Contagem!$W$17,IF(I672="A",O672*Contagem!$W$16,IF(I672="T",O672*Contagem!$W$18,""))))</f>
        <v/>
      </c>
      <c r="Q672" s="49"/>
    </row>
    <row r="673" customFormat="false" ht="12" hidden="false" customHeight="true" outlineLevel="0" collapsed="false">
      <c r="A673" s="40" t="n">
        <f aca="false">IF(H673="",IF(C673="",A672,A672+1),A672)</f>
        <v>62</v>
      </c>
      <c r="B673" s="41" t="str">
        <f aca="false">IF(A673=A672,"",CONCATENATE("F",A673))</f>
        <v/>
      </c>
      <c r="C673" s="42"/>
      <c r="D673" s="42"/>
      <c r="E673" s="42"/>
      <c r="F673" s="42"/>
      <c r="G673" s="42"/>
      <c r="H673" s="44"/>
      <c r="I673" s="50"/>
      <c r="J673" s="44"/>
      <c r="K673" s="44"/>
      <c r="L673" s="44" t="str">
        <f aca="false">CONCATENATE(H673,M673)</f>
        <v/>
      </c>
      <c r="M673" s="45" t="str">
        <f aca="false">IF(OR(ISBLANK(J673),ISBLANK(K673)),IF(OR(H673="ALI",H673="AIE"),"L",IF(ISBLANK(H673),"","A")),IF(H673="EE",IF(K673&gt;=3,IF(J673&gt;=5,"H","A"),IF(K673&gt;=2,IF(J673&gt;=16,"H",IF(J673&lt;=4,"L","A")),IF(J673&lt;=15,"L","A"))),IF(OR(H673="SE",H673="CE"),IF(K673&gt;=4,IF(J673&gt;=6,"H","A"),IF(K673&gt;=2,IF(J673&gt;=20,"H",IF(J673&lt;=5,"L","A")),IF(J673&lt;=19,"L","A"))),IF(OR(H673="ALI",H673="AIE"),IF(K673&gt;=6,IF(J673&gt;=20,"H","A"),IF(K673&gt;=2,IF(J673&gt;=51,"H",IF(J673&lt;=19,"L","A")),IF(J673&lt;=50,"L","A")))))))</f>
        <v/>
      </c>
      <c r="N673" s="46" t="str">
        <f aca="false">IF(M673="L","Baixa",IF(M673="A","Média",IF(M673="","","Alta")))</f>
        <v/>
      </c>
      <c r="O673" s="47" t="str">
        <f aca="false">IF(ISBLANK(H673),"",IF(H673="ALI",IF(M673="L",7,IF(M673="A",10,15)),IF(H673="AIE",IF(M673="L",5,IF(M673="A",7,10)),IF(H673="SE",IF(M673="L",4,IF(M673="A",5,7)),IF(OR(H673="EE",H673="CE"),IF(M673="L",3,IF(M673="A",4,6)))))))</f>
        <v/>
      </c>
      <c r="P673" s="48" t="str">
        <f aca="false">IF(I673="I",O673*Contagem!$W$15,IF(I673="E",O673*Contagem!$W$17,IF(I673="A",O673*Contagem!$W$16,IF(I673="T",O673*Contagem!$W$18,""))))</f>
        <v/>
      </c>
      <c r="Q673" s="49"/>
    </row>
    <row r="674" customFormat="false" ht="12" hidden="false" customHeight="true" outlineLevel="0" collapsed="false">
      <c r="A674" s="40" t="n">
        <f aca="false">IF(H674="",IF(C674="",A673,A673+1),A673)</f>
        <v>62</v>
      </c>
      <c r="B674" s="41" t="str">
        <f aca="false">IF(A674=A673,"",CONCATENATE("F",A674))</f>
        <v/>
      </c>
      <c r="C674" s="42"/>
      <c r="D674" s="42"/>
      <c r="E674" s="42"/>
      <c r="F674" s="42"/>
      <c r="G674" s="42"/>
      <c r="H674" s="44"/>
      <c r="I674" s="50"/>
      <c r="J674" s="44"/>
      <c r="K674" s="44"/>
      <c r="L674" s="44" t="str">
        <f aca="false">CONCATENATE(H674,M674)</f>
        <v/>
      </c>
      <c r="M674" s="45" t="str">
        <f aca="false">IF(OR(ISBLANK(J674),ISBLANK(K674)),IF(OR(H674="ALI",H674="AIE"),"L",IF(ISBLANK(H674),"","A")),IF(H674="EE",IF(K674&gt;=3,IF(J674&gt;=5,"H","A"),IF(K674&gt;=2,IF(J674&gt;=16,"H",IF(J674&lt;=4,"L","A")),IF(J674&lt;=15,"L","A"))),IF(OR(H674="SE",H674="CE"),IF(K674&gt;=4,IF(J674&gt;=6,"H","A"),IF(K674&gt;=2,IF(J674&gt;=20,"H",IF(J674&lt;=5,"L","A")),IF(J674&lt;=19,"L","A"))),IF(OR(H674="ALI",H674="AIE"),IF(K674&gt;=6,IF(J674&gt;=20,"H","A"),IF(K674&gt;=2,IF(J674&gt;=51,"H",IF(J674&lt;=19,"L","A")),IF(J674&lt;=50,"L","A")))))))</f>
        <v/>
      </c>
      <c r="N674" s="46" t="str">
        <f aca="false">IF(M674="L","Baixa",IF(M674="A","Média",IF(M674="","","Alta")))</f>
        <v/>
      </c>
      <c r="O674" s="47" t="str">
        <f aca="false">IF(ISBLANK(H674),"",IF(H674="ALI",IF(M674="L",7,IF(M674="A",10,15)),IF(H674="AIE",IF(M674="L",5,IF(M674="A",7,10)),IF(H674="SE",IF(M674="L",4,IF(M674="A",5,7)),IF(OR(H674="EE",H674="CE"),IF(M674="L",3,IF(M674="A",4,6)))))))</f>
        <v/>
      </c>
      <c r="P674" s="48" t="str">
        <f aca="false">IF(I674="I",O674*Contagem!$W$15,IF(I674="E",O674*Contagem!$W$17,IF(I674="A",O674*Contagem!$W$16,IF(I674="T",O674*Contagem!$W$18,""))))</f>
        <v/>
      </c>
      <c r="Q674" s="49"/>
    </row>
    <row r="675" customFormat="false" ht="12" hidden="false" customHeight="true" outlineLevel="0" collapsed="false">
      <c r="A675" s="40" t="n">
        <f aca="false">IF(H675="",IF(C675="",A674,A674+1),A674)</f>
        <v>62</v>
      </c>
      <c r="B675" s="41" t="str">
        <f aca="false">IF(A675=A674,"",CONCATENATE("F",A675))</f>
        <v/>
      </c>
      <c r="C675" s="42"/>
      <c r="D675" s="42"/>
      <c r="E675" s="42"/>
      <c r="F675" s="42"/>
      <c r="G675" s="42"/>
      <c r="H675" s="44"/>
      <c r="I675" s="50"/>
      <c r="J675" s="44"/>
      <c r="K675" s="44"/>
      <c r="L675" s="44" t="str">
        <f aca="false">CONCATENATE(H675,M675)</f>
        <v/>
      </c>
      <c r="M675" s="45" t="str">
        <f aca="false">IF(OR(ISBLANK(J675),ISBLANK(K675)),IF(OR(H675="ALI",H675="AIE"),"L",IF(ISBLANK(H675),"","A")),IF(H675="EE",IF(K675&gt;=3,IF(J675&gt;=5,"H","A"),IF(K675&gt;=2,IF(J675&gt;=16,"H",IF(J675&lt;=4,"L","A")),IF(J675&lt;=15,"L","A"))),IF(OR(H675="SE",H675="CE"),IF(K675&gt;=4,IF(J675&gt;=6,"H","A"),IF(K675&gt;=2,IF(J675&gt;=20,"H",IF(J675&lt;=5,"L","A")),IF(J675&lt;=19,"L","A"))),IF(OR(H675="ALI",H675="AIE"),IF(K675&gt;=6,IF(J675&gt;=20,"H","A"),IF(K675&gt;=2,IF(J675&gt;=51,"H",IF(J675&lt;=19,"L","A")),IF(J675&lt;=50,"L","A")))))))</f>
        <v/>
      </c>
      <c r="N675" s="46" t="str">
        <f aca="false">IF(M675="L","Baixa",IF(M675="A","Média",IF(M675="","","Alta")))</f>
        <v/>
      </c>
      <c r="O675" s="47" t="str">
        <f aca="false">IF(ISBLANK(H675),"",IF(H675="ALI",IF(M675="L",7,IF(M675="A",10,15)),IF(H675="AIE",IF(M675="L",5,IF(M675="A",7,10)),IF(H675="SE",IF(M675="L",4,IF(M675="A",5,7)),IF(OR(H675="EE",H675="CE"),IF(M675="L",3,IF(M675="A",4,6)))))))</f>
        <v/>
      </c>
      <c r="P675" s="48" t="str">
        <f aca="false">IF(I675="I",O675*Contagem!$W$15,IF(I675="E",O675*Contagem!$W$17,IF(I675="A",O675*Contagem!$W$16,IF(I675="T",O675*Contagem!$W$18,""))))</f>
        <v/>
      </c>
      <c r="Q675" s="49"/>
    </row>
    <row r="676" customFormat="false" ht="12" hidden="false" customHeight="true" outlineLevel="0" collapsed="false">
      <c r="A676" s="40" t="n">
        <f aca="false">IF(H676="",IF(C676="",A675,A675+1),A675)</f>
        <v>62</v>
      </c>
      <c r="B676" s="41" t="str">
        <f aca="false">IF(A676=A675,"",CONCATENATE("F",A676))</f>
        <v/>
      </c>
      <c r="C676" s="42"/>
      <c r="D676" s="42"/>
      <c r="E676" s="42"/>
      <c r="F676" s="42"/>
      <c r="G676" s="42"/>
      <c r="H676" s="44"/>
      <c r="I676" s="50"/>
      <c r="J676" s="44"/>
      <c r="K676" s="44"/>
      <c r="L676" s="44" t="str">
        <f aca="false">CONCATENATE(H676,M676)</f>
        <v/>
      </c>
      <c r="M676" s="45" t="str">
        <f aca="false">IF(OR(ISBLANK(J676),ISBLANK(K676)),IF(OR(H676="ALI",H676="AIE"),"L",IF(ISBLANK(H676),"","A")),IF(H676="EE",IF(K676&gt;=3,IF(J676&gt;=5,"H","A"),IF(K676&gt;=2,IF(J676&gt;=16,"H",IF(J676&lt;=4,"L","A")),IF(J676&lt;=15,"L","A"))),IF(OR(H676="SE",H676="CE"),IF(K676&gt;=4,IF(J676&gt;=6,"H","A"),IF(K676&gt;=2,IF(J676&gt;=20,"H",IF(J676&lt;=5,"L","A")),IF(J676&lt;=19,"L","A"))),IF(OR(H676="ALI",H676="AIE"),IF(K676&gt;=6,IF(J676&gt;=20,"H","A"),IF(K676&gt;=2,IF(J676&gt;=51,"H",IF(J676&lt;=19,"L","A")),IF(J676&lt;=50,"L","A")))))))</f>
        <v/>
      </c>
      <c r="N676" s="46" t="str">
        <f aca="false">IF(M676="L","Baixa",IF(M676="A","Média",IF(M676="","","Alta")))</f>
        <v/>
      </c>
      <c r="O676" s="47" t="str">
        <f aca="false">IF(ISBLANK(H676),"",IF(H676="ALI",IF(M676="L",7,IF(M676="A",10,15)),IF(H676="AIE",IF(M676="L",5,IF(M676="A",7,10)),IF(H676="SE",IF(M676="L",4,IF(M676="A",5,7)),IF(OR(H676="EE",H676="CE"),IF(M676="L",3,IF(M676="A",4,6)))))))</f>
        <v/>
      </c>
      <c r="P676" s="48" t="str">
        <f aca="false">IF(I676="I",O676*Contagem!$W$15,IF(I676="E",O676*Contagem!$W$17,IF(I676="A",O676*Contagem!$W$16,IF(I676="T",O676*Contagem!$W$18,""))))</f>
        <v/>
      </c>
      <c r="Q676" s="49"/>
    </row>
    <row r="677" customFormat="false" ht="12" hidden="false" customHeight="true" outlineLevel="0" collapsed="false">
      <c r="A677" s="40" t="n">
        <f aca="false">IF(H677="",IF(C677="",A676,A676+1),A676)</f>
        <v>62</v>
      </c>
      <c r="B677" s="41" t="str">
        <f aca="false">IF(A677=A676,"",CONCATENATE("F",A677))</f>
        <v/>
      </c>
      <c r="C677" s="42"/>
      <c r="D677" s="42"/>
      <c r="E677" s="42"/>
      <c r="F677" s="42"/>
      <c r="G677" s="42"/>
      <c r="H677" s="44"/>
      <c r="I677" s="50"/>
      <c r="J677" s="44"/>
      <c r="K677" s="44"/>
      <c r="L677" s="44" t="str">
        <f aca="false">CONCATENATE(H677,M677)</f>
        <v/>
      </c>
      <c r="M677" s="45" t="str">
        <f aca="false">IF(OR(ISBLANK(J677),ISBLANK(K677)),IF(OR(H677="ALI",H677="AIE"),"L",IF(ISBLANK(H677),"","A")),IF(H677="EE",IF(K677&gt;=3,IF(J677&gt;=5,"H","A"),IF(K677&gt;=2,IF(J677&gt;=16,"H",IF(J677&lt;=4,"L","A")),IF(J677&lt;=15,"L","A"))),IF(OR(H677="SE",H677="CE"),IF(K677&gt;=4,IF(J677&gt;=6,"H","A"),IF(K677&gt;=2,IF(J677&gt;=20,"H",IF(J677&lt;=5,"L","A")),IF(J677&lt;=19,"L","A"))),IF(OR(H677="ALI",H677="AIE"),IF(K677&gt;=6,IF(J677&gt;=20,"H","A"),IF(K677&gt;=2,IF(J677&gt;=51,"H",IF(J677&lt;=19,"L","A")),IF(J677&lt;=50,"L","A")))))))</f>
        <v/>
      </c>
      <c r="N677" s="46" t="str">
        <f aca="false">IF(M677="L","Baixa",IF(M677="A","Média",IF(M677="","","Alta")))</f>
        <v/>
      </c>
      <c r="O677" s="47" t="str">
        <f aca="false">IF(ISBLANK(H677),"",IF(H677="ALI",IF(M677="L",7,IF(M677="A",10,15)),IF(H677="AIE",IF(M677="L",5,IF(M677="A",7,10)),IF(H677="SE",IF(M677="L",4,IF(M677="A",5,7)),IF(OR(H677="EE",H677="CE"),IF(M677="L",3,IF(M677="A",4,6)))))))</f>
        <v/>
      </c>
      <c r="P677" s="48" t="str">
        <f aca="false">IF(I677="I",O677*Contagem!$W$15,IF(I677="E",O677*Contagem!$W$17,IF(I677="A",O677*Contagem!$W$16,IF(I677="T",O677*Contagem!$W$18,""))))</f>
        <v/>
      </c>
      <c r="Q677" s="49"/>
    </row>
    <row r="678" customFormat="false" ht="12" hidden="false" customHeight="true" outlineLevel="0" collapsed="false">
      <c r="A678" s="40" t="n">
        <f aca="false">IF(H678="",IF(C678="",A677,A677+1),A677)</f>
        <v>62</v>
      </c>
      <c r="B678" s="41" t="str">
        <f aca="false">IF(A678=A677,"",CONCATENATE("F",A678))</f>
        <v/>
      </c>
      <c r="C678" s="42"/>
      <c r="D678" s="42"/>
      <c r="E678" s="42"/>
      <c r="F678" s="42"/>
      <c r="G678" s="42"/>
      <c r="H678" s="44"/>
      <c r="I678" s="50"/>
      <c r="J678" s="44"/>
      <c r="K678" s="44"/>
      <c r="L678" s="44" t="str">
        <f aca="false">CONCATENATE(H678,M678)</f>
        <v/>
      </c>
      <c r="M678" s="45" t="str">
        <f aca="false">IF(OR(ISBLANK(J678),ISBLANK(K678)),IF(OR(H678="ALI",H678="AIE"),"L",IF(ISBLANK(H678),"","A")),IF(H678="EE",IF(K678&gt;=3,IF(J678&gt;=5,"H","A"),IF(K678&gt;=2,IF(J678&gt;=16,"H",IF(J678&lt;=4,"L","A")),IF(J678&lt;=15,"L","A"))),IF(OR(H678="SE",H678="CE"),IF(K678&gt;=4,IF(J678&gt;=6,"H","A"),IF(K678&gt;=2,IF(J678&gt;=20,"H",IF(J678&lt;=5,"L","A")),IF(J678&lt;=19,"L","A"))),IF(OR(H678="ALI",H678="AIE"),IF(K678&gt;=6,IF(J678&gt;=20,"H","A"),IF(K678&gt;=2,IF(J678&gt;=51,"H",IF(J678&lt;=19,"L","A")),IF(J678&lt;=50,"L","A")))))))</f>
        <v/>
      </c>
      <c r="N678" s="46" t="str">
        <f aca="false">IF(M678="L","Baixa",IF(M678="A","Média",IF(M678="","","Alta")))</f>
        <v/>
      </c>
      <c r="O678" s="47" t="str">
        <f aca="false">IF(ISBLANK(H678),"",IF(H678="ALI",IF(M678="L",7,IF(M678="A",10,15)),IF(H678="AIE",IF(M678="L",5,IF(M678="A",7,10)),IF(H678="SE",IF(M678="L",4,IF(M678="A",5,7)),IF(OR(H678="EE",H678="CE"),IF(M678="L",3,IF(M678="A",4,6)))))))</f>
        <v/>
      </c>
      <c r="P678" s="48" t="str">
        <f aca="false">IF(I678="I",O678*Contagem!$W$15,IF(I678="E",O678*Contagem!$W$17,IF(I678="A",O678*Contagem!$W$16,IF(I678="T",O678*Contagem!$W$18,""))))</f>
        <v/>
      </c>
      <c r="Q678" s="49"/>
    </row>
    <row r="679" customFormat="false" ht="12" hidden="false" customHeight="true" outlineLevel="0" collapsed="false">
      <c r="A679" s="40" t="n">
        <f aca="false">IF(H679="",IF(C679="",A678,A678+1),A678)</f>
        <v>62</v>
      </c>
      <c r="B679" s="41" t="str">
        <f aca="false">IF(A679=A678,"",CONCATENATE("F",A679))</f>
        <v/>
      </c>
      <c r="C679" s="42"/>
      <c r="D679" s="42"/>
      <c r="E679" s="42"/>
      <c r="F679" s="42"/>
      <c r="G679" s="42"/>
      <c r="H679" s="44"/>
      <c r="I679" s="50"/>
      <c r="J679" s="44"/>
      <c r="K679" s="44"/>
      <c r="L679" s="44" t="str">
        <f aca="false">CONCATENATE(H679,M679)</f>
        <v/>
      </c>
      <c r="M679" s="45" t="str">
        <f aca="false">IF(OR(ISBLANK(J679),ISBLANK(K679)),IF(OR(H679="ALI",H679="AIE"),"L",IF(ISBLANK(H679),"","A")),IF(H679="EE",IF(K679&gt;=3,IF(J679&gt;=5,"H","A"),IF(K679&gt;=2,IF(J679&gt;=16,"H",IF(J679&lt;=4,"L","A")),IF(J679&lt;=15,"L","A"))),IF(OR(H679="SE",H679="CE"),IF(K679&gt;=4,IF(J679&gt;=6,"H","A"),IF(K679&gt;=2,IF(J679&gt;=20,"H",IF(J679&lt;=5,"L","A")),IF(J679&lt;=19,"L","A"))),IF(OR(H679="ALI",H679="AIE"),IF(K679&gt;=6,IF(J679&gt;=20,"H","A"),IF(K679&gt;=2,IF(J679&gt;=51,"H",IF(J679&lt;=19,"L","A")),IF(J679&lt;=50,"L","A")))))))</f>
        <v/>
      </c>
      <c r="N679" s="46" t="str">
        <f aca="false">IF(M679="L","Baixa",IF(M679="A","Média",IF(M679="","","Alta")))</f>
        <v/>
      </c>
      <c r="O679" s="47" t="str">
        <f aca="false">IF(ISBLANK(H679),"",IF(H679="ALI",IF(M679="L",7,IF(M679="A",10,15)),IF(H679="AIE",IF(M679="L",5,IF(M679="A",7,10)),IF(H679="SE",IF(M679="L",4,IF(M679="A",5,7)),IF(OR(H679="EE",H679="CE"),IF(M679="L",3,IF(M679="A",4,6)))))))</f>
        <v/>
      </c>
      <c r="P679" s="48" t="str">
        <f aca="false">IF(I679="I",O679*Contagem!$W$15,IF(I679="E",O679*Contagem!$W$17,IF(I679="A",O679*Contagem!$W$16,IF(I679="T",O679*Contagem!$W$18,""))))</f>
        <v/>
      </c>
      <c r="Q679" s="49"/>
    </row>
    <row r="680" customFormat="false" ht="12" hidden="false" customHeight="true" outlineLevel="0" collapsed="false">
      <c r="A680" s="40" t="n">
        <f aca="false">IF(H680="",IF(C680="",A679,A679+1),A679)</f>
        <v>62</v>
      </c>
      <c r="B680" s="41" t="str">
        <f aca="false">IF(A680=A679,"",CONCATENATE("F",A680))</f>
        <v/>
      </c>
      <c r="C680" s="42"/>
      <c r="D680" s="42"/>
      <c r="E680" s="42"/>
      <c r="F680" s="42"/>
      <c r="G680" s="42"/>
      <c r="H680" s="44"/>
      <c r="I680" s="50"/>
      <c r="J680" s="44"/>
      <c r="K680" s="44"/>
      <c r="L680" s="44" t="str">
        <f aca="false">CONCATENATE(H680,M680)</f>
        <v/>
      </c>
      <c r="M680" s="45" t="str">
        <f aca="false">IF(OR(ISBLANK(J680),ISBLANK(K680)),IF(OR(H680="ALI",H680="AIE"),"L",IF(ISBLANK(H680),"","A")),IF(H680="EE",IF(K680&gt;=3,IF(J680&gt;=5,"H","A"),IF(K680&gt;=2,IF(J680&gt;=16,"H",IF(J680&lt;=4,"L","A")),IF(J680&lt;=15,"L","A"))),IF(OR(H680="SE",H680="CE"),IF(K680&gt;=4,IF(J680&gt;=6,"H","A"),IF(K680&gt;=2,IF(J680&gt;=20,"H",IF(J680&lt;=5,"L","A")),IF(J680&lt;=19,"L","A"))),IF(OR(H680="ALI",H680="AIE"),IF(K680&gt;=6,IF(J680&gt;=20,"H","A"),IF(K680&gt;=2,IF(J680&gt;=51,"H",IF(J680&lt;=19,"L","A")),IF(J680&lt;=50,"L","A")))))))</f>
        <v/>
      </c>
      <c r="N680" s="46" t="str">
        <f aca="false">IF(M680="L","Baixa",IF(M680="A","Média",IF(M680="","","Alta")))</f>
        <v/>
      </c>
      <c r="O680" s="47" t="str">
        <f aca="false">IF(ISBLANK(H680),"",IF(H680="ALI",IF(M680="L",7,IF(M680="A",10,15)),IF(H680="AIE",IF(M680="L",5,IF(M680="A",7,10)),IF(H680="SE",IF(M680="L",4,IF(M680="A",5,7)),IF(OR(H680="EE",H680="CE"),IF(M680="L",3,IF(M680="A",4,6)))))))</f>
        <v/>
      </c>
      <c r="P680" s="48" t="str">
        <f aca="false">IF(I680="I",O680*Contagem!$W$15,IF(I680="E",O680*Contagem!$W$17,IF(I680="A",O680*Contagem!$W$16,IF(I680="T",O680*Contagem!$W$18,""))))</f>
        <v/>
      </c>
      <c r="Q680" s="49"/>
    </row>
    <row r="681" customFormat="false" ht="12" hidden="false" customHeight="true" outlineLevel="0" collapsed="false">
      <c r="A681" s="40" t="n">
        <f aca="false">IF(H681="",IF(C681="",A680,A680+1),A680)</f>
        <v>62</v>
      </c>
      <c r="B681" s="41" t="str">
        <f aca="false">IF(A681=A680,"",CONCATENATE("F",A681))</f>
        <v/>
      </c>
      <c r="C681" s="42"/>
      <c r="D681" s="42"/>
      <c r="E681" s="42"/>
      <c r="F681" s="42"/>
      <c r="G681" s="42"/>
      <c r="H681" s="44"/>
      <c r="I681" s="50"/>
      <c r="J681" s="44"/>
      <c r="K681" s="44"/>
      <c r="L681" s="44" t="str">
        <f aca="false">CONCATENATE(H681,M681)</f>
        <v/>
      </c>
      <c r="M681" s="45" t="str">
        <f aca="false">IF(OR(ISBLANK(J681),ISBLANK(K681)),IF(OR(H681="ALI",H681="AIE"),"L",IF(ISBLANK(H681),"","A")),IF(H681="EE",IF(K681&gt;=3,IF(J681&gt;=5,"H","A"),IF(K681&gt;=2,IF(J681&gt;=16,"H",IF(J681&lt;=4,"L","A")),IF(J681&lt;=15,"L","A"))),IF(OR(H681="SE",H681="CE"),IF(K681&gt;=4,IF(J681&gt;=6,"H","A"),IF(K681&gt;=2,IF(J681&gt;=20,"H",IF(J681&lt;=5,"L","A")),IF(J681&lt;=19,"L","A"))),IF(OR(H681="ALI",H681="AIE"),IF(K681&gt;=6,IF(J681&gt;=20,"H","A"),IF(K681&gt;=2,IF(J681&gt;=51,"H",IF(J681&lt;=19,"L","A")),IF(J681&lt;=50,"L","A")))))))</f>
        <v/>
      </c>
      <c r="N681" s="46" t="str">
        <f aca="false">IF(M681="L","Baixa",IF(M681="A","Média",IF(M681="","","Alta")))</f>
        <v/>
      </c>
      <c r="O681" s="47" t="str">
        <f aca="false">IF(ISBLANK(H681),"",IF(H681="ALI",IF(M681="L",7,IF(M681="A",10,15)),IF(H681="AIE",IF(M681="L",5,IF(M681="A",7,10)),IF(H681="SE",IF(M681="L",4,IF(M681="A",5,7)),IF(OR(H681="EE",H681="CE"),IF(M681="L",3,IF(M681="A",4,6)))))))</f>
        <v/>
      </c>
      <c r="P681" s="48" t="str">
        <f aca="false">IF(I681="I",O681*Contagem!$W$15,IF(I681="E",O681*Contagem!$W$17,IF(I681="A",O681*Contagem!$W$16,IF(I681="T",O681*Contagem!$W$18,""))))</f>
        <v/>
      </c>
      <c r="Q681" s="49"/>
    </row>
    <row r="682" customFormat="false" ht="12" hidden="false" customHeight="true" outlineLevel="0" collapsed="false">
      <c r="A682" s="40" t="n">
        <f aca="false">IF(H682="",IF(C682="",A681,A681+1),A681)</f>
        <v>62</v>
      </c>
      <c r="B682" s="41" t="str">
        <f aca="false">IF(A682=A681,"",CONCATENATE("F",A682))</f>
        <v/>
      </c>
      <c r="C682" s="42"/>
      <c r="D682" s="42"/>
      <c r="E682" s="42"/>
      <c r="F682" s="42"/>
      <c r="G682" s="42"/>
      <c r="H682" s="44"/>
      <c r="I682" s="50"/>
      <c r="J682" s="44"/>
      <c r="K682" s="44"/>
      <c r="L682" s="44" t="str">
        <f aca="false">CONCATENATE(H682,M682)</f>
        <v/>
      </c>
      <c r="M682" s="45" t="str">
        <f aca="false">IF(OR(ISBLANK(J682),ISBLANK(K682)),IF(OR(H682="ALI",H682="AIE"),"L",IF(ISBLANK(H682),"","A")),IF(H682="EE",IF(K682&gt;=3,IF(J682&gt;=5,"H","A"),IF(K682&gt;=2,IF(J682&gt;=16,"H",IF(J682&lt;=4,"L","A")),IF(J682&lt;=15,"L","A"))),IF(OR(H682="SE",H682="CE"),IF(K682&gt;=4,IF(J682&gt;=6,"H","A"),IF(K682&gt;=2,IF(J682&gt;=20,"H",IF(J682&lt;=5,"L","A")),IF(J682&lt;=19,"L","A"))),IF(OR(H682="ALI",H682="AIE"),IF(K682&gt;=6,IF(J682&gt;=20,"H","A"),IF(K682&gt;=2,IF(J682&gt;=51,"H",IF(J682&lt;=19,"L","A")),IF(J682&lt;=50,"L","A")))))))</f>
        <v/>
      </c>
      <c r="N682" s="46" t="str">
        <f aca="false">IF(M682="L","Baixa",IF(M682="A","Média",IF(M682="","","Alta")))</f>
        <v/>
      </c>
      <c r="O682" s="47" t="str">
        <f aca="false">IF(ISBLANK(H682),"",IF(H682="ALI",IF(M682="L",7,IF(M682="A",10,15)),IF(H682="AIE",IF(M682="L",5,IF(M682="A",7,10)),IF(H682="SE",IF(M682="L",4,IF(M682="A",5,7)),IF(OR(H682="EE",H682="CE"),IF(M682="L",3,IF(M682="A",4,6)))))))</f>
        <v/>
      </c>
      <c r="P682" s="48" t="str">
        <f aca="false">IF(I682="I",O682*Contagem!$W$15,IF(I682="E",O682*Contagem!$W$17,IF(I682="A",O682*Contagem!$W$16,IF(I682="T",O682*Contagem!$W$18,""))))</f>
        <v/>
      </c>
      <c r="Q682" s="49"/>
    </row>
    <row r="683" customFormat="false" ht="12" hidden="false" customHeight="true" outlineLevel="0" collapsed="false">
      <c r="A683" s="40" t="n">
        <f aca="false">IF(H683="",IF(C683="",A682,A682+1),A682)</f>
        <v>62</v>
      </c>
      <c r="B683" s="41" t="str">
        <f aca="false">IF(A683=A682,"",CONCATENATE("F",A683))</f>
        <v/>
      </c>
      <c r="C683" s="42"/>
      <c r="D683" s="42"/>
      <c r="E683" s="42"/>
      <c r="F683" s="42"/>
      <c r="G683" s="42"/>
      <c r="H683" s="44"/>
      <c r="I683" s="50"/>
      <c r="J683" s="44"/>
      <c r="K683" s="44"/>
      <c r="L683" s="44" t="str">
        <f aca="false">CONCATENATE(H683,M683)</f>
        <v/>
      </c>
      <c r="M683" s="45" t="str">
        <f aca="false">IF(OR(ISBLANK(J683),ISBLANK(K683)),IF(OR(H683="ALI",H683="AIE"),"L",IF(ISBLANK(H683),"","A")),IF(H683="EE",IF(K683&gt;=3,IF(J683&gt;=5,"H","A"),IF(K683&gt;=2,IF(J683&gt;=16,"H",IF(J683&lt;=4,"L","A")),IF(J683&lt;=15,"L","A"))),IF(OR(H683="SE",H683="CE"),IF(K683&gt;=4,IF(J683&gt;=6,"H","A"),IF(K683&gt;=2,IF(J683&gt;=20,"H",IF(J683&lt;=5,"L","A")),IF(J683&lt;=19,"L","A"))),IF(OR(H683="ALI",H683="AIE"),IF(K683&gt;=6,IF(J683&gt;=20,"H","A"),IF(K683&gt;=2,IF(J683&gt;=51,"H",IF(J683&lt;=19,"L","A")),IF(J683&lt;=50,"L","A")))))))</f>
        <v/>
      </c>
      <c r="N683" s="46" t="str">
        <f aca="false">IF(M683="L","Baixa",IF(M683="A","Média",IF(M683="","","Alta")))</f>
        <v/>
      </c>
      <c r="O683" s="47" t="str">
        <f aca="false">IF(ISBLANK(H683),"",IF(H683="ALI",IF(M683="L",7,IF(M683="A",10,15)),IF(H683="AIE",IF(M683="L",5,IF(M683="A",7,10)),IF(H683="SE",IF(M683="L",4,IF(M683="A",5,7)),IF(OR(H683="EE",H683="CE"),IF(M683="L",3,IF(M683="A",4,6)))))))</f>
        <v/>
      </c>
      <c r="P683" s="48" t="str">
        <f aca="false">IF(I683="I",O683*Contagem!$W$15,IF(I683="E",O683*Contagem!$W$17,IF(I683="A",O683*Contagem!$W$16,IF(I683="T",O683*Contagem!$W$18,""))))</f>
        <v/>
      </c>
      <c r="Q683" s="49"/>
    </row>
    <row r="684" customFormat="false" ht="12" hidden="false" customHeight="true" outlineLevel="0" collapsed="false">
      <c r="A684" s="40" t="n">
        <f aca="false">IF(H684="",IF(C684="",A683,A683+1),A683)</f>
        <v>62</v>
      </c>
      <c r="B684" s="41" t="str">
        <f aca="false">IF(A684=A683,"",CONCATENATE("F",A684))</f>
        <v/>
      </c>
      <c r="C684" s="42"/>
      <c r="D684" s="42"/>
      <c r="E684" s="42"/>
      <c r="F684" s="42"/>
      <c r="G684" s="42"/>
      <c r="H684" s="44"/>
      <c r="I684" s="50"/>
      <c r="J684" s="44"/>
      <c r="K684" s="44"/>
      <c r="L684" s="44" t="str">
        <f aca="false">CONCATENATE(H684,M684)</f>
        <v/>
      </c>
      <c r="M684" s="45" t="str">
        <f aca="false">IF(OR(ISBLANK(J684),ISBLANK(K684)),IF(OR(H684="ALI",H684="AIE"),"L",IF(ISBLANK(H684),"","A")),IF(H684="EE",IF(K684&gt;=3,IF(J684&gt;=5,"H","A"),IF(K684&gt;=2,IF(J684&gt;=16,"H",IF(J684&lt;=4,"L","A")),IF(J684&lt;=15,"L","A"))),IF(OR(H684="SE",H684="CE"),IF(K684&gt;=4,IF(J684&gt;=6,"H","A"),IF(K684&gt;=2,IF(J684&gt;=20,"H",IF(J684&lt;=5,"L","A")),IF(J684&lt;=19,"L","A"))),IF(OR(H684="ALI",H684="AIE"),IF(K684&gt;=6,IF(J684&gt;=20,"H","A"),IF(K684&gt;=2,IF(J684&gt;=51,"H",IF(J684&lt;=19,"L","A")),IF(J684&lt;=50,"L","A")))))))</f>
        <v/>
      </c>
      <c r="N684" s="46" t="str">
        <f aca="false">IF(M684="L","Baixa",IF(M684="A","Média",IF(M684="","","Alta")))</f>
        <v/>
      </c>
      <c r="O684" s="47" t="str">
        <f aca="false">IF(ISBLANK(H684),"",IF(H684="ALI",IF(M684="L",7,IF(M684="A",10,15)),IF(H684="AIE",IF(M684="L",5,IF(M684="A",7,10)),IF(H684="SE",IF(M684="L",4,IF(M684="A",5,7)),IF(OR(H684="EE",H684="CE"),IF(M684="L",3,IF(M684="A",4,6)))))))</f>
        <v/>
      </c>
      <c r="P684" s="48" t="str">
        <f aca="false">IF(I684="I",O684*Contagem!$W$15,IF(I684="E",O684*Contagem!$W$17,IF(I684="A",O684*Contagem!$W$16,IF(I684="T",O684*Contagem!$W$18,""))))</f>
        <v/>
      </c>
      <c r="Q684" s="49"/>
    </row>
    <row r="685" customFormat="false" ht="12" hidden="false" customHeight="true" outlineLevel="0" collapsed="false">
      <c r="A685" s="40" t="n">
        <f aca="false">IF(H685="",IF(C685="",A684,A684+1),A684)</f>
        <v>62</v>
      </c>
      <c r="B685" s="41" t="str">
        <f aca="false">IF(A685=A684,"",CONCATENATE("F",A685))</f>
        <v/>
      </c>
      <c r="C685" s="42"/>
      <c r="D685" s="42"/>
      <c r="E685" s="42"/>
      <c r="F685" s="42"/>
      <c r="G685" s="42"/>
      <c r="H685" s="44"/>
      <c r="I685" s="50"/>
      <c r="J685" s="44"/>
      <c r="K685" s="44"/>
      <c r="L685" s="44" t="str">
        <f aca="false">CONCATENATE(H685,M685)</f>
        <v/>
      </c>
      <c r="M685" s="45" t="str">
        <f aca="false">IF(OR(ISBLANK(J685),ISBLANK(K685)),IF(OR(H685="ALI",H685="AIE"),"L",IF(ISBLANK(H685),"","A")),IF(H685="EE",IF(K685&gt;=3,IF(J685&gt;=5,"H","A"),IF(K685&gt;=2,IF(J685&gt;=16,"H",IF(J685&lt;=4,"L","A")),IF(J685&lt;=15,"L","A"))),IF(OR(H685="SE",H685="CE"),IF(K685&gt;=4,IF(J685&gt;=6,"H","A"),IF(K685&gt;=2,IF(J685&gt;=20,"H",IF(J685&lt;=5,"L","A")),IF(J685&lt;=19,"L","A"))),IF(OR(H685="ALI",H685="AIE"),IF(K685&gt;=6,IF(J685&gt;=20,"H","A"),IF(K685&gt;=2,IF(J685&gt;=51,"H",IF(J685&lt;=19,"L","A")),IF(J685&lt;=50,"L","A")))))))</f>
        <v/>
      </c>
      <c r="N685" s="46" t="str">
        <f aca="false">IF(M685="L","Baixa",IF(M685="A","Média",IF(M685="","","Alta")))</f>
        <v/>
      </c>
      <c r="O685" s="47" t="str">
        <f aca="false">IF(ISBLANK(H685),"",IF(H685="ALI",IF(M685="L",7,IF(M685="A",10,15)),IF(H685="AIE",IF(M685="L",5,IF(M685="A",7,10)),IF(H685="SE",IF(M685="L",4,IF(M685="A",5,7)),IF(OR(H685="EE",H685="CE"),IF(M685="L",3,IF(M685="A",4,6)))))))</f>
        <v/>
      </c>
      <c r="P685" s="48" t="str">
        <f aca="false">IF(I685="I",O685*Contagem!$W$15,IF(I685="E",O685*Contagem!$W$17,IF(I685="A",O685*Contagem!$W$16,IF(I685="T",O685*Contagem!$W$18,""))))</f>
        <v/>
      </c>
      <c r="Q685" s="49"/>
    </row>
    <row r="686" customFormat="false" ht="12" hidden="false" customHeight="true" outlineLevel="0" collapsed="false">
      <c r="A686" s="40" t="n">
        <f aca="false">IF(H686="",IF(C686="",A685,A685+1),A685)</f>
        <v>62</v>
      </c>
      <c r="B686" s="41" t="str">
        <f aca="false">IF(A686=A685,"",CONCATENATE("F",A686))</f>
        <v/>
      </c>
      <c r="C686" s="42"/>
      <c r="D686" s="42"/>
      <c r="E686" s="42"/>
      <c r="F686" s="42"/>
      <c r="G686" s="42"/>
      <c r="H686" s="44"/>
      <c r="I686" s="50"/>
      <c r="J686" s="44"/>
      <c r="K686" s="44"/>
      <c r="L686" s="44" t="str">
        <f aca="false">CONCATENATE(H686,M686)</f>
        <v/>
      </c>
      <c r="M686" s="45" t="str">
        <f aca="false">IF(OR(ISBLANK(J686),ISBLANK(K686)),IF(OR(H686="ALI",H686="AIE"),"L",IF(ISBLANK(H686),"","A")),IF(H686="EE",IF(K686&gt;=3,IF(J686&gt;=5,"H","A"),IF(K686&gt;=2,IF(J686&gt;=16,"H",IF(J686&lt;=4,"L","A")),IF(J686&lt;=15,"L","A"))),IF(OR(H686="SE",H686="CE"),IF(K686&gt;=4,IF(J686&gt;=6,"H","A"),IF(K686&gt;=2,IF(J686&gt;=20,"H",IF(J686&lt;=5,"L","A")),IF(J686&lt;=19,"L","A"))),IF(OR(H686="ALI",H686="AIE"),IF(K686&gt;=6,IF(J686&gt;=20,"H","A"),IF(K686&gt;=2,IF(J686&gt;=51,"H",IF(J686&lt;=19,"L","A")),IF(J686&lt;=50,"L","A")))))))</f>
        <v/>
      </c>
      <c r="N686" s="46" t="str">
        <f aca="false">IF(M686="L","Baixa",IF(M686="A","Média",IF(M686="","","Alta")))</f>
        <v/>
      </c>
      <c r="O686" s="47" t="str">
        <f aca="false">IF(ISBLANK(H686),"",IF(H686="ALI",IF(M686="L",7,IF(M686="A",10,15)),IF(H686="AIE",IF(M686="L",5,IF(M686="A",7,10)),IF(H686="SE",IF(M686="L",4,IF(M686="A",5,7)),IF(OR(H686="EE",H686="CE"),IF(M686="L",3,IF(M686="A",4,6)))))))</f>
        <v/>
      </c>
      <c r="P686" s="48" t="str">
        <f aca="false">IF(I686="I",O686*Contagem!$W$15,IF(I686="E",O686*Contagem!$W$17,IF(I686="A",O686*Contagem!$W$16,IF(I686="T",O686*Contagem!$W$18,""))))</f>
        <v/>
      </c>
      <c r="Q686" s="49"/>
    </row>
    <row r="687" customFormat="false" ht="12" hidden="false" customHeight="true" outlineLevel="0" collapsed="false">
      <c r="A687" s="40" t="n">
        <f aca="false">IF(H687="",IF(C687="",A686,A686+1),A686)</f>
        <v>62</v>
      </c>
      <c r="B687" s="41" t="str">
        <f aca="false">IF(A687=A686,"",CONCATENATE("F",A687))</f>
        <v/>
      </c>
      <c r="C687" s="42"/>
      <c r="D687" s="42"/>
      <c r="E687" s="42"/>
      <c r="F687" s="42"/>
      <c r="G687" s="42"/>
      <c r="H687" s="44"/>
      <c r="I687" s="50"/>
      <c r="J687" s="44"/>
      <c r="K687" s="44"/>
      <c r="L687" s="44" t="str">
        <f aca="false">CONCATENATE(H687,M687)</f>
        <v/>
      </c>
      <c r="M687" s="45" t="str">
        <f aca="false">IF(OR(ISBLANK(J687),ISBLANK(K687)),IF(OR(H687="ALI",H687="AIE"),"L",IF(ISBLANK(H687),"","A")),IF(H687="EE",IF(K687&gt;=3,IF(J687&gt;=5,"H","A"),IF(K687&gt;=2,IF(J687&gt;=16,"H",IF(J687&lt;=4,"L","A")),IF(J687&lt;=15,"L","A"))),IF(OR(H687="SE",H687="CE"),IF(K687&gt;=4,IF(J687&gt;=6,"H","A"),IF(K687&gt;=2,IF(J687&gt;=20,"H",IF(J687&lt;=5,"L","A")),IF(J687&lt;=19,"L","A"))),IF(OR(H687="ALI",H687="AIE"),IF(K687&gt;=6,IF(J687&gt;=20,"H","A"),IF(K687&gt;=2,IF(J687&gt;=51,"H",IF(J687&lt;=19,"L","A")),IF(J687&lt;=50,"L","A")))))))</f>
        <v/>
      </c>
      <c r="N687" s="46" t="str">
        <f aca="false">IF(M687="L","Baixa",IF(M687="A","Média",IF(M687="","","Alta")))</f>
        <v/>
      </c>
      <c r="O687" s="47" t="str">
        <f aca="false">IF(ISBLANK(H687),"",IF(H687="ALI",IF(M687="L",7,IF(M687="A",10,15)),IF(H687="AIE",IF(M687="L",5,IF(M687="A",7,10)),IF(H687="SE",IF(M687="L",4,IF(M687="A",5,7)),IF(OR(H687="EE",H687="CE"),IF(M687="L",3,IF(M687="A",4,6)))))))</f>
        <v/>
      </c>
      <c r="P687" s="48" t="str">
        <f aca="false">IF(I687="I",O687*Contagem!$W$15,IF(I687="E",O687*Contagem!$W$17,IF(I687="A",O687*Contagem!$W$16,IF(I687="T",O687*Contagem!$W$18,""))))</f>
        <v/>
      </c>
      <c r="Q687" s="49"/>
    </row>
    <row r="688" customFormat="false" ht="12" hidden="false" customHeight="true" outlineLevel="0" collapsed="false">
      <c r="A688" s="40" t="n">
        <f aca="false">IF(H688="",IF(C688="",A687,A687+1),A687)</f>
        <v>62</v>
      </c>
      <c r="B688" s="41" t="str">
        <f aca="false">IF(A688=A687,"",CONCATENATE("F",A688))</f>
        <v/>
      </c>
      <c r="C688" s="42"/>
      <c r="D688" s="42"/>
      <c r="E688" s="42"/>
      <c r="F688" s="42"/>
      <c r="G688" s="42"/>
      <c r="H688" s="44"/>
      <c r="I688" s="50"/>
      <c r="J688" s="44"/>
      <c r="K688" s="44"/>
      <c r="L688" s="44" t="str">
        <f aca="false">CONCATENATE(H688,M688)</f>
        <v/>
      </c>
      <c r="M688" s="45" t="str">
        <f aca="false">IF(OR(ISBLANK(J688),ISBLANK(K688)),IF(OR(H688="ALI",H688="AIE"),"L",IF(ISBLANK(H688),"","A")),IF(H688="EE",IF(K688&gt;=3,IF(J688&gt;=5,"H","A"),IF(K688&gt;=2,IF(J688&gt;=16,"H",IF(J688&lt;=4,"L","A")),IF(J688&lt;=15,"L","A"))),IF(OR(H688="SE",H688="CE"),IF(K688&gt;=4,IF(J688&gt;=6,"H","A"),IF(K688&gt;=2,IF(J688&gt;=20,"H",IF(J688&lt;=5,"L","A")),IF(J688&lt;=19,"L","A"))),IF(OR(H688="ALI",H688="AIE"),IF(K688&gt;=6,IF(J688&gt;=20,"H","A"),IF(K688&gt;=2,IF(J688&gt;=51,"H",IF(J688&lt;=19,"L","A")),IF(J688&lt;=50,"L","A")))))))</f>
        <v/>
      </c>
      <c r="N688" s="46" t="str">
        <f aca="false">IF(M688="L","Baixa",IF(M688="A","Média",IF(M688="","","Alta")))</f>
        <v/>
      </c>
      <c r="O688" s="47" t="str">
        <f aca="false">IF(ISBLANK(H688),"",IF(H688="ALI",IF(M688="L",7,IF(M688="A",10,15)),IF(H688="AIE",IF(M688="L",5,IF(M688="A",7,10)),IF(H688="SE",IF(M688="L",4,IF(M688="A",5,7)),IF(OR(H688="EE",H688="CE"),IF(M688="L",3,IF(M688="A",4,6)))))))</f>
        <v/>
      </c>
      <c r="P688" s="48" t="str">
        <f aca="false">IF(I688="I",O688*Contagem!$W$15,IF(I688="E",O688*Contagem!$W$17,IF(I688="A",O688*Contagem!$W$16,IF(I688="T",O688*Contagem!$W$18,""))))</f>
        <v/>
      </c>
      <c r="Q688" s="49"/>
    </row>
    <row r="689" customFormat="false" ht="12" hidden="false" customHeight="true" outlineLevel="0" collapsed="false">
      <c r="A689" s="40" t="n">
        <f aca="false">IF(H689="",IF(C689="",A688,A688+1),A688)</f>
        <v>62</v>
      </c>
      <c r="B689" s="41" t="str">
        <f aca="false">IF(A689=A688,"",CONCATENATE("F",A689))</f>
        <v/>
      </c>
      <c r="C689" s="42"/>
      <c r="D689" s="42"/>
      <c r="E689" s="42"/>
      <c r="F689" s="42"/>
      <c r="G689" s="42"/>
      <c r="H689" s="44"/>
      <c r="I689" s="50"/>
      <c r="J689" s="44"/>
      <c r="K689" s="44"/>
      <c r="L689" s="44" t="str">
        <f aca="false">CONCATENATE(H689,M689)</f>
        <v/>
      </c>
      <c r="M689" s="45" t="str">
        <f aca="false">IF(OR(ISBLANK(J689),ISBLANK(K689)),IF(OR(H689="ALI",H689="AIE"),"L",IF(ISBLANK(H689),"","A")),IF(H689="EE",IF(K689&gt;=3,IF(J689&gt;=5,"H","A"),IF(K689&gt;=2,IF(J689&gt;=16,"H",IF(J689&lt;=4,"L","A")),IF(J689&lt;=15,"L","A"))),IF(OR(H689="SE",H689="CE"),IF(K689&gt;=4,IF(J689&gt;=6,"H","A"),IF(K689&gt;=2,IF(J689&gt;=20,"H",IF(J689&lt;=5,"L","A")),IF(J689&lt;=19,"L","A"))),IF(OR(H689="ALI",H689="AIE"),IF(K689&gt;=6,IF(J689&gt;=20,"H","A"),IF(K689&gt;=2,IF(J689&gt;=51,"H",IF(J689&lt;=19,"L","A")),IF(J689&lt;=50,"L","A")))))))</f>
        <v/>
      </c>
      <c r="N689" s="46" t="str">
        <f aca="false">IF(M689="L","Baixa",IF(M689="A","Média",IF(M689="","","Alta")))</f>
        <v/>
      </c>
      <c r="O689" s="47" t="str">
        <f aca="false">IF(ISBLANK(H689),"",IF(H689="ALI",IF(M689="L",7,IF(M689="A",10,15)),IF(H689="AIE",IF(M689="L",5,IF(M689="A",7,10)),IF(H689="SE",IF(M689="L",4,IF(M689="A",5,7)),IF(OR(H689="EE",H689="CE"),IF(M689="L",3,IF(M689="A",4,6)))))))</f>
        <v/>
      </c>
      <c r="P689" s="48" t="str">
        <f aca="false">IF(I689="I",O689*Contagem!$W$15,IF(I689="E",O689*Contagem!$W$17,IF(I689="A",O689*Contagem!$W$16,IF(I689="T",O689*Contagem!$W$18,""))))</f>
        <v/>
      </c>
      <c r="Q689" s="49"/>
    </row>
    <row r="690" customFormat="false" ht="12" hidden="false" customHeight="true" outlineLevel="0" collapsed="false">
      <c r="A690" s="40" t="n">
        <f aca="false">IF(H690="",IF(C690="",A689,A689+1),A689)</f>
        <v>62</v>
      </c>
      <c r="B690" s="41" t="str">
        <f aca="false">IF(A690=A689,"",CONCATENATE("F",A690))</f>
        <v/>
      </c>
      <c r="C690" s="42"/>
      <c r="D690" s="42"/>
      <c r="E690" s="42"/>
      <c r="F690" s="42"/>
      <c r="G690" s="42"/>
      <c r="H690" s="44"/>
      <c r="I690" s="50"/>
      <c r="J690" s="44"/>
      <c r="K690" s="44"/>
      <c r="L690" s="44" t="str">
        <f aca="false">CONCATENATE(H690,M690)</f>
        <v/>
      </c>
      <c r="M690" s="45" t="str">
        <f aca="false">IF(OR(ISBLANK(J690),ISBLANK(K690)),IF(OR(H690="ALI",H690="AIE"),"L",IF(ISBLANK(H690),"","A")),IF(H690="EE",IF(K690&gt;=3,IF(J690&gt;=5,"H","A"),IF(K690&gt;=2,IF(J690&gt;=16,"H",IF(J690&lt;=4,"L","A")),IF(J690&lt;=15,"L","A"))),IF(OR(H690="SE",H690="CE"),IF(K690&gt;=4,IF(J690&gt;=6,"H","A"),IF(K690&gt;=2,IF(J690&gt;=20,"H",IF(J690&lt;=5,"L","A")),IF(J690&lt;=19,"L","A"))),IF(OR(H690="ALI",H690="AIE"),IF(K690&gt;=6,IF(J690&gt;=20,"H","A"),IF(K690&gt;=2,IF(J690&gt;=51,"H",IF(J690&lt;=19,"L","A")),IF(J690&lt;=50,"L","A")))))))</f>
        <v/>
      </c>
      <c r="N690" s="46" t="str">
        <f aca="false">IF(M690="L","Baixa",IF(M690="A","Média",IF(M690="","","Alta")))</f>
        <v/>
      </c>
      <c r="O690" s="47" t="str">
        <f aca="false">IF(ISBLANK(H690),"",IF(H690="ALI",IF(M690="L",7,IF(M690="A",10,15)),IF(H690="AIE",IF(M690="L",5,IF(M690="A",7,10)),IF(H690="SE",IF(M690="L",4,IF(M690="A",5,7)),IF(OR(H690="EE",H690="CE"),IF(M690="L",3,IF(M690="A",4,6)))))))</f>
        <v/>
      </c>
      <c r="P690" s="48" t="str">
        <f aca="false">IF(I690="I",O690*Contagem!$W$15,IF(I690="E",O690*Contagem!$W$17,IF(I690="A",O690*Contagem!$W$16,IF(I690="T",O690*Contagem!$W$18,""))))</f>
        <v/>
      </c>
      <c r="Q690" s="49"/>
    </row>
    <row r="691" customFormat="false" ht="12" hidden="false" customHeight="true" outlineLevel="0" collapsed="false">
      <c r="A691" s="40" t="n">
        <f aca="false">IF(H691="",IF(C691="",A690,A690+1),A690)</f>
        <v>62</v>
      </c>
      <c r="B691" s="41" t="str">
        <f aca="false">IF(A691=A690,"",CONCATENATE("F",A691))</f>
        <v/>
      </c>
      <c r="C691" s="42"/>
      <c r="D691" s="42"/>
      <c r="E691" s="42"/>
      <c r="F691" s="42"/>
      <c r="G691" s="42"/>
      <c r="H691" s="44"/>
      <c r="I691" s="50"/>
      <c r="J691" s="44"/>
      <c r="K691" s="44"/>
      <c r="L691" s="44" t="str">
        <f aca="false">CONCATENATE(H691,M691)</f>
        <v/>
      </c>
      <c r="M691" s="45" t="str">
        <f aca="false">IF(OR(ISBLANK(J691),ISBLANK(K691)),IF(OR(H691="ALI",H691="AIE"),"L",IF(ISBLANK(H691),"","A")),IF(H691="EE",IF(K691&gt;=3,IF(J691&gt;=5,"H","A"),IF(K691&gt;=2,IF(J691&gt;=16,"H",IF(J691&lt;=4,"L","A")),IF(J691&lt;=15,"L","A"))),IF(OR(H691="SE",H691="CE"),IF(K691&gt;=4,IF(J691&gt;=6,"H","A"),IF(K691&gt;=2,IF(J691&gt;=20,"H",IF(J691&lt;=5,"L","A")),IF(J691&lt;=19,"L","A"))),IF(OR(H691="ALI",H691="AIE"),IF(K691&gt;=6,IF(J691&gt;=20,"H","A"),IF(K691&gt;=2,IF(J691&gt;=51,"H",IF(J691&lt;=19,"L","A")),IF(J691&lt;=50,"L","A")))))))</f>
        <v/>
      </c>
      <c r="N691" s="46" t="str">
        <f aca="false">IF(M691="L","Baixa",IF(M691="A","Média",IF(M691="","","Alta")))</f>
        <v/>
      </c>
      <c r="O691" s="47" t="str">
        <f aca="false">IF(ISBLANK(H691),"",IF(H691="ALI",IF(M691="L",7,IF(M691="A",10,15)),IF(H691="AIE",IF(M691="L",5,IF(M691="A",7,10)),IF(H691="SE",IF(M691="L",4,IF(M691="A",5,7)),IF(OR(H691="EE",H691="CE"),IF(M691="L",3,IF(M691="A",4,6)))))))</f>
        <v/>
      </c>
      <c r="P691" s="48" t="str">
        <f aca="false">IF(I691="I",O691*Contagem!$W$15,IF(I691="E",O691*Contagem!$W$17,IF(I691="A",O691*Contagem!$W$16,IF(I691="T",O691*Contagem!$W$18,""))))</f>
        <v/>
      </c>
      <c r="Q691" s="49"/>
    </row>
    <row r="692" customFormat="false" ht="12" hidden="false" customHeight="true" outlineLevel="0" collapsed="false">
      <c r="A692" s="40" t="n">
        <f aca="false">IF(H692="",IF(C692="",A691,A691+1),A691)</f>
        <v>62</v>
      </c>
      <c r="B692" s="41" t="str">
        <f aca="false">IF(A692=A691,"",CONCATENATE("F",A692))</f>
        <v/>
      </c>
      <c r="C692" s="42"/>
      <c r="D692" s="42"/>
      <c r="E692" s="42"/>
      <c r="F692" s="42"/>
      <c r="G692" s="42"/>
      <c r="H692" s="44"/>
      <c r="I692" s="50"/>
      <c r="J692" s="44"/>
      <c r="K692" s="44"/>
      <c r="L692" s="44" t="str">
        <f aca="false">CONCATENATE(H692,M692)</f>
        <v/>
      </c>
      <c r="M692" s="45" t="str">
        <f aca="false">IF(OR(ISBLANK(J692),ISBLANK(K692)),IF(OR(H692="ALI",H692="AIE"),"L",IF(ISBLANK(H692),"","A")),IF(H692="EE",IF(K692&gt;=3,IF(J692&gt;=5,"H","A"),IF(K692&gt;=2,IF(J692&gt;=16,"H",IF(J692&lt;=4,"L","A")),IF(J692&lt;=15,"L","A"))),IF(OR(H692="SE",H692="CE"),IF(K692&gt;=4,IF(J692&gt;=6,"H","A"),IF(K692&gt;=2,IF(J692&gt;=20,"H",IF(J692&lt;=5,"L","A")),IF(J692&lt;=19,"L","A"))),IF(OR(H692="ALI",H692="AIE"),IF(K692&gt;=6,IF(J692&gt;=20,"H","A"),IF(K692&gt;=2,IF(J692&gt;=51,"H",IF(J692&lt;=19,"L","A")),IF(J692&lt;=50,"L","A")))))))</f>
        <v/>
      </c>
      <c r="N692" s="46" t="str">
        <f aca="false">IF(M692="L","Baixa",IF(M692="A","Média",IF(M692="","","Alta")))</f>
        <v/>
      </c>
      <c r="O692" s="47" t="str">
        <f aca="false">IF(ISBLANK(H692),"",IF(H692="ALI",IF(M692="L",7,IF(M692="A",10,15)),IF(H692="AIE",IF(M692="L",5,IF(M692="A",7,10)),IF(H692="SE",IF(M692="L",4,IF(M692="A",5,7)),IF(OR(H692="EE",H692="CE"),IF(M692="L",3,IF(M692="A",4,6)))))))</f>
        <v/>
      </c>
      <c r="P692" s="48" t="str">
        <f aca="false">IF(I692="I",O692*Contagem!$W$15,IF(I692="E",O692*Contagem!$W$17,IF(I692="A",O692*Contagem!$W$16,IF(I692="T",O692*Contagem!$W$18,""))))</f>
        <v/>
      </c>
      <c r="Q692" s="49"/>
    </row>
    <row r="693" customFormat="false" ht="12" hidden="false" customHeight="true" outlineLevel="0" collapsed="false">
      <c r="A693" s="40" t="n">
        <f aca="false">IF(H693="",IF(C693="",A692,A692+1),A692)</f>
        <v>62</v>
      </c>
      <c r="B693" s="41" t="str">
        <f aca="false">IF(A693=A692,"",CONCATENATE("F",A693))</f>
        <v/>
      </c>
      <c r="C693" s="42"/>
      <c r="D693" s="42"/>
      <c r="E693" s="42"/>
      <c r="F693" s="42"/>
      <c r="G693" s="42"/>
      <c r="H693" s="44"/>
      <c r="I693" s="50"/>
      <c r="J693" s="44"/>
      <c r="K693" s="44"/>
      <c r="L693" s="44" t="str">
        <f aca="false">CONCATENATE(H693,M693)</f>
        <v/>
      </c>
      <c r="M693" s="45" t="str">
        <f aca="false">IF(OR(ISBLANK(J693),ISBLANK(K693)),IF(OR(H693="ALI",H693="AIE"),"L",IF(ISBLANK(H693),"","A")),IF(H693="EE",IF(K693&gt;=3,IF(J693&gt;=5,"H","A"),IF(K693&gt;=2,IF(J693&gt;=16,"H",IF(J693&lt;=4,"L","A")),IF(J693&lt;=15,"L","A"))),IF(OR(H693="SE",H693="CE"),IF(K693&gt;=4,IF(J693&gt;=6,"H","A"),IF(K693&gt;=2,IF(J693&gt;=20,"H",IF(J693&lt;=5,"L","A")),IF(J693&lt;=19,"L","A"))),IF(OR(H693="ALI",H693="AIE"),IF(K693&gt;=6,IF(J693&gt;=20,"H","A"),IF(K693&gt;=2,IF(J693&gt;=51,"H",IF(J693&lt;=19,"L","A")),IF(J693&lt;=50,"L","A")))))))</f>
        <v/>
      </c>
      <c r="N693" s="46" t="str">
        <f aca="false">IF(M693="L","Baixa",IF(M693="A","Média",IF(M693="","","Alta")))</f>
        <v/>
      </c>
      <c r="O693" s="47" t="str">
        <f aca="false">IF(ISBLANK(H693),"",IF(H693="ALI",IF(M693="L",7,IF(M693="A",10,15)),IF(H693="AIE",IF(M693="L",5,IF(M693="A",7,10)),IF(H693="SE",IF(M693="L",4,IF(M693="A",5,7)),IF(OR(H693="EE",H693="CE"),IF(M693="L",3,IF(M693="A",4,6)))))))</f>
        <v/>
      </c>
      <c r="P693" s="48" t="str">
        <f aca="false">IF(I693="I",O693*Contagem!$W$15,IF(I693="E",O693*Contagem!$W$17,IF(I693="A",O693*Contagem!$W$16,IF(I693="T",O693*Contagem!$W$18,""))))</f>
        <v/>
      </c>
      <c r="Q693" s="49"/>
    </row>
    <row r="694" customFormat="false" ht="12" hidden="false" customHeight="true" outlineLevel="0" collapsed="false">
      <c r="A694" s="40" t="n">
        <f aca="false">IF(H694="",IF(C694="",A693,A693+1),A693)</f>
        <v>62</v>
      </c>
      <c r="B694" s="41" t="str">
        <f aca="false">IF(A694=A693,"",CONCATENATE("F",A694))</f>
        <v/>
      </c>
      <c r="C694" s="42"/>
      <c r="D694" s="42"/>
      <c r="E694" s="42"/>
      <c r="F694" s="42"/>
      <c r="G694" s="42"/>
      <c r="H694" s="44"/>
      <c r="I694" s="50"/>
      <c r="J694" s="44"/>
      <c r="K694" s="44"/>
      <c r="L694" s="44" t="str">
        <f aca="false">CONCATENATE(H694,M694)</f>
        <v/>
      </c>
      <c r="M694" s="45" t="str">
        <f aca="false">IF(OR(ISBLANK(J694),ISBLANK(K694)),IF(OR(H694="ALI",H694="AIE"),"L",IF(ISBLANK(H694),"","A")),IF(H694="EE",IF(K694&gt;=3,IF(J694&gt;=5,"H","A"),IF(K694&gt;=2,IF(J694&gt;=16,"H",IF(J694&lt;=4,"L","A")),IF(J694&lt;=15,"L","A"))),IF(OR(H694="SE",H694="CE"),IF(K694&gt;=4,IF(J694&gt;=6,"H","A"),IF(K694&gt;=2,IF(J694&gt;=20,"H",IF(J694&lt;=5,"L","A")),IF(J694&lt;=19,"L","A"))),IF(OR(H694="ALI",H694="AIE"),IF(K694&gt;=6,IF(J694&gt;=20,"H","A"),IF(K694&gt;=2,IF(J694&gt;=51,"H",IF(J694&lt;=19,"L","A")),IF(J694&lt;=50,"L","A")))))))</f>
        <v/>
      </c>
      <c r="N694" s="46" t="str">
        <f aca="false">IF(M694="L","Baixa",IF(M694="A","Média",IF(M694="","","Alta")))</f>
        <v/>
      </c>
      <c r="O694" s="47" t="str">
        <f aca="false">IF(ISBLANK(H694),"",IF(H694="ALI",IF(M694="L",7,IF(M694="A",10,15)),IF(H694="AIE",IF(M694="L",5,IF(M694="A",7,10)),IF(H694="SE",IF(M694="L",4,IF(M694="A",5,7)),IF(OR(H694="EE",H694="CE"),IF(M694="L",3,IF(M694="A",4,6)))))))</f>
        <v/>
      </c>
      <c r="P694" s="48" t="str">
        <f aca="false">IF(I694="I",O694*Contagem!$W$15,IF(I694="E",O694*Contagem!$W$17,IF(I694="A",O694*Contagem!$W$16,IF(I694="T",O694*Contagem!$W$18,""))))</f>
        <v/>
      </c>
      <c r="Q694" s="49"/>
    </row>
    <row r="695" customFormat="false" ht="12" hidden="false" customHeight="true" outlineLevel="0" collapsed="false">
      <c r="A695" s="40" t="n">
        <f aca="false">IF(H695="",IF(C695="",A694,A694+1),A694)</f>
        <v>62</v>
      </c>
      <c r="B695" s="41" t="str">
        <f aca="false">IF(A695=A694,"",CONCATENATE("F",A695))</f>
        <v/>
      </c>
      <c r="C695" s="42"/>
      <c r="D695" s="42"/>
      <c r="E695" s="42"/>
      <c r="F695" s="42"/>
      <c r="G695" s="42"/>
      <c r="H695" s="44"/>
      <c r="I695" s="50"/>
      <c r="J695" s="44"/>
      <c r="K695" s="44"/>
      <c r="L695" s="44" t="str">
        <f aca="false">CONCATENATE(H695,M695)</f>
        <v/>
      </c>
      <c r="M695" s="45" t="str">
        <f aca="false">IF(OR(ISBLANK(J695),ISBLANK(K695)),IF(OR(H695="ALI",H695="AIE"),"L",IF(ISBLANK(H695),"","A")),IF(H695="EE",IF(K695&gt;=3,IF(J695&gt;=5,"H","A"),IF(K695&gt;=2,IF(J695&gt;=16,"H",IF(J695&lt;=4,"L","A")),IF(J695&lt;=15,"L","A"))),IF(OR(H695="SE",H695="CE"),IF(K695&gt;=4,IF(J695&gt;=6,"H","A"),IF(K695&gt;=2,IF(J695&gt;=20,"H",IF(J695&lt;=5,"L","A")),IF(J695&lt;=19,"L","A"))),IF(OR(H695="ALI",H695="AIE"),IF(K695&gt;=6,IF(J695&gt;=20,"H","A"),IF(K695&gt;=2,IF(J695&gt;=51,"H",IF(J695&lt;=19,"L","A")),IF(J695&lt;=50,"L","A")))))))</f>
        <v/>
      </c>
      <c r="N695" s="46" t="str">
        <f aca="false">IF(M695="L","Baixa",IF(M695="A","Média",IF(M695="","","Alta")))</f>
        <v/>
      </c>
      <c r="O695" s="47" t="str">
        <f aca="false">IF(ISBLANK(H695),"",IF(H695="ALI",IF(M695="L",7,IF(M695="A",10,15)),IF(H695="AIE",IF(M695="L",5,IF(M695="A",7,10)),IF(H695="SE",IF(M695="L",4,IF(M695="A",5,7)),IF(OR(H695="EE",H695="CE"),IF(M695="L",3,IF(M695="A",4,6)))))))</f>
        <v/>
      </c>
      <c r="P695" s="48" t="str">
        <f aca="false">IF(I695="I",O695*Contagem!$W$15,IF(I695="E",O695*Contagem!$W$17,IF(I695="A",O695*Contagem!$W$16,IF(I695="T",O695*Contagem!$W$18,""))))</f>
        <v/>
      </c>
      <c r="Q695" s="49"/>
    </row>
    <row r="696" customFormat="false" ht="12" hidden="false" customHeight="true" outlineLevel="0" collapsed="false">
      <c r="A696" s="40" t="n">
        <f aca="false">IF(H696="",IF(C696="",A695,A695+1),A695)</f>
        <v>62</v>
      </c>
      <c r="B696" s="41" t="str">
        <f aca="false">IF(A696=A695,"",CONCATENATE("F",A696))</f>
        <v/>
      </c>
      <c r="C696" s="42"/>
      <c r="D696" s="42"/>
      <c r="E696" s="42"/>
      <c r="F696" s="42"/>
      <c r="G696" s="42"/>
      <c r="H696" s="44"/>
      <c r="I696" s="50"/>
      <c r="J696" s="44"/>
      <c r="K696" s="44"/>
      <c r="L696" s="44" t="str">
        <f aca="false">CONCATENATE(H696,M696)</f>
        <v/>
      </c>
      <c r="M696" s="45" t="str">
        <f aca="false">IF(OR(ISBLANK(J696),ISBLANK(K696)),IF(OR(H696="ALI",H696="AIE"),"L",IF(ISBLANK(H696),"","A")),IF(H696="EE",IF(K696&gt;=3,IF(J696&gt;=5,"H","A"),IF(K696&gt;=2,IF(J696&gt;=16,"H",IF(J696&lt;=4,"L","A")),IF(J696&lt;=15,"L","A"))),IF(OR(H696="SE",H696="CE"),IF(K696&gt;=4,IF(J696&gt;=6,"H","A"),IF(K696&gt;=2,IF(J696&gt;=20,"H",IF(J696&lt;=5,"L","A")),IF(J696&lt;=19,"L","A"))),IF(OR(H696="ALI",H696="AIE"),IF(K696&gt;=6,IF(J696&gt;=20,"H","A"),IF(K696&gt;=2,IF(J696&gt;=51,"H",IF(J696&lt;=19,"L","A")),IF(J696&lt;=50,"L","A")))))))</f>
        <v/>
      </c>
      <c r="N696" s="46" t="str">
        <f aca="false">IF(M696="L","Baixa",IF(M696="A","Média",IF(M696="","","Alta")))</f>
        <v/>
      </c>
      <c r="O696" s="47" t="str">
        <f aca="false">IF(ISBLANK(H696),"",IF(H696="ALI",IF(M696="L",7,IF(M696="A",10,15)),IF(H696="AIE",IF(M696="L",5,IF(M696="A",7,10)),IF(H696="SE",IF(M696="L",4,IF(M696="A",5,7)),IF(OR(H696="EE",H696="CE"),IF(M696="L",3,IF(M696="A",4,6)))))))</f>
        <v/>
      </c>
      <c r="P696" s="48" t="str">
        <f aca="false">IF(I696="I",O696*Contagem!$W$15,IF(I696="E",O696*Contagem!$W$17,IF(I696="A",O696*Contagem!$W$16,IF(I696="T",O696*Contagem!$W$18,""))))</f>
        <v/>
      </c>
      <c r="Q696" s="49"/>
    </row>
    <row r="697" customFormat="false" ht="12" hidden="false" customHeight="true" outlineLevel="0" collapsed="false">
      <c r="A697" s="40" t="n">
        <f aca="false">IF(H697="",IF(C697="",A696,A696+1),A696)</f>
        <v>62</v>
      </c>
      <c r="B697" s="41" t="str">
        <f aca="false">IF(A697=A696,"",CONCATENATE("F",A697))</f>
        <v/>
      </c>
      <c r="C697" s="42"/>
      <c r="D697" s="42"/>
      <c r="E697" s="42"/>
      <c r="F697" s="42"/>
      <c r="G697" s="42"/>
      <c r="H697" s="44"/>
      <c r="I697" s="50"/>
      <c r="J697" s="44"/>
      <c r="K697" s="44"/>
      <c r="L697" s="44" t="str">
        <f aca="false">CONCATENATE(H697,M697)</f>
        <v/>
      </c>
      <c r="M697" s="45" t="str">
        <f aca="false">IF(OR(ISBLANK(J697),ISBLANK(K697)),IF(OR(H697="ALI",H697="AIE"),"L",IF(ISBLANK(H697),"","A")),IF(H697="EE",IF(K697&gt;=3,IF(J697&gt;=5,"H","A"),IF(K697&gt;=2,IF(J697&gt;=16,"H",IF(J697&lt;=4,"L","A")),IF(J697&lt;=15,"L","A"))),IF(OR(H697="SE",H697="CE"),IF(K697&gt;=4,IF(J697&gt;=6,"H","A"),IF(K697&gt;=2,IF(J697&gt;=20,"H",IF(J697&lt;=5,"L","A")),IF(J697&lt;=19,"L","A"))),IF(OR(H697="ALI",H697="AIE"),IF(K697&gt;=6,IF(J697&gt;=20,"H","A"),IF(K697&gt;=2,IF(J697&gt;=51,"H",IF(J697&lt;=19,"L","A")),IF(J697&lt;=50,"L","A")))))))</f>
        <v/>
      </c>
      <c r="N697" s="46" t="str">
        <f aca="false">IF(M697="L","Baixa",IF(M697="A","Média",IF(M697="","","Alta")))</f>
        <v/>
      </c>
      <c r="O697" s="47" t="str">
        <f aca="false">IF(ISBLANK(H697),"",IF(H697="ALI",IF(M697="L",7,IF(M697="A",10,15)),IF(H697="AIE",IF(M697="L",5,IF(M697="A",7,10)),IF(H697="SE",IF(M697="L",4,IF(M697="A",5,7)),IF(OR(H697="EE",H697="CE"),IF(M697="L",3,IF(M697="A",4,6)))))))</f>
        <v/>
      </c>
      <c r="P697" s="48" t="str">
        <f aca="false">IF(I697="I",O697*Contagem!$W$15,IF(I697="E",O697*Contagem!$W$17,IF(I697="A",O697*Contagem!$W$16,IF(I697="T",O697*Contagem!$W$18,""))))</f>
        <v/>
      </c>
      <c r="Q697" s="49"/>
    </row>
    <row r="698" customFormat="false" ht="12" hidden="false" customHeight="true" outlineLevel="0" collapsed="false">
      <c r="A698" s="40" t="n">
        <f aca="false">IF(H698="",IF(C698="",A697,A697+1),A697)</f>
        <v>62</v>
      </c>
      <c r="B698" s="41" t="str">
        <f aca="false">IF(A698=A697,"",CONCATENATE("F",A698))</f>
        <v/>
      </c>
      <c r="C698" s="42"/>
      <c r="D698" s="42"/>
      <c r="E698" s="42"/>
      <c r="F698" s="42"/>
      <c r="G698" s="42"/>
      <c r="H698" s="44"/>
      <c r="I698" s="50"/>
      <c r="J698" s="44"/>
      <c r="K698" s="44"/>
      <c r="L698" s="44" t="str">
        <f aca="false">CONCATENATE(H698,M698)</f>
        <v/>
      </c>
      <c r="M698" s="45" t="str">
        <f aca="false">IF(OR(ISBLANK(J698),ISBLANK(K698)),IF(OR(H698="ALI",H698="AIE"),"L",IF(ISBLANK(H698),"","A")),IF(H698="EE",IF(K698&gt;=3,IF(J698&gt;=5,"H","A"),IF(K698&gt;=2,IF(J698&gt;=16,"H",IF(J698&lt;=4,"L","A")),IF(J698&lt;=15,"L","A"))),IF(OR(H698="SE",H698="CE"),IF(K698&gt;=4,IF(J698&gt;=6,"H","A"),IF(K698&gt;=2,IF(J698&gt;=20,"H",IF(J698&lt;=5,"L","A")),IF(J698&lt;=19,"L","A"))),IF(OR(H698="ALI",H698="AIE"),IF(K698&gt;=6,IF(J698&gt;=20,"H","A"),IF(K698&gt;=2,IF(J698&gt;=51,"H",IF(J698&lt;=19,"L","A")),IF(J698&lt;=50,"L","A")))))))</f>
        <v/>
      </c>
      <c r="N698" s="46" t="str">
        <f aca="false">IF(M698="L","Baixa",IF(M698="A","Média",IF(M698="","","Alta")))</f>
        <v/>
      </c>
      <c r="O698" s="47" t="str">
        <f aca="false">IF(ISBLANK(H698),"",IF(H698="ALI",IF(M698="L",7,IF(M698="A",10,15)),IF(H698="AIE",IF(M698="L",5,IF(M698="A",7,10)),IF(H698="SE",IF(M698="L",4,IF(M698="A",5,7)),IF(OR(H698="EE",H698="CE"),IF(M698="L",3,IF(M698="A",4,6)))))))</f>
        <v/>
      </c>
      <c r="P698" s="48" t="str">
        <f aca="false">IF(I698="I",O698*Contagem!$W$15,IF(I698="E",O698*Contagem!$W$17,IF(I698="A",O698*Contagem!$W$16,IF(I698="T",O698*Contagem!$W$18,""))))</f>
        <v/>
      </c>
      <c r="Q698" s="49"/>
    </row>
    <row r="699" customFormat="false" ht="12" hidden="false" customHeight="true" outlineLevel="0" collapsed="false">
      <c r="A699" s="40" t="n">
        <f aca="false">IF(H699="",IF(C699="",A698,A698+1),A698)</f>
        <v>62</v>
      </c>
      <c r="B699" s="41" t="str">
        <f aca="false">IF(A699=A698,"",CONCATENATE("F",A699))</f>
        <v/>
      </c>
      <c r="C699" s="42"/>
      <c r="D699" s="42"/>
      <c r="E699" s="42"/>
      <c r="F699" s="42"/>
      <c r="G699" s="42"/>
      <c r="H699" s="44"/>
      <c r="I699" s="50"/>
      <c r="J699" s="44"/>
      <c r="K699" s="44"/>
      <c r="L699" s="44" t="str">
        <f aca="false">CONCATENATE(H699,M699)</f>
        <v/>
      </c>
      <c r="M699" s="45" t="str">
        <f aca="false">IF(OR(ISBLANK(J699),ISBLANK(K699)),IF(OR(H699="ALI",H699="AIE"),"L",IF(ISBLANK(H699),"","A")),IF(H699="EE",IF(K699&gt;=3,IF(J699&gt;=5,"H","A"),IF(K699&gt;=2,IF(J699&gt;=16,"H",IF(J699&lt;=4,"L","A")),IF(J699&lt;=15,"L","A"))),IF(OR(H699="SE",H699="CE"),IF(K699&gt;=4,IF(J699&gt;=6,"H","A"),IF(K699&gt;=2,IF(J699&gt;=20,"H",IF(J699&lt;=5,"L","A")),IF(J699&lt;=19,"L","A"))),IF(OR(H699="ALI",H699="AIE"),IF(K699&gt;=6,IF(J699&gt;=20,"H","A"),IF(K699&gt;=2,IF(J699&gt;=51,"H",IF(J699&lt;=19,"L","A")),IF(J699&lt;=50,"L","A")))))))</f>
        <v/>
      </c>
      <c r="N699" s="46" t="str">
        <f aca="false">IF(M699="L","Baixa",IF(M699="A","Média",IF(M699="","","Alta")))</f>
        <v/>
      </c>
      <c r="O699" s="47" t="str">
        <f aca="false">IF(ISBLANK(H699),"",IF(H699="ALI",IF(M699="L",7,IF(M699="A",10,15)),IF(H699="AIE",IF(M699="L",5,IF(M699="A",7,10)),IF(H699="SE",IF(M699="L",4,IF(M699="A",5,7)),IF(OR(H699="EE",H699="CE"),IF(M699="L",3,IF(M699="A",4,6)))))))</f>
        <v/>
      </c>
      <c r="P699" s="48" t="str">
        <f aca="false">IF(I699="I",O699*Contagem!$W$15,IF(I699="E",O699*Contagem!$W$17,IF(I699="A",O699*Contagem!$W$16,IF(I699="T",O699*Contagem!$W$18,""))))</f>
        <v/>
      </c>
      <c r="Q699" s="49"/>
    </row>
    <row r="700" customFormat="false" ht="12" hidden="false" customHeight="true" outlineLevel="0" collapsed="false">
      <c r="A700" s="40" t="n">
        <f aca="false">IF(H700="",IF(C700="",A699,A699+1),A699)</f>
        <v>62</v>
      </c>
      <c r="B700" s="41" t="str">
        <f aca="false">IF(A700=A699,"",CONCATENATE("F",A700))</f>
        <v/>
      </c>
      <c r="C700" s="42"/>
      <c r="D700" s="42"/>
      <c r="E700" s="42"/>
      <c r="F700" s="42"/>
      <c r="G700" s="42"/>
      <c r="H700" s="44"/>
      <c r="I700" s="50"/>
      <c r="J700" s="44"/>
      <c r="K700" s="44"/>
      <c r="L700" s="44" t="str">
        <f aca="false">CONCATENATE(H700,M700)</f>
        <v/>
      </c>
      <c r="M700" s="45" t="str">
        <f aca="false">IF(OR(ISBLANK(J700),ISBLANK(K700)),IF(OR(H700="ALI",H700="AIE"),"L",IF(ISBLANK(H700),"","A")),IF(H700="EE",IF(K700&gt;=3,IF(J700&gt;=5,"H","A"),IF(K700&gt;=2,IF(J700&gt;=16,"H",IF(J700&lt;=4,"L","A")),IF(J700&lt;=15,"L","A"))),IF(OR(H700="SE",H700="CE"),IF(K700&gt;=4,IF(J700&gt;=6,"H","A"),IF(K700&gt;=2,IF(J700&gt;=20,"H",IF(J700&lt;=5,"L","A")),IF(J700&lt;=19,"L","A"))),IF(OR(H700="ALI",H700="AIE"),IF(K700&gt;=6,IF(J700&gt;=20,"H","A"),IF(K700&gt;=2,IF(J700&gt;=51,"H",IF(J700&lt;=19,"L","A")),IF(J700&lt;=50,"L","A")))))))</f>
        <v/>
      </c>
      <c r="N700" s="46" t="str">
        <f aca="false">IF(M700="L","Baixa",IF(M700="A","Média",IF(M700="","","Alta")))</f>
        <v/>
      </c>
      <c r="O700" s="47" t="str">
        <f aca="false">IF(ISBLANK(H700),"",IF(H700="ALI",IF(M700="L",7,IF(M700="A",10,15)),IF(H700="AIE",IF(M700="L",5,IF(M700="A",7,10)),IF(H700="SE",IF(M700="L",4,IF(M700="A",5,7)),IF(OR(H700="EE",H700="CE"),IF(M700="L",3,IF(M700="A",4,6)))))))</f>
        <v/>
      </c>
      <c r="P700" s="48" t="str">
        <f aca="false">IF(I700="I",O700*Contagem!$W$15,IF(I700="E",O700*Contagem!$W$17,IF(I700="A",O700*Contagem!$W$16,IF(I700="T",O700*Contagem!$W$18,""))))</f>
        <v/>
      </c>
      <c r="Q700" s="49"/>
    </row>
    <row r="701" customFormat="false" ht="12" hidden="false" customHeight="true" outlineLevel="0" collapsed="false">
      <c r="A701" s="40" t="n">
        <f aca="false">IF(H701="",IF(C701="",A700,A700+1),A700)</f>
        <v>62</v>
      </c>
      <c r="B701" s="41" t="str">
        <f aca="false">IF(A701=A700,"",CONCATENATE("F",A701))</f>
        <v/>
      </c>
      <c r="C701" s="42"/>
      <c r="D701" s="42"/>
      <c r="E701" s="42"/>
      <c r="F701" s="42"/>
      <c r="G701" s="42"/>
      <c r="H701" s="44"/>
      <c r="I701" s="50"/>
      <c r="J701" s="44"/>
      <c r="K701" s="44"/>
      <c r="L701" s="44" t="str">
        <f aca="false">CONCATENATE(H701,M701)</f>
        <v/>
      </c>
      <c r="M701" s="45" t="str">
        <f aca="false">IF(OR(ISBLANK(J701),ISBLANK(K701)),IF(OR(H701="ALI",H701="AIE"),"L",IF(ISBLANK(H701),"","A")),IF(H701="EE",IF(K701&gt;=3,IF(J701&gt;=5,"H","A"),IF(K701&gt;=2,IF(J701&gt;=16,"H",IF(J701&lt;=4,"L","A")),IF(J701&lt;=15,"L","A"))),IF(OR(H701="SE",H701="CE"),IF(K701&gt;=4,IF(J701&gt;=6,"H","A"),IF(K701&gt;=2,IF(J701&gt;=20,"H",IF(J701&lt;=5,"L","A")),IF(J701&lt;=19,"L","A"))),IF(OR(H701="ALI",H701="AIE"),IF(K701&gt;=6,IF(J701&gt;=20,"H","A"),IF(K701&gt;=2,IF(J701&gt;=51,"H",IF(J701&lt;=19,"L","A")),IF(J701&lt;=50,"L","A")))))))</f>
        <v/>
      </c>
      <c r="N701" s="46" t="str">
        <f aca="false">IF(M701="L","Baixa",IF(M701="A","Média",IF(M701="","","Alta")))</f>
        <v/>
      </c>
      <c r="O701" s="47" t="str">
        <f aca="false">IF(ISBLANK(H701),"",IF(H701="ALI",IF(M701="L",7,IF(M701="A",10,15)),IF(H701="AIE",IF(M701="L",5,IF(M701="A",7,10)),IF(H701="SE",IF(M701="L",4,IF(M701="A",5,7)),IF(OR(H701="EE",H701="CE"),IF(M701="L",3,IF(M701="A",4,6)))))))</f>
        <v/>
      </c>
      <c r="P701" s="48" t="str">
        <f aca="false">IF(I701="I",O701*Contagem!$W$15,IF(I701="E",O701*Contagem!$W$17,IF(I701="A",O701*Contagem!$W$16,IF(I701="T",O701*Contagem!$W$18,""))))</f>
        <v/>
      </c>
      <c r="Q701" s="49"/>
    </row>
    <row r="702" customFormat="false" ht="12" hidden="false" customHeight="true" outlineLevel="0" collapsed="false">
      <c r="A702" s="40" t="n">
        <f aca="false">IF(H702="",IF(C702="",A701,A701+1),A701)</f>
        <v>62</v>
      </c>
      <c r="B702" s="41" t="str">
        <f aca="false">IF(A702=A701,"",CONCATENATE("F",A702))</f>
        <v/>
      </c>
      <c r="C702" s="42"/>
      <c r="D702" s="42"/>
      <c r="E702" s="42"/>
      <c r="F702" s="42"/>
      <c r="G702" s="42"/>
      <c r="H702" s="44"/>
      <c r="I702" s="50"/>
      <c r="J702" s="44"/>
      <c r="K702" s="44"/>
      <c r="L702" s="44" t="str">
        <f aca="false">CONCATENATE(H702,M702)</f>
        <v/>
      </c>
      <c r="M702" s="45" t="str">
        <f aca="false">IF(OR(ISBLANK(J702),ISBLANK(K702)),IF(OR(H702="ALI",H702="AIE"),"L",IF(ISBLANK(H702),"","A")),IF(H702="EE",IF(K702&gt;=3,IF(J702&gt;=5,"H","A"),IF(K702&gt;=2,IF(J702&gt;=16,"H",IF(J702&lt;=4,"L","A")),IF(J702&lt;=15,"L","A"))),IF(OR(H702="SE",H702="CE"),IF(K702&gt;=4,IF(J702&gt;=6,"H","A"),IF(K702&gt;=2,IF(J702&gt;=20,"H",IF(J702&lt;=5,"L","A")),IF(J702&lt;=19,"L","A"))),IF(OR(H702="ALI",H702="AIE"),IF(K702&gt;=6,IF(J702&gt;=20,"H","A"),IF(K702&gt;=2,IF(J702&gt;=51,"H",IF(J702&lt;=19,"L","A")),IF(J702&lt;=50,"L","A")))))))</f>
        <v/>
      </c>
      <c r="N702" s="46" t="str">
        <f aca="false">IF(M702="L","Baixa",IF(M702="A","Média",IF(M702="","","Alta")))</f>
        <v/>
      </c>
      <c r="O702" s="47" t="str">
        <f aca="false">IF(ISBLANK(H702),"",IF(H702="ALI",IF(M702="L",7,IF(M702="A",10,15)),IF(H702="AIE",IF(M702="L",5,IF(M702="A",7,10)),IF(H702="SE",IF(M702="L",4,IF(M702="A",5,7)),IF(OR(H702="EE",H702="CE"),IF(M702="L",3,IF(M702="A",4,6)))))))</f>
        <v/>
      </c>
      <c r="P702" s="48" t="str">
        <f aca="false">IF(I702="I",O702*Contagem!$W$15,IF(I702="E",O702*Contagem!$W$17,IF(I702="A",O702*Contagem!$W$16,IF(I702="T",O702*Contagem!$W$18,""))))</f>
        <v/>
      </c>
      <c r="Q702" s="49"/>
    </row>
    <row r="703" customFormat="false" ht="12" hidden="false" customHeight="true" outlineLevel="0" collapsed="false">
      <c r="A703" s="40" t="n">
        <f aca="false">IF(H703="",IF(C703="",A702,A702+1),A702)</f>
        <v>62</v>
      </c>
      <c r="B703" s="41" t="str">
        <f aca="false">IF(A703=A702,"",CONCATENATE("F",A703))</f>
        <v/>
      </c>
      <c r="C703" s="42"/>
      <c r="D703" s="42"/>
      <c r="E703" s="42"/>
      <c r="F703" s="42"/>
      <c r="G703" s="42"/>
      <c r="H703" s="44"/>
      <c r="I703" s="50"/>
      <c r="J703" s="44"/>
      <c r="K703" s="44"/>
      <c r="L703" s="44" t="str">
        <f aca="false">CONCATENATE(H703,M703)</f>
        <v/>
      </c>
      <c r="M703" s="45" t="str">
        <f aca="false">IF(OR(ISBLANK(J703),ISBLANK(K703)),IF(OR(H703="ALI",H703="AIE"),"L",IF(ISBLANK(H703),"","A")),IF(H703="EE",IF(K703&gt;=3,IF(J703&gt;=5,"H","A"),IF(K703&gt;=2,IF(J703&gt;=16,"H",IF(J703&lt;=4,"L","A")),IF(J703&lt;=15,"L","A"))),IF(OR(H703="SE",H703="CE"),IF(K703&gt;=4,IF(J703&gt;=6,"H","A"),IF(K703&gt;=2,IF(J703&gt;=20,"H",IF(J703&lt;=5,"L","A")),IF(J703&lt;=19,"L","A"))),IF(OR(H703="ALI",H703="AIE"),IF(K703&gt;=6,IF(J703&gt;=20,"H","A"),IF(K703&gt;=2,IF(J703&gt;=51,"H",IF(J703&lt;=19,"L","A")),IF(J703&lt;=50,"L","A")))))))</f>
        <v/>
      </c>
      <c r="N703" s="46" t="str">
        <f aca="false">IF(M703="L","Baixa",IF(M703="A","Média",IF(M703="","","Alta")))</f>
        <v/>
      </c>
      <c r="O703" s="47" t="str">
        <f aca="false">IF(ISBLANK(H703),"",IF(H703="ALI",IF(M703="L",7,IF(M703="A",10,15)),IF(H703="AIE",IF(M703="L",5,IF(M703="A",7,10)),IF(H703="SE",IF(M703="L",4,IF(M703="A",5,7)),IF(OR(H703="EE",H703="CE"),IF(M703="L",3,IF(M703="A",4,6)))))))</f>
        <v/>
      </c>
      <c r="P703" s="48" t="str">
        <f aca="false">IF(I703="I",O703*Contagem!$W$15,IF(I703="E",O703*Contagem!$W$17,IF(I703="A",O703*Contagem!$W$16,IF(I703="T",O703*Contagem!$W$18,""))))</f>
        <v/>
      </c>
      <c r="Q703" s="49"/>
    </row>
    <row r="704" customFormat="false" ht="12" hidden="false" customHeight="true" outlineLevel="0" collapsed="false">
      <c r="A704" s="40" t="n">
        <f aca="false">IF(H704="",IF(C704="",A703,A703+1),A703)</f>
        <v>62</v>
      </c>
      <c r="B704" s="41" t="str">
        <f aca="false">IF(A704=A703,"",CONCATENATE("F",A704))</f>
        <v/>
      </c>
      <c r="C704" s="42"/>
      <c r="D704" s="42"/>
      <c r="E704" s="42"/>
      <c r="F704" s="42"/>
      <c r="G704" s="42"/>
      <c r="H704" s="44"/>
      <c r="I704" s="50"/>
      <c r="J704" s="44"/>
      <c r="K704" s="44"/>
      <c r="L704" s="44" t="str">
        <f aca="false">CONCATENATE(H704,M704)</f>
        <v/>
      </c>
      <c r="M704" s="45" t="str">
        <f aca="false">IF(OR(ISBLANK(J704),ISBLANK(K704)),IF(OR(H704="ALI",H704="AIE"),"L",IF(ISBLANK(H704),"","A")),IF(H704="EE",IF(K704&gt;=3,IF(J704&gt;=5,"H","A"),IF(K704&gt;=2,IF(J704&gt;=16,"H",IF(J704&lt;=4,"L","A")),IF(J704&lt;=15,"L","A"))),IF(OR(H704="SE",H704="CE"),IF(K704&gt;=4,IF(J704&gt;=6,"H","A"),IF(K704&gt;=2,IF(J704&gt;=20,"H",IF(J704&lt;=5,"L","A")),IF(J704&lt;=19,"L","A"))),IF(OR(H704="ALI",H704="AIE"),IF(K704&gt;=6,IF(J704&gt;=20,"H","A"),IF(K704&gt;=2,IF(J704&gt;=51,"H",IF(J704&lt;=19,"L","A")),IF(J704&lt;=50,"L","A")))))))</f>
        <v/>
      </c>
      <c r="N704" s="46" t="str">
        <f aca="false">IF(M704="L","Baixa",IF(M704="A","Média",IF(M704="","","Alta")))</f>
        <v/>
      </c>
      <c r="O704" s="47" t="str">
        <f aca="false">IF(ISBLANK(H704),"",IF(H704="ALI",IF(M704="L",7,IF(M704="A",10,15)),IF(H704="AIE",IF(M704="L",5,IF(M704="A",7,10)),IF(H704="SE",IF(M704="L",4,IF(M704="A",5,7)),IF(OR(H704="EE",H704="CE"),IF(M704="L",3,IF(M704="A",4,6)))))))</f>
        <v/>
      </c>
      <c r="P704" s="48" t="str">
        <f aca="false">IF(I704="I",O704*Contagem!$W$15,IF(I704="E",O704*Contagem!$W$17,IF(I704="A",O704*Contagem!$W$16,IF(I704="T",O704*Contagem!$W$18,""))))</f>
        <v/>
      </c>
      <c r="Q704" s="49"/>
    </row>
    <row r="705" customFormat="false" ht="12" hidden="false" customHeight="true" outlineLevel="0" collapsed="false">
      <c r="A705" s="40" t="n">
        <f aca="false">IF(H705="",IF(C705="",A704,A704+1),A704)</f>
        <v>62</v>
      </c>
      <c r="B705" s="41" t="str">
        <f aca="false">IF(A705=A704,"",CONCATENATE("F",A705))</f>
        <v/>
      </c>
      <c r="C705" s="42"/>
      <c r="D705" s="42"/>
      <c r="E705" s="42"/>
      <c r="F705" s="42"/>
      <c r="G705" s="42"/>
      <c r="H705" s="44"/>
      <c r="I705" s="50"/>
      <c r="J705" s="44"/>
      <c r="K705" s="44"/>
      <c r="L705" s="44" t="str">
        <f aca="false">CONCATENATE(H705,M705)</f>
        <v/>
      </c>
      <c r="M705" s="45" t="str">
        <f aca="false">IF(OR(ISBLANK(J705),ISBLANK(K705)),IF(OR(H705="ALI",H705="AIE"),"L",IF(ISBLANK(H705),"","A")),IF(H705="EE",IF(K705&gt;=3,IF(J705&gt;=5,"H","A"),IF(K705&gt;=2,IF(J705&gt;=16,"H",IF(J705&lt;=4,"L","A")),IF(J705&lt;=15,"L","A"))),IF(OR(H705="SE",H705="CE"),IF(K705&gt;=4,IF(J705&gt;=6,"H","A"),IF(K705&gt;=2,IF(J705&gt;=20,"H",IF(J705&lt;=5,"L","A")),IF(J705&lt;=19,"L","A"))),IF(OR(H705="ALI",H705="AIE"),IF(K705&gt;=6,IF(J705&gt;=20,"H","A"),IF(K705&gt;=2,IF(J705&gt;=51,"H",IF(J705&lt;=19,"L","A")),IF(J705&lt;=50,"L","A")))))))</f>
        <v/>
      </c>
      <c r="N705" s="46" t="str">
        <f aca="false">IF(M705="L","Baixa",IF(M705="A","Média",IF(M705="","","Alta")))</f>
        <v/>
      </c>
      <c r="O705" s="47" t="str">
        <f aca="false">IF(ISBLANK(H705),"",IF(H705="ALI",IF(M705="L",7,IF(M705="A",10,15)),IF(H705="AIE",IF(M705="L",5,IF(M705="A",7,10)),IF(H705="SE",IF(M705="L",4,IF(M705="A",5,7)),IF(OR(H705="EE",H705="CE"),IF(M705="L",3,IF(M705="A",4,6)))))))</f>
        <v/>
      </c>
      <c r="P705" s="48" t="str">
        <f aca="false">IF(I705="I",O705*Contagem!$W$15,IF(I705="E",O705*Contagem!$W$17,IF(I705="A",O705*Contagem!$W$16,IF(I705="T",O705*Contagem!$W$18,""))))</f>
        <v/>
      </c>
      <c r="Q705" s="49"/>
    </row>
    <row r="706" customFormat="false" ht="12" hidden="false" customHeight="true" outlineLevel="0" collapsed="false">
      <c r="A706" s="40" t="n">
        <f aca="false">IF(H706="",IF(C706="",A705,A705+1),A705)</f>
        <v>62</v>
      </c>
      <c r="B706" s="41" t="str">
        <f aca="false">IF(A706=A705,"",CONCATENATE("F",A706))</f>
        <v/>
      </c>
      <c r="C706" s="42"/>
      <c r="D706" s="42"/>
      <c r="E706" s="42"/>
      <c r="F706" s="42"/>
      <c r="G706" s="42"/>
      <c r="H706" s="44"/>
      <c r="I706" s="50"/>
      <c r="J706" s="44"/>
      <c r="K706" s="44"/>
      <c r="L706" s="44" t="str">
        <f aca="false">CONCATENATE(H706,M706)</f>
        <v/>
      </c>
      <c r="M706" s="45" t="str">
        <f aca="false">IF(OR(ISBLANK(J706),ISBLANK(K706)),IF(OR(H706="ALI",H706="AIE"),"L",IF(ISBLANK(H706),"","A")),IF(H706="EE",IF(K706&gt;=3,IF(J706&gt;=5,"H","A"),IF(K706&gt;=2,IF(J706&gt;=16,"H",IF(J706&lt;=4,"L","A")),IF(J706&lt;=15,"L","A"))),IF(OR(H706="SE",H706="CE"),IF(K706&gt;=4,IF(J706&gt;=6,"H","A"),IF(K706&gt;=2,IF(J706&gt;=20,"H",IF(J706&lt;=5,"L","A")),IF(J706&lt;=19,"L","A"))),IF(OR(H706="ALI",H706="AIE"),IF(K706&gt;=6,IF(J706&gt;=20,"H","A"),IF(K706&gt;=2,IF(J706&gt;=51,"H",IF(J706&lt;=19,"L","A")),IF(J706&lt;=50,"L","A")))))))</f>
        <v/>
      </c>
      <c r="N706" s="46" t="str">
        <f aca="false">IF(M706="L","Baixa",IF(M706="A","Média",IF(M706="","","Alta")))</f>
        <v/>
      </c>
      <c r="O706" s="47" t="str">
        <f aca="false">IF(ISBLANK(H706),"",IF(H706="ALI",IF(M706="L",7,IF(M706="A",10,15)),IF(H706="AIE",IF(M706="L",5,IF(M706="A",7,10)),IF(H706="SE",IF(M706="L",4,IF(M706="A",5,7)),IF(OR(H706="EE",H706="CE"),IF(M706="L",3,IF(M706="A",4,6)))))))</f>
        <v/>
      </c>
      <c r="P706" s="48" t="str">
        <f aca="false">IF(I706="I",O706*Contagem!$W$15,IF(I706="E",O706*Contagem!$W$17,IF(I706="A",O706*Contagem!$W$16,IF(I706="T",O706*Contagem!$W$18,""))))</f>
        <v/>
      </c>
      <c r="Q706" s="49"/>
    </row>
    <row r="707" customFormat="false" ht="12" hidden="false" customHeight="true" outlineLevel="0" collapsed="false">
      <c r="A707" s="40" t="n">
        <f aca="false">IF(H707="",IF(C707="",A706,A706+1),A706)</f>
        <v>62</v>
      </c>
      <c r="B707" s="41" t="str">
        <f aca="false">IF(A707=A706,"",CONCATENATE("F",A707))</f>
        <v/>
      </c>
      <c r="C707" s="42"/>
      <c r="D707" s="42"/>
      <c r="E707" s="42"/>
      <c r="F707" s="42"/>
      <c r="G707" s="42"/>
      <c r="H707" s="44"/>
      <c r="I707" s="50"/>
      <c r="J707" s="44"/>
      <c r="K707" s="44"/>
      <c r="L707" s="44" t="str">
        <f aca="false">CONCATENATE(H707,M707)</f>
        <v/>
      </c>
      <c r="M707" s="45" t="str">
        <f aca="false">IF(OR(ISBLANK(J707),ISBLANK(K707)),IF(OR(H707="ALI",H707="AIE"),"L",IF(ISBLANK(H707),"","A")),IF(H707="EE",IF(K707&gt;=3,IF(J707&gt;=5,"H","A"),IF(K707&gt;=2,IF(J707&gt;=16,"H",IF(J707&lt;=4,"L","A")),IF(J707&lt;=15,"L","A"))),IF(OR(H707="SE",H707="CE"),IF(K707&gt;=4,IF(J707&gt;=6,"H","A"),IF(K707&gt;=2,IF(J707&gt;=20,"H",IF(J707&lt;=5,"L","A")),IF(J707&lt;=19,"L","A"))),IF(OR(H707="ALI",H707="AIE"),IF(K707&gt;=6,IF(J707&gt;=20,"H","A"),IF(K707&gt;=2,IF(J707&gt;=51,"H",IF(J707&lt;=19,"L","A")),IF(J707&lt;=50,"L","A")))))))</f>
        <v/>
      </c>
      <c r="N707" s="46" t="str">
        <f aca="false">IF(M707="L","Baixa",IF(M707="A","Média",IF(M707="","","Alta")))</f>
        <v/>
      </c>
      <c r="O707" s="47" t="str">
        <f aca="false">IF(ISBLANK(H707),"",IF(H707="ALI",IF(M707="L",7,IF(M707="A",10,15)),IF(H707="AIE",IF(M707="L",5,IF(M707="A",7,10)),IF(H707="SE",IF(M707="L",4,IF(M707="A",5,7)),IF(OR(H707="EE",H707="CE"),IF(M707="L",3,IF(M707="A",4,6)))))))</f>
        <v/>
      </c>
      <c r="P707" s="48" t="str">
        <f aca="false">IF(I707="I",O707*Contagem!$W$15,IF(I707="E",O707*Contagem!$W$17,IF(I707="A",O707*Contagem!$W$16,IF(I707="T",O707*Contagem!$W$18,""))))</f>
        <v/>
      </c>
      <c r="Q707" s="49"/>
    </row>
    <row r="708" customFormat="false" ht="12" hidden="false" customHeight="true" outlineLevel="0" collapsed="false">
      <c r="A708" s="40" t="n">
        <f aca="false">IF(H708="",IF(C708="",A707,A707+1),A707)</f>
        <v>62</v>
      </c>
      <c r="B708" s="41" t="str">
        <f aca="false">IF(A708=A707,"",CONCATENATE("F",A708))</f>
        <v/>
      </c>
      <c r="C708" s="42"/>
      <c r="D708" s="42"/>
      <c r="E708" s="42"/>
      <c r="F708" s="42"/>
      <c r="G708" s="42"/>
      <c r="H708" s="44"/>
      <c r="I708" s="50"/>
      <c r="J708" s="44"/>
      <c r="K708" s="44"/>
      <c r="L708" s="44" t="str">
        <f aca="false">CONCATENATE(H708,M708)</f>
        <v/>
      </c>
      <c r="M708" s="45" t="str">
        <f aca="false">IF(OR(ISBLANK(J708),ISBLANK(K708)),IF(OR(H708="ALI",H708="AIE"),"L",IF(ISBLANK(H708),"","A")),IF(H708="EE",IF(K708&gt;=3,IF(J708&gt;=5,"H","A"),IF(K708&gt;=2,IF(J708&gt;=16,"H",IF(J708&lt;=4,"L","A")),IF(J708&lt;=15,"L","A"))),IF(OR(H708="SE",H708="CE"),IF(K708&gt;=4,IF(J708&gt;=6,"H","A"),IF(K708&gt;=2,IF(J708&gt;=20,"H",IF(J708&lt;=5,"L","A")),IF(J708&lt;=19,"L","A"))),IF(OR(H708="ALI",H708="AIE"),IF(K708&gt;=6,IF(J708&gt;=20,"H","A"),IF(K708&gt;=2,IF(J708&gt;=51,"H",IF(J708&lt;=19,"L","A")),IF(J708&lt;=50,"L","A")))))))</f>
        <v/>
      </c>
      <c r="N708" s="46" t="str">
        <f aca="false">IF(M708="L","Baixa",IF(M708="A","Média",IF(M708="","","Alta")))</f>
        <v/>
      </c>
      <c r="O708" s="47" t="str">
        <f aca="false">IF(ISBLANK(H708),"",IF(H708="ALI",IF(M708="L",7,IF(M708="A",10,15)),IF(H708="AIE",IF(M708="L",5,IF(M708="A",7,10)),IF(H708="SE",IF(M708="L",4,IF(M708="A",5,7)),IF(OR(H708="EE",H708="CE"),IF(M708="L",3,IF(M708="A",4,6)))))))</f>
        <v/>
      </c>
      <c r="P708" s="48" t="str">
        <f aca="false">IF(I708="I",O708*Contagem!$W$15,IF(I708="E",O708*Contagem!$W$17,IF(I708="A",O708*Contagem!$W$16,IF(I708="T",O708*Contagem!$W$18,""))))</f>
        <v/>
      </c>
      <c r="Q708" s="49"/>
    </row>
    <row r="709" customFormat="false" ht="12" hidden="false" customHeight="true" outlineLevel="0" collapsed="false">
      <c r="A709" s="40" t="n">
        <f aca="false">IF(H709="",IF(C709="",A708,A708+1),A708)</f>
        <v>62</v>
      </c>
      <c r="B709" s="41" t="str">
        <f aca="false">IF(A709=A708,"",CONCATENATE("F",A709))</f>
        <v/>
      </c>
      <c r="C709" s="42"/>
      <c r="D709" s="42"/>
      <c r="E709" s="42"/>
      <c r="F709" s="42"/>
      <c r="G709" s="42"/>
      <c r="H709" s="44"/>
      <c r="I709" s="50"/>
      <c r="J709" s="44"/>
      <c r="K709" s="44"/>
      <c r="L709" s="44" t="str">
        <f aca="false">CONCATENATE(H709,M709)</f>
        <v/>
      </c>
      <c r="M709" s="45" t="str">
        <f aca="false">IF(OR(ISBLANK(J709),ISBLANK(K709)),IF(OR(H709="ALI",H709="AIE"),"L",IF(ISBLANK(H709),"","A")),IF(H709="EE",IF(K709&gt;=3,IF(J709&gt;=5,"H","A"),IF(K709&gt;=2,IF(J709&gt;=16,"H",IF(J709&lt;=4,"L","A")),IF(J709&lt;=15,"L","A"))),IF(OR(H709="SE",H709="CE"),IF(K709&gt;=4,IF(J709&gt;=6,"H","A"),IF(K709&gt;=2,IF(J709&gt;=20,"H",IF(J709&lt;=5,"L","A")),IF(J709&lt;=19,"L","A"))),IF(OR(H709="ALI",H709="AIE"),IF(K709&gt;=6,IF(J709&gt;=20,"H","A"),IF(K709&gt;=2,IF(J709&gt;=51,"H",IF(J709&lt;=19,"L","A")),IF(J709&lt;=50,"L","A")))))))</f>
        <v/>
      </c>
      <c r="N709" s="46" t="str">
        <f aca="false">IF(M709="L","Baixa",IF(M709="A","Média",IF(M709="","","Alta")))</f>
        <v/>
      </c>
      <c r="O709" s="47" t="str">
        <f aca="false">IF(ISBLANK(H709),"",IF(H709="ALI",IF(M709="L",7,IF(M709="A",10,15)),IF(H709="AIE",IF(M709="L",5,IF(M709="A",7,10)),IF(H709="SE",IF(M709="L",4,IF(M709="A",5,7)),IF(OR(H709="EE",H709="CE"),IF(M709="L",3,IF(M709="A",4,6)))))))</f>
        <v/>
      </c>
      <c r="P709" s="48" t="str">
        <f aca="false">IF(I709="I",O709*Contagem!$W$15,IF(I709="E",O709*Contagem!$W$17,IF(I709="A",O709*Contagem!$W$16,IF(I709="T",O709*Contagem!$W$18,""))))</f>
        <v/>
      </c>
      <c r="Q709" s="49"/>
    </row>
    <row r="710" customFormat="false" ht="12" hidden="false" customHeight="true" outlineLevel="0" collapsed="false">
      <c r="A710" s="40" t="n">
        <f aca="false">IF(H710="",IF(C710="",A709,A709+1),A709)</f>
        <v>62</v>
      </c>
      <c r="B710" s="41" t="str">
        <f aca="false">IF(A710=A709,"",CONCATENATE("F",A710))</f>
        <v/>
      </c>
      <c r="C710" s="42"/>
      <c r="D710" s="42"/>
      <c r="E710" s="42"/>
      <c r="F710" s="42"/>
      <c r="G710" s="42"/>
      <c r="H710" s="44"/>
      <c r="I710" s="50"/>
      <c r="J710" s="44"/>
      <c r="K710" s="44"/>
      <c r="L710" s="44" t="str">
        <f aca="false">CONCATENATE(H710,M710)</f>
        <v/>
      </c>
      <c r="M710" s="45" t="str">
        <f aca="false">IF(OR(ISBLANK(J710),ISBLANK(K710)),IF(OR(H710="ALI",H710="AIE"),"L",IF(ISBLANK(H710),"","A")),IF(H710="EE",IF(K710&gt;=3,IF(J710&gt;=5,"H","A"),IF(K710&gt;=2,IF(J710&gt;=16,"H",IF(J710&lt;=4,"L","A")),IF(J710&lt;=15,"L","A"))),IF(OR(H710="SE",H710="CE"),IF(K710&gt;=4,IF(J710&gt;=6,"H","A"),IF(K710&gt;=2,IF(J710&gt;=20,"H",IF(J710&lt;=5,"L","A")),IF(J710&lt;=19,"L","A"))),IF(OR(H710="ALI",H710="AIE"),IF(K710&gt;=6,IF(J710&gt;=20,"H","A"),IF(K710&gt;=2,IF(J710&gt;=51,"H",IF(J710&lt;=19,"L","A")),IF(J710&lt;=50,"L","A")))))))</f>
        <v/>
      </c>
      <c r="N710" s="46" t="str">
        <f aca="false">IF(M710="L","Baixa",IF(M710="A","Média",IF(M710="","","Alta")))</f>
        <v/>
      </c>
      <c r="O710" s="47" t="str">
        <f aca="false">IF(ISBLANK(H710),"",IF(H710="ALI",IF(M710="L",7,IF(M710="A",10,15)),IF(H710="AIE",IF(M710="L",5,IF(M710="A",7,10)),IF(H710="SE",IF(M710="L",4,IF(M710="A",5,7)),IF(OR(H710="EE",H710="CE"),IF(M710="L",3,IF(M710="A",4,6)))))))</f>
        <v/>
      </c>
      <c r="P710" s="48" t="str">
        <f aca="false">IF(I710="I",O710*Contagem!$W$15,IF(I710="E",O710*Contagem!$W$17,IF(I710="A",O710*Contagem!$W$16,IF(I710="T",O710*Contagem!$W$18,""))))</f>
        <v/>
      </c>
      <c r="Q710" s="49"/>
    </row>
    <row r="711" customFormat="false" ht="12" hidden="false" customHeight="true" outlineLevel="0" collapsed="false">
      <c r="A711" s="40" t="n">
        <f aca="false">IF(H711="",IF(C711="",A710,A710+1),A710)</f>
        <v>62</v>
      </c>
      <c r="B711" s="41" t="str">
        <f aca="false">IF(A711=A710,"",CONCATENATE("F",A711))</f>
        <v/>
      </c>
      <c r="C711" s="42"/>
      <c r="D711" s="42"/>
      <c r="E711" s="42"/>
      <c r="F711" s="42"/>
      <c r="G711" s="42"/>
      <c r="H711" s="44"/>
      <c r="I711" s="50"/>
      <c r="J711" s="44"/>
      <c r="K711" s="44"/>
      <c r="L711" s="44" t="str">
        <f aca="false">CONCATENATE(H711,M711)</f>
        <v/>
      </c>
      <c r="M711" s="45" t="str">
        <f aca="false">IF(OR(ISBLANK(J711),ISBLANK(K711)),IF(OR(H711="ALI",H711="AIE"),"L",IF(ISBLANK(H711),"","A")),IF(H711="EE",IF(K711&gt;=3,IF(J711&gt;=5,"H","A"),IF(K711&gt;=2,IF(J711&gt;=16,"H",IF(J711&lt;=4,"L","A")),IF(J711&lt;=15,"L","A"))),IF(OR(H711="SE",H711="CE"),IF(K711&gt;=4,IF(J711&gt;=6,"H","A"),IF(K711&gt;=2,IF(J711&gt;=20,"H",IF(J711&lt;=5,"L","A")),IF(J711&lt;=19,"L","A"))),IF(OR(H711="ALI",H711="AIE"),IF(K711&gt;=6,IF(J711&gt;=20,"H","A"),IF(K711&gt;=2,IF(J711&gt;=51,"H",IF(J711&lt;=19,"L","A")),IF(J711&lt;=50,"L","A")))))))</f>
        <v/>
      </c>
      <c r="N711" s="46" t="str">
        <f aca="false">IF(M711="L","Baixa",IF(M711="A","Média",IF(M711="","","Alta")))</f>
        <v/>
      </c>
      <c r="O711" s="47" t="str">
        <f aca="false">IF(ISBLANK(H711),"",IF(H711="ALI",IF(M711="L",7,IF(M711="A",10,15)),IF(H711="AIE",IF(M711="L",5,IF(M711="A",7,10)),IF(H711="SE",IF(M711="L",4,IF(M711="A",5,7)),IF(OR(H711="EE",H711="CE"),IF(M711="L",3,IF(M711="A",4,6)))))))</f>
        <v/>
      </c>
      <c r="P711" s="48" t="str">
        <f aca="false">IF(I711="I",O711*Contagem!$W$15,IF(I711="E",O711*Contagem!$W$17,IF(I711="A",O711*Contagem!$W$16,IF(I711="T",O711*Contagem!$W$18,""))))</f>
        <v/>
      </c>
      <c r="Q711" s="49"/>
    </row>
    <row r="712" customFormat="false" ht="12" hidden="false" customHeight="true" outlineLevel="0" collapsed="false">
      <c r="A712" s="40" t="n">
        <f aca="false">IF(H712="",IF(C712="",A711,A711+1),A711)</f>
        <v>62</v>
      </c>
      <c r="B712" s="41" t="str">
        <f aca="false">IF(A712=A711,"",CONCATENATE("F",A712))</f>
        <v/>
      </c>
      <c r="C712" s="42"/>
      <c r="D712" s="42"/>
      <c r="E712" s="42"/>
      <c r="F712" s="42"/>
      <c r="G712" s="42"/>
      <c r="H712" s="44"/>
      <c r="I712" s="50"/>
      <c r="J712" s="44"/>
      <c r="K712" s="44"/>
      <c r="L712" s="44" t="str">
        <f aca="false">CONCATENATE(H712,M712)</f>
        <v/>
      </c>
      <c r="M712" s="45" t="str">
        <f aca="false">IF(OR(ISBLANK(J712),ISBLANK(K712)),IF(OR(H712="ALI",H712="AIE"),"L",IF(ISBLANK(H712),"","A")),IF(H712="EE",IF(K712&gt;=3,IF(J712&gt;=5,"H","A"),IF(K712&gt;=2,IF(J712&gt;=16,"H",IF(J712&lt;=4,"L","A")),IF(J712&lt;=15,"L","A"))),IF(OR(H712="SE",H712="CE"),IF(K712&gt;=4,IF(J712&gt;=6,"H","A"),IF(K712&gt;=2,IF(J712&gt;=20,"H",IF(J712&lt;=5,"L","A")),IF(J712&lt;=19,"L","A"))),IF(OR(H712="ALI",H712="AIE"),IF(K712&gt;=6,IF(J712&gt;=20,"H","A"),IF(K712&gt;=2,IF(J712&gt;=51,"H",IF(J712&lt;=19,"L","A")),IF(J712&lt;=50,"L","A")))))))</f>
        <v/>
      </c>
      <c r="N712" s="46" t="str">
        <f aca="false">IF(M712="L","Baixa",IF(M712="A","Média",IF(M712="","","Alta")))</f>
        <v/>
      </c>
      <c r="O712" s="47" t="str">
        <f aca="false">IF(ISBLANK(H712),"",IF(H712="ALI",IF(M712="L",7,IF(M712="A",10,15)),IF(H712="AIE",IF(M712="L",5,IF(M712="A",7,10)),IF(H712="SE",IF(M712="L",4,IF(M712="A",5,7)),IF(OR(H712="EE",H712="CE"),IF(M712="L",3,IF(M712="A",4,6)))))))</f>
        <v/>
      </c>
      <c r="P712" s="48" t="str">
        <f aca="false">IF(I712="I",O712*Contagem!$W$15,IF(I712="E",O712*Contagem!$W$17,IF(I712="A",O712*Contagem!$W$16,IF(I712="T",O712*Contagem!$W$18,""))))</f>
        <v/>
      </c>
      <c r="Q712" s="49"/>
    </row>
    <row r="713" customFormat="false" ht="12" hidden="false" customHeight="true" outlineLevel="0" collapsed="false">
      <c r="A713" s="40" t="n">
        <f aca="false">IF(H713="",IF(C713="",A712,A712+1),A712)</f>
        <v>62</v>
      </c>
      <c r="B713" s="41" t="str">
        <f aca="false">IF(A713=A712,"",CONCATENATE("F",A713))</f>
        <v/>
      </c>
      <c r="C713" s="42"/>
      <c r="D713" s="42"/>
      <c r="E713" s="42"/>
      <c r="F713" s="42"/>
      <c r="G713" s="42"/>
      <c r="H713" s="44"/>
      <c r="I713" s="50"/>
      <c r="J713" s="44"/>
      <c r="K713" s="44"/>
      <c r="L713" s="44" t="str">
        <f aca="false">CONCATENATE(H713,M713)</f>
        <v/>
      </c>
      <c r="M713" s="45" t="str">
        <f aca="false">IF(OR(ISBLANK(J713),ISBLANK(K713)),IF(OR(H713="ALI",H713="AIE"),"L",IF(ISBLANK(H713),"","A")),IF(H713="EE",IF(K713&gt;=3,IF(J713&gt;=5,"H","A"),IF(K713&gt;=2,IF(J713&gt;=16,"H",IF(J713&lt;=4,"L","A")),IF(J713&lt;=15,"L","A"))),IF(OR(H713="SE",H713="CE"),IF(K713&gt;=4,IF(J713&gt;=6,"H","A"),IF(K713&gt;=2,IF(J713&gt;=20,"H",IF(J713&lt;=5,"L","A")),IF(J713&lt;=19,"L","A"))),IF(OR(H713="ALI",H713="AIE"),IF(K713&gt;=6,IF(J713&gt;=20,"H","A"),IF(K713&gt;=2,IF(J713&gt;=51,"H",IF(J713&lt;=19,"L","A")),IF(J713&lt;=50,"L","A")))))))</f>
        <v/>
      </c>
      <c r="N713" s="46" t="str">
        <f aca="false">IF(M713="L","Baixa",IF(M713="A","Média",IF(M713="","","Alta")))</f>
        <v/>
      </c>
      <c r="O713" s="47" t="str">
        <f aca="false">IF(ISBLANK(H713),"",IF(H713="ALI",IF(M713="L",7,IF(M713="A",10,15)),IF(H713="AIE",IF(M713="L",5,IF(M713="A",7,10)),IF(H713="SE",IF(M713="L",4,IF(M713="A",5,7)),IF(OR(H713="EE",H713="CE"),IF(M713="L",3,IF(M713="A",4,6)))))))</f>
        <v/>
      </c>
      <c r="P713" s="48" t="str">
        <f aca="false">IF(I713="I",O713*Contagem!$W$15,IF(I713="E",O713*Contagem!$W$17,IF(I713="A",O713*Contagem!$W$16,IF(I713="T",O713*Contagem!$W$18,""))))</f>
        <v/>
      </c>
      <c r="Q713" s="49"/>
    </row>
    <row r="714" customFormat="false" ht="12" hidden="false" customHeight="true" outlineLevel="0" collapsed="false">
      <c r="A714" s="40" t="n">
        <f aca="false">IF(H714="",IF(C714="",A713,A713+1),A713)</f>
        <v>62</v>
      </c>
      <c r="B714" s="41" t="str">
        <f aca="false">IF(A714=A713,"",CONCATENATE("F",A714))</f>
        <v/>
      </c>
      <c r="C714" s="42"/>
      <c r="D714" s="42"/>
      <c r="E714" s="42"/>
      <c r="F714" s="42"/>
      <c r="G714" s="42"/>
      <c r="H714" s="44"/>
      <c r="I714" s="50"/>
      <c r="J714" s="44"/>
      <c r="K714" s="44"/>
      <c r="L714" s="44" t="str">
        <f aca="false">CONCATENATE(H714,M714)</f>
        <v/>
      </c>
      <c r="M714" s="45" t="str">
        <f aca="false">IF(OR(ISBLANK(J714),ISBLANK(K714)),IF(OR(H714="ALI",H714="AIE"),"L",IF(ISBLANK(H714),"","A")),IF(H714="EE",IF(K714&gt;=3,IF(J714&gt;=5,"H","A"),IF(K714&gt;=2,IF(J714&gt;=16,"H",IF(J714&lt;=4,"L","A")),IF(J714&lt;=15,"L","A"))),IF(OR(H714="SE",H714="CE"),IF(K714&gt;=4,IF(J714&gt;=6,"H","A"),IF(K714&gt;=2,IF(J714&gt;=20,"H",IF(J714&lt;=5,"L","A")),IF(J714&lt;=19,"L","A"))),IF(OR(H714="ALI",H714="AIE"),IF(K714&gt;=6,IF(J714&gt;=20,"H","A"),IF(K714&gt;=2,IF(J714&gt;=51,"H",IF(J714&lt;=19,"L","A")),IF(J714&lt;=50,"L","A")))))))</f>
        <v/>
      </c>
      <c r="N714" s="46" t="str">
        <f aca="false">IF(M714="L","Baixa",IF(M714="A","Média",IF(M714="","","Alta")))</f>
        <v/>
      </c>
      <c r="O714" s="47" t="str">
        <f aca="false">IF(ISBLANK(H714),"",IF(H714="ALI",IF(M714="L",7,IF(M714="A",10,15)),IF(H714="AIE",IF(M714="L",5,IF(M714="A",7,10)),IF(H714="SE",IF(M714="L",4,IF(M714="A",5,7)),IF(OR(H714="EE",H714="CE"),IF(M714="L",3,IF(M714="A",4,6)))))))</f>
        <v/>
      </c>
      <c r="P714" s="48" t="str">
        <f aca="false">IF(I714="I",O714*Contagem!$W$15,IF(I714="E",O714*Contagem!$W$17,IF(I714="A",O714*Contagem!$W$16,IF(I714="T",O714*Contagem!$W$18,""))))</f>
        <v/>
      </c>
      <c r="Q714" s="49"/>
    </row>
    <row r="715" customFormat="false" ht="12" hidden="false" customHeight="true" outlineLevel="0" collapsed="false">
      <c r="A715" s="40" t="n">
        <f aca="false">IF(H715="",IF(C715="",A714,A714+1),A714)</f>
        <v>62</v>
      </c>
      <c r="B715" s="41" t="str">
        <f aca="false">IF(A715=A714,"",CONCATENATE("F",A715))</f>
        <v/>
      </c>
      <c r="C715" s="42"/>
      <c r="D715" s="42"/>
      <c r="E715" s="42"/>
      <c r="F715" s="42"/>
      <c r="G715" s="42"/>
      <c r="H715" s="44"/>
      <c r="I715" s="50"/>
      <c r="J715" s="44"/>
      <c r="K715" s="44"/>
      <c r="L715" s="44" t="str">
        <f aca="false">CONCATENATE(H715,M715)</f>
        <v/>
      </c>
      <c r="M715" s="45" t="str">
        <f aca="false">IF(OR(ISBLANK(J715),ISBLANK(K715)),IF(OR(H715="ALI",H715="AIE"),"L",IF(ISBLANK(H715),"","A")),IF(H715="EE",IF(K715&gt;=3,IF(J715&gt;=5,"H","A"),IF(K715&gt;=2,IF(J715&gt;=16,"H",IF(J715&lt;=4,"L","A")),IF(J715&lt;=15,"L","A"))),IF(OR(H715="SE",H715="CE"),IF(K715&gt;=4,IF(J715&gt;=6,"H","A"),IF(K715&gt;=2,IF(J715&gt;=20,"H",IF(J715&lt;=5,"L","A")),IF(J715&lt;=19,"L","A"))),IF(OR(H715="ALI",H715="AIE"),IF(K715&gt;=6,IF(J715&gt;=20,"H","A"),IF(K715&gt;=2,IF(J715&gt;=51,"H",IF(J715&lt;=19,"L","A")),IF(J715&lt;=50,"L","A")))))))</f>
        <v/>
      </c>
      <c r="N715" s="46" t="str">
        <f aca="false">IF(M715="L","Baixa",IF(M715="A","Média",IF(M715="","","Alta")))</f>
        <v/>
      </c>
      <c r="O715" s="47" t="str">
        <f aca="false">IF(ISBLANK(H715),"",IF(H715="ALI",IF(M715="L",7,IF(M715="A",10,15)),IF(H715="AIE",IF(M715="L",5,IF(M715="A",7,10)),IF(H715="SE",IF(M715="L",4,IF(M715="A",5,7)),IF(OR(H715="EE",H715="CE"),IF(M715="L",3,IF(M715="A",4,6)))))))</f>
        <v/>
      </c>
      <c r="P715" s="48" t="str">
        <f aca="false">IF(I715="I",O715*Contagem!$W$15,IF(I715="E",O715*Contagem!$W$17,IF(I715="A",O715*Contagem!$W$16,IF(I715="T",O715*Contagem!$W$18,""))))</f>
        <v/>
      </c>
      <c r="Q715" s="49"/>
    </row>
    <row r="716" customFormat="false" ht="12" hidden="false" customHeight="true" outlineLevel="0" collapsed="false">
      <c r="A716" s="40" t="n">
        <f aca="false">IF(H716="",IF(C716="",A715,A715+1),A715)</f>
        <v>62</v>
      </c>
      <c r="B716" s="41" t="str">
        <f aca="false">IF(A716=A715,"",CONCATENATE("F",A716))</f>
        <v/>
      </c>
      <c r="C716" s="42"/>
      <c r="D716" s="42"/>
      <c r="E716" s="42"/>
      <c r="F716" s="42"/>
      <c r="G716" s="42"/>
      <c r="H716" s="44"/>
      <c r="I716" s="50"/>
      <c r="J716" s="44"/>
      <c r="K716" s="44"/>
      <c r="L716" s="44" t="str">
        <f aca="false">CONCATENATE(H716,M716)</f>
        <v/>
      </c>
      <c r="M716" s="45" t="str">
        <f aca="false">IF(OR(ISBLANK(J716),ISBLANK(K716)),IF(OR(H716="ALI",H716="AIE"),"L",IF(ISBLANK(H716),"","A")),IF(H716="EE",IF(K716&gt;=3,IF(J716&gt;=5,"H","A"),IF(K716&gt;=2,IF(J716&gt;=16,"H",IF(J716&lt;=4,"L","A")),IF(J716&lt;=15,"L","A"))),IF(OR(H716="SE",H716="CE"),IF(K716&gt;=4,IF(J716&gt;=6,"H","A"),IF(K716&gt;=2,IF(J716&gt;=20,"H",IF(J716&lt;=5,"L","A")),IF(J716&lt;=19,"L","A"))),IF(OR(H716="ALI",H716="AIE"),IF(K716&gt;=6,IF(J716&gt;=20,"H","A"),IF(K716&gt;=2,IF(J716&gt;=51,"H",IF(J716&lt;=19,"L","A")),IF(J716&lt;=50,"L","A")))))))</f>
        <v/>
      </c>
      <c r="N716" s="46" t="str">
        <f aca="false">IF(M716="L","Baixa",IF(M716="A","Média",IF(M716="","","Alta")))</f>
        <v/>
      </c>
      <c r="O716" s="47" t="str">
        <f aca="false">IF(ISBLANK(H716),"",IF(H716="ALI",IF(M716="L",7,IF(M716="A",10,15)),IF(H716="AIE",IF(M716="L",5,IF(M716="A",7,10)),IF(H716="SE",IF(M716="L",4,IF(M716="A",5,7)),IF(OR(H716="EE",H716="CE"),IF(M716="L",3,IF(M716="A",4,6)))))))</f>
        <v/>
      </c>
      <c r="P716" s="48" t="str">
        <f aca="false">IF(I716="I",O716*Contagem!$W$15,IF(I716="E",O716*Contagem!$W$17,IF(I716="A",O716*Contagem!$W$16,IF(I716="T",O716*Contagem!$W$18,""))))</f>
        <v/>
      </c>
      <c r="Q716" s="49"/>
    </row>
    <row r="717" customFormat="false" ht="12" hidden="false" customHeight="true" outlineLevel="0" collapsed="false">
      <c r="A717" s="40" t="n">
        <f aca="false">IF(H717="",IF(C717="",A716,A716+1),A716)</f>
        <v>62</v>
      </c>
      <c r="B717" s="41" t="str">
        <f aca="false">IF(A717=A716,"",CONCATENATE("F",A717))</f>
        <v/>
      </c>
      <c r="C717" s="42"/>
      <c r="D717" s="42"/>
      <c r="E717" s="42"/>
      <c r="F717" s="42"/>
      <c r="G717" s="42"/>
      <c r="H717" s="44"/>
      <c r="I717" s="50"/>
      <c r="J717" s="44"/>
      <c r="K717" s="44"/>
      <c r="L717" s="44" t="str">
        <f aca="false">CONCATENATE(H717,M717)</f>
        <v/>
      </c>
      <c r="M717" s="45" t="str">
        <f aca="false">IF(OR(ISBLANK(J717),ISBLANK(K717)),IF(OR(H717="ALI",H717="AIE"),"L",IF(ISBLANK(H717),"","A")),IF(H717="EE",IF(K717&gt;=3,IF(J717&gt;=5,"H","A"),IF(K717&gt;=2,IF(J717&gt;=16,"H",IF(J717&lt;=4,"L","A")),IF(J717&lt;=15,"L","A"))),IF(OR(H717="SE",H717="CE"),IF(K717&gt;=4,IF(J717&gt;=6,"H","A"),IF(K717&gt;=2,IF(J717&gt;=20,"H",IF(J717&lt;=5,"L","A")),IF(J717&lt;=19,"L","A"))),IF(OR(H717="ALI",H717="AIE"),IF(K717&gt;=6,IF(J717&gt;=20,"H","A"),IF(K717&gt;=2,IF(J717&gt;=51,"H",IF(J717&lt;=19,"L","A")),IF(J717&lt;=50,"L","A")))))))</f>
        <v/>
      </c>
      <c r="N717" s="46" t="str">
        <f aca="false">IF(M717="L","Baixa",IF(M717="A","Média",IF(M717="","","Alta")))</f>
        <v/>
      </c>
      <c r="O717" s="47" t="str">
        <f aca="false">IF(ISBLANK(H717),"",IF(H717="ALI",IF(M717="L",7,IF(M717="A",10,15)),IF(H717="AIE",IF(M717="L",5,IF(M717="A",7,10)),IF(H717="SE",IF(M717="L",4,IF(M717="A",5,7)),IF(OR(H717="EE",H717="CE"),IF(M717="L",3,IF(M717="A",4,6)))))))</f>
        <v/>
      </c>
      <c r="P717" s="48" t="str">
        <f aca="false">IF(I717="I",O717*Contagem!$W$15,IF(I717="E",O717*Contagem!$W$17,IF(I717="A",O717*Contagem!$W$16,IF(I717="T",O717*Contagem!$W$18,""))))</f>
        <v/>
      </c>
      <c r="Q717" s="49"/>
    </row>
    <row r="718" customFormat="false" ht="12" hidden="false" customHeight="true" outlineLevel="0" collapsed="false">
      <c r="A718" s="40" t="n">
        <f aca="false">IF(H718="",IF(C718="",A717,A717+1),A717)</f>
        <v>62</v>
      </c>
      <c r="B718" s="41" t="str">
        <f aca="false">IF(A718=A717,"",CONCATENATE("F",A718))</f>
        <v/>
      </c>
      <c r="C718" s="42"/>
      <c r="D718" s="42"/>
      <c r="E718" s="42"/>
      <c r="F718" s="42"/>
      <c r="G718" s="42"/>
      <c r="H718" s="44"/>
      <c r="I718" s="50"/>
      <c r="J718" s="44"/>
      <c r="K718" s="44"/>
      <c r="L718" s="44" t="str">
        <f aca="false">CONCATENATE(H718,M718)</f>
        <v/>
      </c>
      <c r="M718" s="45" t="str">
        <f aca="false">IF(OR(ISBLANK(J718),ISBLANK(K718)),IF(OR(H718="ALI",H718="AIE"),"L",IF(ISBLANK(H718),"","A")),IF(H718="EE",IF(K718&gt;=3,IF(J718&gt;=5,"H","A"),IF(K718&gt;=2,IF(J718&gt;=16,"H",IF(J718&lt;=4,"L","A")),IF(J718&lt;=15,"L","A"))),IF(OR(H718="SE",H718="CE"),IF(K718&gt;=4,IF(J718&gt;=6,"H","A"),IF(K718&gt;=2,IF(J718&gt;=20,"H",IF(J718&lt;=5,"L","A")),IF(J718&lt;=19,"L","A"))),IF(OR(H718="ALI",H718="AIE"),IF(K718&gt;=6,IF(J718&gt;=20,"H","A"),IF(K718&gt;=2,IF(J718&gt;=51,"H",IF(J718&lt;=19,"L","A")),IF(J718&lt;=50,"L","A")))))))</f>
        <v/>
      </c>
      <c r="N718" s="46" t="str">
        <f aca="false">IF(M718="L","Baixa",IF(M718="A","Média",IF(M718="","","Alta")))</f>
        <v/>
      </c>
      <c r="O718" s="47" t="str">
        <f aca="false">IF(ISBLANK(H718),"",IF(H718="ALI",IF(M718="L",7,IF(M718="A",10,15)),IF(H718="AIE",IF(M718="L",5,IF(M718="A",7,10)),IF(H718="SE",IF(M718="L",4,IF(M718="A",5,7)),IF(OR(H718="EE",H718="CE"),IF(M718="L",3,IF(M718="A",4,6)))))))</f>
        <v/>
      </c>
      <c r="P718" s="48" t="str">
        <f aca="false">IF(I718="I",O718*Contagem!$W$15,IF(I718="E",O718*Contagem!$W$17,IF(I718="A",O718*Contagem!$W$16,IF(I718="T",O718*Contagem!$W$18,""))))</f>
        <v/>
      </c>
      <c r="Q718" s="49"/>
    </row>
    <row r="719" customFormat="false" ht="12" hidden="false" customHeight="true" outlineLevel="0" collapsed="false">
      <c r="A719" s="40" t="n">
        <f aca="false">IF(H719="",IF(C719="",A718,A718+1),A718)</f>
        <v>62</v>
      </c>
      <c r="B719" s="41" t="str">
        <f aca="false">IF(A719=A718,"",CONCATENATE("F",A719))</f>
        <v/>
      </c>
      <c r="C719" s="42"/>
      <c r="D719" s="42"/>
      <c r="E719" s="42"/>
      <c r="F719" s="42"/>
      <c r="G719" s="42"/>
      <c r="H719" s="44"/>
      <c r="I719" s="50"/>
      <c r="J719" s="44"/>
      <c r="K719" s="44"/>
      <c r="L719" s="44" t="str">
        <f aca="false">CONCATENATE(H719,M719)</f>
        <v/>
      </c>
      <c r="M719" s="45" t="str">
        <f aca="false">IF(OR(ISBLANK(J719),ISBLANK(K719)),IF(OR(H719="ALI",H719="AIE"),"L",IF(ISBLANK(H719),"","A")),IF(H719="EE",IF(K719&gt;=3,IF(J719&gt;=5,"H","A"),IF(K719&gt;=2,IF(J719&gt;=16,"H",IF(J719&lt;=4,"L","A")),IF(J719&lt;=15,"L","A"))),IF(OR(H719="SE",H719="CE"),IF(K719&gt;=4,IF(J719&gt;=6,"H","A"),IF(K719&gt;=2,IF(J719&gt;=20,"H",IF(J719&lt;=5,"L","A")),IF(J719&lt;=19,"L","A"))),IF(OR(H719="ALI",H719="AIE"),IF(K719&gt;=6,IF(J719&gt;=20,"H","A"),IF(K719&gt;=2,IF(J719&gt;=51,"H",IF(J719&lt;=19,"L","A")),IF(J719&lt;=50,"L","A")))))))</f>
        <v/>
      </c>
      <c r="N719" s="46" t="str">
        <f aca="false">IF(M719="L","Baixa",IF(M719="A","Média",IF(M719="","","Alta")))</f>
        <v/>
      </c>
      <c r="O719" s="47" t="str">
        <f aca="false">IF(ISBLANK(H719),"",IF(H719="ALI",IF(M719="L",7,IF(M719="A",10,15)),IF(H719="AIE",IF(M719="L",5,IF(M719="A",7,10)),IF(H719="SE",IF(M719="L",4,IF(M719="A",5,7)),IF(OR(H719="EE",H719="CE"),IF(M719="L",3,IF(M719="A",4,6)))))))</f>
        <v/>
      </c>
      <c r="P719" s="48" t="str">
        <f aca="false">IF(I719="I",O719*Contagem!$W$15,IF(I719="E",O719*Contagem!$W$17,IF(I719="A",O719*Contagem!$W$16,IF(I719="T",O719*Contagem!$W$18,""))))</f>
        <v/>
      </c>
      <c r="Q719" s="49"/>
    </row>
    <row r="720" customFormat="false" ht="12" hidden="false" customHeight="true" outlineLevel="0" collapsed="false">
      <c r="A720" s="40" t="n">
        <f aca="false">IF(H720="",IF(C720="",A719,A719+1),A719)</f>
        <v>62</v>
      </c>
      <c r="B720" s="41" t="str">
        <f aca="false">IF(A720=A719,"",CONCATENATE("F",A720))</f>
        <v/>
      </c>
      <c r="C720" s="42"/>
      <c r="D720" s="42"/>
      <c r="E720" s="42"/>
      <c r="F720" s="42"/>
      <c r="G720" s="42"/>
      <c r="H720" s="44"/>
      <c r="I720" s="50"/>
      <c r="J720" s="44"/>
      <c r="K720" s="44"/>
      <c r="L720" s="44" t="str">
        <f aca="false">CONCATENATE(H720,M720)</f>
        <v/>
      </c>
      <c r="M720" s="45" t="str">
        <f aca="false">IF(OR(ISBLANK(J720),ISBLANK(K720)),IF(OR(H720="ALI",H720="AIE"),"L",IF(ISBLANK(H720),"","A")),IF(H720="EE",IF(K720&gt;=3,IF(J720&gt;=5,"H","A"),IF(K720&gt;=2,IF(J720&gt;=16,"H",IF(J720&lt;=4,"L","A")),IF(J720&lt;=15,"L","A"))),IF(OR(H720="SE",H720="CE"),IF(K720&gt;=4,IF(J720&gt;=6,"H","A"),IF(K720&gt;=2,IF(J720&gt;=20,"H",IF(J720&lt;=5,"L","A")),IF(J720&lt;=19,"L","A"))),IF(OR(H720="ALI",H720="AIE"),IF(K720&gt;=6,IF(J720&gt;=20,"H","A"),IF(K720&gt;=2,IF(J720&gt;=51,"H",IF(J720&lt;=19,"L","A")),IF(J720&lt;=50,"L","A")))))))</f>
        <v/>
      </c>
      <c r="N720" s="46" t="str">
        <f aca="false">IF(M720="L","Baixa",IF(M720="A","Média",IF(M720="","","Alta")))</f>
        <v/>
      </c>
      <c r="O720" s="47" t="str">
        <f aca="false">IF(ISBLANK(H720),"",IF(H720="ALI",IF(M720="L",7,IF(M720="A",10,15)),IF(H720="AIE",IF(M720="L",5,IF(M720="A",7,10)),IF(H720="SE",IF(M720="L",4,IF(M720="A",5,7)),IF(OR(H720="EE",H720="CE"),IF(M720="L",3,IF(M720="A",4,6)))))))</f>
        <v/>
      </c>
      <c r="P720" s="48" t="str">
        <f aca="false">IF(I720="I",O720*Contagem!$W$15,IF(I720="E",O720*Contagem!$W$17,IF(I720="A",O720*Contagem!$W$16,IF(I720="T",O720*Contagem!$W$18,""))))</f>
        <v/>
      </c>
      <c r="Q720" s="49"/>
    </row>
    <row r="721" customFormat="false" ht="12" hidden="false" customHeight="true" outlineLevel="0" collapsed="false">
      <c r="A721" s="40" t="n">
        <f aca="false">IF(H721="",IF(C721="",A720,A720+1),A720)</f>
        <v>62</v>
      </c>
      <c r="B721" s="41" t="str">
        <f aca="false">IF(A721=A720,"",CONCATENATE("F",A721))</f>
        <v/>
      </c>
      <c r="C721" s="42"/>
      <c r="D721" s="42"/>
      <c r="E721" s="42"/>
      <c r="F721" s="42"/>
      <c r="G721" s="42"/>
      <c r="H721" s="44"/>
      <c r="I721" s="50"/>
      <c r="J721" s="44"/>
      <c r="K721" s="44"/>
      <c r="L721" s="44" t="str">
        <f aca="false">CONCATENATE(H721,M721)</f>
        <v/>
      </c>
      <c r="M721" s="45" t="str">
        <f aca="false">IF(OR(ISBLANK(J721),ISBLANK(K721)),IF(OR(H721="ALI",H721="AIE"),"L",IF(ISBLANK(H721),"","A")),IF(H721="EE",IF(K721&gt;=3,IF(J721&gt;=5,"H","A"),IF(K721&gt;=2,IF(J721&gt;=16,"H",IF(J721&lt;=4,"L","A")),IF(J721&lt;=15,"L","A"))),IF(OR(H721="SE",H721="CE"),IF(K721&gt;=4,IF(J721&gt;=6,"H","A"),IF(K721&gt;=2,IF(J721&gt;=20,"H",IF(J721&lt;=5,"L","A")),IF(J721&lt;=19,"L","A"))),IF(OR(H721="ALI",H721="AIE"),IF(K721&gt;=6,IF(J721&gt;=20,"H","A"),IF(K721&gt;=2,IF(J721&gt;=51,"H",IF(J721&lt;=19,"L","A")),IF(J721&lt;=50,"L","A")))))))</f>
        <v/>
      </c>
      <c r="N721" s="46" t="str">
        <f aca="false">IF(M721="L","Baixa",IF(M721="A","Média",IF(M721="","","Alta")))</f>
        <v/>
      </c>
      <c r="O721" s="47" t="str">
        <f aca="false">IF(ISBLANK(H721),"",IF(H721="ALI",IF(M721="L",7,IF(M721="A",10,15)),IF(H721="AIE",IF(M721="L",5,IF(M721="A",7,10)),IF(H721="SE",IF(M721="L",4,IF(M721="A",5,7)),IF(OR(H721="EE",H721="CE"),IF(M721="L",3,IF(M721="A",4,6)))))))</f>
        <v/>
      </c>
      <c r="P721" s="48" t="str">
        <f aca="false">IF(I721="I",O721*Contagem!$W$15,IF(I721="E",O721*Contagem!$W$17,IF(I721="A",O721*Contagem!$W$16,IF(I721="T",O721*Contagem!$W$18,""))))</f>
        <v/>
      </c>
      <c r="Q721" s="49"/>
    </row>
    <row r="722" customFormat="false" ht="12" hidden="false" customHeight="true" outlineLevel="0" collapsed="false">
      <c r="A722" s="40" t="n">
        <f aca="false">IF(H722="",IF(C722="",A721,A721+1),A721)</f>
        <v>62</v>
      </c>
      <c r="B722" s="41" t="str">
        <f aca="false">IF(A722=A721,"",CONCATENATE("F",A722))</f>
        <v/>
      </c>
      <c r="C722" s="42"/>
      <c r="D722" s="42"/>
      <c r="E722" s="42"/>
      <c r="F722" s="42"/>
      <c r="G722" s="42"/>
      <c r="H722" s="44"/>
      <c r="I722" s="50"/>
      <c r="J722" s="44"/>
      <c r="K722" s="44"/>
      <c r="L722" s="44" t="str">
        <f aca="false">CONCATENATE(H722,M722)</f>
        <v/>
      </c>
      <c r="M722" s="45" t="str">
        <f aca="false">IF(OR(ISBLANK(J722),ISBLANK(K722)),IF(OR(H722="ALI",H722="AIE"),"L",IF(ISBLANK(H722),"","A")),IF(H722="EE",IF(K722&gt;=3,IF(J722&gt;=5,"H","A"),IF(K722&gt;=2,IF(J722&gt;=16,"H",IF(J722&lt;=4,"L","A")),IF(J722&lt;=15,"L","A"))),IF(OR(H722="SE",H722="CE"),IF(K722&gt;=4,IF(J722&gt;=6,"H","A"),IF(K722&gt;=2,IF(J722&gt;=20,"H",IF(J722&lt;=5,"L","A")),IF(J722&lt;=19,"L","A"))),IF(OR(H722="ALI",H722="AIE"),IF(K722&gt;=6,IF(J722&gt;=20,"H","A"),IF(K722&gt;=2,IF(J722&gt;=51,"H",IF(J722&lt;=19,"L","A")),IF(J722&lt;=50,"L","A")))))))</f>
        <v/>
      </c>
      <c r="N722" s="46" t="str">
        <f aca="false">IF(M722="L","Baixa",IF(M722="A","Média",IF(M722="","","Alta")))</f>
        <v/>
      </c>
      <c r="O722" s="47" t="str">
        <f aca="false">IF(ISBLANK(H722),"",IF(H722="ALI",IF(M722="L",7,IF(M722="A",10,15)),IF(H722="AIE",IF(M722="L",5,IF(M722="A",7,10)),IF(H722="SE",IF(M722="L",4,IF(M722="A",5,7)),IF(OR(H722="EE",H722="CE"),IF(M722="L",3,IF(M722="A",4,6)))))))</f>
        <v/>
      </c>
      <c r="P722" s="48" t="str">
        <f aca="false">IF(I722="I",O722*Contagem!$W$15,IF(I722="E",O722*Contagem!$W$17,IF(I722="A",O722*Contagem!$W$16,IF(I722="T",O722*Contagem!$W$18,""))))</f>
        <v/>
      </c>
      <c r="Q722" s="49"/>
    </row>
    <row r="723" customFormat="false" ht="12" hidden="false" customHeight="true" outlineLevel="0" collapsed="false">
      <c r="A723" s="40" t="n">
        <f aca="false">IF(H723="",IF(C723="",A722,A722+1),A722)</f>
        <v>62</v>
      </c>
      <c r="B723" s="41" t="str">
        <f aca="false">IF(A723=A722,"",CONCATENATE("F",A723))</f>
        <v/>
      </c>
      <c r="C723" s="42"/>
      <c r="D723" s="42"/>
      <c r="E723" s="42"/>
      <c r="F723" s="42"/>
      <c r="G723" s="42"/>
      <c r="H723" s="44"/>
      <c r="I723" s="50"/>
      <c r="J723" s="44"/>
      <c r="K723" s="44"/>
      <c r="L723" s="44" t="str">
        <f aca="false">CONCATENATE(H723,M723)</f>
        <v/>
      </c>
      <c r="M723" s="45" t="str">
        <f aca="false">IF(OR(ISBLANK(J723),ISBLANK(K723)),IF(OR(H723="ALI",H723="AIE"),"L",IF(ISBLANK(H723),"","A")),IF(H723="EE",IF(K723&gt;=3,IF(J723&gt;=5,"H","A"),IF(K723&gt;=2,IF(J723&gt;=16,"H",IF(J723&lt;=4,"L","A")),IF(J723&lt;=15,"L","A"))),IF(OR(H723="SE",H723="CE"),IF(K723&gt;=4,IF(J723&gt;=6,"H","A"),IF(K723&gt;=2,IF(J723&gt;=20,"H",IF(J723&lt;=5,"L","A")),IF(J723&lt;=19,"L","A"))),IF(OR(H723="ALI",H723="AIE"),IF(K723&gt;=6,IF(J723&gt;=20,"H","A"),IF(K723&gt;=2,IF(J723&gt;=51,"H",IF(J723&lt;=19,"L","A")),IF(J723&lt;=50,"L","A")))))))</f>
        <v/>
      </c>
      <c r="N723" s="46" t="str">
        <f aca="false">IF(M723="L","Baixa",IF(M723="A","Média",IF(M723="","","Alta")))</f>
        <v/>
      </c>
      <c r="O723" s="47" t="str">
        <f aca="false">IF(ISBLANK(H723),"",IF(H723="ALI",IF(M723="L",7,IF(M723="A",10,15)),IF(H723="AIE",IF(M723="L",5,IF(M723="A",7,10)),IF(H723="SE",IF(M723="L",4,IF(M723="A",5,7)),IF(OR(H723="EE",H723="CE"),IF(M723="L",3,IF(M723="A",4,6)))))))</f>
        <v/>
      </c>
      <c r="P723" s="48" t="str">
        <f aca="false">IF(I723="I",O723*Contagem!$W$15,IF(I723="E",O723*Contagem!$W$17,IF(I723="A",O723*Contagem!$W$16,IF(I723="T",O723*Contagem!$W$18,""))))</f>
        <v/>
      </c>
      <c r="Q723" s="49"/>
    </row>
    <row r="724" customFormat="false" ht="12" hidden="false" customHeight="true" outlineLevel="0" collapsed="false">
      <c r="A724" s="40" t="n">
        <f aca="false">IF(H724="",IF(C724="",A723,A723+1),A723)</f>
        <v>62</v>
      </c>
      <c r="B724" s="41" t="str">
        <f aca="false">IF(A724=A723,"",CONCATENATE("F",A724))</f>
        <v/>
      </c>
      <c r="C724" s="42"/>
      <c r="D724" s="42"/>
      <c r="E724" s="42"/>
      <c r="F724" s="42"/>
      <c r="G724" s="42"/>
      <c r="H724" s="44"/>
      <c r="I724" s="50"/>
      <c r="J724" s="44"/>
      <c r="K724" s="44"/>
      <c r="L724" s="44" t="str">
        <f aca="false">CONCATENATE(H724,M724)</f>
        <v/>
      </c>
      <c r="M724" s="45" t="str">
        <f aca="false">IF(OR(ISBLANK(J724),ISBLANK(K724)),IF(OR(H724="ALI",H724="AIE"),"L",IF(ISBLANK(H724),"","A")),IF(H724="EE",IF(K724&gt;=3,IF(J724&gt;=5,"H","A"),IF(K724&gt;=2,IF(J724&gt;=16,"H",IF(J724&lt;=4,"L","A")),IF(J724&lt;=15,"L","A"))),IF(OR(H724="SE",H724="CE"),IF(K724&gt;=4,IF(J724&gt;=6,"H","A"),IF(K724&gt;=2,IF(J724&gt;=20,"H",IF(J724&lt;=5,"L","A")),IF(J724&lt;=19,"L","A"))),IF(OR(H724="ALI",H724="AIE"),IF(K724&gt;=6,IF(J724&gt;=20,"H","A"),IF(K724&gt;=2,IF(J724&gt;=51,"H",IF(J724&lt;=19,"L","A")),IF(J724&lt;=50,"L","A")))))))</f>
        <v/>
      </c>
      <c r="N724" s="46" t="str">
        <f aca="false">IF(M724="L","Baixa",IF(M724="A","Média",IF(M724="","","Alta")))</f>
        <v/>
      </c>
      <c r="O724" s="47" t="str">
        <f aca="false">IF(ISBLANK(H724),"",IF(H724="ALI",IF(M724="L",7,IF(M724="A",10,15)),IF(H724="AIE",IF(M724="L",5,IF(M724="A",7,10)),IF(H724="SE",IF(M724="L",4,IF(M724="A",5,7)),IF(OR(H724="EE",H724="CE"),IF(M724="L",3,IF(M724="A",4,6)))))))</f>
        <v/>
      </c>
      <c r="P724" s="48" t="str">
        <f aca="false">IF(I724="I",O724*Contagem!$W$15,IF(I724="E",O724*Contagem!$W$17,IF(I724="A",O724*Contagem!$W$16,IF(I724="T",O724*Contagem!$W$18,""))))</f>
        <v/>
      </c>
      <c r="Q724" s="49"/>
    </row>
    <row r="725" customFormat="false" ht="12" hidden="false" customHeight="true" outlineLevel="0" collapsed="false">
      <c r="A725" s="40" t="n">
        <f aca="false">IF(H725="",IF(C725="",A724,A724+1),A724)</f>
        <v>62</v>
      </c>
      <c r="B725" s="41" t="str">
        <f aca="false">IF(A725=A724,"",CONCATENATE("F",A725))</f>
        <v/>
      </c>
      <c r="C725" s="42"/>
      <c r="D725" s="42"/>
      <c r="E725" s="42"/>
      <c r="F725" s="42"/>
      <c r="G725" s="42"/>
      <c r="H725" s="44"/>
      <c r="I725" s="50"/>
      <c r="J725" s="44"/>
      <c r="K725" s="44"/>
      <c r="L725" s="44" t="str">
        <f aca="false">CONCATENATE(H725,M725)</f>
        <v/>
      </c>
      <c r="M725" s="45" t="str">
        <f aca="false">IF(OR(ISBLANK(J725),ISBLANK(K725)),IF(OR(H725="ALI",H725="AIE"),"L",IF(ISBLANK(H725),"","A")),IF(H725="EE",IF(K725&gt;=3,IF(J725&gt;=5,"H","A"),IF(K725&gt;=2,IF(J725&gt;=16,"H",IF(J725&lt;=4,"L","A")),IF(J725&lt;=15,"L","A"))),IF(OR(H725="SE",H725="CE"),IF(K725&gt;=4,IF(J725&gt;=6,"H","A"),IF(K725&gt;=2,IF(J725&gt;=20,"H",IF(J725&lt;=5,"L","A")),IF(J725&lt;=19,"L","A"))),IF(OR(H725="ALI",H725="AIE"),IF(K725&gt;=6,IF(J725&gt;=20,"H","A"),IF(K725&gt;=2,IF(J725&gt;=51,"H",IF(J725&lt;=19,"L","A")),IF(J725&lt;=50,"L","A")))))))</f>
        <v/>
      </c>
      <c r="N725" s="46" t="str">
        <f aca="false">IF(M725="L","Baixa",IF(M725="A","Média",IF(M725="","","Alta")))</f>
        <v/>
      </c>
      <c r="O725" s="47" t="str">
        <f aca="false">IF(ISBLANK(H725),"",IF(H725="ALI",IF(M725="L",7,IF(M725="A",10,15)),IF(H725="AIE",IF(M725="L",5,IF(M725="A",7,10)),IF(H725="SE",IF(M725="L",4,IF(M725="A",5,7)),IF(OR(H725="EE",H725="CE"),IF(M725="L",3,IF(M725="A",4,6)))))))</f>
        <v/>
      </c>
      <c r="P725" s="48" t="str">
        <f aca="false">IF(I725="I",O725*Contagem!$W$15,IF(I725="E",O725*Contagem!$W$17,IF(I725="A",O725*Contagem!$W$16,IF(I725="T",O725*Contagem!$W$18,""))))</f>
        <v/>
      </c>
      <c r="Q725" s="49"/>
    </row>
    <row r="726" customFormat="false" ht="12" hidden="false" customHeight="true" outlineLevel="0" collapsed="false">
      <c r="A726" s="40" t="n">
        <f aca="false">IF(H726="",IF(C726="",A725,A725+1),A725)</f>
        <v>62</v>
      </c>
      <c r="B726" s="41" t="str">
        <f aca="false">IF(A726=A725,"",CONCATENATE("F",A726))</f>
        <v/>
      </c>
      <c r="C726" s="42"/>
      <c r="D726" s="42"/>
      <c r="E726" s="42"/>
      <c r="F726" s="42"/>
      <c r="G726" s="42"/>
      <c r="H726" s="44"/>
      <c r="I726" s="50"/>
      <c r="J726" s="44"/>
      <c r="K726" s="44"/>
      <c r="L726" s="44" t="str">
        <f aca="false">CONCATENATE(H726,M726)</f>
        <v/>
      </c>
      <c r="M726" s="45" t="str">
        <f aca="false">IF(OR(ISBLANK(J726),ISBLANK(K726)),IF(OR(H726="ALI",H726="AIE"),"L",IF(ISBLANK(H726),"","A")),IF(H726="EE",IF(K726&gt;=3,IF(J726&gt;=5,"H","A"),IF(K726&gt;=2,IF(J726&gt;=16,"H",IF(J726&lt;=4,"L","A")),IF(J726&lt;=15,"L","A"))),IF(OR(H726="SE",H726="CE"),IF(K726&gt;=4,IF(J726&gt;=6,"H","A"),IF(K726&gt;=2,IF(J726&gt;=20,"H",IF(J726&lt;=5,"L","A")),IF(J726&lt;=19,"L","A"))),IF(OR(H726="ALI",H726="AIE"),IF(K726&gt;=6,IF(J726&gt;=20,"H","A"),IF(K726&gt;=2,IF(J726&gt;=51,"H",IF(J726&lt;=19,"L","A")),IF(J726&lt;=50,"L","A")))))))</f>
        <v/>
      </c>
      <c r="N726" s="46" t="str">
        <f aca="false">IF(M726="L","Baixa",IF(M726="A","Média",IF(M726="","","Alta")))</f>
        <v/>
      </c>
      <c r="O726" s="47" t="str">
        <f aca="false">IF(ISBLANK(H726),"",IF(H726="ALI",IF(M726="L",7,IF(M726="A",10,15)),IF(H726="AIE",IF(M726="L",5,IF(M726="A",7,10)),IF(H726="SE",IF(M726="L",4,IF(M726="A",5,7)),IF(OR(H726="EE",H726="CE"),IF(M726="L",3,IF(M726="A",4,6)))))))</f>
        <v/>
      </c>
      <c r="P726" s="48" t="str">
        <f aca="false">IF(I726="I",O726*Contagem!$W$15,IF(I726="E",O726*Contagem!$W$17,IF(I726="A",O726*Contagem!$W$16,IF(I726="T",O726*Contagem!$W$18,""))))</f>
        <v/>
      </c>
      <c r="Q726" s="49"/>
    </row>
    <row r="727" customFormat="false" ht="12" hidden="false" customHeight="true" outlineLevel="0" collapsed="false">
      <c r="A727" s="40" t="n">
        <f aca="false">IF(H727="",IF(C727="",A726,A726+1),A726)</f>
        <v>62</v>
      </c>
      <c r="B727" s="41" t="str">
        <f aca="false">IF(A727=A726,"",CONCATENATE("F",A727))</f>
        <v/>
      </c>
      <c r="C727" s="42"/>
      <c r="D727" s="42"/>
      <c r="E727" s="42"/>
      <c r="F727" s="42"/>
      <c r="G727" s="42"/>
      <c r="H727" s="44"/>
      <c r="I727" s="50"/>
      <c r="J727" s="44"/>
      <c r="K727" s="44"/>
      <c r="L727" s="44" t="str">
        <f aca="false">CONCATENATE(H727,M727)</f>
        <v/>
      </c>
      <c r="M727" s="45" t="str">
        <f aca="false">IF(OR(ISBLANK(J727),ISBLANK(K727)),IF(OR(H727="ALI",H727="AIE"),"L",IF(ISBLANK(H727),"","A")),IF(H727="EE",IF(K727&gt;=3,IF(J727&gt;=5,"H","A"),IF(K727&gt;=2,IF(J727&gt;=16,"H",IF(J727&lt;=4,"L","A")),IF(J727&lt;=15,"L","A"))),IF(OR(H727="SE",H727="CE"),IF(K727&gt;=4,IF(J727&gt;=6,"H","A"),IF(K727&gt;=2,IF(J727&gt;=20,"H",IF(J727&lt;=5,"L","A")),IF(J727&lt;=19,"L","A"))),IF(OR(H727="ALI",H727="AIE"),IF(K727&gt;=6,IF(J727&gt;=20,"H","A"),IF(K727&gt;=2,IF(J727&gt;=51,"H",IF(J727&lt;=19,"L","A")),IF(J727&lt;=50,"L","A")))))))</f>
        <v/>
      </c>
      <c r="N727" s="46" t="str">
        <f aca="false">IF(M727="L","Baixa",IF(M727="A","Média",IF(M727="","","Alta")))</f>
        <v/>
      </c>
      <c r="O727" s="47" t="str">
        <f aca="false">IF(ISBLANK(H727),"",IF(H727="ALI",IF(M727="L",7,IF(M727="A",10,15)),IF(H727="AIE",IF(M727="L",5,IF(M727="A",7,10)),IF(H727="SE",IF(M727="L",4,IF(M727="A",5,7)),IF(OR(H727="EE",H727="CE"),IF(M727="L",3,IF(M727="A",4,6)))))))</f>
        <v/>
      </c>
      <c r="P727" s="48" t="str">
        <f aca="false">IF(I727="I",O727*Contagem!$W$15,IF(I727="E",O727*Contagem!$W$17,IF(I727="A",O727*Contagem!$W$16,IF(I727="T",O727*Contagem!$W$18,""))))</f>
        <v/>
      </c>
      <c r="Q727" s="49"/>
    </row>
    <row r="728" customFormat="false" ht="12" hidden="false" customHeight="true" outlineLevel="0" collapsed="false">
      <c r="A728" s="40" t="n">
        <f aca="false">IF(H728="",IF(C728="",A727,A727+1),A727)</f>
        <v>62</v>
      </c>
      <c r="B728" s="41" t="str">
        <f aca="false">IF(A728=A727,"",CONCATENATE("F",A728))</f>
        <v/>
      </c>
      <c r="C728" s="42"/>
      <c r="D728" s="42"/>
      <c r="E728" s="42"/>
      <c r="F728" s="42"/>
      <c r="G728" s="42"/>
      <c r="H728" s="44"/>
      <c r="I728" s="50"/>
      <c r="J728" s="44"/>
      <c r="K728" s="44"/>
      <c r="L728" s="44" t="str">
        <f aca="false">CONCATENATE(H728,M728)</f>
        <v/>
      </c>
      <c r="M728" s="45" t="str">
        <f aca="false">IF(OR(ISBLANK(J728),ISBLANK(K728)),IF(OR(H728="ALI",H728="AIE"),"L",IF(ISBLANK(H728),"","A")),IF(H728="EE",IF(K728&gt;=3,IF(J728&gt;=5,"H","A"),IF(K728&gt;=2,IF(J728&gt;=16,"H",IF(J728&lt;=4,"L","A")),IF(J728&lt;=15,"L","A"))),IF(OR(H728="SE",H728="CE"),IF(K728&gt;=4,IF(J728&gt;=6,"H","A"),IF(K728&gt;=2,IF(J728&gt;=20,"H",IF(J728&lt;=5,"L","A")),IF(J728&lt;=19,"L","A"))),IF(OR(H728="ALI",H728="AIE"),IF(K728&gt;=6,IF(J728&gt;=20,"H","A"),IF(K728&gt;=2,IF(J728&gt;=51,"H",IF(J728&lt;=19,"L","A")),IF(J728&lt;=50,"L","A")))))))</f>
        <v/>
      </c>
      <c r="N728" s="46" t="str">
        <f aca="false">IF(M728="L","Baixa",IF(M728="A","Média",IF(M728="","","Alta")))</f>
        <v/>
      </c>
      <c r="O728" s="47" t="str">
        <f aca="false">IF(ISBLANK(H728),"",IF(H728="ALI",IF(M728="L",7,IF(M728="A",10,15)),IF(H728="AIE",IF(M728="L",5,IF(M728="A",7,10)),IF(H728="SE",IF(M728="L",4,IF(M728="A",5,7)),IF(OR(H728="EE",H728="CE"),IF(M728="L",3,IF(M728="A",4,6)))))))</f>
        <v/>
      </c>
      <c r="P728" s="48" t="str">
        <f aca="false">IF(I728="I",O728*Contagem!$W$15,IF(I728="E",O728*Contagem!$W$17,IF(I728="A",O728*Contagem!$W$16,IF(I728="T",O728*Contagem!$W$18,""))))</f>
        <v/>
      </c>
      <c r="Q728" s="49"/>
    </row>
    <row r="729" customFormat="false" ht="12" hidden="false" customHeight="true" outlineLevel="0" collapsed="false">
      <c r="A729" s="40" t="n">
        <f aca="false">IF(H729="",IF(C729="",A728,A728+1),A728)</f>
        <v>62</v>
      </c>
      <c r="B729" s="41" t="str">
        <f aca="false">IF(A729=A728,"",CONCATENATE("F",A729))</f>
        <v/>
      </c>
      <c r="C729" s="42"/>
      <c r="D729" s="42"/>
      <c r="E729" s="42"/>
      <c r="F729" s="42"/>
      <c r="G729" s="42"/>
      <c r="H729" s="44"/>
      <c r="I729" s="50"/>
      <c r="J729" s="44"/>
      <c r="K729" s="44"/>
      <c r="L729" s="44" t="str">
        <f aca="false">CONCATENATE(H729,M729)</f>
        <v/>
      </c>
      <c r="M729" s="45" t="str">
        <f aca="false">IF(OR(ISBLANK(J729),ISBLANK(K729)),IF(OR(H729="ALI",H729="AIE"),"L",IF(ISBLANK(H729),"","A")),IF(H729="EE",IF(K729&gt;=3,IF(J729&gt;=5,"H","A"),IF(K729&gt;=2,IF(J729&gt;=16,"H",IF(J729&lt;=4,"L","A")),IF(J729&lt;=15,"L","A"))),IF(OR(H729="SE",H729="CE"),IF(K729&gt;=4,IF(J729&gt;=6,"H","A"),IF(K729&gt;=2,IF(J729&gt;=20,"H",IF(J729&lt;=5,"L","A")),IF(J729&lt;=19,"L","A"))),IF(OR(H729="ALI",H729="AIE"),IF(K729&gt;=6,IF(J729&gt;=20,"H","A"),IF(K729&gt;=2,IF(J729&gt;=51,"H",IF(J729&lt;=19,"L","A")),IF(J729&lt;=50,"L","A")))))))</f>
        <v/>
      </c>
      <c r="N729" s="46" t="str">
        <f aca="false">IF(M729="L","Baixa",IF(M729="A","Média",IF(M729="","","Alta")))</f>
        <v/>
      </c>
      <c r="O729" s="47" t="str">
        <f aca="false">IF(ISBLANK(H729),"",IF(H729="ALI",IF(M729="L",7,IF(M729="A",10,15)),IF(H729="AIE",IF(M729="L",5,IF(M729="A",7,10)),IF(H729="SE",IF(M729="L",4,IF(M729="A",5,7)),IF(OR(H729="EE",H729="CE"),IF(M729="L",3,IF(M729="A",4,6)))))))</f>
        <v/>
      </c>
      <c r="P729" s="48" t="str">
        <f aca="false">IF(I729="I",O729*Contagem!$W$15,IF(I729="E",O729*Contagem!$W$17,IF(I729="A",O729*Contagem!$W$16,IF(I729="T",O729*Contagem!$W$18,""))))</f>
        <v/>
      </c>
      <c r="Q729" s="49"/>
    </row>
    <row r="730" customFormat="false" ht="12" hidden="false" customHeight="true" outlineLevel="0" collapsed="false">
      <c r="A730" s="40" t="n">
        <f aca="false">IF(H730="",IF(C730="",A729,A729+1),A729)</f>
        <v>62</v>
      </c>
      <c r="B730" s="41" t="str">
        <f aca="false">IF(A730=A729,"",CONCATENATE("F",A730))</f>
        <v/>
      </c>
      <c r="C730" s="42"/>
      <c r="D730" s="42"/>
      <c r="E730" s="42"/>
      <c r="F730" s="42"/>
      <c r="G730" s="42"/>
      <c r="H730" s="44"/>
      <c r="I730" s="50"/>
      <c r="J730" s="44"/>
      <c r="K730" s="44"/>
      <c r="L730" s="44" t="str">
        <f aca="false">CONCATENATE(H730,M730)</f>
        <v/>
      </c>
      <c r="M730" s="45" t="str">
        <f aca="false">IF(OR(ISBLANK(J730),ISBLANK(K730)),IF(OR(H730="ALI",H730="AIE"),"L",IF(ISBLANK(H730),"","A")),IF(H730="EE",IF(K730&gt;=3,IF(J730&gt;=5,"H","A"),IF(K730&gt;=2,IF(J730&gt;=16,"H",IF(J730&lt;=4,"L","A")),IF(J730&lt;=15,"L","A"))),IF(OR(H730="SE",H730="CE"),IF(K730&gt;=4,IF(J730&gt;=6,"H","A"),IF(K730&gt;=2,IF(J730&gt;=20,"H",IF(J730&lt;=5,"L","A")),IF(J730&lt;=19,"L","A"))),IF(OR(H730="ALI",H730="AIE"),IF(K730&gt;=6,IF(J730&gt;=20,"H","A"),IF(K730&gt;=2,IF(J730&gt;=51,"H",IF(J730&lt;=19,"L","A")),IF(J730&lt;=50,"L","A")))))))</f>
        <v/>
      </c>
      <c r="N730" s="46" t="str">
        <f aca="false">IF(M730="L","Baixa",IF(M730="A","Média",IF(M730="","","Alta")))</f>
        <v/>
      </c>
      <c r="O730" s="47" t="str">
        <f aca="false">IF(ISBLANK(H730),"",IF(H730="ALI",IF(M730="L",7,IF(M730="A",10,15)),IF(H730="AIE",IF(M730="L",5,IF(M730="A",7,10)),IF(H730="SE",IF(M730="L",4,IF(M730="A",5,7)),IF(OR(H730="EE",H730="CE"),IF(M730="L",3,IF(M730="A",4,6)))))))</f>
        <v/>
      </c>
      <c r="P730" s="48" t="str">
        <f aca="false">IF(I730="I",O730*Contagem!$W$15,IF(I730="E",O730*Contagem!$W$17,IF(I730="A",O730*Contagem!$W$16,IF(I730="T",O730*Contagem!$W$18,""))))</f>
        <v/>
      </c>
      <c r="Q730" s="49"/>
    </row>
    <row r="731" customFormat="false" ht="12" hidden="false" customHeight="true" outlineLevel="0" collapsed="false">
      <c r="A731" s="40" t="n">
        <f aca="false">IF(H731="",IF(C731="",A730,A730+1),A730)</f>
        <v>62</v>
      </c>
      <c r="B731" s="41" t="str">
        <f aca="false">IF(A731=A730,"",CONCATENATE("F",A731))</f>
        <v/>
      </c>
      <c r="C731" s="42"/>
      <c r="D731" s="42"/>
      <c r="E731" s="42"/>
      <c r="F731" s="42"/>
      <c r="G731" s="42"/>
      <c r="H731" s="44"/>
      <c r="I731" s="50"/>
      <c r="J731" s="44"/>
      <c r="K731" s="44"/>
      <c r="L731" s="44" t="str">
        <f aca="false">CONCATENATE(H731,M731)</f>
        <v/>
      </c>
      <c r="M731" s="45" t="str">
        <f aca="false">IF(OR(ISBLANK(J731),ISBLANK(K731)),IF(OR(H731="ALI",H731="AIE"),"L",IF(ISBLANK(H731),"","A")),IF(H731="EE",IF(K731&gt;=3,IF(J731&gt;=5,"H","A"),IF(K731&gt;=2,IF(J731&gt;=16,"H",IF(J731&lt;=4,"L","A")),IF(J731&lt;=15,"L","A"))),IF(OR(H731="SE",H731="CE"),IF(K731&gt;=4,IF(J731&gt;=6,"H","A"),IF(K731&gt;=2,IF(J731&gt;=20,"H",IF(J731&lt;=5,"L","A")),IF(J731&lt;=19,"L","A"))),IF(OR(H731="ALI",H731="AIE"),IF(K731&gt;=6,IF(J731&gt;=20,"H","A"),IF(K731&gt;=2,IF(J731&gt;=51,"H",IF(J731&lt;=19,"L","A")),IF(J731&lt;=50,"L","A")))))))</f>
        <v/>
      </c>
      <c r="N731" s="46" t="str">
        <f aca="false">IF(M731="L","Baixa",IF(M731="A","Média",IF(M731="","","Alta")))</f>
        <v/>
      </c>
      <c r="O731" s="47" t="str">
        <f aca="false">IF(ISBLANK(H731),"",IF(H731="ALI",IF(M731="L",7,IF(M731="A",10,15)),IF(H731="AIE",IF(M731="L",5,IF(M731="A",7,10)),IF(H731="SE",IF(M731="L",4,IF(M731="A",5,7)),IF(OR(H731="EE",H731="CE"),IF(M731="L",3,IF(M731="A",4,6)))))))</f>
        <v/>
      </c>
      <c r="P731" s="48" t="str">
        <f aca="false">IF(I731="I",O731*Contagem!$W$15,IF(I731="E",O731*Contagem!$W$17,IF(I731="A",O731*Contagem!$W$16,IF(I731="T",O731*Contagem!$W$18,""))))</f>
        <v/>
      </c>
      <c r="Q731" s="49"/>
    </row>
    <row r="732" customFormat="false" ht="12" hidden="false" customHeight="true" outlineLevel="0" collapsed="false">
      <c r="A732" s="40" t="n">
        <f aca="false">IF(H732="",IF(C732="",A731,A731+1),A731)</f>
        <v>62</v>
      </c>
      <c r="B732" s="41" t="str">
        <f aca="false">IF(A732=A731,"",CONCATENATE("F",A732))</f>
        <v/>
      </c>
      <c r="C732" s="42"/>
      <c r="D732" s="42"/>
      <c r="E732" s="42"/>
      <c r="F732" s="42"/>
      <c r="G732" s="42"/>
      <c r="H732" s="44"/>
      <c r="I732" s="50"/>
      <c r="J732" s="44"/>
      <c r="K732" s="44"/>
      <c r="L732" s="44" t="str">
        <f aca="false">CONCATENATE(H732,M732)</f>
        <v/>
      </c>
      <c r="M732" s="45" t="str">
        <f aca="false">IF(OR(ISBLANK(J732),ISBLANK(K732)),IF(OR(H732="ALI",H732="AIE"),"L",IF(ISBLANK(H732),"","A")),IF(H732="EE",IF(K732&gt;=3,IF(J732&gt;=5,"H","A"),IF(K732&gt;=2,IF(J732&gt;=16,"H",IF(J732&lt;=4,"L","A")),IF(J732&lt;=15,"L","A"))),IF(OR(H732="SE",H732="CE"),IF(K732&gt;=4,IF(J732&gt;=6,"H","A"),IF(K732&gt;=2,IF(J732&gt;=20,"H",IF(J732&lt;=5,"L","A")),IF(J732&lt;=19,"L","A"))),IF(OR(H732="ALI",H732="AIE"),IF(K732&gt;=6,IF(J732&gt;=20,"H","A"),IF(K732&gt;=2,IF(J732&gt;=51,"H",IF(J732&lt;=19,"L","A")),IF(J732&lt;=50,"L","A")))))))</f>
        <v/>
      </c>
      <c r="N732" s="46" t="str">
        <f aca="false">IF(M732="L","Baixa",IF(M732="A","Média",IF(M732="","","Alta")))</f>
        <v/>
      </c>
      <c r="O732" s="47" t="str">
        <f aca="false">IF(ISBLANK(H732),"",IF(H732="ALI",IF(M732="L",7,IF(M732="A",10,15)),IF(H732="AIE",IF(M732="L",5,IF(M732="A",7,10)),IF(H732="SE",IF(M732="L",4,IF(M732="A",5,7)),IF(OR(H732="EE",H732="CE"),IF(M732="L",3,IF(M732="A",4,6)))))))</f>
        <v/>
      </c>
      <c r="P732" s="48" t="str">
        <f aca="false">IF(I732="I",O732*Contagem!$W$15,IF(I732="E",O732*Contagem!$W$17,IF(I732="A",O732*Contagem!$W$16,IF(I732="T",O732*Contagem!$W$18,""))))</f>
        <v/>
      </c>
      <c r="Q732" s="49"/>
    </row>
    <row r="733" customFormat="false" ht="12" hidden="false" customHeight="true" outlineLevel="0" collapsed="false">
      <c r="A733" s="40" t="n">
        <f aca="false">IF(H733="",IF(C733="",A732,A732+1),A732)</f>
        <v>62</v>
      </c>
      <c r="B733" s="41" t="str">
        <f aca="false">IF(A733=A732,"",CONCATENATE("F",A733))</f>
        <v/>
      </c>
      <c r="C733" s="42"/>
      <c r="D733" s="42"/>
      <c r="E733" s="42"/>
      <c r="F733" s="42"/>
      <c r="G733" s="42"/>
      <c r="H733" s="44"/>
      <c r="I733" s="50"/>
      <c r="J733" s="44"/>
      <c r="K733" s="44"/>
      <c r="L733" s="44" t="str">
        <f aca="false">CONCATENATE(H733,M733)</f>
        <v/>
      </c>
      <c r="M733" s="45" t="str">
        <f aca="false">IF(OR(ISBLANK(J733),ISBLANK(K733)),IF(OR(H733="ALI",H733="AIE"),"L",IF(ISBLANK(H733),"","A")),IF(H733="EE",IF(K733&gt;=3,IF(J733&gt;=5,"H","A"),IF(K733&gt;=2,IF(J733&gt;=16,"H",IF(J733&lt;=4,"L","A")),IF(J733&lt;=15,"L","A"))),IF(OR(H733="SE",H733="CE"),IF(K733&gt;=4,IF(J733&gt;=6,"H","A"),IF(K733&gt;=2,IF(J733&gt;=20,"H",IF(J733&lt;=5,"L","A")),IF(J733&lt;=19,"L","A"))),IF(OR(H733="ALI",H733="AIE"),IF(K733&gt;=6,IF(J733&gt;=20,"H","A"),IF(K733&gt;=2,IF(J733&gt;=51,"H",IF(J733&lt;=19,"L","A")),IF(J733&lt;=50,"L","A")))))))</f>
        <v/>
      </c>
      <c r="N733" s="46" t="str">
        <f aca="false">IF(M733="L","Baixa",IF(M733="A","Média",IF(M733="","","Alta")))</f>
        <v/>
      </c>
      <c r="O733" s="47" t="str">
        <f aca="false">IF(ISBLANK(H733),"",IF(H733="ALI",IF(M733="L",7,IF(M733="A",10,15)),IF(H733="AIE",IF(M733="L",5,IF(M733="A",7,10)),IF(H733="SE",IF(M733="L",4,IF(M733="A",5,7)),IF(OR(H733="EE",H733="CE"),IF(M733="L",3,IF(M733="A",4,6)))))))</f>
        <v/>
      </c>
      <c r="P733" s="48" t="str">
        <f aca="false">IF(I733="I",O733*Contagem!$W$15,IF(I733="E",O733*Contagem!$W$17,IF(I733="A",O733*Contagem!$W$16,IF(I733="T",O733*Contagem!$W$18,""))))</f>
        <v/>
      </c>
      <c r="Q733" s="49"/>
    </row>
    <row r="734" customFormat="false" ht="12" hidden="false" customHeight="true" outlineLevel="0" collapsed="false">
      <c r="A734" s="40" t="n">
        <f aca="false">IF(H734="",IF(C734="",A733,A733+1),A733)</f>
        <v>62</v>
      </c>
      <c r="B734" s="41" t="str">
        <f aca="false">IF(A734=A733,"",CONCATENATE("F",A734))</f>
        <v/>
      </c>
      <c r="C734" s="42"/>
      <c r="D734" s="42"/>
      <c r="E734" s="42"/>
      <c r="F734" s="42"/>
      <c r="G734" s="42"/>
      <c r="H734" s="44"/>
      <c r="I734" s="50"/>
      <c r="J734" s="44"/>
      <c r="K734" s="44"/>
      <c r="L734" s="44" t="str">
        <f aca="false">CONCATENATE(H734,M734)</f>
        <v/>
      </c>
      <c r="M734" s="45" t="str">
        <f aca="false">IF(OR(ISBLANK(J734),ISBLANK(K734)),IF(OR(H734="ALI",H734="AIE"),"L",IF(ISBLANK(H734),"","A")),IF(H734="EE",IF(K734&gt;=3,IF(J734&gt;=5,"H","A"),IF(K734&gt;=2,IF(J734&gt;=16,"H",IF(J734&lt;=4,"L","A")),IF(J734&lt;=15,"L","A"))),IF(OR(H734="SE",H734="CE"),IF(K734&gt;=4,IF(J734&gt;=6,"H","A"),IF(K734&gt;=2,IF(J734&gt;=20,"H",IF(J734&lt;=5,"L","A")),IF(J734&lt;=19,"L","A"))),IF(OR(H734="ALI",H734="AIE"),IF(K734&gt;=6,IF(J734&gt;=20,"H","A"),IF(K734&gt;=2,IF(J734&gt;=51,"H",IF(J734&lt;=19,"L","A")),IF(J734&lt;=50,"L","A")))))))</f>
        <v/>
      </c>
      <c r="N734" s="46" t="str">
        <f aca="false">IF(M734="L","Baixa",IF(M734="A","Média",IF(M734="","","Alta")))</f>
        <v/>
      </c>
      <c r="O734" s="47" t="str">
        <f aca="false">IF(ISBLANK(H734),"",IF(H734="ALI",IF(M734="L",7,IF(M734="A",10,15)),IF(H734="AIE",IF(M734="L",5,IF(M734="A",7,10)),IF(H734="SE",IF(M734="L",4,IF(M734="A",5,7)),IF(OR(H734="EE",H734="CE"),IF(M734="L",3,IF(M734="A",4,6)))))))</f>
        <v/>
      </c>
      <c r="P734" s="48" t="str">
        <f aca="false">IF(I734="I",O734*Contagem!$W$15,IF(I734="E",O734*Contagem!$W$17,IF(I734="A",O734*Contagem!$W$16,IF(I734="T",O734*Contagem!$W$18,""))))</f>
        <v/>
      </c>
      <c r="Q734" s="49"/>
    </row>
    <row r="735" customFormat="false" ht="12" hidden="false" customHeight="true" outlineLevel="0" collapsed="false">
      <c r="A735" s="40" t="n">
        <f aca="false">IF(H735="",IF(C735="",A734,A734+1),A734)</f>
        <v>62</v>
      </c>
      <c r="B735" s="41" t="str">
        <f aca="false">IF(A735=A734,"",CONCATENATE("F",A735))</f>
        <v/>
      </c>
      <c r="C735" s="42"/>
      <c r="D735" s="42"/>
      <c r="E735" s="42"/>
      <c r="F735" s="42"/>
      <c r="G735" s="42"/>
      <c r="H735" s="44"/>
      <c r="I735" s="50"/>
      <c r="J735" s="44"/>
      <c r="K735" s="44"/>
      <c r="L735" s="44" t="str">
        <f aca="false">CONCATENATE(H735,M735)</f>
        <v/>
      </c>
      <c r="M735" s="45" t="str">
        <f aca="false">IF(OR(ISBLANK(J735),ISBLANK(K735)),IF(OR(H735="ALI",H735="AIE"),"L",IF(ISBLANK(H735),"","A")),IF(H735="EE",IF(K735&gt;=3,IF(J735&gt;=5,"H","A"),IF(K735&gt;=2,IF(J735&gt;=16,"H",IF(J735&lt;=4,"L","A")),IF(J735&lt;=15,"L","A"))),IF(OR(H735="SE",H735="CE"),IF(K735&gt;=4,IF(J735&gt;=6,"H","A"),IF(K735&gt;=2,IF(J735&gt;=20,"H",IF(J735&lt;=5,"L","A")),IF(J735&lt;=19,"L","A"))),IF(OR(H735="ALI",H735="AIE"),IF(K735&gt;=6,IF(J735&gt;=20,"H","A"),IF(K735&gt;=2,IF(J735&gt;=51,"H",IF(J735&lt;=19,"L","A")),IF(J735&lt;=50,"L","A")))))))</f>
        <v/>
      </c>
      <c r="N735" s="46" t="str">
        <f aca="false">IF(M735="L","Baixa",IF(M735="A","Média",IF(M735="","","Alta")))</f>
        <v/>
      </c>
      <c r="O735" s="47" t="str">
        <f aca="false">IF(ISBLANK(H735),"",IF(H735="ALI",IF(M735="L",7,IF(M735="A",10,15)),IF(H735="AIE",IF(M735="L",5,IF(M735="A",7,10)),IF(H735="SE",IF(M735="L",4,IF(M735="A",5,7)),IF(OR(H735="EE",H735="CE"),IF(M735="L",3,IF(M735="A",4,6)))))))</f>
        <v/>
      </c>
      <c r="P735" s="48" t="str">
        <f aca="false">IF(I735="I",O735*Contagem!$W$15,IF(I735="E",O735*Contagem!$W$17,IF(I735="A",O735*Contagem!$W$16,IF(I735="T",O735*Contagem!$W$18,""))))</f>
        <v/>
      </c>
      <c r="Q735" s="49"/>
    </row>
    <row r="736" customFormat="false" ht="12" hidden="false" customHeight="true" outlineLevel="0" collapsed="false">
      <c r="A736" s="40" t="n">
        <f aca="false">IF(H736="",IF(C736="",A735,A735+1),A735)</f>
        <v>62</v>
      </c>
      <c r="B736" s="41" t="str">
        <f aca="false">IF(A736=A735,"",CONCATENATE("F",A736))</f>
        <v/>
      </c>
      <c r="C736" s="42"/>
      <c r="D736" s="42"/>
      <c r="E736" s="42"/>
      <c r="F736" s="42"/>
      <c r="G736" s="42"/>
      <c r="H736" s="44"/>
      <c r="I736" s="50"/>
      <c r="J736" s="44"/>
      <c r="K736" s="44"/>
      <c r="L736" s="44" t="str">
        <f aca="false">CONCATENATE(H736,M736)</f>
        <v/>
      </c>
      <c r="M736" s="45" t="str">
        <f aca="false">IF(OR(ISBLANK(J736),ISBLANK(K736)),IF(OR(H736="ALI",H736="AIE"),"L",IF(ISBLANK(H736),"","A")),IF(H736="EE",IF(K736&gt;=3,IF(J736&gt;=5,"H","A"),IF(K736&gt;=2,IF(J736&gt;=16,"H",IF(J736&lt;=4,"L","A")),IF(J736&lt;=15,"L","A"))),IF(OR(H736="SE",H736="CE"),IF(K736&gt;=4,IF(J736&gt;=6,"H","A"),IF(K736&gt;=2,IF(J736&gt;=20,"H",IF(J736&lt;=5,"L","A")),IF(J736&lt;=19,"L","A"))),IF(OR(H736="ALI",H736="AIE"),IF(K736&gt;=6,IF(J736&gt;=20,"H","A"),IF(K736&gt;=2,IF(J736&gt;=51,"H",IF(J736&lt;=19,"L","A")),IF(J736&lt;=50,"L","A")))))))</f>
        <v/>
      </c>
      <c r="N736" s="46" t="str">
        <f aca="false">IF(M736="L","Baixa",IF(M736="A","Média",IF(M736="","","Alta")))</f>
        <v/>
      </c>
      <c r="O736" s="47" t="str">
        <f aca="false">IF(ISBLANK(H736),"",IF(H736="ALI",IF(M736="L",7,IF(M736="A",10,15)),IF(H736="AIE",IF(M736="L",5,IF(M736="A",7,10)),IF(H736="SE",IF(M736="L",4,IF(M736="A",5,7)),IF(OR(H736="EE",H736="CE"),IF(M736="L",3,IF(M736="A",4,6)))))))</f>
        <v/>
      </c>
      <c r="P736" s="48" t="str">
        <f aca="false">IF(I736="I",O736*Contagem!$W$15,IF(I736="E",O736*Contagem!$W$17,IF(I736="A",O736*Contagem!$W$16,IF(I736="T",O736*Contagem!$W$18,""))))</f>
        <v/>
      </c>
      <c r="Q736" s="49"/>
    </row>
    <row r="737" customFormat="false" ht="12" hidden="false" customHeight="true" outlineLevel="0" collapsed="false">
      <c r="A737" s="40" t="n">
        <f aca="false">IF(H737="",IF(C737="",A736,A736+1),A736)</f>
        <v>62</v>
      </c>
      <c r="B737" s="41" t="str">
        <f aca="false">IF(A737=A736,"",CONCATENATE("F",A737))</f>
        <v/>
      </c>
      <c r="C737" s="42"/>
      <c r="D737" s="42"/>
      <c r="E737" s="42"/>
      <c r="F737" s="42"/>
      <c r="G737" s="42"/>
      <c r="H737" s="44"/>
      <c r="I737" s="50"/>
      <c r="J737" s="44"/>
      <c r="K737" s="44"/>
      <c r="L737" s="44" t="str">
        <f aca="false">CONCATENATE(H737,M737)</f>
        <v/>
      </c>
      <c r="M737" s="45" t="str">
        <f aca="false">IF(OR(ISBLANK(J737),ISBLANK(K737)),IF(OR(H737="ALI",H737="AIE"),"L",IF(ISBLANK(H737),"","A")),IF(H737="EE",IF(K737&gt;=3,IF(J737&gt;=5,"H","A"),IF(K737&gt;=2,IF(J737&gt;=16,"H",IF(J737&lt;=4,"L","A")),IF(J737&lt;=15,"L","A"))),IF(OR(H737="SE",H737="CE"),IF(K737&gt;=4,IF(J737&gt;=6,"H","A"),IF(K737&gt;=2,IF(J737&gt;=20,"H",IF(J737&lt;=5,"L","A")),IF(J737&lt;=19,"L","A"))),IF(OR(H737="ALI",H737="AIE"),IF(K737&gt;=6,IF(J737&gt;=20,"H","A"),IF(K737&gt;=2,IF(J737&gt;=51,"H",IF(J737&lt;=19,"L","A")),IF(J737&lt;=50,"L","A")))))))</f>
        <v/>
      </c>
      <c r="N737" s="46" t="str">
        <f aca="false">IF(M737="L","Baixa",IF(M737="A","Média",IF(M737="","","Alta")))</f>
        <v/>
      </c>
      <c r="O737" s="47" t="str">
        <f aca="false">IF(ISBLANK(H737),"",IF(H737="ALI",IF(M737="L",7,IF(M737="A",10,15)),IF(H737="AIE",IF(M737="L",5,IF(M737="A",7,10)),IF(H737="SE",IF(M737="L",4,IF(M737="A",5,7)),IF(OR(H737="EE",H737="CE"),IF(M737="L",3,IF(M737="A",4,6)))))))</f>
        <v/>
      </c>
      <c r="P737" s="48" t="str">
        <f aca="false">IF(I737="I",O737*Contagem!$W$15,IF(I737="E",O737*Contagem!$W$17,IF(I737="A",O737*Contagem!$W$16,IF(I737="T",O737*Contagem!$W$18,""))))</f>
        <v/>
      </c>
      <c r="Q737" s="49"/>
    </row>
    <row r="738" customFormat="false" ht="12" hidden="false" customHeight="true" outlineLevel="0" collapsed="false">
      <c r="A738" s="40" t="n">
        <f aca="false">IF(H738="",IF(C738="",A737,A737+1),A737)</f>
        <v>62</v>
      </c>
      <c r="B738" s="41" t="str">
        <f aca="false">IF(A738=A737,"",CONCATENATE("F",A738))</f>
        <v/>
      </c>
      <c r="C738" s="42"/>
      <c r="D738" s="42"/>
      <c r="E738" s="42"/>
      <c r="F738" s="42"/>
      <c r="G738" s="42"/>
      <c r="H738" s="44"/>
      <c r="I738" s="50"/>
      <c r="J738" s="44"/>
      <c r="K738" s="44"/>
      <c r="L738" s="44" t="str">
        <f aca="false">CONCATENATE(H738,M738)</f>
        <v/>
      </c>
      <c r="M738" s="45" t="str">
        <f aca="false">IF(OR(ISBLANK(J738),ISBLANK(K738)),IF(OR(H738="ALI",H738="AIE"),"L",IF(ISBLANK(H738),"","A")),IF(H738="EE",IF(K738&gt;=3,IF(J738&gt;=5,"H","A"),IF(K738&gt;=2,IF(J738&gt;=16,"H",IF(J738&lt;=4,"L","A")),IF(J738&lt;=15,"L","A"))),IF(OR(H738="SE",H738="CE"),IF(K738&gt;=4,IF(J738&gt;=6,"H","A"),IF(K738&gt;=2,IF(J738&gt;=20,"H",IF(J738&lt;=5,"L","A")),IF(J738&lt;=19,"L","A"))),IF(OR(H738="ALI",H738="AIE"),IF(K738&gt;=6,IF(J738&gt;=20,"H","A"),IF(K738&gt;=2,IF(J738&gt;=51,"H",IF(J738&lt;=19,"L","A")),IF(J738&lt;=50,"L","A")))))))</f>
        <v/>
      </c>
      <c r="N738" s="46" t="str">
        <f aca="false">IF(M738="L","Baixa",IF(M738="A","Média",IF(M738="","","Alta")))</f>
        <v/>
      </c>
      <c r="O738" s="47" t="str">
        <f aca="false">IF(ISBLANK(H738),"",IF(H738="ALI",IF(M738="L",7,IF(M738="A",10,15)),IF(H738="AIE",IF(M738="L",5,IF(M738="A",7,10)),IF(H738="SE",IF(M738="L",4,IF(M738="A",5,7)),IF(OR(H738="EE",H738="CE"),IF(M738="L",3,IF(M738="A",4,6)))))))</f>
        <v/>
      </c>
      <c r="P738" s="48" t="str">
        <f aca="false">IF(I738="I",O738*Contagem!$W$15,IF(I738="E",O738*Contagem!$W$17,IF(I738="A",O738*Contagem!$W$16,IF(I738="T",O738*Contagem!$W$18,""))))</f>
        <v/>
      </c>
      <c r="Q738" s="49"/>
    </row>
    <row r="739" customFormat="false" ht="12" hidden="false" customHeight="true" outlineLevel="0" collapsed="false">
      <c r="A739" s="40" t="n">
        <f aca="false">IF(H739="",IF(C739="",A738,A738+1),A738)</f>
        <v>62</v>
      </c>
      <c r="B739" s="41" t="str">
        <f aca="false">IF(A739=A738,"",CONCATENATE("F",A739))</f>
        <v/>
      </c>
      <c r="C739" s="42"/>
      <c r="D739" s="42"/>
      <c r="E739" s="42"/>
      <c r="F739" s="42"/>
      <c r="G739" s="42"/>
      <c r="H739" s="44"/>
      <c r="I739" s="50"/>
      <c r="J739" s="44"/>
      <c r="K739" s="44"/>
      <c r="L739" s="44" t="str">
        <f aca="false">CONCATENATE(H739,M739)</f>
        <v/>
      </c>
      <c r="M739" s="45" t="str">
        <f aca="false">IF(OR(ISBLANK(J739),ISBLANK(K739)),IF(OR(H739="ALI",H739="AIE"),"L",IF(ISBLANK(H739),"","A")),IF(H739="EE",IF(K739&gt;=3,IF(J739&gt;=5,"H","A"),IF(K739&gt;=2,IF(J739&gt;=16,"H",IF(J739&lt;=4,"L","A")),IF(J739&lt;=15,"L","A"))),IF(OR(H739="SE",H739="CE"),IF(K739&gt;=4,IF(J739&gt;=6,"H","A"),IF(K739&gt;=2,IF(J739&gt;=20,"H",IF(J739&lt;=5,"L","A")),IF(J739&lt;=19,"L","A"))),IF(OR(H739="ALI",H739="AIE"),IF(K739&gt;=6,IF(J739&gt;=20,"H","A"),IF(K739&gt;=2,IF(J739&gt;=51,"H",IF(J739&lt;=19,"L","A")),IF(J739&lt;=50,"L","A")))))))</f>
        <v/>
      </c>
      <c r="N739" s="46" t="str">
        <f aca="false">IF(M739="L","Baixa",IF(M739="A","Média",IF(M739="","","Alta")))</f>
        <v/>
      </c>
      <c r="O739" s="47" t="str">
        <f aca="false">IF(ISBLANK(H739),"",IF(H739="ALI",IF(M739="L",7,IF(M739="A",10,15)),IF(H739="AIE",IF(M739="L",5,IF(M739="A",7,10)),IF(H739="SE",IF(M739="L",4,IF(M739="A",5,7)),IF(OR(H739="EE",H739="CE"),IF(M739="L",3,IF(M739="A",4,6)))))))</f>
        <v/>
      </c>
      <c r="P739" s="48" t="str">
        <f aca="false">IF(I739="I",O739*Contagem!$W$15,IF(I739="E",O739*Contagem!$W$17,IF(I739="A",O739*Contagem!$W$16,IF(I739="T",O739*Contagem!$W$18,""))))</f>
        <v/>
      </c>
      <c r="Q739" s="49"/>
    </row>
    <row r="740" customFormat="false" ht="12" hidden="false" customHeight="true" outlineLevel="0" collapsed="false">
      <c r="A740" s="40" t="n">
        <f aca="false">IF(H740="",IF(C740="",A739,A739+1),A739)</f>
        <v>62</v>
      </c>
      <c r="B740" s="41" t="str">
        <f aca="false">IF(A740=A739,"",CONCATENATE("F",A740))</f>
        <v/>
      </c>
      <c r="C740" s="42"/>
      <c r="D740" s="42"/>
      <c r="E740" s="42"/>
      <c r="F740" s="42"/>
      <c r="G740" s="42"/>
      <c r="H740" s="44"/>
      <c r="I740" s="50"/>
      <c r="J740" s="44"/>
      <c r="K740" s="44"/>
      <c r="L740" s="44" t="str">
        <f aca="false">CONCATENATE(H740,M740)</f>
        <v/>
      </c>
      <c r="M740" s="45" t="str">
        <f aca="false">IF(OR(ISBLANK(J740),ISBLANK(K740)),IF(OR(H740="ALI",H740="AIE"),"L",IF(ISBLANK(H740),"","A")),IF(H740="EE",IF(K740&gt;=3,IF(J740&gt;=5,"H","A"),IF(K740&gt;=2,IF(J740&gt;=16,"H",IF(J740&lt;=4,"L","A")),IF(J740&lt;=15,"L","A"))),IF(OR(H740="SE",H740="CE"),IF(K740&gt;=4,IF(J740&gt;=6,"H","A"),IF(K740&gt;=2,IF(J740&gt;=20,"H",IF(J740&lt;=5,"L","A")),IF(J740&lt;=19,"L","A"))),IF(OR(H740="ALI",H740="AIE"),IF(K740&gt;=6,IF(J740&gt;=20,"H","A"),IF(K740&gt;=2,IF(J740&gt;=51,"H",IF(J740&lt;=19,"L","A")),IF(J740&lt;=50,"L","A")))))))</f>
        <v/>
      </c>
      <c r="N740" s="46" t="str">
        <f aca="false">IF(M740="L","Baixa",IF(M740="A","Média",IF(M740="","","Alta")))</f>
        <v/>
      </c>
      <c r="O740" s="47" t="str">
        <f aca="false">IF(ISBLANK(H740),"",IF(H740="ALI",IF(M740="L",7,IF(M740="A",10,15)),IF(H740="AIE",IF(M740="L",5,IF(M740="A",7,10)),IF(H740="SE",IF(M740="L",4,IF(M740="A",5,7)),IF(OR(H740="EE",H740="CE"),IF(M740="L",3,IF(M740="A",4,6)))))))</f>
        <v/>
      </c>
      <c r="P740" s="48" t="str">
        <f aca="false">IF(I740="I",O740*Contagem!$W$15,IF(I740="E",O740*Contagem!$W$17,IF(I740="A",O740*Contagem!$W$16,IF(I740="T",O740*Contagem!$W$18,""))))</f>
        <v/>
      </c>
      <c r="Q740" s="49"/>
    </row>
    <row r="741" customFormat="false" ht="12" hidden="false" customHeight="true" outlineLevel="0" collapsed="false">
      <c r="A741" s="40" t="n">
        <f aca="false">IF(H741="",IF(C741="",A740,A740+1),A740)</f>
        <v>62</v>
      </c>
      <c r="B741" s="41" t="str">
        <f aca="false">IF(A741=A740,"",CONCATENATE("F",A741))</f>
        <v/>
      </c>
      <c r="C741" s="42"/>
      <c r="D741" s="42"/>
      <c r="E741" s="42"/>
      <c r="F741" s="42"/>
      <c r="G741" s="42"/>
      <c r="H741" s="44"/>
      <c r="I741" s="50"/>
      <c r="J741" s="44"/>
      <c r="K741" s="44"/>
      <c r="L741" s="44" t="str">
        <f aca="false">CONCATENATE(H741,M741)</f>
        <v/>
      </c>
      <c r="M741" s="45" t="str">
        <f aca="false">IF(OR(ISBLANK(J741),ISBLANK(K741)),IF(OR(H741="ALI",H741="AIE"),"L",IF(ISBLANK(H741),"","A")),IF(H741="EE",IF(K741&gt;=3,IF(J741&gt;=5,"H","A"),IF(K741&gt;=2,IF(J741&gt;=16,"H",IF(J741&lt;=4,"L","A")),IF(J741&lt;=15,"L","A"))),IF(OR(H741="SE",H741="CE"),IF(K741&gt;=4,IF(J741&gt;=6,"H","A"),IF(K741&gt;=2,IF(J741&gt;=20,"H",IF(J741&lt;=5,"L","A")),IF(J741&lt;=19,"L","A"))),IF(OR(H741="ALI",H741="AIE"),IF(K741&gt;=6,IF(J741&gt;=20,"H","A"),IF(K741&gt;=2,IF(J741&gt;=51,"H",IF(J741&lt;=19,"L","A")),IF(J741&lt;=50,"L","A")))))))</f>
        <v/>
      </c>
      <c r="N741" s="46" t="str">
        <f aca="false">IF(M741="L","Baixa",IF(M741="A","Média",IF(M741="","","Alta")))</f>
        <v/>
      </c>
      <c r="O741" s="47" t="str">
        <f aca="false">IF(ISBLANK(H741),"",IF(H741="ALI",IF(M741="L",7,IF(M741="A",10,15)),IF(H741="AIE",IF(M741="L",5,IF(M741="A",7,10)),IF(H741="SE",IF(M741="L",4,IF(M741="A",5,7)),IF(OR(H741="EE",H741="CE"),IF(M741="L",3,IF(M741="A",4,6)))))))</f>
        <v/>
      </c>
      <c r="P741" s="48" t="str">
        <f aca="false">IF(I741="I",O741*Contagem!$W$15,IF(I741="E",O741*Contagem!$W$17,IF(I741="A",O741*Contagem!$W$16,IF(I741="T",O741*Contagem!$W$18,""))))</f>
        <v/>
      </c>
      <c r="Q741" s="49"/>
    </row>
    <row r="742" customFormat="false" ht="12" hidden="false" customHeight="true" outlineLevel="0" collapsed="false">
      <c r="A742" s="40" t="n">
        <f aca="false">IF(H742="",IF(C742="",A741,A741+1),A741)</f>
        <v>62</v>
      </c>
      <c r="B742" s="41" t="str">
        <f aca="false">IF(A742=A741,"",CONCATENATE("F",A742))</f>
        <v/>
      </c>
      <c r="C742" s="42"/>
      <c r="D742" s="42"/>
      <c r="E742" s="42"/>
      <c r="F742" s="42"/>
      <c r="G742" s="42"/>
      <c r="H742" s="44"/>
      <c r="I742" s="50"/>
      <c r="J742" s="44"/>
      <c r="K742" s="44"/>
      <c r="L742" s="44" t="str">
        <f aca="false">CONCATENATE(H742,M742)</f>
        <v/>
      </c>
      <c r="M742" s="45" t="str">
        <f aca="false">IF(OR(ISBLANK(J742),ISBLANK(K742)),IF(OR(H742="ALI",H742="AIE"),"L",IF(ISBLANK(H742),"","A")),IF(H742="EE",IF(K742&gt;=3,IF(J742&gt;=5,"H","A"),IF(K742&gt;=2,IF(J742&gt;=16,"H",IF(J742&lt;=4,"L","A")),IF(J742&lt;=15,"L","A"))),IF(OR(H742="SE",H742="CE"),IF(K742&gt;=4,IF(J742&gt;=6,"H","A"),IF(K742&gt;=2,IF(J742&gt;=20,"H",IF(J742&lt;=5,"L","A")),IF(J742&lt;=19,"L","A"))),IF(OR(H742="ALI",H742="AIE"),IF(K742&gt;=6,IF(J742&gt;=20,"H","A"),IF(K742&gt;=2,IF(J742&gt;=51,"H",IF(J742&lt;=19,"L","A")),IF(J742&lt;=50,"L","A")))))))</f>
        <v/>
      </c>
      <c r="N742" s="46" t="str">
        <f aca="false">IF(M742="L","Baixa",IF(M742="A","Média",IF(M742="","","Alta")))</f>
        <v/>
      </c>
      <c r="O742" s="47" t="str">
        <f aca="false">IF(ISBLANK(H742),"",IF(H742="ALI",IF(M742="L",7,IF(M742="A",10,15)),IF(H742="AIE",IF(M742="L",5,IF(M742="A",7,10)),IF(H742="SE",IF(M742="L",4,IF(M742="A",5,7)),IF(OR(H742="EE",H742="CE"),IF(M742="L",3,IF(M742="A",4,6)))))))</f>
        <v/>
      </c>
      <c r="P742" s="48" t="str">
        <f aca="false">IF(I742="I",O742*Contagem!$W$15,IF(I742="E",O742*Contagem!$W$17,IF(I742="A",O742*Contagem!$W$16,IF(I742="T",O742*Contagem!$W$18,""))))</f>
        <v/>
      </c>
      <c r="Q742" s="49"/>
    </row>
    <row r="743" customFormat="false" ht="12" hidden="false" customHeight="true" outlineLevel="0" collapsed="false">
      <c r="A743" s="40" t="n">
        <f aca="false">IF(H743="",IF(C743="",A742,A742+1),A742)</f>
        <v>62</v>
      </c>
      <c r="B743" s="41" t="str">
        <f aca="false">IF(A743=A742,"",CONCATENATE("F",A743))</f>
        <v/>
      </c>
      <c r="C743" s="42"/>
      <c r="D743" s="42"/>
      <c r="E743" s="42"/>
      <c r="F743" s="42"/>
      <c r="G743" s="42"/>
      <c r="H743" s="44"/>
      <c r="I743" s="50"/>
      <c r="J743" s="44"/>
      <c r="K743" s="44"/>
      <c r="L743" s="44" t="str">
        <f aca="false">CONCATENATE(H743,M743)</f>
        <v/>
      </c>
      <c r="M743" s="45" t="str">
        <f aca="false">IF(OR(ISBLANK(J743),ISBLANK(K743)),IF(OR(H743="ALI",H743="AIE"),"L",IF(ISBLANK(H743),"","A")),IF(H743="EE",IF(K743&gt;=3,IF(J743&gt;=5,"H","A"),IF(K743&gt;=2,IF(J743&gt;=16,"H",IF(J743&lt;=4,"L","A")),IF(J743&lt;=15,"L","A"))),IF(OR(H743="SE",H743="CE"),IF(K743&gt;=4,IF(J743&gt;=6,"H","A"),IF(K743&gt;=2,IF(J743&gt;=20,"H",IF(J743&lt;=5,"L","A")),IF(J743&lt;=19,"L","A"))),IF(OR(H743="ALI",H743="AIE"),IF(K743&gt;=6,IF(J743&gt;=20,"H","A"),IF(K743&gt;=2,IF(J743&gt;=51,"H",IF(J743&lt;=19,"L","A")),IF(J743&lt;=50,"L","A")))))))</f>
        <v/>
      </c>
      <c r="N743" s="46" t="str">
        <f aca="false">IF(M743="L","Baixa",IF(M743="A","Média",IF(M743="","","Alta")))</f>
        <v/>
      </c>
      <c r="O743" s="47" t="str">
        <f aca="false">IF(ISBLANK(H743),"",IF(H743="ALI",IF(M743="L",7,IF(M743="A",10,15)),IF(H743="AIE",IF(M743="L",5,IF(M743="A",7,10)),IF(H743="SE",IF(M743="L",4,IF(M743="A",5,7)),IF(OR(H743="EE",H743="CE"),IF(M743="L",3,IF(M743="A",4,6)))))))</f>
        <v/>
      </c>
      <c r="P743" s="48" t="str">
        <f aca="false">IF(I743="I",O743*Contagem!$W$15,IF(I743="E",O743*Contagem!$W$17,IF(I743="A",O743*Contagem!$W$16,IF(I743="T",O743*Contagem!$W$18,""))))</f>
        <v/>
      </c>
      <c r="Q743" s="49"/>
    </row>
    <row r="744" customFormat="false" ht="12" hidden="false" customHeight="true" outlineLevel="0" collapsed="false">
      <c r="A744" s="40" t="n">
        <f aca="false">IF(H744="",IF(C744="",A743,A743+1),A743)</f>
        <v>62</v>
      </c>
      <c r="B744" s="41" t="str">
        <f aca="false">IF(A744=A743,"",CONCATENATE("F",A744))</f>
        <v/>
      </c>
      <c r="C744" s="42"/>
      <c r="D744" s="42"/>
      <c r="E744" s="42"/>
      <c r="F744" s="42"/>
      <c r="G744" s="42"/>
      <c r="H744" s="44"/>
      <c r="I744" s="50"/>
      <c r="J744" s="44"/>
      <c r="K744" s="44"/>
      <c r="L744" s="44" t="str">
        <f aca="false">CONCATENATE(H744,M744)</f>
        <v/>
      </c>
      <c r="M744" s="45" t="str">
        <f aca="false">IF(OR(ISBLANK(J744),ISBLANK(K744)),IF(OR(H744="ALI",H744="AIE"),"L",IF(ISBLANK(H744),"","A")),IF(H744="EE",IF(K744&gt;=3,IF(J744&gt;=5,"H","A"),IF(K744&gt;=2,IF(J744&gt;=16,"H",IF(J744&lt;=4,"L","A")),IF(J744&lt;=15,"L","A"))),IF(OR(H744="SE",H744="CE"),IF(K744&gt;=4,IF(J744&gt;=6,"H","A"),IF(K744&gt;=2,IF(J744&gt;=20,"H",IF(J744&lt;=5,"L","A")),IF(J744&lt;=19,"L","A"))),IF(OR(H744="ALI",H744="AIE"),IF(K744&gt;=6,IF(J744&gt;=20,"H","A"),IF(K744&gt;=2,IF(J744&gt;=51,"H",IF(J744&lt;=19,"L","A")),IF(J744&lt;=50,"L","A")))))))</f>
        <v/>
      </c>
      <c r="N744" s="46" t="str">
        <f aca="false">IF(M744="L","Baixa",IF(M744="A","Média",IF(M744="","","Alta")))</f>
        <v/>
      </c>
      <c r="O744" s="47" t="str">
        <f aca="false">IF(ISBLANK(H744),"",IF(H744="ALI",IF(M744="L",7,IF(M744="A",10,15)),IF(H744="AIE",IF(M744="L",5,IF(M744="A",7,10)),IF(H744="SE",IF(M744="L",4,IF(M744="A",5,7)),IF(OR(H744="EE",H744="CE"),IF(M744="L",3,IF(M744="A",4,6)))))))</f>
        <v/>
      </c>
      <c r="P744" s="48" t="str">
        <f aca="false">IF(I744="I",O744*Contagem!$W$15,IF(I744="E",O744*Contagem!$W$17,IF(I744="A",O744*Contagem!$W$16,IF(I744="T",O744*Contagem!$W$18,""))))</f>
        <v/>
      </c>
      <c r="Q744" s="49"/>
    </row>
    <row r="745" customFormat="false" ht="12" hidden="false" customHeight="true" outlineLevel="0" collapsed="false">
      <c r="A745" s="40" t="n">
        <f aca="false">IF(H745="",IF(C745="",A744,A744+1),A744)</f>
        <v>62</v>
      </c>
      <c r="B745" s="41" t="str">
        <f aca="false">IF(A745=A744,"",CONCATENATE("F",A745))</f>
        <v/>
      </c>
      <c r="C745" s="42"/>
      <c r="D745" s="42"/>
      <c r="E745" s="42"/>
      <c r="F745" s="42"/>
      <c r="G745" s="42"/>
      <c r="H745" s="44"/>
      <c r="I745" s="50"/>
      <c r="J745" s="44"/>
      <c r="K745" s="44"/>
      <c r="L745" s="44" t="str">
        <f aca="false">CONCATENATE(H745,M745)</f>
        <v/>
      </c>
      <c r="M745" s="45" t="str">
        <f aca="false">IF(OR(ISBLANK(J745),ISBLANK(K745)),IF(OR(H745="ALI",H745="AIE"),"L",IF(ISBLANK(H745),"","A")),IF(H745="EE",IF(K745&gt;=3,IF(J745&gt;=5,"H","A"),IF(K745&gt;=2,IF(J745&gt;=16,"H",IF(J745&lt;=4,"L","A")),IF(J745&lt;=15,"L","A"))),IF(OR(H745="SE",H745="CE"),IF(K745&gt;=4,IF(J745&gt;=6,"H","A"),IF(K745&gt;=2,IF(J745&gt;=20,"H",IF(J745&lt;=5,"L","A")),IF(J745&lt;=19,"L","A"))),IF(OR(H745="ALI",H745="AIE"),IF(K745&gt;=6,IF(J745&gt;=20,"H","A"),IF(K745&gt;=2,IF(J745&gt;=51,"H",IF(J745&lt;=19,"L","A")),IF(J745&lt;=50,"L","A")))))))</f>
        <v/>
      </c>
      <c r="N745" s="46" t="str">
        <f aca="false">IF(M745="L","Baixa",IF(M745="A","Média",IF(M745="","","Alta")))</f>
        <v/>
      </c>
      <c r="O745" s="47" t="str">
        <f aca="false">IF(ISBLANK(H745),"",IF(H745="ALI",IF(M745="L",7,IF(M745="A",10,15)),IF(H745="AIE",IF(M745="L",5,IF(M745="A",7,10)),IF(H745="SE",IF(M745="L",4,IF(M745="A",5,7)),IF(OR(H745="EE",H745="CE"),IF(M745="L",3,IF(M745="A",4,6)))))))</f>
        <v/>
      </c>
      <c r="P745" s="48" t="str">
        <f aca="false">IF(I745="I",O745*Contagem!$W$15,IF(I745="E",O745*Contagem!$W$17,IF(I745="A",O745*Contagem!$W$16,IF(I745="T",O745*Contagem!$W$18,""))))</f>
        <v/>
      </c>
      <c r="Q745" s="49"/>
    </row>
    <row r="746" customFormat="false" ht="12" hidden="false" customHeight="true" outlineLevel="0" collapsed="false">
      <c r="A746" s="40" t="n">
        <f aca="false">IF(H746="",IF(C746="",A745,A745+1),A745)</f>
        <v>62</v>
      </c>
      <c r="B746" s="41" t="str">
        <f aca="false">IF(A746=A745,"",CONCATENATE("F",A746))</f>
        <v/>
      </c>
      <c r="C746" s="42"/>
      <c r="D746" s="42"/>
      <c r="E746" s="42"/>
      <c r="F746" s="42"/>
      <c r="G746" s="42"/>
      <c r="H746" s="44"/>
      <c r="I746" s="50"/>
      <c r="J746" s="44"/>
      <c r="K746" s="44"/>
      <c r="L746" s="44" t="str">
        <f aca="false">CONCATENATE(H746,M746)</f>
        <v/>
      </c>
      <c r="M746" s="45" t="str">
        <f aca="false">IF(OR(ISBLANK(J746),ISBLANK(K746)),IF(OR(H746="ALI",H746="AIE"),"L",IF(ISBLANK(H746),"","A")),IF(H746="EE",IF(K746&gt;=3,IF(J746&gt;=5,"H","A"),IF(K746&gt;=2,IF(J746&gt;=16,"H",IF(J746&lt;=4,"L","A")),IF(J746&lt;=15,"L","A"))),IF(OR(H746="SE",H746="CE"),IF(K746&gt;=4,IF(J746&gt;=6,"H","A"),IF(K746&gt;=2,IF(J746&gt;=20,"H",IF(J746&lt;=5,"L","A")),IF(J746&lt;=19,"L","A"))),IF(OR(H746="ALI",H746="AIE"),IF(K746&gt;=6,IF(J746&gt;=20,"H","A"),IF(K746&gt;=2,IF(J746&gt;=51,"H",IF(J746&lt;=19,"L","A")),IF(J746&lt;=50,"L","A")))))))</f>
        <v/>
      </c>
      <c r="N746" s="46" t="str">
        <f aca="false">IF(M746="L","Baixa",IF(M746="A","Média",IF(M746="","","Alta")))</f>
        <v/>
      </c>
      <c r="O746" s="47" t="str">
        <f aca="false">IF(ISBLANK(H746),"",IF(H746="ALI",IF(M746="L",7,IF(M746="A",10,15)),IF(H746="AIE",IF(M746="L",5,IF(M746="A",7,10)),IF(H746="SE",IF(M746="L",4,IF(M746="A",5,7)),IF(OR(H746="EE",H746="CE"),IF(M746="L",3,IF(M746="A",4,6)))))))</f>
        <v/>
      </c>
      <c r="P746" s="48" t="str">
        <f aca="false">IF(I746="I",O746*Contagem!$W$15,IF(I746="E",O746*Contagem!$W$17,IF(I746="A",O746*Contagem!$W$16,IF(I746="T",O746*Contagem!$W$18,""))))</f>
        <v/>
      </c>
      <c r="Q746" s="49"/>
    </row>
    <row r="747" customFormat="false" ht="12" hidden="false" customHeight="true" outlineLevel="0" collapsed="false">
      <c r="A747" s="40" t="n">
        <f aca="false">IF(H747="",IF(C747="",A746,A746+1),A746)</f>
        <v>62</v>
      </c>
      <c r="B747" s="41" t="str">
        <f aca="false">IF(A747=A746,"",CONCATENATE("F",A747))</f>
        <v/>
      </c>
      <c r="C747" s="42"/>
      <c r="D747" s="42"/>
      <c r="E747" s="42"/>
      <c r="F747" s="42"/>
      <c r="G747" s="42"/>
      <c r="H747" s="44"/>
      <c r="I747" s="50"/>
      <c r="J747" s="44"/>
      <c r="K747" s="44"/>
      <c r="L747" s="44" t="str">
        <f aca="false">CONCATENATE(H747,M747)</f>
        <v/>
      </c>
      <c r="M747" s="45" t="str">
        <f aca="false">IF(OR(ISBLANK(J747),ISBLANK(K747)),IF(OR(H747="ALI",H747="AIE"),"L",IF(ISBLANK(H747),"","A")),IF(H747="EE",IF(K747&gt;=3,IF(J747&gt;=5,"H","A"),IF(K747&gt;=2,IF(J747&gt;=16,"H",IF(J747&lt;=4,"L","A")),IF(J747&lt;=15,"L","A"))),IF(OR(H747="SE",H747="CE"),IF(K747&gt;=4,IF(J747&gt;=6,"H","A"),IF(K747&gt;=2,IF(J747&gt;=20,"H",IF(J747&lt;=5,"L","A")),IF(J747&lt;=19,"L","A"))),IF(OR(H747="ALI",H747="AIE"),IF(K747&gt;=6,IF(J747&gt;=20,"H","A"),IF(K747&gt;=2,IF(J747&gt;=51,"H",IF(J747&lt;=19,"L","A")),IF(J747&lt;=50,"L","A")))))))</f>
        <v/>
      </c>
      <c r="N747" s="46" t="str">
        <f aca="false">IF(M747="L","Baixa",IF(M747="A","Média",IF(M747="","","Alta")))</f>
        <v/>
      </c>
      <c r="O747" s="47" t="str">
        <f aca="false">IF(ISBLANK(H747),"",IF(H747="ALI",IF(M747="L",7,IF(M747="A",10,15)),IF(H747="AIE",IF(M747="L",5,IF(M747="A",7,10)),IF(H747="SE",IF(M747="L",4,IF(M747="A",5,7)),IF(OR(H747="EE",H747="CE"),IF(M747="L",3,IF(M747="A",4,6)))))))</f>
        <v/>
      </c>
      <c r="P747" s="48" t="str">
        <f aca="false">IF(I747="I",O747*Contagem!$W$15,IF(I747="E",O747*Contagem!$W$17,IF(I747="A",O747*Contagem!$W$16,IF(I747="T",O747*Contagem!$W$18,""))))</f>
        <v/>
      </c>
      <c r="Q747" s="49"/>
    </row>
    <row r="748" customFormat="false" ht="12" hidden="false" customHeight="true" outlineLevel="0" collapsed="false">
      <c r="A748" s="40" t="n">
        <f aca="false">IF(H748="",IF(C748="",A747,A747+1),A747)</f>
        <v>62</v>
      </c>
      <c r="B748" s="41" t="str">
        <f aca="false">IF(A748=A747,"",CONCATENATE("F",A748))</f>
        <v/>
      </c>
      <c r="C748" s="42"/>
      <c r="D748" s="42"/>
      <c r="E748" s="42"/>
      <c r="F748" s="42"/>
      <c r="G748" s="42"/>
      <c r="H748" s="44"/>
      <c r="I748" s="50"/>
      <c r="J748" s="44"/>
      <c r="K748" s="44"/>
      <c r="L748" s="44" t="str">
        <f aca="false">CONCATENATE(H748,M748)</f>
        <v/>
      </c>
      <c r="M748" s="45" t="str">
        <f aca="false">IF(OR(ISBLANK(J748),ISBLANK(K748)),IF(OR(H748="ALI",H748="AIE"),"L",IF(ISBLANK(H748),"","A")),IF(H748="EE",IF(K748&gt;=3,IF(J748&gt;=5,"H","A"),IF(K748&gt;=2,IF(J748&gt;=16,"H",IF(J748&lt;=4,"L","A")),IF(J748&lt;=15,"L","A"))),IF(OR(H748="SE",H748="CE"),IF(K748&gt;=4,IF(J748&gt;=6,"H","A"),IF(K748&gt;=2,IF(J748&gt;=20,"H",IF(J748&lt;=5,"L","A")),IF(J748&lt;=19,"L","A"))),IF(OR(H748="ALI",H748="AIE"),IF(K748&gt;=6,IF(J748&gt;=20,"H","A"),IF(K748&gt;=2,IF(J748&gt;=51,"H",IF(J748&lt;=19,"L","A")),IF(J748&lt;=50,"L","A")))))))</f>
        <v/>
      </c>
      <c r="N748" s="46" t="str">
        <f aca="false">IF(M748="L","Baixa",IF(M748="A","Média",IF(M748="","","Alta")))</f>
        <v/>
      </c>
      <c r="O748" s="47" t="str">
        <f aca="false">IF(ISBLANK(H748),"",IF(H748="ALI",IF(M748="L",7,IF(M748="A",10,15)),IF(H748="AIE",IF(M748="L",5,IF(M748="A",7,10)),IF(H748="SE",IF(M748="L",4,IF(M748="A",5,7)),IF(OR(H748="EE",H748="CE"),IF(M748="L",3,IF(M748="A",4,6)))))))</f>
        <v/>
      </c>
      <c r="P748" s="48" t="str">
        <f aca="false">IF(I748="I",O748*Contagem!$W$15,IF(I748="E",O748*Contagem!$W$17,IF(I748="A",O748*Contagem!$W$16,IF(I748="T",O748*Contagem!$W$18,""))))</f>
        <v/>
      </c>
      <c r="Q748" s="49"/>
    </row>
    <row r="749" customFormat="false" ht="12" hidden="false" customHeight="true" outlineLevel="0" collapsed="false">
      <c r="A749" s="40" t="n">
        <f aca="false">IF(H749="",IF(C749="",A748,A748+1),A748)</f>
        <v>62</v>
      </c>
      <c r="B749" s="41" t="str">
        <f aca="false">IF(A749=A748,"",CONCATENATE("F",A749))</f>
        <v/>
      </c>
      <c r="C749" s="42"/>
      <c r="D749" s="42"/>
      <c r="E749" s="42"/>
      <c r="F749" s="42"/>
      <c r="G749" s="42"/>
      <c r="H749" s="44"/>
      <c r="I749" s="50"/>
      <c r="J749" s="44"/>
      <c r="K749" s="44"/>
      <c r="L749" s="44" t="str">
        <f aca="false">CONCATENATE(H749,M749)</f>
        <v/>
      </c>
      <c r="M749" s="45" t="str">
        <f aca="false">IF(OR(ISBLANK(J749),ISBLANK(K749)),IF(OR(H749="ALI",H749="AIE"),"L",IF(ISBLANK(H749),"","A")),IF(H749="EE",IF(K749&gt;=3,IF(J749&gt;=5,"H","A"),IF(K749&gt;=2,IF(J749&gt;=16,"H",IF(J749&lt;=4,"L","A")),IF(J749&lt;=15,"L","A"))),IF(OR(H749="SE",H749="CE"),IF(K749&gt;=4,IF(J749&gt;=6,"H","A"),IF(K749&gt;=2,IF(J749&gt;=20,"H",IF(J749&lt;=5,"L","A")),IF(J749&lt;=19,"L","A"))),IF(OR(H749="ALI",H749="AIE"),IF(K749&gt;=6,IF(J749&gt;=20,"H","A"),IF(K749&gt;=2,IF(J749&gt;=51,"H",IF(J749&lt;=19,"L","A")),IF(J749&lt;=50,"L","A")))))))</f>
        <v/>
      </c>
      <c r="N749" s="46" t="str">
        <f aca="false">IF(M749="L","Baixa",IF(M749="A","Média",IF(M749="","","Alta")))</f>
        <v/>
      </c>
      <c r="O749" s="47" t="str">
        <f aca="false">IF(ISBLANK(H749),"",IF(H749="ALI",IF(M749="L",7,IF(M749="A",10,15)),IF(H749="AIE",IF(M749="L",5,IF(M749="A",7,10)),IF(H749="SE",IF(M749="L",4,IF(M749="A",5,7)),IF(OR(H749="EE",H749="CE"),IF(M749="L",3,IF(M749="A",4,6)))))))</f>
        <v/>
      </c>
      <c r="P749" s="48" t="str">
        <f aca="false">IF(I749="I",O749*Contagem!$W$15,IF(I749="E",O749*Contagem!$W$17,IF(I749="A",O749*Contagem!$W$16,IF(I749="T",O749*Contagem!$W$18,""))))</f>
        <v/>
      </c>
      <c r="Q749" s="49"/>
    </row>
    <row r="750" customFormat="false" ht="12" hidden="false" customHeight="true" outlineLevel="0" collapsed="false">
      <c r="A750" s="40" t="n">
        <f aca="false">IF(H750="",IF(C750="",A749,A749+1),A749)</f>
        <v>62</v>
      </c>
      <c r="B750" s="41" t="str">
        <f aca="false">IF(A750=A749,"",CONCATENATE("F",A750))</f>
        <v/>
      </c>
      <c r="C750" s="42"/>
      <c r="D750" s="42"/>
      <c r="E750" s="42"/>
      <c r="F750" s="42"/>
      <c r="G750" s="42"/>
      <c r="H750" s="44"/>
      <c r="I750" s="50"/>
      <c r="J750" s="44"/>
      <c r="K750" s="44"/>
      <c r="L750" s="44" t="str">
        <f aca="false">CONCATENATE(H750,M750)</f>
        <v/>
      </c>
      <c r="M750" s="45" t="str">
        <f aca="false">IF(OR(ISBLANK(J750),ISBLANK(K750)),IF(OR(H750="ALI",H750="AIE"),"L",IF(ISBLANK(H750),"","A")),IF(H750="EE",IF(K750&gt;=3,IF(J750&gt;=5,"H","A"),IF(K750&gt;=2,IF(J750&gt;=16,"H",IF(J750&lt;=4,"L","A")),IF(J750&lt;=15,"L","A"))),IF(OR(H750="SE",H750="CE"),IF(K750&gt;=4,IF(J750&gt;=6,"H","A"),IF(K750&gt;=2,IF(J750&gt;=20,"H",IF(J750&lt;=5,"L","A")),IF(J750&lt;=19,"L","A"))),IF(OR(H750="ALI",H750="AIE"),IF(K750&gt;=6,IF(J750&gt;=20,"H","A"),IF(K750&gt;=2,IF(J750&gt;=51,"H",IF(J750&lt;=19,"L","A")),IF(J750&lt;=50,"L","A")))))))</f>
        <v/>
      </c>
      <c r="N750" s="46" t="str">
        <f aca="false">IF(M750="L","Baixa",IF(M750="A","Média",IF(M750="","","Alta")))</f>
        <v/>
      </c>
      <c r="O750" s="47" t="str">
        <f aca="false">IF(ISBLANK(H750),"",IF(H750="ALI",IF(M750="L",7,IF(M750="A",10,15)),IF(H750="AIE",IF(M750="L",5,IF(M750="A",7,10)),IF(H750="SE",IF(M750="L",4,IF(M750="A",5,7)),IF(OR(H750="EE",H750="CE"),IF(M750="L",3,IF(M750="A",4,6)))))))</f>
        <v/>
      </c>
      <c r="P750" s="48" t="str">
        <f aca="false">IF(I750="I",O750*Contagem!$W$15,IF(I750="E",O750*Contagem!$W$17,IF(I750="A",O750*Contagem!$W$16,IF(I750="T",O750*Contagem!$W$18,""))))</f>
        <v/>
      </c>
      <c r="Q750" s="49"/>
    </row>
    <row r="751" customFormat="false" ht="12" hidden="false" customHeight="true" outlineLevel="0" collapsed="false">
      <c r="A751" s="40" t="n">
        <f aca="false">IF(H751="",IF(C751="",A750,A750+1),A750)</f>
        <v>62</v>
      </c>
      <c r="B751" s="41" t="str">
        <f aca="false">IF(A751=A750,"",CONCATENATE("F",A751))</f>
        <v/>
      </c>
      <c r="C751" s="42"/>
      <c r="D751" s="42"/>
      <c r="E751" s="42"/>
      <c r="F751" s="42"/>
      <c r="G751" s="42"/>
      <c r="H751" s="44"/>
      <c r="I751" s="50"/>
      <c r="J751" s="44"/>
      <c r="K751" s="44"/>
      <c r="L751" s="44" t="str">
        <f aca="false">CONCATENATE(H751,M751)</f>
        <v/>
      </c>
      <c r="M751" s="45" t="str">
        <f aca="false">IF(OR(ISBLANK(J751),ISBLANK(K751)),IF(OR(H751="ALI",H751="AIE"),"L",IF(ISBLANK(H751),"","A")),IF(H751="EE",IF(K751&gt;=3,IF(J751&gt;=5,"H","A"),IF(K751&gt;=2,IF(J751&gt;=16,"H",IF(J751&lt;=4,"L","A")),IF(J751&lt;=15,"L","A"))),IF(OR(H751="SE",H751="CE"),IF(K751&gt;=4,IF(J751&gt;=6,"H","A"),IF(K751&gt;=2,IF(J751&gt;=20,"H",IF(J751&lt;=5,"L","A")),IF(J751&lt;=19,"L","A"))),IF(OR(H751="ALI",H751="AIE"),IF(K751&gt;=6,IF(J751&gt;=20,"H","A"),IF(K751&gt;=2,IF(J751&gt;=51,"H",IF(J751&lt;=19,"L","A")),IF(J751&lt;=50,"L","A")))))))</f>
        <v/>
      </c>
      <c r="N751" s="46" t="str">
        <f aca="false">IF(M751="L","Baixa",IF(M751="A","Média",IF(M751="","","Alta")))</f>
        <v/>
      </c>
      <c r="O751" s="47" t="str">
        <f aca="false">IF(ISBLANK(H751),"",IF(H751="ALI",IF(M751="L",7,IF(M751="A",10,15)),IF(H751="AIE",IF(M751="L",5,IF(M751="A",7,10)),IF(H751="SE",IF(M751="L",4,IF(M751="A",5,7)),IF(OR(H751="EE",H751="CE"),IF(M751="L",3,IF(M751="A",4,6)))))))</f>
        <v/>
      </c>
      <c r="P751" s="48" t="str">
        <f aca="false">IF(I751="I",O751*Contagem!$W$15,IF(I751="E",O751*Contagem!$W$17,IF(I751="A",O751*Contagem!$W$16,IF(I751="T",O751*Contagem!$W$18,""))))</f>
        <v/>
      </c>
      <c r="Q751" s="49"/>
    </row>
    <row r="752" customFormat="false" ht="12" hidden="false" customHeight="true" outlineLevel="0" collapsed="false">
      <c r="A752" s="40" t="n">
        <f aca="false">IF(H752="",IF(C752="",A751,A751+1),A751)</f>
        <v>62</v>
      </c>
      <c r="B752" s="41" t="str">
        <f aca="false">IF(A752=A751,"",CONCATENATE("F",A752))</f>
        <v/>
      </c>
      <c r="C752" s="42"/>
      <c r="D752" s="42"/>
      <c r="E752" s="42"/>
      <c r="F752" s="42"/>
      <c r="G752" s="42"/>
      <c r="H752" s="44"/>
      <c r="I752" s="50"/>
      <c r="J752" s="44"/>
      <c r="K752" s="44"/>
      <c r="L752" s="44" t="str">
        <f aca="false">CONCATENATE(H752,M752)</f>
        <v/>
      </c>
      <c r="M752" s="45" t="str">
        <f aca="false">IF(OR(ISBLANK(J752),ISBLANK(K752)),IF(OR(H752="ALI",H752="AIE"),"L",IF(ISBLANK(H752),"","A")),IF(H752="EE",IF(K752&gt;=3,IF(J752&gt;=5,"H","A"),IF(K752&gt;=2,IF(J752&gt;=16,"H",IF(J752&lt;=4,"L","A")),IF(J752&lt;=15,"L","A"))),IF(OR(H752="SE",H752="CE"),IF(K752&gt;=4,IF(J752&gt;=6,"H","A"),IF(K752&gt;=2,IF(J752&gt;=20,"H",IF(J752&lt;=5,"L","A")),IF(J752&lt;=19,"L","A"))),IF(OR(H752="ALI",H752="AIE"),IF(K752&gt;=6,IF(J752&gt;=20,"H","A"),IF(K752&gt;=2,IF(J752&gt;=51,"H",IF(J752&lt;=19,"L","A")),IF(J752&lt;=50,"L","A")))))))</f>
        <v/>
      </c>
      <c r="N752" s="46" t="str">
        <f aca="false">IF(M752="L","Baixa",IF(M752="A","Média",IF(M752="","","Alta")))</f>
        <v/>
      </c>
      <c r="O752" s="47" t="str">
        <f aca="false">IF(ISBLANK(H752),"",IF(H752="ALI",IF(M752="L",7,IF(M752="A",10,15)),IF(H752="AIE",IF(M752="L",5,IF(M752="A",7,10)),IF(H752="SE",IF(M752="L",4,IF(M752="A",5,7)),IF(OR(H752="EE",H752="CE"),IF(M752="L",3,IF(M752="A",4,6)))))))</f>
        <v/>
      </c>
      <c r="P752" s="48" t="str">
        <f aca="false">IF(I752="I",O752*Contagem!$W$15,IF(I752="E",O752*Contagem!$W$17,IF(I752="A",O752*Contagem!$W$16,IF(I752="T",O752*Contagem!$W$18,""))))</f>
        <v/>
      </c>
      <c r="Q752" s="49"/>
    </row>
    <row r="753" customFormat="false" ht="12" hidden="false" customHeight="true" outlineLevel="0" collapsed="false">
      <c r="A753" s="40" t="n">
        <f aca="false">IF(H753="",IF(C753="",A752,A752+1),A752)</f>
        <v>62</v>
      </c>
      <c r="B753" s="41" t="str">
        <f aca="false">IF(A753=A752,"",CONCATENATE("F",A753))</f>
        <v/>
      </c>
      <c r="C753" s="42"/>
      <c r="D753" s="42"/>
      <c r="E753" s="42"/>
      <c r="F753" s="42"/>
      <c r="G753" s="42"/>
      <c r="H753" s="44"/>
      <c r="I753" s="50"/>
      <c r="J753" s="44"/>
      <c r="K753" s="44"/>
      <c r="L753" s="44" t="str">
        <f aca="false">CONCATENATE(H753,M753)</f>
        <v/>
      </c>
      <c r="M753" s="45" t="str">
        <f aca="false">IF(OR(ISBLANK(J753),ISBLANK(K753)),IF(OR(H753="ALI",H753="AIE"),"L",IF(ISBLANK(H753),"","A")),IF(H753="EE",IF(K753&gt;=3,IF(J753&gt;=5,"H","A"),IF(K753&gt;=2,IF(J753&gt;=16,"H",IF(J753&lt;=4,"L","A")),IF(J753&lt;=15,"L","A"))),IF(OR(H753="SE",H753="CE"),IF(K753&gt;=4,IF(J753&gt;=6,"H","A"),IF(K753&gt;=2,IF(J753&gt;=20,"H",IF(J753&lt;=5,"L","A")),IF(J753&lt;=19,"L","A"))),IF(OR(H753="ALI",H753="AIE"),IF(K753&gt;=6,IF(J753&gt;=20,"H","A"),IF(K753&gt;=2,IF(J753&gt;=51,"H",IF(J753&lt;=19,"L","A")),IF(J753&lt;=50,"L","A")))))))</f>
        <v/>
      </c>
      <c r="N753" s="46" t="str">
        <f aca="false">IF(M753="L","Baixa",IF(M753="A","Média",IF(M753="","","Alta")))</f>
        <v/>
      </c>
      <c r="O753" s="47" t="str">
        <f aca="false">IF(ISBLANK(H753),"",IF(H753="ALI",IF(M753="L",7,IF(M753="A",10,15)),IF(H753="AIE",IF(M753="L",5,IF(M753="A",7,10)),IF(H753="SE",IF(M753="L",4,IF(M753="A",5,7)),IF(OR(H753="EE",H753="CE"),IF(M753="L",3,IF(M753="A",4,6)))))))</f>
        <v/>
      </c>
      <c r="P753" s="48" t="str">
        <f aca="false">IF(I753="I",O753*Contagem!$W$15,IF(I753="E",O753*Contagem!$W$17,IF(I753="A",O753*Contagem!$W$16,IF(I753="T",O753*Contagem!$W$18,""))))</f>
        <v/>
      </c>
      <c r="Q753" s="49"/>
    </row>
    <row r="754" customFormat="false" ht="12" hidden="false" customHeight="true" outlineLevel="0" collapsed="false">
      <c r="A754" s="40" t="n">
        <f aca="false">IF(H754="",IF(C754="",A753,A753+1),A753)</f>
        <v>62</v>
      </c>
      <c r="B754" s="41" t="str">
        <f aca="false">IF(A754=A753,"",CONCATENATE("F",A754))</f>
        <v/>
      </c>
      <c r="C754" s="42"/>
      <c r="D754" s="42"/>
      <c r="E754" s="42"/>
      <c r="F754" s="42"/>
      <c r="G754" s="42"/>
      <c r="H754" s="44"/>
      <c r="I754" s="50"/>
      <c r="J754" s="44"/>
      <c r="K754" s="44"/>
      <c r="L754" s="44" t="str">
        <f aca="false">CONCATENATE(H754,M754)</f>
        <v/>
      </c>
      <c r="M754" s="45" t="str">
        <f aca="false">IF(OR(ISBLANK(J754),ISBLANK(K754)),IF(OR(H754="ALI",H754="AIE"),"L",IF(ISBLANK(H754),"","A")),IF(H754="EE",IF(K754&gt;=3,IF(J754&gt;=5,"H","A"),IF(K754&gt;=2,IF(J754&gt;=16,"H",IF(J754&lt;=4,"L","A")),IF(J754&lt;=15,"L","A"))),IF(OR(H754="SE",H754="CE"),IF(K754&gt;=4,IF(J754&gt;=6,"H","A"),IF(K754&gt;=2,IF(J754&gt;=20,"H",IF(J754&lt;=5,"L","A")),IF(J754&lt;=19,"L","A"))),IF(OR(H754="ALI",H754="AIE"),IF(K754&gt;=6,IF(J754&gt;=20,"H","A"),IF(K754&gt;=2,IF(J754&gt;=51,"H",IF(J754&lt;=19,"L","A")),IF(J754&lt;=50,"L","A")))))))</f>
        <v/>
      </c>
      <c r="N754" s="46" t="str">
        <f aca="false">IF(M754="L","Baixa",IF(M754="A","Média",IF(M754="","","Alta")))</f>
        <v/>
      </c>
      <c r="O754" s="47" t="str">
        <f aca="false">IF(ISBLANK(H754),"",IF(H754="ALI",IF(M754="L",7,IF(M754="A",10,15)),IF(H754="AIE",IF(M754="L",5,IF(M754="A",7,10)),IF(H754="SE",IF(M754="L",4,IF(M754="A",5,7)),IF(OR(H754="EE",H754="CE"),IF(M754="L",3,IF(M754="A",4,6)))))))</f>
        <v/>
      </c>
      <c r="P754" s="48" t="str">
        <f aca="false">IF(I754="I",O754*Contagem!$W$15,IF(I754="E",O754*Contagem!$W$17,IF(I754="A",O754*Contagem!$W$16,IF(I754="T",O754*Contagem!$W$18,""))))</f>
        <v/>
      </c>
      <c r="Q754" s="49"/>
    </row>
    <row r="755" customFormat="false" ht="12" hidden="false" customHeight="true" outlineLevel="0" collapsed="false">
      <c r="A755" s="40" t="n">
        <f aca="false">IF(H755="",IF(C755="",A754,A754+1),A754)</f>
        <v>62</v>
      </c>
      <c r="B755" s="41" t="str">
        <f aca="false">IF(A755=A754,"",CONCATENATE("F",A755))</f>
        <v/>
      </c>
      <c r="C755" s="42"/>
      <c r="D755" s="42"/>
      <c r="E755" s="42"/>
      <c r="F755" s="42"/>
      <c r="G755" s="42"/>
      <c r="H755" s="44"/>
      <c r="I755" s="50"/>
      <c r="J755" s="44"/>
      <c r="K755" s="44"/>
      <c r="L755" s="44" t="str">
        <f aca="false">CONCATENATE(H755,M755)</f>
        <v/>
      </c>
      <c r="M755" s="45" t="str">
        <f aca="false">IF(OR(ISBLANK(J755),ISBLANK(K755)),IF(OR(H755="ALI",H755="AIE"),"L",IF(ISBLANK(H755),"","A")),IF(H755="EE",IF(K755&gt;=3,IF(J755&gt;=5,"H","A"),IF(K755&gt;=2,IF(J755&gt;=16,"H",IF(J755&lt;=4,"L","A")),IF(J755&lt;=15,"L","A"))),IF(OR(H755="SE",H755="CE"),IF(K755&gt;=4,IF(J755&gt;=6,"H","A"),IF(K755&gt;=2,IF(J755&gt;=20,"H",IF(J755&lt;=5,"L","A")),IF(J755&lt;=19,"L","A"))),IF(OR(H755="ALI",H755="AIE"),IF(K755&gt;=6,IF(J755&gt;=20,"H","A"),IF(K755&gt;=2,IF(J755&gt;=51,"H",IF(J755&lt;=19,"L","A")),IF(J755&lt;=50,"L","A")))))))</f>
        <v/>
      </c>
      <c r="N755" s="46" t="str">
        <f aca="false">IF(M755="L","Baixa",IF(M755="A","Média",IF(M755="","","Alta")))</f>
        <v/>
      </c>
      <c r="O755" s="47" t="str">
        <f aca="false">IF(ISBLANK(H755),"",IF(H755="ALI",IF(M755="L",7,IF(M755="A",10,15)),IF(H755="AIE",IF(M755="L",5,IF(M755="A",7,10)),IF(H755="SE",IF(M755="L",4,IF(M755="A",5,7)),IF(OR(H755="EE",H755="CE"),IF(M755="L",3,IF(M755="A",4,6)))))))</f>
        <v/>
      </c>
      <c r="P755" s="48" t="str">
        <f aca="false">IF(I755="I",O755*Contagem!$W$15,IF(I755="E",O755*Contagem!$W$17,IF(I755="A",O755*Contagem!$W$16,IF(I755="T",O755*Contagem!$W$18,""))))</f>
        <v/>
      </c>
      <c r="Q755" s="49"/>
    </row>
    <row r="756" customFormat="false" ht="12" hidden="false" customHeight="true" outlineLevel="0" collapsed="false">
      <c r="A756" s="40" t="n">
        <f aca="false">IF(H756="",IF(C756="",A755,A755+1),A755)</f>
        <v>62</v>
      </c>
      <c r="B756" s="41" t="str">
        <f aca="false">IF(A756=A755,"",CONCATENATE("F",A756))</f>
        <v/>
      </c>
      <c r="C756" s="42"/>
      <c r="D756" s="42"/>
      <c r="E756" s="42"/>
      <c r="F756" s="42"/>
      <c r="G756" s="42"/>
      <c r="H756" s="44"/>
      <c r="I756" s="50"/>
      <c r="J756" s="44"/>
      <c r="K756" s="44"/>
      <c r="L756" s="44" t="str">
        <f aca="false">CONCATENATE(H756,M756)</f>
        <v/>
      </c>
      <c r="M756" s="45" t="str">
        <f aca="false">IF(OR(ISBLANK(J756),ISBLANK(K756)),IF(OR(H756="ALI",H756="AIE"),"L",IF(ISBLANK(H756),"","A")),IF(H756="EE",IF(K756&gt;=3,IF(J756&gt;=5,"H","A"),IF(K756&gt;=2,IF(J756&gt;=16,"H",IF(J756&lt;=4,"L","A")),IF(J756&lt;=15,"L","A"))),IF(OR(H756="SE",H756="CE"),IF(K756&gt;=4,IF(J756&gt;=6,"H","A"),IF(K756&gt;=2,IF(J756&gt;=20,"H",IF(J756&lt;=5,"L","A")),IF(J756&lt;=19,"L","A"))),IF(OR(H756="ALI",H756="AIE"),IF(K756&gt;=6,IF(J756&gt;=20,"H","A"),IF(K756&gt;=2,IF(J756&gt;=51,"H",IF(J756&lt;=19,"L","A")),IF(J756&lt;=50,"L","A")))))))</f>
        <v/>
      </c>
      <c r="N756" s="46" t="str">
        <f aca="false">IF(M756="L","Baixa",IF(M756="A","Média",IF(M756="","","Alta")))</f>
        <v/>
      </c>
      <c r="O756" s="47" t="str">
        <f aca="false">IF(ISBLANK(H756),"",IF(H756="ALI",IF(M756="L",7,IF(M756="A",10,15)),IF(H756="AIE",IF(M756="L",5,IF(M756="A",7,10)),IF(H756="SE",IF(M756="L",4,IF(M756="A",5,7)),IF(OR(H756="EE",H756="CE"),IF(M756="L",3,IF(M756="A",4,6)))))))</f>
        <v/>
      </c>
      <c r="P756" s="48" t="str">
        <f aca="false">IF(I756="I",O756*Contagem!$W$15,IF(I756="E",O756*Contagem!$W$17,IF(I756="A",O756*Contagem!$W$16,IF(I756="T",O756*Contagem!$W$18,""))))</f>
        <v/>
      </c>
      <c r="Q756" s="49"/>
    </row>
    <row r="757" customFormat="false" ht="12" hidden="false" customHeight="true" outlineLevel="0" collapsed="false">
      <c r="A757" s="40" t="n">
        <f aca="false">IF(H757="",IF(C757="",A756,A756+1),A756)</f>
        <v>62</v>
      </c>
      <c r="B757" s="41" t="str">
        <f aca="false">IF(A757=A756,"",CONCATENATE("F",A757))</f>
        <v/>
      </c>
      <c r="C757" s="42"/>
      <c r="D757" s="42"/>
      <c r="E757" s="42"/>
      <c r="F757" s="42"/>
      <c r="G757" s="42"/>
      <c r="H757" s="44"/>
      <c r="I757" s="50"/>
      <c r="J757" s="44"/>
      <c r="K757" s="44"/>
      <c r="L757" s="44" t="str">
        <f aca="false">CONCATENATE(H757,M757)</f>
        <v/>
      </c>
      <c r="M757" s="45" t="str">
        <f aca="false">IF(OR(ISBLANK(J757),ISBLANK(K757)),IF(OR(H757="ALI",H757="AIE"),"L",IF(ISBLANK(H757),"","A")),IF(H757="EE",IF(K757&gt;=3,IF(J757&gt;=5,"H","A"),IF(K757&gt;=2,IF(J757&gt;=16,"H",IF(J757&lt;=4,"L","A")),IF(J757&lt;=15,"L","A"))),IF(OR(H757="SE",H757="CE"),IF(K757&gt;=4,IF(J757&gt;=6,"H","A"),IF(K757&gt;=2,IF(J757&gt;=20,"H",IF(J757&lt;=5,"L","A")),IF(J757&lt;=19,"L","A"))),IF(OR(H757="ALI",H757="AIE"),IF(K757&gt;=6,IF(J757&gt;=20,"H","A"),IF(K757&gt;=2,IF(J757&gt;=51,"H",IF(J757&lt;=19,"L","A")),IF(J757&lt;=50,"L","A")))))))</f>
        <v/>
      </c>
      <c r="N757" s="46" t="str">
        <f aca="false">IF(M757="L","Baixa",IF(M757="A","Média",IF(M757="","","Alta")))</f>
        <v/>
      </c>
      <c r="O757" s="47" t="str">
        <f aca="false">IF(ISBLANK(H757),"",IF(H757="ALI",IF(M757="L",7,IF(M757="A",10,15)),IF(H757="AIE",IF(M757="L",5,IF(M757="A",7,10)),IF(H757="SE",IF(M757="L",4,IF(M757="A",5,7)),IF(OR(H757="EE",H757="CE"),IF(M757="L",3,IF(M757="A",4,6)))))))</f>
        <v/>
      </c>
      <c r="P757" s="48" t="str">
        <f aca="false">IF(I757="I",O757*Contagem!$W$15,IF(I757="E",O757*Contagem!$W$17,IF(I757="A",O757*Contagem!$W$16,IF(I757="T",O757*Contagem!$W$18,""))))</f>
        <v/>
      </c>
      <c r="Q757" s="49"/>
    </row>
    <row r="758" customFormat="false" ht="12" hidden="false" customHeight="true" outlineLevel="0" collapsed="false">
      <c r="A758" s="40" t="n">
        <f aca="false">IF(H758="",IF(C758="",A757,A757+1),A757)</f>
        <v>62</v>
      </c>
      <c r="B758" s="41" t="str">
        <f aca="false">IF(A758=A757,"",CONCATENATE("F",A758))</f>
        <v/>
      </c>
      <c r="C758" s="42"/>
      <c r="D758" s="42"/>
      <c r="E758" s="42"/>
      <c r="F758" s="42"/>
      <c r="G758" s="42"/>
      <c r="H758" s="44"/>
      <c r="I758" s="50"/>
      <c r="J758" s="44"/>
      <c r="K758" s="44"/>
      <c r="L758" s="44" t="str">
        <f aca="false">CONCATENATE(H758,M758)</f>
        <v/>
      </c>
      <c r="M758" s="45" t="str">
        <f aca="false">IF(OR(ISBLANK(J758),ISBLANK(K758)),IF(OR(H758="ALI",H758="AIE"),"L",IF(ISBLANK(H758),"","A")),IF(H758="EE",IF(K758&gt;=3,IF(J758&gt;=5,"H","A"),IF(K758&gt;=2,IF(J758&gt;=16,"H",IF(J758&lt;=4,"L","A")),IF(J758&lt;=15,"L","A"))),IF(OR(H758="SE",H758="CE"),IF(K758&gt;=4,IF(J758&gt;=6,"H","A"),IF(K758&gt;=2,IF(J758&gt;=20,"H",IF(J758&lt;=5,"L","A")),IF(J758&lt;=19,"L","A"))),IF(OR(H758="ALI",H758="AIE"),IF(K758&gt;=6,IF(J758&gt;=20,"H","A"),IF(K758&gt;=2,IF(J758&gt;=51,"H",IF(J758&lt;=19,"L","A")),IF(J758&lt;=50,"L","A")))))))</f>
        <v/>
      </c>
      <c r="N758" s="46" t="str">
        <f aca="false">IF(M758="L","Baixa",IF(M758="A","Média",IF(M758="","","Alta")))</f>
        <v/>
      </c>
      <c r="O758" s="47" t="str">
        <f aca="false">IF(ISBLANK(H758),"",IF(H758="ALI",IF(M758="L",7,IF(M758="A",10,15)),IF(H758="AIE",IF(M758="L",5,IF(M758="A",7,10)),IF(H758="SE",IF(M758="L",4,IF(M758="A",5,7)),IF(OR(H758="EE",H758="CE"),IF(M758="L",3,IF(M758="A",4,6)))))))</f>
        <v/>
      </c>
      <c r="P758" s="48" t="str">
        <f aca="false">IF(I758="I",O758*Contagem!$W$15,IF(I758="E",O758*Contagem!$W$17,IF(I758="A",O758*Contagem!$W$16,IF(I758="T",O758*Contagem!$W$18,""))))</f>
        <v/>
      </c>
      <c r="Q758" s="49"/>
    </row>
    <row r="759" customFormat="false" ht="12" hidden="false" customHeight="true" outlineLevel="0" collapsed="false">
      <c r="A759" s="40" t="n">
        <f aca="false">IF(H759="",IF(C759="",A758,A758+1),A758)</f>
        <v>62</v>
      </c>
      <c r="B759" s="41" t="str">
        <f aca="false">IF(A759=A758,"",CONCATENATE("F",A759))</f>
        <v/>
      </c>
      <c r="C759" s="42"/>
      <c r="D759" s="42"/>
      <c r="E759" s="42"/>
      <c r="F759" s="42"/>
      <c r="G759" s="42"/>
      <c r="H759" s="44"/>
      <c r="I759" s="50"/>
      <c r="J759" s="44"/>
      <c r="K759" s="44"/>
      <c r="L759" s="44" t="str">
        <f aca="false">CONCATENATE(H759,M759)</f>
        <v/>
      </c>
      <c r="M759" s="45" t="str">
        <f aca="false">IF(OR(ISBLANK(J759),ISBLANK(K759)),IF(OR(H759="ALI",H759="AIE"),"L",IF(ISBLANK(H759),"","A")),IF(H759="EE",IF(K759&gt;=3,IF(J759&gt;=5,"H","A"),IF(K759&gt;=2,IF(J759&gt;=16,"H",IF(J759&lt;=4,"L","A")),IF(J759&lt;=15,"L","A"))),IF(OR(H759="SE",H759="CE"),IF(K759&gt;=4,IF(J759&gt;=6,"H","A"),IF(K759&gt;=2,IF(J759&gt;=20,"H",IF(J759&lt;=5,"L","A")),IF(J759&lt;=19,"L","A"))),IF(OR(H759="ALI",H759="AIE"),IF(K759&gt;=6,IF(J759&gt;=20,"H","A"),IF(K759&gt;=2,IF(J759&gt;=51,"H",IF(J759&lt;=19,"L","A")),IF(J759&lt;=50,"L","A")))))))</f>
        <v/>
      </c>
      <c r="N759" s="46" t="str">
        <f aca="false">IF(M759="L","Baixa",IF(M759="A","Média",IF(M759="","","Alta")))</f>
        <v/>
      </c>
      <c r="O759" s="47" t="str">
        <f aca="false">IF(ISBLANK(H759),"",IF(H759="ALI",IF(M759="L",7,IF(M759="A",10,15)),IF(H759="AIE",IF(M759="L",5,IF(M759="A",7,10)),IF(H759="SE",IF(M759="L",4,IF(M759="A",5,7)),IF(OR(H759="EE",H759="CE"),IF(M759="L",3,IF(M759="A",4,6)))))))</f>
        <v/>
      </c>
      <c r="P759" s="48" t="str">
        <f aca="false">IF(I759="I",O759*Contagem!$W$15,IF(I759="E",O759*Contagem!$W$17,IF(I759="A",O759*Contagem!$W$16,IF(I759="T",O759*Contagem!$W$18,""))))</f>
        <v/>
      </c>
      <c r="Q759" s="49"/>
    </row>
    <row r="760" customFormat="false" ht="12" hidden="false" customHeight="true" outlineLevel="0" collapsed="false">
      <c r="A760" s="40" t="n">
        <f aca="false">IF(H760="",IF(C760="",A759,A759+1),A759)</f>
        <v>62</v>
      </c>
      <c r="B760" s="41" t="str">
        <f aca="false">IF(A760=A759,"",CONCATENATE("F",A760))</f>
        <v/>
      </c>
      <c r="C760" s="42"/>
      <c r="D760" s="42"/>
      <c r="E760" s="42"/>
      <c r="F760" s="42"/>
      <c r="G760" s="42"/>
      <c r="H760" s="44"/>
      <c r="I760" s="50"/>
      <c r="J760" s="44"/>
      <c r="K760" s="44"/>
      <c r="L760" s="44" t="str">
        <f aca="false">CONCATENATE(H760,M760)</f>
        <v/>
      </c>
      <c r="M760" s="45" t="str">
        <f aca="false">IF(OR(ISBLANK(J760),ISBLANK(K760)),IF(OR(H760="ALI",H760="AIE"),"L",IF(ISBLANK(H760),"","A")),IF(H760="EE",IF(K760&gt;=3,IF(J760&gt;=5,"H","A"),IF(K760&gt;=2,IF(J760&gt;=16,"H",IF(J760&lt;=4,"L","A")),IF(J760&lt;=15,"L","A"))),IF(OR(H760="SE",H760="CE"),IF(K760&gt;=4,IF(J760&gt;=6,"H","A"),IF(K760&gt;=2,IF(J760&gt;=20,"H",IF(J760&lt;=5,"L","A")),IF(J760&lt;=19,"L","A"))),IF(OR(H760="ALI",H760="AIE"),IF(K760&gt;=6,IF(J760&gt;=20,"H","A"),IF(K760&gt;=2,IF(J760&gt;=51,"H",IF(J760&lt;=19,"L","A")),IF(J760&lt;=50,"L","A")))))))</f>
        <v/>
      </c>
      <c r="N760" s="46" t="str">
        <f aca="false">IF(M760="L","Baixa",IF(M760="A","Média",IF(M760="","","Alta")))</f>
        <v/>
      </c>
      <c r="O760" s="47" t="str">
        <f aca="false">IF(ISBLANK(H760),"",IF(H760="ALI",IF(M760="L",7,IF(M760="A",10,15)),IF(H760="AIE",IF(M760="L",5,IF(M760="A",7,10)),IF(H760="SE",IF(M760="L",4,IF(M760="A",5,7)),IF(OR(H760="EE",H760="CE"),IF(M760="L",3,IF(M760="A",4,6)))))))</f>
        <v/>
      </c>
      <c r="P760" s="48" t="str">
        <f aca="false">IF(I760="I",O760*Contagem!$W$15,IF(I760="E",O760*Contagem!$W$17,IF(I760="A",O760*Contagem!$W$16,IF(I760="T",O760*Contagem!$W$18,""))))</f>
        <v/>
      </c>
      <c r="Q760" s="49"/>
    </row>
    <row r="761" customFormat="false" ht="12" hidden="false" customHeight="true" outlineLevel="0" collapsed="false">
      <c r="A761" s="40" t="n">
        <f aca="false">IF(H761="",IF(C761="",A760,A760+1),A760)</f>
        <v>62</v>
      </c>
      <c r="B761" s="41" t="str">
        <f aca="false">IF(A761=A760,"",CONCATENATE("F",A761))</f>
        <v/>
      </c>
      <c r="C761" s="42"/>
      <c r="D761" s="42"/>
      <c r="E761" s="42"/>
      <c r="F761" s="42"/>
      <c r="G761" s="42"/>
      <c r="H761" s="44"/>
      <c r="I761" s="50"/>
      <c r="J761" s="44"/>
      <c r="K761" s="44"/>
      <c r="L761" s="44" t="str">
        <f aca="false">CONCATENATE(H761,M761)</f>
        <v/>
      </c>
      <c r="M761" s="45" t="str">
        <f aca="false">IF(OR(ISBLANK(J761),ISBLANK(K761)),IF(OR(H761="ALI",H761="AIE"),"L",IF(ISBLANK(H761),"","A")),IF(H761="EE",IF(K761&gt;=3,IF(J761&gt;=5,"H","A"),IF(K761&gt;=2,IF(J761&gt;=16,"H",IF(J761&lt;=4,"L","A")),IF(J761&lt;=15,"L","A"))),IF(OR(H761="SE",H761="CE"),IF(K761&gt;=4,IF(J761&gt;=6,"H","A"),IF(K761&gt;=2,IF(J761&gt;=20,"H",IF(J761&lt;=5,"L","A")),IF(J761&lt;=19,"L","A"))),IF(OR(H761="ALI",H761="AIE"),IF(K761&gt;=6,IF(J761&gt;=20,"H","A"),IF(K761&gt;=2,IF(J761&gt;=51,"H",IF(J761&lt;=19,"L","A")),IF(J761&lt;=50,"L","A")))))))</f>
        <v/>
      </c>
      <c r="N761" s="46" t="str">
        <f aca="false">IF(M761="L","Baixa",IF(M761="A","Média",IF(M761="","","Alta")))</f>
        <v/>
      </c>
      <c r="O761" s="47" t="str">
        <f aca="false">IF(ISBLANK(H761),"",IF(H761="ALI",IF(M761="L",7,IF(M761="A",10,15)),IF(H761="AIE",IF(M761="L",5,IF(M761="A",7,10)),IF(H761="SE",IF(M761="L",4,IF(M761="A",5,7)),IF(OR(H761="EE",H761="CE"),IF(M761="L",3,IF(M761="A",4,6)))))))</f>
        <v/>
      </c>
      <c r="P761" s="48" t="str">
        <f aca="false">IF(I761="I",O761*Contagem!$W$15,IF(I761="E",O761*Contagem!$W$17,IF(I761="A",O761*Contagem!$W$16,IF(I761="T",O761*Contagem!$W$18,""))))</f>
        <v/>
      </c>
      <c r="Q761" s="49"/>
    </row>
    <row r="762" customFormat="false" ht="12" hidden="false" customHeight="true" outlineLevel="0" collapsed="false">
      <c r="A762" s="40" t="n">
        <f aca="false">IF(H762="",IF(C762="",A761,A761+1),A761)</f>
        <v>62</v>
      </c>
      <c r="B762" s="41" t="str">
        <f aca="false">IF(A762=A761,"",CONCATENATE("F",A762))</f>
        <v/>
      </c>
      <c r="C762" s="42"/>
      <c r="D762" s="42"/>
      <c r="E762" s="42"/>
      <c r="F762" s="42"/>
      <c r="G762" s="42"/>
      <c r="H762" s="44"/>
      <c r="I762" s="50"/>
      <c r="J762" s="44"/>
      <c r="K762" s="44"/>
      <c r="L762" s="44" t="str">
        <f aca="false">CONCATENATE(H762,M762)</f>
        <v/>
      </c>
      <c r="M762" s="45" t="str">
        <f aca="false">IF(OR(ISBLANK(J762),ISBLANK(K762)),IF(OR(H762="ALI",H762="AIE"),"L",IF(ISBLANK(H762),"","A")),IF(H762="EE",IF(K762&gt;=3,IF(J762&gt;=5,"H","A"),IF(K762&gt;=2,IF(J762&gt;=16,"H",IF(J762&lt;=4,"L","A")),IF(J762&lt;=15,"L","A"))),IF(OR(H762="SE",H762="CE"),IF(K762&gt;=4,IF(J762&gt;=6,"H","A"),IF(K762&gt;=2,IF(J762&gt;=20,"H",IF(J762&lt;=5,"L","A")),IF(J762&lt;=19,"L","A"))),IF(OR(H762="ALI",H762="AIE"),IF(K762&gt;=6,IF(J762&gt;=20,"H","A"),IF(K762&gt;=2,IF(J762&gt;=51,"H",IF(J762&lt;=19,"L","A")),IF(J762&lt;=50,"L","A")))))))</f>
        <v/>
      </c>
      <c r="N762" s="46" t="str">
        <f aca="false">IF(M762="L","Baixa",IF(M762="A","Média",IF(M762="","","Alta")))</f>
        <v/>
      </c>
      <c r="O762" s="47" t="str">
        <f aca="false">IF(ISBLANK(H762),"",IF(H762="ALI",IF(M762="L",7,IF(M762="A",10,15)),IF(H762="AIE",IF(M762="L",5,IF(M762="A",7,10)),IF(H762="SE",IF(M762="L",4,IF(M762="A",5,7)),IF(OR(H762="EE",H762="CE"),IF(M762="L",3,IF(M762="A",4,6)))))))</f>
        <v/>
      </c>
      <c r="P762" s="48" t="str">
        <f aca="false">IF(I762="I",O762*Contagem!$W$15,IF(I762="E",O762*Contagem!$W$17,IF(I762="A",O762*Contagem!$W$16,IF(I762="T",O762*Contagem!$W$18,""))))</f>
        <v/>
      </c>
      <c r="Q762" s="49"/>
    </row>
    <row r="763" customFormat="false" ht="12" hidden="false" customHeight="true" outlineLevel="0" collapsed="false">
      <c r="A763" s="40" t="n">
        <f aca="false">IF(H763="",IF(C763="",A762,A762+1),A762)</f>
        <v>62</v>
      </c>
      <c r="B763" s="41" t="str">
        <f aca="false">IF(A763=A762,"",CONCATENATE("F",A763))</f>
        <v/>
      </c>
      <c r="C763" s="42"/>
      <c r="D763" s="42"/>
      <c r="E763" s="42"/>
      <c r="F763" s="42"/>
      <c r="G763" s="42"/>
      <c r="H763" s="44"/>
      <c r="I763" s="50"/>
      <c r="J763" s="44"/>
      <c r="K763" s="44"/>
      <c r="L763" s="44" t="str">
        <f aca="false">CONCATENATE(H763,M763)</f>
        <v/>
      </c>
      <c r="M763" s="45" t="str">
        <f aca="false">IF(OR(ISBLANK(J763),ISBLANK(K763)),IF(OR(H763="ALI",H763="AIE"),"L",IF(ISBLANK(H763),"","A")),IF(H763="EE",IF(K763&gt;=3,IF(J763&gt;=5,"H","A"),IF(K763&gt;=2,IF(J763&gt;=16,"H",IF(J763&lt;=4,"L","A")),IF(J763&lt;=15,"L","A"))),IF(OR(H763="SE",H763="CE"),IF(K763&gt;=4,IF(J763&gt;=6,"H","A"),IF(K763&gt;=2,IF(J763&gt;=20,"H",IF(J763&lt;=5,"L","A")),IF(J763&lt;=19,"L","A"))),IF(OR(H763="ALI",H763="AIE"),IF(K763&gt;=6,IF(J763&gt;=20,"H","A"),IF(K763&gt;=2,IF(J763&gt;=51,"H",IF(J763&lt;=19,"L","A")),IF(J763&lt;=50,"L","A")))))))</f>
        <v/>
      </c>
      <c r="N763" s="46" t="str">
        <f aca="false">IF(M763="L","Baixa",IF(M763="A","Média",IF(M763="","","Alta")))</f>
        <v/>
      </c>
      <c r="O763" s="47" t="str">
        <f aca="false">IF(ISBLANK(H763),"",IF(H763="ALI",IF(M763="L",7,IF(M763="A",10,15)),IF(H763="AIE",IF(M763="L",5,IF(M763="A",7,10)),IF(H763="SE",IF(M763="L",4,IF(M763="A",5,7)),IF(OR(H763="EE",H763="CE"),IF(M763="L",3,IF(M763="A",4,6)))))))</f>
        <v/>
      </c>
      <c r="P763" s="48" t="str">
        <f aca="false">IF(I763="I",O763*Contagem!$W$15,IF(I763="E",O763*Contagem!$W$17,IF(I763="A",O763*Contagem!$W$16,IF(I763="T",O763*Contagem!$W$18,""))))</f>
        <v/>
      </c>
      <c r="Q763" s="49"/>
    </row>
    <row r="764" customFormat="false" ht="12" hidden="false" customHeight="true" outlineLevel="0" collapsed="false">
      <c r="A764" s="40" t="n">
        <f aca="false">IF(H764="",IF(C764="",A763,A763+1),A763)</f>
        <v>62</v>
      </c>
      <c r="B764" s="41" t="str">
        <f aca="false">IF(A764=A763,"",CONCATENATE("F",A764))</f>
        <v/>
      </c>
      <c r="C764" s="42"/>
      <c r="D764" s="42"/>
      <c r="E764" s="42"/>
      <c r="F764" s="42"/>
      <c r="G764" s="42"/>
      <c r="H764" s="44"/>
      <c r="I764" s="50"/>
      <c r="J764" s="44"/>
      <c r="K764" s="44"/>
      <c r="L764" s="44" t="str">
        <f aca="false">CONCATENATE(H764,M764)</f>
        <v/>
      </c>
      <c r="M764" s="45" t="str">
        <f aca="false">IF(OR(ISBLANK(J764),ISBLANK(K764)),IF(OR(H764="ALI",H764="AIE"),"L",IF(ISBLANK(H764),"","A")),IF(H764="EE",IF(K764&gt;=3,IF(J764&gt;=5,"H","A"),IF(K764&gt;=2,IF(J764&gt;=16,"H",IF(J764&lt;=4,"L","A")),IF(J764&lt;=15,"L","A"))),IF(OR(H764="SE",H764="CE"),IF(K764&gt;=4,IF(J764&gt;=6,"H","A"),IF(K764&gt;=2,IF(J764&gt;=20,"H",IF(J764&lt;=5,"L","A")),IF(J764&lt;=19,"L","A"))),IF(OR(H764="ALI",H764="AIE"),IF(K764&gt;=6,IF(J764&gt;=20,"H","A"),IF(K764&gt;=2,IF(J764&gt;=51,"H",IF(J764&lt;=19,"L","A")),IF(J764&lt;=50,"L","A")))))))</f>
        <v/>
      </c>
      <c r="N764" s="46" t="str">
        <f aca="false">IF(M764="L","Baixa",IF(M764="A","Média",IF(M764="","","Alta")))</f>
        <v/>
      </c>
      <c r="O764" s="47" t="str">
        <f aca="false">IF(ISBLANK(H764),"",IF(H764="ALI",IF(M764="L",7,IF(M764="A",10,15)),IF(H764="AIE",IF(M764="L",5,IF(M764="A",7,10)),IF(H764="SE",IF(M764="L",4,IF(M764="A",5,7)),IF(OR(H764="EE",H764="CE"),IF(M764="L",3,IF(M764="A",4,6)))))))</f>
        <v/>
      </c>
      <c r="P764" s="48" t="str">
        <f aca="false">IF(I764="I",O764*Contagem!$W$15,IF(I764="E",O764*Contagem!$W$17,IF(I764="A",O764*Contagem!$W$16,IF(I764="T",O764*Contagem!$W$18,""))))</f>
        <v/>
      </c>
      <c r="Q764" s="49"/>
    </row>
    <row r="765" customFormat="false" ht="12" hidden="false" customHeight="true" outlineLevel="0" collapsed="false">
      <c r="A765" s="40" t="n">
        <f aca="false">IF(H765="",IF(C765="",A764,A764+1),A764)</f>
        <v>62</v>
      </c>
      <c r="B765" s="41" t="str">
        <f aca="false">IF(A765=A764,"",CONCATENATE("F",A765))</f>
        <v/>
      </c>
      <c r="C765" s="42"/>
      <c r="D765" s="42"/>
      <c r="E765" s="42"/>
      <c r="F765" s="42"/>
      <c r="G765" s="42"/>
      <c r="H765" s="44"/>
      <c r="I765" s="50"/>
      <c r="J765" s="44"/>
      <c r="K765" s="44"/>
      <c r="L765" s="44" t="str">
        <f aca="false">CONCATENATE(H765,M765)</f>
        <v/>
      </c>
      <c r="M765" s="45" t="str">
        <f aca="false">IF(OR(ISBLANK(J765),ISBLANK(K765)),IF(OR(H765="ALI",H765="AIE"),"L",IF(ISBLANK(H765),"","A")),IF(H765="EE",IF(K765&gt;=3,IF(J765&gt;=5,"H","A"),IF(K765&gt;=2,IF(J765&gt;=16,"H",IF(J765&lt;=4,"L","A")),IF(J765&lt;=15,"L","A"))),IF(OR(H765="SE",H765="CE"),IF(K765&gt;=4,IF(J765&gt;=6,"H","A"),IF(K765&gt;=2,IF(J765&gt;=20,"H",IF(J765&lt;=5,"L","A")),IF(J765&lt;=19,"L","A"))),IF(OR(H765="ALI",H765="AIE"),IF(K765&gt;=6,IF(J765&gt;=20,"H","A"),IF(K765&gt;=2,IF(J765&gt;=51,"H",IF(J765&lt;=19,"L","A")),IF(J765&lt;=50,"L","A")))))))</f>
        <v/>
      </c>
      <c r="N765" s="46" t="str">
        <f aca="false">IF(M765="L","Baixa",IF(M765="A","Média",IF(M765="","","Alta")))</f>
        <v/>
      </c>
      <c r="O765" s="47" t="str">
        <f aca="false">IF(ISBLANK(H765),"",IF(H765="ALI",IF(M765="L",7,IF(M765="A",10,15)),IF(H765="AIE",IF(M765="L",5,IF(M765="A",7,10)),IF(H765="SE",IF(M765="L",4,IF(M765="A",5,7)),IF(OR(H765="EE",H765="CE"),IF(M765="L",3,IF(M765="A",4,6)))))))</f>
        <v/>
      </c>
      <c r="P765" s="48" t="str">
        <f aca="false">IF(I765="I",O765*Contagem!$W$15,IF(I765="E",O765*Contagem!$W$17,IF(I765="A",O765*Contagem!$W$16,IF(I765="T",O765*Contagem!$W$18,""))))</f>
        <v/>
      </c>
      <c r="Q765" s="49"/>
    </row>
    <row r="766" customFormat="false" ht="12" hidden="false" customHeight="true" outlineLevel="0" collapsed="false">
      <c r="A766" s="40" t="n">
        <f aca="false">IF(H766="",IF(C766="",A765,A765+1),A765)</f>
        <v>62</v>
      </c>
      <c r="B766" s="41" t="str">
        <f aca="false">IF(A766=A765,"",CONCATENATE("F",A766))</f>
        <v/>
      </c>
      <c r="C766" s="42"/>
      <c r="D766" s="42"/>
      <c r="E766" s="42"/>
      <c r="F766" s="42"/>
      <c r="G766" s="42"/>
      <c r="H766" s="44"/>
      <c r="I766" s="50"/>
      <c r="J766" s="44"/>
      <c r="K766" s="44"/>
      <c r="L766" s="44" t="str">
        <f aca="false">CONCATENATE(H766,M766)</f>
        <v/>
      </c>
      <c r="M766" s="45" t="str">
        <f aca="false">IF(OR(ISBLANK(J766),ISBLANK(K766)),IF(OR(H766="ALI",H766="AIE"),"L",IF(ISBLANK(H766),"","A")),IF(H766="EE",IF(K766&gt;=3,IF(J766&gt;=5,"H","A"),IF(K766&gt;=2,IF(J766&gt;=16,"H",IF(J766&lt;=4,"L","A")),IF(J766&lt;=15,"L","A"))),IF(OR(H766="SE",H766="CE"),IF(K766&gt;=4,IF(J766&gt;=6,"H","A"),IF(K766&gt;=2,IF(J766&gt;=20,"H",IF(J766&lt;=5,"L","A")),IF(J766&lt;=19,"L","A"))),IF(OR(H766="ALI",H766="AIE"),IF(K766&gt;=6,IF(J766&gt;=20,"H","A"),IF(K766&gt;=2,IF(J766&gt;=51,"H",IF(J766&lt;=19,"L","A")),IF(J766&lt;=50,"L","A")))))))</f>
        <v/>
      </c>
      <c r="N766" s="46" t="str">
        <f aca="false">IF(M766="L","Baixa",IF(M766="A","Média",IF(M766="","","Alta")))</f>
        <v/>
      </c>
      <c r="O766" s="47" t="str">
        <f aca="false">IF(ISBLANK(H766),"",IF(H766="ALI",IF(M766="L",7,IF(M766="A",10,15)),IF(H766="AIE",IF(M766="L",5,IF(M766="A",7,10)),IF(H766="SE",IF(M766="L",4,IF(M766="A",5,7)),IF(OR(H766="EE",H766="CE"),IF(M766="L",3,IF(M766="A",4,6)))))))</f>
        <v/>
      </c>
      <c r="P766" s="48" t="str">
        <f aca="false">IF(I766="I",O766*Contagem!$W$15,IF(I766="E",O766*Contagem!$W$17,IF(I766="A",O766*Contagem!$W$16,IF(I766="T",O766*Contagem!$W$18,""))))</f>
        <v/>
      </c>
      <c r="Q766" s="49"/>
    </row>
    <row r="767" customFormat="false" ht="12" hidden="false" customHeight="true" outlineLevel="0" collapsed="false">
      <c r="A767" s="40" t="n">
        <f aca="false">IF(H767="",IF(C767="",A766,A766+1),A766)</f>
        <v>62</v>
      </c>
      <c r="B767" s="41" t="str">
        <f aca="false">IF(A767=A766,"",CONCATENATE("F",A767))</f>
        <v/>
      </c>
      <c r="C767" s="42"/>
      <c r="D767" s="42"/>
      <c r="E767" s="42"/>
      <c r="F767" s="42"/>
      <c r="G767" s="42"/>
      <c r="H767" s="44"/>
      <c r="I767" s="50"/>
      <c r="J767" s="44"/>
      <c r="K767" s="44"/>
      <c r="L767" s="44" t="str">
        <f aca="false">CONCATENATE(H767,M767)</f>
        <v/>
      </c>
      <c r="M767" s="45" t="str">
        <f aca="false">IF(OR(ISBLANK(J767),ISBLANK(K767)),IF(OR(H767="ALI",H767="AIE"),"L",IF(ISBLANK(H767),"","A")),IF(H767="EE",IF(K767&gt;=3,IF(J767&gt;=5,"H","A"),IF(K767&gt;=2,IF(J767&gt;=16,"H",IF(J767&lt;=4,"L","A")),IF(J767&lt;=15,"L","A"))),IF(OR(H767="SE",H767="CE"),IF(K767&gt;=4,IF(J767&gt;=6,"H","A"),IF(K767&gt;=2,IF(J767&gt;=20,"H",IF(J767&lt;=5,"L","A")),IF(J767&lt;=19,"L","A"))),IF(OR(H767="ALI",H767="AIE"),IF(K767&gt;=6,IF(J767&gt;=20,"H","A"),IF(K767&gt;=2,IF(J767&gt;=51,"H",IF(J767&lt;=19,"L","A")),IF(J767&lt;=50,"L","A")))))))</f>
        <v/>
      </c>
      <c r="N767" s="46" t="str">
        <f aca="false">IF(M767="L","Baixa",IF(M767="A","Média",IF(M767="","","Alta")))</f>
        <v/>
      </c>
      <c r="O767" s="47" t="str">
        <f aca="false">IF(ISBLANK(H767),"",IF(H767="ALI",IF(M767="L",7,IF(M767="A",10,15)),IF(H767="AIE",IF(M767="L",5,IF(M767="A",7,10)),IF(H767="SE",IF(M767="L",4,IF(M767="A",5,7)),IF(OR(H767="EE",H767="CE"),IF(M767="L",3,IF(M767="A",4,6)))))))</f>
        <v/>
      </c>
      <c r="P767" s="48" t="str">
        <f aca="false">IF(I767="I",O767*Contagem!$W$15,IF(I767="E",O767*Contagem!$W$17,IF(I767="A",O767*Contagem!$W$16,IF(I767="T",O767*Contagem!$W$18,""))))</f>
        <v/>
      </c>
      <c r="Q767" s="49"/>
    </row>
    <row r="768" customFormat="false" ht="12" hidden="false" customHeight="true" outlineLevel="0" collapsed="false">
      <c r="A768" s="40" t="n">
        <f aca="false">IF(H768="",IF(C768="",A767,A767+1),A767)</f>
        <v>62</v>
      </c>
      <c r="B768" s="41" t="str">
        <f aca="false">IF(A768=A767,"",CONCATENATE("F",A768))</f>
        <v/>
      </c>
      <c r="C768" s="42"/>
      <c r="D768" s="42"/>
      <c r="E768" s="42"/>
      <c r="F768" s="42"/>
      <c r="G768" s="42"/>
      <c r="H768" s="44"/>
      <c r="I768" s="50"/>
      <c r="J768" s="44"/>
      <c r="K768" s="44"/>
      <c r="L768" s="44" t="str">
        <f aca="false">CONCATENATE(H768,M768)</f>
        <v/>
      </c>
      <c r="M768" s="45" t="str">
        <f aca="false">IF(OR(ISBLANK(J768),ISBLANK(K768)),IF(OR(H768="ALI",H768="AIE"),"L",IF(ISBLANK(H768),"","A")),IF(H768="EE",IF(K768&gt;=3,IF(J768&gt;=5,"H","A"),IF(K768&gt;=2,IF(J768&gt;=16,"H",IF(J768&lt;=4,"L","A")),IF(J768&lt;=15,"L","A"))),IF(OR(H768="SE",H768="CE"),IF(K768&gt;=4,IF(J768&gt;=6,"H","A"),IF(K768&gt;=2,IF(J768&gt;=20,"H",IF(J768&lt;=5,"L","A")),IF(J768&lt;=19,"L","A"))),IF(OR(H768="ALI",H768="AIE"),IF(K768&gt;=6,IF(J768&gt;=20,"H","A"),IF(K768&gt;=2,IF(J768&gt;=51,"H",IF(J768&lt;=19,"L","A")),IF(J768&lt;=50,"L","A")))))))</f>
        <v/>
      </c>
      <c r="N768" s="46" t="str">
        <f aca="false">IF(M768="L","Baixa",IF(M768="A","Média",IF(M768="","","Alta")))</f>
        <v/>
      </c>
      <c r="O768" s="47" t="str">
        <f aca="false">IF(ISBLANK(H768),"",IF(H768="ALI",IF(M768="L",7,IF(M768="A",10,15)),IF(H768="AIE",IF(M768="L",5,IF(M768="A",7,10)),IF(H768="SE",IF(M768="L",4,IF(M768="A",5,7)),IF(OR(H768="EE",H768="CE"),IF(M768="L",3,IF(M768="A",4,6)))))))</f>
        <v/>
      </c>
      <c r="P768" s="48" t="str">
        <f aca="false">IF(I768="I",O768*Contagem!$W$15,IF(I768="E",O768*Contagem!$W$17,IF(I768="A",O768*Contagem!$W$16,IF(I768="T",O768*Contagem!$W$18,""))))</f>
        <v/>
      </c>
      <c r="Q768" s="49"/>
    </row>
    <row r="769" customFormat="false" ht="12" hidden="false" customHeight="true" outlineLevel="0" collapsed="false">
      <c r="A769" s="40" t="n">
        <f aca="false">IF(H769="",IF(C769="",A768,A768+1),A768)</f>
        <v>62</v>
      </c>
      <c r="B769" s="41" t="str">
        <f aca="false">IF(A769=A768,"",CONCATENATE("F",A769))</f>
        <v/>
      </c>
      <c r="C769" s="42"/>
      <c r="D769" s="42"/>
      <c r="E769" s="42"/>
      <c r="F769" s="42"/>
      <c r="G769" s="42"/>
      <c r="H769" s="44"/>
      <c r="I769" s="50"/>
      <c r="J769" s="44"/>
      <c r="K769" s="44"/>
      <c r="L769" s="44" t="str">
        <f aca="false">CONCATENATE(H769,M769)</f>
        <v/>
      </c>
      <c r="M769" s="45" t="str">
        <f aca="false">IF(OR(ISBLANK(J769),ISBLANK(K769)),IF(OR(H769="ALI",H769="AIE"),"L",IF(ISBLANK(H769),"","A")),IF(H769="EE",IF(K769&gt;=3,IF(J769&gt;=5,"H","A"),IF(K769&gt;=2,IF(J769&gt;=16,"H",IF(J769&lt;=4,"L","A")),IF(J769&lt;=15,"L","A"))),IF(OR(H769="SE",H769="CE"),IF(K769&gt;=4,IF(J769&gt;=6,"H","A"),IF(K769&gt;=2,IF(J769&gt;=20,"H",IF(J769&lt;=5,"L","A")),IF(J769&lt;=19,"L","A"))),IF(OR(H769="ALI",H769="AIE"),IF(K769&gt;=6,IF(J769&gt;=20,"H","A"),IF(K769&gt;=2,IF(J769&gt;=51,"H",IF(J769&lt;=19,"L","A")),IF(J769&lt;=50,"L","A")))))))</f>
        <v/>
      </c>
      <c r="N769" s="46" t="str">
        <f aca="false">IF(M769="L","Baixa",IF(M769="A","Média",IF(M769="","","Alta")))</f>
        <v/>
      </c>
      <c r="O769" s="47" t="str">
        <f aca="false">IF(ISBLANK(H769),"",IF(H769="ALI",IF(M769="L",7,IF(M769="A",10,15)),IF(H769="AIE",IF(M769="L",5,IF(M769="A",7,10)),IF(H769="SE",IF(M769="L",4,IF(M769="A",5,7)),IF(OR(H769="EE",H769="CE"),IF(M769="L",3,IF(M769="A",4,6)))))))</f>
        <v/>
      </c>
      <c r="P769" s="48" t="str">
        <f aca="false">IF(I769="I",O769*Contagem!$W$15,IF(I769="E",O769*Contagem!$W$17,IF(I769="A",O769*Contagem!$W$16,IF(I769="T",O769*Contagem!$W$18,""))))</f>
        <v/>
      </c>
      <c r="Q769" s="49"/>
    </row>
    <row r="770" customFormat="false" ht="12" hidden="false" customHeight="true" outlineLevel="0" collapsed="false">
      <c r="A770" s="40" t="n">
        <f aca="false">IF(H770="",IF(C770="",A769,A769+1),A769)</f>
        <v>62</v>
      </c>
      <c r="B770" s="41" t="str">
        <f aca="false">IF(A770=A769,"",CONCATENATE("F",A770))</f>
        <v/>
      </c>
      <c r="C770" s="42"/>
      <c r="D770" s="42"/>
      <c r="E770" s="42"/>
      <c r="F770" s="42"/>
      <c r="G770" s="42"/>
      <c r="H770" s="44"/>
      <c r="I770" s="50"/>
      <c r="J770" s="44"/>
      <c r="K770" s="44"/>
      <c r="L770" s="44" t="str">
        <f aca="false">CONCATENATE(H770,M770)</f>
        <v/>
      </c>
      <c r="M770" s="45" t="str">
        <f aca="false">IF(OR(ISBLANK(J770),ISBLANK(K770)),IF(OR(H770="ALI",H770="AIE"),"L",IF(ISBLANK(H770),"","A")),IF(H770="EE",IF(K770&gt;=3,IF(J770&gt;=5,"H","A"),IF(K770&gt;=2,IF(J770&gt;=16,"H",IF(J770&lt;=4,"L","A")),IF(J770&lt;=15,"L","A"))),IF(OR(H770="SE",H770="CE"),IF(K770&gt;=4,IF(J770&gt;=6,"H","A"),IF(K770&gt;=2,IF(J770&gt;=20,"H",IF(J770&lt;=5,"L","A")),IF(J770&lt;=19,"L","A"))),IF(OR(H770="ALI",H770="AIE"),IF(K770&gt;=6,IF(J770&gt;=20,"H","A"),IF(K770&gt;=2,IF(J770&gt;=51,"H",IF(J770&lt;=19,"L","A")),IF(J770&lt;=50,"L","A")))))))</f>
        <v/>
      </c>
      <c r="N770" s="46" t="str">
        <f aca="false">IF(M770="L","Baixa",IF(M770="A","Média",IF(M770="","","Alta")))</f>
        <v/>
      </c>
      <c r="O770" s="47" t="str">
        <f aca="false">IF(ISBLANK(H770),"",IF(H770="ALI",IF(M770="L",7,IF(M770="A",10,15)),IF(H770="AIE",IF(M770="L",5,IF(M770="A",7,10)),IF(H770="SE",IF(M770="L",4,IF(M770="A",5,7)),IF(OR(H770="EE",H770="CE"),IF(M770="L",3,IF(M770="A",4,6)))))))</f>
        <v/>
      </c>
      <c r="P770" s="48" t="str">
        <f aca="false">IF(I770="I",O770*Contagem!$W$15,IF(I770="E",O770*Contagem!$W$17,IF(I770="A",O770*Contagem!$W$16,IF(I770="T",O770*Contagem!$W$18,""))))</f>
        <v/>
      </c>
      <c r="Q770" s="49"/>
    </row>
    <row r="771" customFormat="false" ht="12" hidden="false" customHeight="true" outlineLevel="0" collapsed="false">
      <c r="A771" s="40" t="n">
        <f aca="false">IF(H771="",IF(C771="",A770,A770+1),A770)</f>
        <v>62</v>
      </c>
      <c r="B771" s="41" t="str">
        <f aca="false">IF(A771=A770,"",CONCATENATE("F",A771))</f>
        <v/>
      </c>
      <c r="C771" s="42"/>
      <c r="D771" s="42"/>
      <c r="E771" s="42"/>
      <c r="F771" s="42"/>
      <c r="G771" s="42"/>
      <c r="H771" s="44"/>
      <c r="I771" s="50"/>
      <c r="J771" s="44"/>
      <c r="K771" s="44"/>
      <c r="L771" s="44" t="str">
        <f aca="false">CONCATENATE(H771,M771)</f>
        <v/>
      </c>
      <c r="M771" s="45" t="str">
        <f aca="false">IF(OR(ISBLANK(J771),ISBLANK(K771)),IF(OR(H771="ALI",H771="AIE"),"L",IF(ISBLANK(H771),"","A")),IF(H771="EE",IF(K771&gt;=3,IF(J771&gt;=5,"H","A"),IF(K771&gt;=2,IF(J771&gt;=16,"H",IF(J771&lt;=4,"L","A")),IF(J771&lt;=15,"L","A"))),IF(OR(H771="SE",H771="CE"),IF(K771&gt;=4,IF(J771&gt;=6,"H","A"),IF(K771&gt;=2,IF(J771&gt;=20,"H",IF(J771&lt;=5,"L","A")),IF(J771&lt;=19,"L","A"))),IF(OR(H771="ALI",H771="AIE"),IF(K771&gt;=6,IF(J771&gt;=20,"H","A"),IF(K771&gt;=2,IF(J771&gt;=51,"H",IF(J771&lt;=19,"L","A")),IF(J771&lt;=50,"L","A")))))))</f>
        <v/>
      </c>
      <c r="N771" s="46" t="str">
        <f aca="false">IF(M771="L","Baixa",IF(M771="A","Média",IF(M771="","","Alta")))</f>
        <v/>
      </c>
      <c r="O771" s="47" t="str">
        <f aca="false">IF(ISBLANK(H771),"",IF(H771="ALI",IF(M771="L",7,IF(M771="A",10,15)),IF(H771="AIE",IF(M771="L",5,IF(M771="A",7,10)),IF(H771="SE",IF(M771="L",4,IF(M771="A",5,7)),IF(OR(H771="EE",H771="CE"),IF(M771="L",3,IF(M771="A",4,6)))))))</f>
        <v/>
      </c>
      <c r="P771" s="48" t="str">
        <f aca="false">IF(I771="I",O771*Contagem!$W$15,IF(I771="E",O771*Contagem!$W$17,IF(I771="A",O771*Contagem!$W$16,IF(I771="T",O771*Contagem!$W$18,""))))</f>
        <v/>
      </c>
      <c r="Q771" s="49"/>
    </row>
    <row r="772" customFormat="false" ht="12" hidden="false" customHeight="true" outlineLevel="0" collapsed="false">
      <c r="A772" s="40" t="n">
        <f aca="false">IF(H772="",IF(C772="",A771,A771+1),A771)</f>
        <v>62</v>
      </c>
      <c r="B772" s="41" t="str">
        <f aca="false">IF(A772=A771,"",CONCATENATE("F",A772))</f>
        <v/>
      </c>
      <c r="C772" s="42"/>
      <c r="D772" s="42"/>
      <c r="E772" s="42"/>
      <c r="F772" s="42"/>
      <c r="G772" s="42"/>
      <c r="H772" s="44"/>
      <c r="I772" s="50"/>
      <c r="J772" s="44"/>
      <c r="K772" s="44"/>
      <c r="L772" s="44" t="str">
        <f aca="false">CONCATENATE(H772,M772)</f>
        <v/>
      </c>
      <c r="M772" s="45" t="str">
        <f aca="false">IF(OR(ISBLANK(J772),ISBLANK(K772)),IF(OR(H772="ALI",H772="AIE"),"L",IF(ISBLANK(H772),"","A")),IF(H772="EE",IF(K772&gt;=3,IF(J772&gt;=5,"H","A"),IF(K772&gt;=2,IF(J772&gt;=16,"H",IF(J772&lt;=4,"L","A")),IF(J772&lt;=15,"L","A"))),IF(OR(H772="SE",H772="CE"),IF(K772&gt;=4,IF(J772&gt;=6,"H","A"),IF(K772&gt;=2,IF(J772&gt;=20,"H",IF(J772&lt;=5,"L","A")),IF(J772&lt;=19,"L","A"))),IF(OR(H772="ALI",H772="AIE"),IF(K772&gt;=6,IF(J772&gt;=20,"H","A"),IF(K772&gt;=2,IF(J772&gt;=51,"H",IF(J772&lt;=19,"L","A")),IF(J772&lt;=50,"L","A")))))))</f>
        <v/>
      </c>
      <c r="N772" s="46" t="str">
        <f aca="false">IF(M772="L","Baixa",IF(M772="A","Média",IF(M772="","","Alta")))</f>
        <v/>
      </c>
      <c r="O772" s="47" t="str">
        <f aca="false">IF(ISBLANK(H772),"",IF(H772="ALI",IF(M772="L",7,IF(M772="A",10,15)),IF(H772="AIE",IF(M772="L",5,IF(M772="A",7,10)),IF(H772="SE",IF(M772="L",4,IF(M772="A",5,7)),IF(OR(H772="EE",H772="CE"),IF(M772="L",3,IF(M772="A",4,6)))))))</f>
        <v/>
      </c>
      <c r="P772" s="48" t="str">
        <f aca="false">IF(I772="I",O772*Contagem!$W$15,IF(I772="E",O772*Contagem!$W$17,IF(I772="A",O772*Contagem!$W$16,IF(I772="T",O772*Contagem!$W$18,""))))</f>
        <v/>
      </c>
      <c r="Q772" s="49"/>
    </row>
    <row r="773" customFormat="false" ht="12" hidden="false" customHeight="true" outlineLevel="0" collapsed="false">
      <c r="A773" s="40" t="n">
        <f aca="false">IF(H773="",IF(C773="",A772,A772+1),A772)</f>
        <v>62</v>
      </c>
      <c r="B773" s="41" t="str">
        <f aca="false">IF(A773=A772,"",CONCATENATE("F",A773))</f>
        <v/>
      </c>
      <c r="C773" s="42"/>
      <c r="D773" s="42"/>
      <c r="E773" s="42"/>
      <c r="F773" s="42"/>
      <c r="G773" s="42"/>
      <c r="H773" s="44"/>
      <c r="I773" s="50"/>
      <c r="J773" s="44"/>
      <c r="K773" s="44"/>
      <c r="L773" s="44" t="str">
        <f aca="false">CONCATENATE(H773,M773)</f>
        <v/>
      </c>
      <c r="M773" s="45" t="str">
        <f aca="false">IF(OR(ISBLANK(J773),ISBLANK(K773)),IF(OR(H773="ALI",H773="AIE"),"L",IF(ISBLANK(H773),"","A")),IF(H773="EE",IF(K773&gt;=3,IF(J773&gt;=5,"H","A"),IF(K773&gt;=2,IF(J773&gt;=16,"H",IF(J773&lt;=4,"L","A")),IF(J773&lt;=15,"L","A"))),IF(OR(H773="SE",H773="CE"),IF(K773&gt;=4,IF(J773&gt;=6,"H","A"),IF(K773&gt;=2,IF(J773&gt;=20,"H",IF(J773&lt;=5,"L","A")),IF(J773&lt;=19,"L","A"))),IF(OR(H773="ALI",H773="AIE"),IF(K773&gt;=6,IF(J773&gt;=20,"H","A"),IF(K773&gt;=2,IF(J773&gt;=51,"H",IF(J773&lt;=19,"L","A")),IF(J773&lt;=50,"L","A")))))))</f>
        <v/>
      </c>
      <c r="N773" s="46" t="str">
        <f aca="false">IF(M773="L","Baixa",IF(M773="A","Média",IF(M773="","","Alta")))</f>
        <v/>
      </c>
      <c r="O773" s="47" t="str">
        <f aca="false">IF(ISBLANK(H773),"",IF(H773="ALI",IF(M773="L",7,IF(M773="A",10,15)),IF(H773="AIE",IF(M773="L",5,IF(M773="A",7,10)),IF(H773="SE",IF(M773="L",4,IF(M773="A",5,7)),IF(OR(H773="EE",H773="CE"),IF(M773="L",3,IF(M773="A",4,6)))))))</f>
        <v/>
      </c>
      <c r="P773" s="48" t="str">
        <f aca="false">IF(I773="I",O773*Contagem!$W$15,IF(I773="E",O773*Contagem!$W$17,IF(I773="A",O773*Contagem!$W$16,IF(I773="T",O773*Contagem!$W$18,""))))</f>
        <v/>
      </c>
      <c r="Q773" s="49"/>
    </row>
    <row r="774" customFormat="false" ht="12" hidden="false" customHeight="true" outlineLevel="0" collapsed="false">
      <c r="A774" s="40" t="n">
        <f aca="false">IF(H774="",IF(C774="",A773,A773+1),A773)</f>
        <v>62</v>
      </c>
      <c r="B774" s="41" t="str">
        <f aca="false">IF(A774=A773,"",CONCATENATE("F",A774))</f>
        <v/>
      </c>
      <c r="C774" s="42"/>
      <c r="D774" s="42"/>
      <c r="E774" s="42"/>
      <c r="F774" s="42"/>
      <c r="G774" s="42"/>
      <c r="H774" s="44"/>
      <c r="I774" s="50"/>
      <c r="J774" s="44"/>
      <c r="K774" s="44"/>
      <c r="L774" s="44" t="str">
        <f aca="false">CONCATENATE(H774,M774)</f>
        <v/>
      </c>
      <c r="M774" s="45" t="str">
        <f aca="false">IF(OR(ISBLANK(J774),ISBLANK(K774)),IF(OR(H774="ALI",H774="AIE"),"L",IF(ISBLANK(H774),"","A")),IF(H774="EE",IF(K774&gt;=3,IF(J774&gt;=5,"H","A"),IF(K774&gt;=2,IF(J774&gt;=16,"H",IF(J774&lt;=4,"L","A")),IF(J774&lt;=15,"L","A"))),IF(OR(H774="SE",H774="CE"),IF(K774&gt;=4,IF(J774&gt;=6,"H","A"),IF(K774&gt;=2,IF(J774&gt;=20,"H",IF(J774&lt;=5,"L","A")),IF(J774&lt;=19,"L","A"))),IF(OR(H774="ALI",H774="AIE"),IF(K774&gt;=6,IF(J774&gt;=20,"H","A"),IF(K774&gt;=2,IF(J774&gt;=51,"H",IF(J774&lt;=19,"L","A")),IF(J774&lt;=50,"L","A")))))))</f>
        <v/>
      </c>
      <c r="N774" s="46" t="str">
        <f aca="false">IF(M774="L","Baixa",IF(M774="A","Média",IF(M774="","","Alta")))</f>
        <v/>
      </c>
      <c r="O774" s="47" t="str">
        <f aca="false">IF(ISBLANK(H774),"",IF(H774="ALI",IF(M774="L",7,IF(M774="A",10,15)),IF(H774="AIE",IF(M774="L",5,IF(M774="A",7,10)),IF(H774="SE",IF(M774="L",4,IF(M774="A",5,7)),IF(OR(H774="EE",H774="CE"),IF(M774="L",3,IF(M774="A",4,6)))))))</f>
        <v/>
      </c>
      <c r="P774" s="48" t="str">
        <f aca="false">IF(I774="I",O774*Contagem!$W$15,IF(I774="E",O774*Contagem!$W$17,IF(I774="A",O774*Contagem!$W$16,IF(I774="T",O774*Contagem!$W$18,""))))</f>
        <v/>
      </c>
      <c r="Q774" s="49"/>
    </row>
    <row r="775" customFormat="false" ht="12" hidden="false" customHeight="true" outlineLevel="0" collapsed="false">
      <c r="A775" s="40" t="n">
        <f aca="false">IF(H775="",IF(C775="",A774,A774+1),A774)</f>
        <v>62</v>
      </c>
      <c r="B775" s="41" t="str">
        <f aca="false">IF(A775=A774,"",CONCATENATE("F",A775))</f>
        <v/>
      </c>
      <c r="C775" s="42"/>
      <c r="D775" s="42"/>
      <c r="E775" s="42"/>
      <c r="F775" s="42"/>
      <c r="G775" s="42"/>
      <c r="H775" s="44"/>
      <c r="I775" s="50"/>
      <c r="J775" s="44"/>
      <c r="K775" s="44"/>
      <c r="L775" s="44" t="str">
        <f aca="false">CONCATENATE(H775,M775)</f>
        <v/>
      </c>
      <c r="M775" s="45" t="str">
        <f aca="false">IF(OR(ISBLANK(J775),ISBLANK(K775)),IF(OR(H775="ALI",H775="AIE"),"L",IF(ISBLANK(H775),"","A")),IF(H775="EE",IF(K775&gt;=3,IF(J775&gt;=5,"H","A"),IF(K775&gt;=2,IF(J775&gt;=16,"H",IF(J775&lt;=4,"L","A")),IF(J775&lt;=15,"L","A"))),IF(OR(H775="SE",H775="CE"),IF(K775&gt;=4,IF(J775&gt;=6,"H","A"),IF(K775&gt;=2,IF(J775&gt;=20,"H",IF(J775&lt;=5,"L","A")),IF(J775&lt;=19,"L","A"))),IF(OR(H775="ALI",H775="AIE"),IF(K775&gt;=6,IF(J775&gt;=20,"H","A"),IF(K775&gt;=2,IF(J775&gt;=51,"H",IF(J775&lt;=19,"L","A")),IF(J775&lt;=50,"L","A")))))))</f>
        <v/>
      </c>
      <c r="N775" s="46" t="str">
        <f aca="false">IF(M775="L","Baixa",IF(M775="A","Média",IF(M775="","","Alta")))</f>
        <v/>
      </c>
      <c r="O775" s="47" t="str">
        <f aca="false">IF(ISBLANK(H775),"",IF(H775="ALI",IF(M775="L",7,IF(M775="A",10,15)),IF(H775="AIE",IF(M775="L",5,IF(M775="A",7,10)),IF(H775="SE",IF(M775="L",4,IF(M775="A",5,7)),IF(OR(H775="EE",H775="CE"),IF(M775="L",3,IF(M775="A",4,6)))))))</f>
        <v/>
      </c>
      <c r="P775" s="48" t="str">
        <f aca="false">IF(I775="I",O775*Contagem!$W$15,IF(I775="E",O775*Contagem!$W$17,IF(I775="A",O775*Contagem!$W$16,IF(I775="T",O775*Contagem!$W$18,""))))</f>
        <v/>
      </c>
      <c r="Q775" s="49"/>
    </row>
    <row r="776" customFormat="false" ht="12" hidden="false" customHeight="true" outlineLevel="0" collapsed="false">
      <c r="A776" s="40" t="n">
        <f aca="false">IF(H776="",IF(C776="",A775,A775+1),A775)</f>
        <v>62</v>
      </c>
      <c r="B776" s="41" t="str">
        <f aca="false">IF(A776=A775,"",CONCATENATE("F",A776))</f>
        <v/>
      </c>
      <c r="C776" s="42"/>
      <c r="D776" s="42"/>
      <c r="E776" s="42"/>
      <c r="F776" s="42"/>
      <c r="G776" s="42"/>
      <c r="H776" s="44"/>
      <c r="I776" s="50"/>
      <c r="J776" s="44"/>
      <c r="K776" s="44"/>
      <c r="L776" s="44" t="str">
        <f aca="false">CONCATENATE(H776,M776)</f>
        <v/>
      </c>
      <c r="M776" s="45" t="str">
        <f aca="false">IF(OR(ISBLANK(J776),ISBLANK(K776)),IF(OR(H776="ALI",H776="AIE"),"L",IF(ISBLANK(H776),"","A")),IF(H776="EE",IF(K776&gt;=3,IF(J776&gt;=5,"H","A"),IF(K776&gt;=2,IF(J776&gt;=16,"H",IF(J776&lt;=4,"L","A")),IF(J776&lt;=15,"L","A"))),IF(OR(H776="SE",H776="CE"),IF(K776&gt;=4,IF(J776&gt;=6,"H","A"),IF(K776&gt;=2,IF(J776&gt;=20,"H",IF(J776&lt;=5,"L","A")),IF(J776&lt;=19,"L","A"))),IF(OR(H776="ALI",H776="AIE"),IF(K776&gt;=6,IF(J776&gt;=20,"H","A"),IF(K776&gt;=2,IF(J776&gt;=51,"H",IF(J776&lt;=19,"L","A")),IF(J776&lt;=50,"L","A")))))))</f>
        <v/>
      </c>
      <c r="N776" s="46" t="str">
        <f aca="false">IF(M776="L","Baixa",IF(M776="A","Média",IF(M776="","","Alta")))</f>
        <v/>
      </c>
      <c r="O776" s="47" t="str">
        <f aca="false">IF(ISBLANK(H776),"",IF(H776="ALI",IF(M776="L",7,IF(M776="A",10,15)),IF(H776="AIE",IF(M776="L",5,IF(M776="A",7,10)),IF(H776="SE",IF(M776="L",4,IF(M776="A",5,7)),IF(OR(H776="EE",H776="CE"),IF(M776="L",3,IF(M776="A",4,6)))))))</f>
        <v/>
      </c>
      <c r="P776" s="48" t="str">
        <f aca="false">IF(I776="I",O776*Contagem!$W$15,IF(I776="E",O776*Contagem!$W$17,IF(I776="A",O776*Contagem!$W$16,IF(I776="T",O776*Contagem!$W$18,""))))</f>
        <v/>
      </c>
      <c r="Q776" s="49"/>
    </row>
    <row r="777" customFormat="false" ht="12" hidden="false" customHeight="true" outlineLevel="0" collapsed="false">
      <c r="A777" s="40" t="n">
        <f aca="false">IF(H777="",IF(C777="",A776,A776+1),A776)</f>
        <v>62</v>
      </c>
      <c r="B777" s="41" t="str">
        <f aca="false">IF(A777=A776,"",CONCATENATE("F",A777))</f>
        <v/>
      </c>
      <c r="C777" s="42"/>
      <c r="D777" s="42"/>
      <c r="E777" s="42"/>
      <c r="F777" s="42"/>
      <c r="G777" s="42"/>
      <c r="H777" s="44"/>
      <c r="I777" s="50"/>
      <c r="J777" s="44"/>
      <c r="K777" s="44"/>
      <c r="L777" s="44" t="str">
        <f aca="false">CONCATENATE(H777,M777)</f>
        <v/>
      </c>
      <c r="M777" s="45" t="str">
        <f aca="false">IF(OR(ISBLANK(J777),ISBLANK(K777)),IF(OR(H777="ALI",H777="AIE"),"L",IF(ISBLANK(H777),"","A")),IF(H777="EE",IF(K777&gt;=3,IF(J777&gt;=5,"H","A"),IF(K777&gt;=2,IF(J777&gt;=16,"H",IF(J777&lt;=4,"L","A")),IF(J777&lt;=15,"L","A"))),IF(OR(H777="SE",H777="CE"),IF(K777&gt;=4,IF(J777&gt;=6,"H","A"),IF(K777&gt;=2,IF(J777&gt;=20,"H",IF(J777&lt;=5,"L","A")),IF(J777&lt;=19,"L","A"))),IF(OR(H777="ALI",H777="AIE"),IF(K777&gt;=6,IF(J777&gt;=20,"H","A"),IF(K777&gt;=2,IF(J777&gt;=51,"H",IF(J777&lt;=19,"L","A")),IF(J777&lt;=50,"L","A")))))))</f>
        <v/>
      </c>
      <c r="N777" s="46" t="str">
        <f aca="false">IF(M777="L","Baixa",IF(M777="A","Média",IF(M777="","","Alta")))</f>
        <v/>
      </c>
      <c r="O777" s="47" t="str">
        <f aca="false">IF(ISBLANK(H777),"",IF(H777="ALI",IF(M777="L",7,IF(M777="A",10,15)),IF(H777="AIE",IF(M777="L",5,IF(M777="A",7,10)),IF(H777="SE",IF(M777="L",4,IF(M777="A",5,7)),IF(OR(H777="EE",H777="CE"),IF(M777="L",3,IF(M777="A",4,6)))))))</f>
        <v/>
      </c>
      <c r="P777" s="48" t="str">
        <f aca="false">IF(I777="I",O777*Contagem!$W$15,IF(I777="E",O777*Contagem!$W$17,IF(I777="A",O777*Contagem!$W$16,IF(I777="T",O777*Contagem!$W$18,""))))</f>
        <v/>
      </c>
      <c r="Q777" s="49"/>
    </row>
    <row r="778" customFormat="false" ht="12" hidden="false" customHeight="true" outlineLevel="0" collapsed="false">
      <c r="A778" s="40" t="n">
        <f aca="false">IF(H778="",IF(C778="",A777,A777+1),A777)</f>
        <v>62</v>
      </c>
      <c r="B778" s="41" t="str">
        <f aca="false">IF(A778=A777,"",CONCATENATE("F",A778))</f>
        <v/>
      </c>
      <c r="C778" s="42"/>
      <c r="D778" s="42"/>
      <c r="E778" s="42"/>
      <c r="F778" s="42"/>
      <c r="G778" s="42"/>
      <c r="H778" s="44"/>
      <c r="I778" s="50"/>
      <c r="J778" s="44"/>
      <c r="K778" s="44"/>
      <c r="L778" s="44" t="str">
        <f aca="false">CONCATENATE(H778,M778)</f>
        <v/>
      </c>
      <c r="M778" s="45" t="str">
        <f aca="false">IF(OR(ISBLANK(J778),ISBLANK(K778)),IF(OR(H778="ALI",H778="AIE"),"L",IF(ISBLANK(H778),"","A")),IF(H778="EE",IF(K778&gt;=3,IF(J778&gt;=5,"H","A"),IF(K778&gt;=2,IF(J778&gt;=16,"H",IF(J778&lt;=4,"L","A")),IF(J778&lt;=15,"L","A"))),IF(OR(H778="SE",H778="CE"),IF(K778&gt;=4,IF(J778&gt;=6,"H","A"),IF(K778&gt;=2,IF(J778&gt;=20,"H",IF(J778&lt;=5,"L","A")),IF(J778&lt;=19,"L","A"))),IF(OR(H778="ALI",H778="AIE"),IF(K778&gt;=6,IF(J778&gt;=20,"H","A"),IF(K778&gt;=2,IF(J778&gt;=51,"H",IF(J778&lt;=19,"L","A")),IF(J778&lt;=50,"L","A")))))))</f>
        <v/>
      </c>
      <c r="N778" s="46" t="str">
        <f aca="false">IF(M778="L","Baixa",IF(M778="A","Média",IF(M778="","","Alta")))</f>
        <v/>
      </c>
      <c r="O778" s="47" t="str">
        <f aca="false">IF(ISBLANK(H778),"",IF(H778="ALI",IF(M778="L",7,IF(M778="A",10,15)),IF(H778="AIE",IF(M778="L",5,IF(M778="A",7,10)),IF(H778="SE",IF(M778="L",4,IF(M778="A",5,7)),IF(OR(H778="EE",H778="CE"),IF(M778="L",3,IF(M778="A",4,6)))))))</f>
        <v/>
      </c>
      <c r="P778" s="48" t="str">
        <f aca="false">IF(I778="I",O778*Contagem!$W$15,IF(I778="E",O778*Contagem!$W$17,IF(I778="A",O778*Contagem!$W$16,IF(I778="T",O778*Contagem!$W$18,""))))</f>
        <v/>
      </c>
      <c r="Q778" s="49"/>
    </row>
    <row r="779" customFormat="false" ht="12" hidden="false" customHeight="true" outlineLevel="0" collapsed="false">
      <c r="A779" s="40" t="n">
        <f aca="false">IF(H779="",IF(C779="",A778,A778+1),A778)</f>
        <v>62</v>
      </c>
      <c r="B779" s="41" t="str">
        <f aca="false">IF(A779=A778,"",CONCATENATE("F",A779))</f>
        <v/>
      </c>
      <c r="C779" s="42"/>
      <c r="D779" s="42"/>
      <c r="E779" s="42"/>
      <c r="F779" s="42"/>
      <c r="G779" s="42"/>
      <c r="H779" s="44"/>
      <c r="I779" s="50"/>
      <c r="J779" s="44"/>
      <c r="K779" s="44"/>
      <c r="L779" s="44" t="str">
        <f aca="false">CONCATENATE(H779,M779)</f>
        <v/>
      </c>
      <c r="M779" s="45" t="str">
        <f aca="false">IF(OR(ISBLANK(J779),ISBLANK(K779)),IF(OR(H779="ALI",H779="AIE"),"L",IF(ISBLANK(H779),"","A")),IF(H779="EE",IF(K779&gt;=3,IF(J779&gt;=5,"H","A"),IF(K779&gt;=2,IF(J779&gt;=16,"H",IF(J779&lt;=4,"L","A")),IF(J779&lt;=15,"L","A"))),IF(OR(H779="SE",H779="CE"),IF(K779&gt;=4,IF(J779&gt;=6,"H","A"),IF(K779&gt;=2,IF(J779&gt;=20,"H",IF(J779&lt;=5,"L","A")),IF(J779&lt;=19,"L","A"))),IF(OR(H779="ALI",H779="AIE"),IF(K779&gt;=6,IF(J779&gt;=20,"H","A"),IF(K779&gt;=2,IF(J779&gt;=51,"H",IF(J779&lt;=19,"L","A")),IF(J779&lt;=50,"L","A")))))))</f>
        <v/>
      </c>
      <c r="N779" s="46" t="str">
        <f aca="false">IF(M779="L","Baixa",IF(M779="A","Média",IF(M779="","","Alta")))</f>
        <v/>
      </c>
      <c r="O779" s="47" t="str">
        <f aca="false">IF(ISBLANK(H779),"",IF(H779="ALI",IF(M779="L",7,IF(M779="A",10,15)),IF(H779="AIE",IF(M779="L",5,IF(M779="A",7,10)),IF(H779="SE",IF(M779="L",4,IF(M779="A",5,7)),IF(OR(H779="EE",H779="CE"),IF(M779="L",3,IF(M779="A",4,6)))))))</f>
        <v/>
      </c>
      <c r="P779" s="48" t="str">
        <f aca="false">IF(I779="I",O779*Contagem!$W$15,IF(I779="E",O779*Contagem!$W$17,IF(I779="A",O779*Contagem!$W$16,IF(I779="T",O779*Contagem!$W$18,""))))</f>
        <v/>
      </c>
      <c r="Q779" s="49"/>
    </row>
    <row r="780" customFormat="false" ht="12" hidden="false" customHeight="true" outlineLevel="0" collapsed="false">
      <c r="A780" s="40" t="n">
        <f aca="false">IF(H780="",IF(C780="",A779,A779+1),A779)</f>
        <v>62</v>
      </c>
      <c r="B780" s="41" t="str">
        <f aca="false">IF(A780=A779,"",CONCATENATE("F",A780))</f>
        <v/>
      </c>
      <c r="C780" s="42"/>
      <c r="D780" s="42"/>
      <c r="E780" s="42"/>
      <c r="F780" s="42"/>
      <c r="G780" s="42"/>
      <c r="H780" s="44"/>
      <c r="I780" s="50"/>
      <c r="J780" s="44"/>
      <c r="K780" s="44"/>
      <c r="L780" s="44" t="str">
        <f aca="false">CONCATENATE(H780,M780)</f>
        <v/>
      </c>
      <c r="M780" s="45" t="str">
        <f aca="false">IF(OR(ISBLANK(J780),ISBLANK(K780)),IF(OR(H780="ALI",H780="AIE"),"L",IF(ISBLANK(H780),"","A")),IF(H780="EE",IF(K780&gt;=3,IF(J780&gt;=5,"H","A"),IF(K780&gt;=2,IF(J780&gt;=16,"H",IF(J780&lt;=4,"L","A")),IF(J780&lt;=15,"L","A"))),IF(OR(H780="SE",H780="CE"),IF(K780&gt;=4,IF(J780&gt;=6,"H","A"),IF(K780&gt;=2,IF(J780&gt;=20,"H",IF(J780&lt;=5,"L","A")),IF(J780&lt;=19,"L","A"))),IF(OR(H780="ALI",H780="AIE"),IF(K780&gt;=6,IF(J780&gt;=20,"H","A"),IF(K780&gt;=2,IF(J780&gt;=51,"H",IF(J780&lt;=19,"L","A")),IF(J780&lt;=50,"L","A")))))))</f>
        <v/>
      </c>
      <c r="N780" s="46" t="str">
        <f aca="false">IF(M780="L","Baixa",IF(M780="A","Média",IF(M780="","","Alta")))</f>
        <v/>
      </c>
      <c r="O780" s="47" t="str">
        <f aca="false">IF(ISBLANK(H780),"",IF(H780="ALI",IF(M780="L",7,IF(M780="A",10,15)),IF(H780="AIE",IF(M780="L",5,IF(M780="A",7,10)),IF(H780="SE",IF(M780="L",4,IF(M780="A",5,7)),IF(OR(H780="EE",H780="CE"),IF(M780="L",3,IF(M780="A",4,6)))))))</f>
        <v/>
      </c>
      <c r="P780" s="48" t="str">
        <f aca="false">IF(I780="I",O780*Contagem!$W$15,IF(I780="E",O780*Contagem!$W$17,IF(I780="A",O780*Contagem!$W$16,IF(I780="T",O780*Contagem!$W$18,""))))</f>
        <v/>
      </c>
      <c r="Q780" s="49"/>
    </row>
    <row r="781" customFormat="false" ht="12" hidden="false" customHeight="true" outlineLevel="0" collapsed="false">
      <c r="A781" s="40" t="n">
        <f aca="false">IF(H781="",IF(C781="",A780,A780+1),A780)</f>
        <v>62</v>
      </c>
      <c r="B781" s="41" t="str">
        <f aca="false">IF(A781=A780,"",CONCATENATE("F",A781))</f>
        <v/>
      </c>
      <c r="C781" s="42"/>
      <c r="D781" s="42"/>
      <c r="E781" s="42"/>
      <c r="F781" s="42"/>
      <c r="G781" s="42"/>
      <c r="H781" s="44"/>
      <c r="I781" s="50"/>
      <c r="J781" s="44"/>
      <c r="K781" s="44"/>
      <c r="L781" s="44" t="str">
        <f aca="false">CONCATENATE(H781,M781)</f>
        <v/>
      </c>
      <c r="M781" s="45" t="str">
        <f aca="false">IF(OR(ISBLANK(J781),ISBLANK(K781)),IF(OR(H781="ALI",H781="AIE"),"L",IF(ISBLANK(H781),"","A")),IF(H781="EE",IF(K781&gt;=3,IF(J781&gt;=5,"H","A"),IF(K781&gt;=2,IF(J781&gt;=16,"H",IF(J781&lt;=4,"L","A")),IF(J781&lt;=15,"L","A"))),IF(OR(H781="SE",H781="CE"),IF(K781&gt;=4,IF(J781&gt;=6,"H","A"),IF(K781&gt;=2,IF(J781&gt;=20,"H",IF(J781&lt;=5,"L","A")),IF(J781&lt;=19,"L","A"))),IF(OR(H781="ALI",H781="AIE"),IF(K781&gt;=6,IF(J781&gt;=20,"H","A"),IF(K781&gt;=2,IF(J781&gt;=51,"H",IF(J781&lt;=19,"L","A")),IF(J781&lt;=50,"L","A")))))))</f>
        <v/>
      </c>
      <c r="N781" s="46" t="str">
        <f aca="false">IF(M781="L","Baixa",IF(M781="A","Média",IF(M781="","","Alta")))</f>
        <v/>
      </c>
      <c r="O781" s="47" t="str">
        <f aca="false">IF(ISBLANK(H781),"",IF(H781="ALI",IF(M781="L",7,IF(M781="A",10,15)),IF(H781="AIE",IF(M781="L",5,IF(M781="A",7,10)),IF(H781="SE",IF(M781="L",4,IF(M781="A",5,7)),IF(OR(H781="EE",H781="CE"),IF(M781="L",3,IF(M781="A",4,6)))))))</f>
        <v/>
      </c>
      <c r="P781" s="48" t="str">
        <f aca="false">IF(I781="I",O781*Contagem!$W$15,IF(I781="E",O781*Contagem!$W$17,IF(I781="A",O781*Contagem!$W$16,IF(I781="T",O781*Contagem!$W$18,""))))</f>
        <v/>
      </c>
      <c r="Q781" s="49"/>
    </row>
    <row r="782" customFormat="false" ht="12" hidden="false" customHeight="true" outlineLevel="0" collapsed="false">
      <c r="A782" s="40" t="n">
        <f aca="false">IF(H782="",IF(C782="",A781,A781+1),A781)</f>
        <v>62</v>
      </c>
      <c r="B782" s="41" t="str">
        <f aca="false">IF(A782=A781,"",CONCATENATE("F",A782))</f>
        <v/>
      </c>
      <c r="C782" s="42"/>
      <c r="D782" s="42"/>
      <c r="E782" s="42"/>
      <c r="F782" s="42"/>
      <c r="G782" s="42"/>
      <c r="H782" s="44"/>
      <c r="I782" s="50"/>
      <c r="J782" s="44"/>
      <c r="K782" s="44"/>
      <c r="L782" s="44" t="str">
        <f aca="false">CONCATENATE(H782,M782)</f>
        <v/>
      </c>
      <c r="M782" s="45" t="str">
        <f aca="false">IF(OR(ISBLANK(J782),ISBLANK(K782)),IF(OR(H782="ALI",H782="AIE"),"L",IF(ISBLANK(H782),"","A")),IF(H782="EE",IF(K782&gt;=3,IF(J782&gt;=5,"H","A"),IF(K782&gt;=2,IF(J782&gt;=16,"H",IF(J782&lt;=4,"L","A")),IF(J782&lt;=15,"L","A"))),IF(OR(H782="SE",H782="CE"),IF(K782&gt;=4,IF(J782&gt;=6,"H","A"),IF(K782&gt;=2,IF(J782&gt;=20,"H",IF(J782&lt;=5,"L","A")),IF(J782&lt;=19,"L","A"))),IF(OR(H782="ALI",H782="AIE"),IF(K782&gt;=6,IF(J782&gt;=20,"H","A"),IF(K782&gt;=2,IF(J782&gt;=51,"H",IF(J782&lt;=19,"L","A")),IF(J782&lt;=50,"L","A")))))))</f>
        <v/>
      </c>
      <c r="N782" s="46" t="str">
        <f aca="false">IF(M782="L","Baixa",IF(M782="A","Média",IF(M782="","","Alta")))</f>
        <v/>
      </c>
      <c r="O782" s="47" t="str">
        <f aca="false">IF(ISBLANK(H782),"",IF(H782="ALI",IF(M782="L",7,IF(M782="A",10,15)),IF(H782="AIE",IF(M782="L",5,IF(M782="A",7,10)),IF(H782="SE",IF(M782="L",4,IF(M782="A",5,7)),IF(OR(H782="EE",H782="CE"),IF(M782="L",3,IF(M782="A",4,6)))))))</f>
        <v/>
      </c>
      <c r="P782" s="48" t="str">
        <f aca="false">IF(I782="I",O782*Contagem!$W$15,IF(I782="E",O782*Contagem!$W$17,IF(I782="A",O782*Contagem!$W$16,IF(I782="T",O782*Contagem!$W$18,""))))</f>
        <v/>
      </c>
      <c r="Q782" s="49"/>
    </row>
    <row r="783" customFormat="false" ht="12" hidden="false" customHeight="true" outlineLevel="0" collapsed="false">
      <c r="A783" s="40" t="n">
        <f aca="false">IF(H783="",IF(C783="",A782,A782+1),A782)</f>
        <v>62</v>
      </c>
      <c r="B783" s="41" t="str">
        <f aca="false">IF(A783=A782,"",CONCATENATE("F",A783))</f>
        <v/>
      </c>
      <c r="C783" s="42"/>
      <c r="D783" s="42"/>
      <c r="E783" s="42"/>
      <c r="F783" s="42"/>
      <c r="G783" s="42"/>
      <c r="H783" s="44"/>
      <c r="I783" s="50"/>
      <c r="J783" s="44"/>
      <c r="K783" s="44"/>
      <c r="L783" s="44" t="str">
        <f aca="false">CONCATENATE(H783,M783)</f>
        <v/>
      </c>
      <c r="M783" s="45" t="str">
        <f aca="false">IF(OR(ISBLANK(J783),ISBLANK(K783)),IF(OR(H783="ALI",H783="AIE"),"L",IF(ISBLANK(H783),"","A")),IF(H783="EE",IF(K783&gt;=3,IF(J783&gt;=5,"H","A"),IF(K783&gt;=2,IF(J783&gt;=16,"H",IF(J783&lt;=4,"L","A")),IF(J783&lt;=15,"L","A"))),IF(OR(H783="SE",H783="CE"),IF(K783&gt;=4,IF(J783&gt;=6,"H","A"),IF(K783&gt;=2,IF(J783&gt;=20,"H",IF(J783&lt;=5,"L","A")),IF(J783&lt;=19,"L","A"))),IF(OR(H783="ALI",H783="AIE"),IF(K783&gt;=6,IF(J783&gt;=20,"H","A"),IF(K783&gt;=2,IF(J783&gt;=51,"H",IF(J783&lt;=19,"L","A")),IF(J783&lt;=50,"L","A")))))))</f>
        <v/>
      </c>
      <c r="N783" s="46" t="str">
        <f aca="false">IF(M783="L","Baixa",IF(M783="A","Média",IF(M783="","","Alta")))</f>
        <v/>
      </c>
      <c r="O783" s="47" t="str">
        <f aca="false">IF(ISBLANK(H783),"",IF(H783="ALI",IF(M783="L",7,IF(M783="A",10,15)),IF(H783="AIE",IF(M783="L",5,IF(M783="A",7,10)),IF(H783="SE",IF(M783="L",4,IF(M783="A",5,7)),IF(OR(H783="EE",H783="CE"),IF(M783="L",3,IF(M783="A",4,6)))))))</f>
        <v/>
      </c>
      <c r="P783" s="48" t="str">
        <f aca="false">IF(I783="I",O783*Contagem!$W$15,IF(I783="E",O783*Contagem!$W$17,IF(I783="A",O783*Contagem!$W$16,IF(I783="T",O783*Contagem!$W$18,""))))</f>
        <v/>
      </c>
      <c r="Q783" s="49"/>
    </row>
    <row r="784" customFormat="false" ht="12" hidden="false" customHeight="true" outlineLevel="0" collapsed="false">
      <c r="A784" s="40" t="n">
        <f aca="false">IF(H784="",IF(C784="",A783,A783+1),A783)</f>
        <v>62</v>
      </c>
      <c r="B784" s="41" t="str">
        <f aca="false">IF(A784=A783,"",CONCATENATE("F",A784))</f>
        <v/>
      </c>
      <c r="C784" s="42"/>
      <c r="D784" s="42"/>
      <c r="E784" s="42"/>
      <c r="F784" s="42"/>
      <c r="G784" s="42"/>
      <c r="H784" s="44"/>
      <c r="I784" s="50"/>
      <c r="J784" s="44"/>
      <c r="K784" s="44"/>
      <c r="L784" s="44" t="str">
        <f aca="false">CONCATENATE(H784,M784)</f>
        <v/>
      </c>
      <c r="M784" s="45" t="str">
        <f aca="false">IF(OR(ISBLANK(J784),ISBLANK(K784)),IF(OR(H784="ALI",H784="AIE"),"L",IF(ISBLANK(H784),"","A")),IF(H784="EE",IF(K784&gt;=3,IF(J784&gt;=5,"H","A"),IF(K784&gt;=2,IF(J784&gt;=16,"H",IF(J784&lt;=4,"L","A")),IF(J784&lt;=15,"L","A"))),IF(OR(H784="SE",H784="CE"),IF(K784&gt;=4,IF(J784&gt;=6,"H","A"),IF(K784&gt;=2,IF(J784&gt;=20,"H",IF(J784&lt;=5,"L","A")),IF(J784&lt;=19,"L","A"))),IF(OR(H784="ALI",H784="AIE"),IF(K784&gt;=6,IF(J784&gt;=20,"H","A"),IF(K784&gt;=2,IF(J784&gt;=51,"H",IF(J784&lt;=19,"L","A")),IF(J784&lt;=50,"L","A")))))))</f>
        <v/>
      </c>
      <c r="N784" s="46" t="str">
        <f aca="false">IF(M784="L","Baixa",IF(M784="A","Média",IF(M784="","","Alta")))</f>
        <v/>
      </c>
      <c r="O784" s="47" t="str">
        <f aca="false">IF(ISBLANK(H784),"",IF(H784="ALI",IF(M784="L",7,IF(M784="A",10,15)),IF(H784="AIE",IF(M784="L",5,IF(M784="A",7,10)),IF(H784="SE",IF(M784="L",4,IF(M784="A",5,7)),IF(OR(H784="EE",H784="CE"),IF(M784="L",3,IF(M784="A",4,6)))))))</f>
        <v/>
      </c>
      <c r="P784" s="48" t="str">
        <f aca="false">IF(I784="I",O784*Contagem!$W$15,IF(I784="E",O784*Contagem!$W$17,IF(I784="A",O784*Contagem!$W$16,IF(I784="T",O784*Contagem!$W$18,""))))</f>
        <v/>
      </c>
      <c r="Q784" s="49"/>
    </row>
    <row r="785" customFormat="false" ht="12" hidden="false" customHeight="true" outlineLevel="0" collapsed="false">
      <c r="A785" s="40" t="n">
        <f aca="false">IF(H785="",IF(C785="",A784,A784+1),A784)</f>
        <v>62</v>
      </c>
      <c r="B785" s="41" t="str">
        <f aca="false">IF(A785=A784,"",CONCATENATE("F",A785))</f>
        <v/>
      </c>
      <c r="C785" s="42"/>
      <c r="D785" s="42"/>
      <c r="E785" s="42"/>
      <c r="F785" s="42"/>
      <c r="G785" s="42"/>
      <c r="H785" s="44"/>
      <c r="I785" s="50"/>
      <c r="J785" s="44"/>
      <c r="K785" s="44"/>
      <c r="L785" s="44" t="str">
        <f aca="false">CONCATENATE(H785,M785)</f>
        <v/>
      </c>
      <c r="M785" s="45" t="str">
        <f aca="false">IF(OR(ISBLANK(J785),ISBLANK(K785)),IF(OR(H785="ALI",H785="AIE"),"L",IF(ISBLANK(H785),"","A")),IF(H785="EE",IF(K785&gt;=3,IF(J785&gt;=5,"H","A"),IF(K785&gt;=2,IF(J785&gt;=16,"H",IF(J785&lt;=4,"L","A")),IF(J785&lt;=15,"L","A"))),IF(OR(H785="SE",H785="CE"),IF(K785&gt;=4,IF(J785&gt;=6,"H","A"),IF(K785&gt;=2,IF(J785&gt;=20,"H",IF(J785&lt;=5,"L","A")),IF(J785&lt;=19,"L","A"))),IF(OR(H785="ALI",H785="AIE"),IF(K785&gt;=6,IF(J785&gt;=20,"H","A"),IF(K785&gt;=2,IF(J785&gt;=51,"H",IF(J785&lt;=19,"L","A")),IF(J785&lt;=50,"L","A")))))))</f>
        <v/>
      </c>
      <c r="N785" s="46" t="str">
        <f aca="false">IF(M785="L","Baixa",IF(M785="A","Média",IF(M785="","","Alta")))</f>
        <v/>
      </c>
      <c r="O785" s="47" t="str">
        <f aca="false">IF(ISBLANK(H785),"",IF(H785="ALI",IF(M785="L",7,IF(M785="A",10,15)),IF(H785="AIE",IF(M785="L",5,IF(M785="A",7,10)),IF(H785="SE",IF(M785="L",4,IF(M785="A",5,7)),IF(OR(H785="EE",H785="CE"),IF(M785="L",3,IF(M785="A",4,6)))))))</f>
        <v/>
      </c>
      <c r="P785" s="48" t="str">
        <f aca="false">IF(I785="I",O785*Contagem!$W$15,IF(I785="E",O785*Contagem!$W$17,IF(I785="A",O785*Contagem!$W$16,IF(I785="T",O785*Contagem!$W$18,""))))</f>
        <v/>
      </c>
      <c r="Q785" s="49"/>
    </row>
    <row r="786" customFormat="false" ht="12" hidden="false" customHeight="true" outlineLevel="0" collapsed="false">
      <c r="A786" s="40" t="n">
        <f aca="false">IF(H786="",IF(C786="",A785,A785+1),A785)</f>
        <v>62</v>
      </c>
      <c r="B786" s="41" t="str">
        <f aca="false">IF(A786=A785,"",CONCATENATE("F",A786))</f>
        <v/>
      </c>
      <c r="C786" s="42"/>
      <c r="D786" s="42"/>
      <c r="E786" s="42"/>
      <c r="F786" s="42"/>
      <c r="G786" s="42"/>
      <c r="H786" s="44"/>
      <c r="I786" s="50"/>
      <c r="J786" s="44"/>
      <c r="K786" s="44"/>
      <c r="L786" s="44" t="str">
        <f aca="false">CONCATENATE(H786,M786)</f>
        <v/>
      </c>
      <c r="M786" s="45" t="str">
        <f aca="false">IF(OR(ISBLANK(J786),ISBLANK(K786)),IF(OR(H786="ALI",H786="AIE"),"L",IF(ISBLANK(H786),"","A")),IF(H786="EE",IF(K786&gt;=3,IF(J786&gt;=5,"H","A"),IF(K786&gt;=2,IF(J786&gt;=16,"H",IF(J786&lt;=4,"L","A")),IF(J786&lt;=15,"L","A"))),IF(OR(H786="SE",H786="CE"),IF(K786&gt;=4,IF(J786&gt;=6,"H","A"),IF(K786&gt;=2,IF(J786&gt;=20,"H",IF(J786&lt;=5,"L","A")),IF(J786&lt;=19,"L","A"))),IF(OR(H786="ALI",H786="AIE"),IF(K786&gt;=6,IF(J786&gt;=20,"H","A"),IF(K786&gt;=2,IF(J786&gt;=51,"H",IF(J786&lt;=19,"L","A")),IF(J786&lt;=50,"L","A")))))))</f>
        <v/>
      </c>
      <c r="N786" s="46" t="str">
        <f aca="false">IF(M786="L","Baixa",IF(M786="A","Média",IF(M786="","","Alta")))</f>
        <v/>
      </c>
      <c r="O786" s="47" t="str">
        <f aca="false">IF(ISBLANK(H786),"",IF(H786="ALI",IF(M786="L",7,IF(M786="A",10,15)),IF(H786="AIE",IF(M786="L",5,IF(M786="A",7,10)),IF(H786="SE",IF(M786="L",4,IF(M786="A",5,7)),IF(OR(H786="EE",H786="CE"),IF(M786="L",3,IF(M786="A",4,6)))))))</f>
        <v/>
      </c>
      <c r="P786" s="48" t="str">
        <f aca="false">IF(I786="I",O786*Contagem!$W$15,IF(I786="E",O786*Contagem!$W$17,IF(I786="A",O786*Contagem!$W$16,IF(I786="T",O786*Contagem!$W$18,""))))</f>
        <v/>
      </c>
      <c r="Q786" s="49"/>
    </row>
    <row r="787" customFormat="false" ht="12" hidden="false" customHeight="true" outlineLevel="0" collapsed="false">
      <c r="A787" s="40" t="n">
        <f aca="false">IF(H787="",IF(C787="",A786,A786+1),A786)</f>
        <v>62</v>
      </c>
      <c r="B787" s="41" t="str">
        <f aca="false">IF(A787=A786,"",CONCATENATE("F",A787))</f>
        <v/>
      </c>
      <c r="C787" s="42"/>
      <c r="D787" s="42"/>
      <c r="E787" s="42"/>
      <c r="F787" s="42"/>
      <c r="G787" s="42"/>
      <c r="H787" s="44"/>
      <c r="I787" s="50"/>
      <c r="J787" s="44"/>
      <c r="K787" s="44"/>
      <c r="L787" s="44" t="str">
        <f aca="false">CONCATENATE(H787,M787)</f>
        <v/>
      </c>
      <c r="M787" s="45" t="str">
        <f aca="false">IF(OR(ISBLANK(J787),ISBLANK(K787)),IF(OR(H787="ALI",H787="AIE"),"L",IF(ISBLANK(H787),"","A")),IF(H787="EE",IF(K787&gt;=3,IF(J787&gt;=5,"H","A"),IF(K787&gt;=2,IF(J787&gt;=16,"H",IF(J787&lt;=4,"L","A")),IF(J787&lt;=15,"L","A"))),IF(OR(H787="SE",H787="CE"),IF(K787&gt;=4,IF(J787&gt;=6,"H","A"),IF(K787&gt;=2,IF(J787&gt;=20,"H",IF(J787&lt;=5,"L","A")),IF(J787&lt;=19,"L","A"))),IF(OR(H787="ALI",H787="AIE"),IF(K787&gt;=6,IF(J787&gt;=20,"H","A"),IF(K787&gt;=2,IF(J787&gt;=51,"H",IF(J787&lt;=19,"L","A")),IF(J787&lt;=50,"L","A")))))))</f>
        <v/>
      </c>
      <c r="N787" s="46" t="str">
        <f aca="false">IF(M787="L","Baixa",IF(M787="A","Média",IF(M787="","","Alta")))</f>
        <v/>
      </c>
      <c r="O787" s="47" t="str">
        <f aca="false">IF(ISBLANK(H787),"",IF(H787="ALI",IF(M787="L",7,IF(M787="A",10,15)),IF(H787="AIE",IF(M787="L",5,IF(M787="A",7,10)),IF(H787="SE",IF(M787="L",4,IF(M787="A",5,7)),IF(OR(H787="EE",H787="CE"),IF(M787="L",3,IF(M787="A",4,6)))))))</f>
        <v/>
      </c>
      <c r="P787" s="48" t="str">
        <f aca="false">IF(I787="I",O787*Contagem!$W$15,IF(I787="E",O787*Contagem!$W$17,IF(I787="A",O787*Contagem!$W$16,IF(I787="T",O787*Contagem!$W$18,""))))</f>
        <v/>
      </c>
      <c r="Q787" s="49"/>
    </row>
    <row r="788" customFormat="false" ht="12" hidden="false" customHeight="true" outlineLevel="0" collapsed="false">
      <c r="A788" s="40" t="n">
        <f aca="false">IF(H788="",IF(C788="",A787,A787+1),A787)</f>
        <v>62</v>
      </c>
      <c r="B788" s="41" t="str">
        <f aca="false">IF(A788=A787,"",CONCATENATE("F",A788))</f>
        <v/>
      </c>
      <c r="C788" s="42"/>
      <c r="D788" s="42"/>
      <c r="E788" s="42"/>
      <c r="F788" s="42"/>
      <c r="G788" s="42"/>
      <c r="H788" s="44"/>
      <c r="I788" s="50"/>
      <c r="J788" s="44"/>
      <c r="K788" s="44"/>
      <c r="L788" s="44" t="str">
        <f aca="false">CONCATENATE(H788,M788)</f>
        <v/>
      </c>
      <c r="M788" s="45" t="str">
        <f aca="false">IF(OR(ISBLANK(J788),ISBLANK(K788)),IF(OR(H788="ALI",H788="AIE"),"L",IF(ISBLANK(H788),"","A")),IF(H788="EE",IF(K788&gt;=3,IF(J788&gt;=5,"H","A"),IF(K788&gt;=2,IF(J788&gt;=16,"H",IF(J788&lt;=4,"L","A")),IF(J788&lt;=15,"L","A"))),IF(OR(H788="SE",H788="CE"),IF(K788&gt;=4,IF(J788&gt;=6,"H","A"),IF(K788&gt;=2,IF(J788&gt;=20,"H",IF(J788&lt;=5,"L","A")),IF(J788&lt;=19,"L","A"))),IF(OR(H788="ALI",H788="AIE"),IF(K788&gt;=6,IF(J788&gt;=20,"H","A"),IF(K788&gt;=2,IF(J788&gt;=51,"H",IF(J788&lt;=19,"L","A")),IF(J788&lt;=50,"L","A")))))))</f>
        <v/>
      </c>
      <c r="N788" s="46" t="str">
        <f aca="false">IF(M788="L","Baixa",IF(M788="A","Média",IF(M788="","","Alta")))</f>
        <v/>
      </c>
      <c r="O788" s="47" t="str">
        <f aca="false">IF(ISBLANK(H788),"",IF(H788="ALI",IF(M788="L",7,IF(M788="A",10,15)),IF(H788="AIE",IF(M788="L",5,IF(M788="A",7,10)),IF(H788="SE",IF(M788="L",4,IF(M788="A",5,7)),IF(OR(H788="EE",H788="CE"),IF(M788="L",3,IF(M788="A",4,6)))))))</f>
        <v/>
      </c>
      <c r="P788" s="48" t="str">
        <f aca="false">IF(I788="I",O788*Contagem!$W$15,IF(I788="E",O788*Contagem!$W$17,IF(I788="A",O788*Contagem!$W$16,IF(I788="T",O788*Contagem!$W$18,""))))</f>
        <v/>
      </c>
      <c r="Q788" s="49"/>
    </row>
    <row r="789" customFormat="false" ht="12" hidden="false" customHeight="true" outlineLevel="0" collapsed="false">
      <c r="A789" s="40" t="n">
        <f aca="false">IF(H789="",IF(C789="",A788,A788+1),A788)</f>
        <v>62</v>
      </c>
      <c r="B789" s="41" t="str">
        <f aca="false">IF(A789=A788,"",CONCATENATE("F",A789))</f>
        <v/>
      </c>
      <c r="C789" s="42"/>
      <c r="D789" s="42"/>
      <c r="E789" s="42"/>
      <c r="F789" s="42"/>
      <c r="G789" s="42"/>
      <c r="H789" s="44"/>
      <c r="I789" s="50"/>
      <c r="J789" s="44"/>
      <c r="K789" s="44"/>
      <c r="L789" s="44" t="str">
        <f aca="false">CONCATENATE(H789,M789)</f>
        <v/>
      </c>
      <c r="M789" s="45" t="str">
        <f aca="false">IF(OR(ISBLANK(J789),ISBLANK(K789)),IF(OR(H789="ALI",H789="AIE"),"L",IF(ISBLANK(H789),"","A")),IF(H789="EE",IF(K789&gt;=3,IF(J789&gt;=5,"H","A"),IF(K789&gt;=2,IF(J789&gt;=16,"H",IF(J789&lt;=4,"L","A")),IF(J789&lt;=15,"L","A"))),IF(OR(H789="SE",H789="CE"),IF(K789&gt;=4,IF(J789&gt;=6,"H","A"),IF(K789&gt;=2,IF(J789&gt;=20,"H",IF(J789&lt;=5,"L","A")),IF(J789&lt;=19,"L","A"))),IF(OR(H789="ALI",H789="AIE"),IF(K789&gt;=6,IF(J789&gt;=20,"H","A"),IF(K789&gt;=2,IF(J789&gt;=51,"H",IF(J789&lt;=19,"L","A")),IF(J789&lt;=50,"L","A")))))))</f>
        <v/>
      </c>
      <c r="N789" s="46" t="str">
        <f aca="false">IF(M789="L","Baixa",IF(M789="A","Média",IF(M789="","","Alta")))</f>
        <v/>
      </c>
      <c r="O789" s="47" t="str">
        <f aca="false">IF(ISBLANK(H789),"",IF(H789="ALI",IF(M789="L",7,IF(M789="A",10,15)),IF(H789="AIE",IF(M789="L",5,IF(M789="A",7,10)),IF(H789="SE",IF(M789="L",4,IF(M789="A",5,7)),IF(OR(H789="EE",H789="CE"),IF(M789="L",3,IF(M789="A",4,6)))))))</f>
        <v/>
      </c>
      <c r="P789" s="48" t="str">
        <f aca="false">IF(I789="I",O789*Contagem!$W$15,IF(I789="E",O789*Contagem!$W$17,IF(I789="A",O789*Contagem!$W$16,IF(I789="T",O789*Contagem!$W$18,""))))</f>
        <v/>
      </c>
      <c r="Q789" s="49"/>
    </row>
    <row r="790" customFormat="false" ht="12" hidden="false" customHeight="true" outlineLevel="0" collapsed="false">
      <c r="A790" s="40" t="n">
        <f aca="false">IF(H790="",IF(C790="",A789,A789+1),A789)</f>
        <v>62</v>
      </c>
      <c r="B790" s="41" t="str">
        <f aca="false">IF(A790=A789,"",CONCATENATE("F",A790))</f>
        <v/>
      </c>
      <c r="C790" s="42"/>
      <c r="D790" s="42"/>
      <c r="E790" s="42"/>
      <c r="F790" s="42"/>
      <c r="G790" s="42"/>
      <c r="H790" s="44"/>
      <c r="I790" s="50"/>
      <c r="J790" s="44"/>
      <c r="K790" s="44"/>
      <c r="L790" s="44" t="str">
        <f aca="false">CONCATENATE(H790,M790)</f>
        <v/>
      </c>
      <c r="M790" s="45" t="str">
        <f aca="false">IF(OR(ISBLANK(J790),ISBLANK(K790)),IF(OR(H790="ALI",H790="AIE"),"L",IF(ISBLANK(H790),"","A")),IF(H790="EE",IF(K790&gt;=3,IF(J790&gt;=5,"H","A"),IF(K790&gt;=2,IF(J790&gt;=16,"H",IF(J790&lt;=4,"L","A")),IF(J790&lt;=15,"L","A"))),IF(OR(H790="SE",H790="CE"),IF(K790&gt;=4,IF(J790&gt;=6,"H","A"),IF(K790&gt;=2,IF(J790&gt;=20,"H",IF(J790&lt;=5,"L","A")),IF(J790&lt;=19,"L","A"))),IF(OR(H790="ALI",H790="AIE"),IF(K790&gt;=6,IF(J790&gt;=20,"H","A"),IF(K790&gt;=2,IF(J790&gt;=51,"H",IF(J790&lt;=19,"L","A")),IF(J790&lt;=50,"L","A")))))))</f>
        <v/>
      </c>
      <c r="N790" s="46" t="str">
        <f aca="false">IF(M790="L","Baixa",IF(M790="A","Média",IF(M790="","","Alta")))</f>
        <v/>
      </c>
      <c r="O790" s="47" t="str">
        <f aca="false">IF(ISBLANK(H790),"",IF(H790="ALI",IF(M790="L",7,IF(M790="A",10,15)),IF(H790="AIE",IF(M790="L",5,IF(M790="A",7,10)),IF(H790="SE",IF(M790="L",4,IF(M790="A",5,7)),IF(OR(H790="EE",H790="CE"),IF(M790="L",3,IF(M790="A",4,6)))))))</f>
        <v/>
      </c>
      <c r="P790" s="48" t="str">
        <f aca="false">IF(I790="I",O790*Contagem!$W$15,IF(I790="E",O790*Contagem!$W$17,IF(I790="A",O790*Contagem!$W$16,IF(I790="T",O790*Contagem!$W$18,""))))</f>
        <v/>
      </c>
      <c r="Q790" s="49"/>
    </row>
    <row r="791" customFormat="false" ht="12" hidden="false" customHeight="true" outlineLevel="0" collapsed="false">
      <c r="A791" s="40" t="n">
        <f aca="false">IF(H791="",IF(C791="",A790,A790+1),A790)</f>
        <v>62</v>
      </c>
      <c r="B791" s="41" t="str">
        <f aca="false">IF(A791=A790,"",CONCATENATE("F",A791))</f>
        <v/>
      </c>
      <c r="C791" s="42"/>
      <c r="D791" s="42"/>
      <c r="E791" s="42"/>
      <c r="F791" s="42"/>
      <c r="G791" s="42"/>
      <c r="H791" s="44"/>
      <c r="I791" s="50"/>
      <c r="J791" s="44"/>
      <c r="K791" s="44"/>
      <c r="L791" s="44" t="str">
        <f aca="false">CONCATENATE(H791,M791)</f>
        <v/>
      </c>
      <c r="M791" s="45" t="str">
        <f aca="false">IF(OR(ISBLANK(J791),ISBLANK(K791)),IF(OR(H791="ALI",H791="AIE"),"L",IF(ISBLANK(H791),"","A")),IF(H791="EE",IF(K791&gt;=3,IF(J791&gt;=5,"H","A"),IF(K791&gt;=2,IF(J791&gt;=16,"H",IF(J791&lt;=4,"L","A")),IF(J791&lt;=15,"L","A"))),IF(OR(H791="SE",H791="CE"),IF(K791&gt;=4,IF(J791&gt;=6,"H","A"),IF(K791&gt;=2,IF(J791&gt;=20,"H",IF(J791&lt;=5,"L","A")),IF(J791&lt;=19,"L","A"))),IF(OR(H791="ALI",H791="AIE"),IF(K791&gt;=6,IF(J791&gt;=20,"H","A"),IF(K791&gt;=2,IF(J791&gt;=51,"H",IF(J791&lt;=19,"L","A")),IF(J791&lt;=50,"L","A")))))))</f>
        <v/>
      </c>
      <c r="N791" s="46" t="str">
        <f aca="false">IF(M791="L","Baixa",IF(M791="A","Média",IF(M791="","","Alta")))</f>
        <v/>
      </c>
      <c r="O791" s="47" t="str">
        <f aca="false">IF(ISBLANK(H791),"",IF(H791="ALI",IF(M791="L",7,IF(M791="A",10,15)),IF(H791="AIE",IF(M791="L",5,IF(M791="A",7,10)),IF(H791="SE",IF(M791="L",4,IF(M791="A",5,7)),IF(OR(H791="EE",H791="CE"),IF(M791="L",3,IF(M791="A",4,6)))))))</f>
        <v/>
      </c>
      <c r="P791" s="48" t="str">
        <f aca="false">IF(I791="I",O791*Contagem!$W$15,IF(I791="E",O791*Contagem!$W$17,IF(I791="A",O791*Contagem!$W$16,IF(I791="T",O791*Contagem!$W$18,""))))</f>
        <v/>
      </c>
      <c r="Q791" s="49"/>
    </row>
    <row r="792" customFormat="false" ht="12" hidden="false" customHeight="true" outlineLevel="0" collapsed="false">
      <c r="A792" s="40" t="n">
        <f aca="false">IF(H792="",IF(C792="",A791,A791+1),A791)</f>
        <v>62</v>
      </c>
      <c r="B792" s="41" t="str">
        <f aca="false">IF(A792=A791,"",CONCATENATE("F",A792))</f>
        <v/>
      </c>
      <c r="C792" s="42"/>
      <c r="D792" s="42"/>
      <c r="E792" s="42"/>
      <c r="F792" s="42"/>
      <c r="G792" s="42"/>
      <c r="H792" s="44"/>
      <c r="I792" s="50"/>
      <c r="J792" s="44"/>
      <c r="K792" s="44"/>
      <c r="L792" s="44" t="str">
        <f aca="false">CONCATENATE(H792,M792)</f>
        <v/>
      </c>
      <c r="M792" s="45" t="str">
        <f aca="false">IF(OR(ISBLANK(J792),ISBLANK(K792)),IF(OR(H792="ALI",H792="AIE"),"L",IF(ISBLANK(H792),"","A")),IF(H792="EE",IF(K792&gt;=3,IF(J792&gt;=5,"H","A"),IF(K792&gt;=2,IF(J792&gt;=16,"H",IF(J792&lt;=4,"L","A")),IF(J792&lt;=15,"L","A"))),IF(OR(H792="SE",H792="CE"),IF(K792&gt;=4,IF(J792&gt;=6,"H","A"),IF(K792&gt;=2,IF(J792&gt;=20,"H",IF(J792&lt;=5,"L","A")),IF(J792&lt;=19,"L","A"))),IF(OR(H792="ALI",H792="AIE"),IF(K792&gt;=6,IF(J792&gt;=20,"H","A"),IF(K792&gt;=2,IF(J792&gt;=51,"H",IF(J792&lt;=19,"L","A")),IF(J792&lt;=50,"L","A")))))))</f>
        <v/>
      </c>
      <c r="N792" s="46" t="str">
        <f aca="false">IF(M792="L","Baixa",IF(M792="A","Média",IF(M792="","","Alta")))</f>
        <v/>
      </c>
      <c r="O792" s="47" t="str">
        <f aca="false">IF(ISBLANK(H792),"",IF(H792="ALI",IF(M792="L",7,IF(M792="A",10,15)),IF(H792="AIE",IF(M792="L",5,IF(M792="A",7,10)),IF(H792="SE",IF(M792="L",4,IF(M792="A",5,7)),IF(OR(H792="EE",H792="CE"),IF(M792="L",3,IF(M792="A",4,6)))))))</f>
        <v/>
      </c>
      <c r="P792" s="48" t="str">
        <f aca="false">IF(I792="I",O792*Contagem!$W$15,IF(I792="E",O792*Contagem!$W$17,IF(I792="A",O792*Contagem!$W$16,IF(I792="T",O792*Contagem!$W$18,""))))</f>
        <v/>
      </c>
      <c r="Q792" s="49"/>
    </row>
    <row r="793" customFormat="false" ht="12" hidden="false" customHeight="true" outlineLevel="0" collapsed="false">
      <c r="A793" s="40" t="n">
        <f aca="false">IF(H793="",IF(C793="",A792,A792+1),A792)</f>
        <v>62</v>
      </c>
      <c r="B793" s="41" t="str">
        <f aca="false">IF(A793=A792,"",CONCATENATE("F",A793))</f>
        <v/>
      </c>
      <c r="C793" s="42"/>
      <c r="D793" s="42"/>
      <c r="E793" s="42"/>
      <c r="F793" s="42"/>
      <c r="G793" s="42"/>
      <c r="H793" s="44"/>
      <c r="I793" s="50"/>
      <c r="J793" s="44"/>
      <c r="K793" s="44"/>
      <c r="L793" s="44" t="str">
        <f aca="false">CONCATENATE(H793,M793)</f>
        <v/>
      </c>
      <c r="M793" s="45" t="str">
        <f aca="false">IF(OR(ISBLANK(J793),ISBLANK(K793)),IF(OR(H793="ALI",H793="AIE"),"L",IF(ISBLANK(H793),"","A")),IF(H793="EE",IF(K793&gt;=3,IF(J793&gt;=5,"H","A"),IF(K793&gt;=2,IF(J793&gt;=16,"H",IF(J793&lt;=4,"L","A")),IF(J793&lt;=15,"L","A"))),IF(OR(H793="SE",H793="CE"),IF(K793&gt;=4,IF(J793&gt;=6,"H","A"),IF(K793&gt;=2,IF(J793&gt;=20,"H",IF(J793&lt;=5,"L","A")),IF(J793&lt;=19,"L","A"))),IF(OR(H793="ALI",H793="AIE"),IF(K793&gt;=6,IF(J793&gt;=20,"H","A"),IF(K793&gt;=2,IF(J793&gt;=51,"H",IF(J793&lt;=19,"L","A")),IF(J793&lt;=50,"L","A")))))))</f>
        <v/>
      </c>
      <c r="N793" s="46" t="str">
        <f aca="false">IF(M793="L","Baixa",IF(M793="A","Média",IF(M793="","","Alta")))</f>
        <v/>
      </c>
      <c r="O793" s="47" t="str">
        <f aca="false">IF(ISBLANK(H793),"",IF(H793="ALI",IF(M793="L",7,IF(M793="A",10,15)),IF(H793="AIE",IF(M793="L",5,IF(M793="A",7,10)),IF(H793="SE",IF(M793="L",4,IF(M793="A",5,7)),IF(OR(H793="EE",H793="CE"),IF(M793="L",3,IF(M793="A",4,6)))))))</f>
        <v/>
      </c>
      <c r="P793" s="48" t="str">
        <f aca="false">IF(I793="I",O793*Contagem!$W$15,IF(I793="E",O793*Contagem!$W$17,IF(I793="A",O793*Contagem!$W$16,IF(I793="T",O793*Contagem!$W$18,""))))</f>
        <v/>
      </c>
      <c r="Q793" s="49"/>
    </row>
    <row r="794" customFormat="false" ht="12" hidden="false" customHeight="true" outlineLevel="0" collapsed="false">
      <c r="A794" s="40" t="n">
        <f aca="false">IF(H794="",IF(C794="",A793,A793+1),A793)</f>
        <v>62</v>
      </c>
      <c r="B794" s="41" t="str">
        <f aca="false">IF(A794=A793,"",CONCATENATE("F",A794))</f>
        <v/>
      </c>
      <c r="C794" s="42"/>
      <c r="D794" s="42"/>
      <c r="E794" s="42"/>
      <c r="F794" s="42"/>
      <c r="G794" s="42"/>
      <c r="H794" s="44"/>
      <c r="I794" s="50"/>
      <c r="J794" s="44"/>
      <c r="K794" s="44"/>
      <c r="L794" s="44" t="str">
        <f aca="false">CONCATENATE(H794,M794)</f>
        <v/>
      </c>
      <c r="M794" s="45" t="str">
        <f aca="false">IF(OR(ISBLANK(J794),ISBLANK(K794)),IF(OR(H794="ALI",H794="AIE"),"L",IF(ISBLANK(H794),"","A")),IF(H794="EE",IF(K794&gt;=3,IF(J794&gt;=5,"H","A"),IF(K794&gt;=2,IF(J794&gt;=16,"H",IF(J794&lt;=4,"L","A")),IF(J794&lt;=15,"L","A"))),IF(OR(H794="SE",H794="CE"),IF(K794&gt;=4,IF(J794&gt;=6,"H","A"),IF(K794&gt;=2,IF(J794&gt;=20,"H",IF(J794&lt;=5,"L","A")),IF(J794&lt;=19,"L","A"))),IF(OR(H794="ALI",H794="AIE"),IF(K794&gt;=6,IF(J794&gt;=20,"H","A"),IF(K794&gt;=2,IF(J794&gt;=51,"H",IF(J794&lt;=19,"L","A")),IF(J794&lt;=50,"L","A")))))))</f>
        <v/>
      </c>
      <c r="N794" s="46" t="str">
        <f aca="false">IF(M794="L","Baixa",IF(M794="A","Média",IF(M794="","","Alta")))</f>
        <v/>
      </c>
      <c r="O794" s="47" t="str">
        <f aca="false">IF(ISBLANK(H794),"",IF(H794="ALI",IF(M794="L",7,IF(M794="A",10,15)),IF(H794="AIE",IF(M794="L",5,IF(M794="A",7,10)),IF(H794="SE",IF(M794="L",4,IF(M794="A",5,7)),IF(OR(H794="EE",H794="CE"),IF(M794="L",3,IF(M794="A",4,6)))))))</f>
        <v/>
      </c>
      <c r="P794" s="48" t="str">
        <f aca="false">IF(I794="I",O794*Contagem!$W$15,IF(I794="E",O794*Contagem!$W$17,IF(I794="A",O794*Contagem!$W$16,IF(I794="T",O794*Contagem!$W$18,""))))</f>
        <v/>
      </c>
      <c r="Q794" s="49"/>
    </row>
    <row r="795" customFormat="false" ht="12" hidden="false" customHeight="true" outlineLevel="0" collapsed="false">
      <c r="A795" s="40" t="n">
        <f aca="false">IF(H795="",IF(C795="",A794,A794+1),A794)</f>
        <v>62</v>
      </c>
      <c r="B795" s="41" t="str">
        <f aca="false">IF(A795=A794,"",CONCATENATE("F",A795))</f>
        <v/>
      </c>
      <c r="C795" s="42"/>
      <c r="D795" s="42"/>
      <c r="E795" s="42"/>
      <c r="F795" s="42"/>
      <c r="G795" s="42"/>
      <c r="H795" s="44"/>
      <c r="I795" s="50"/>
      <c r="J795" s="44"/>
      <c r="K795" s="44"/>
      <c r="L795" s="44" t="str">
        <f aca="false">CONCATENATE(H795,M795)</f>
        <v/>
      </c>
      <c r="M795" s="45" t="str">
        <f aca="false">IF(OR(ISBLANK(J795),ISBLANK(K795)),IF(OR(H795="ALI",H795="AIE"),"L",IF(ISBLANK(H795),"","A")),IF(H795="EE",IF(K795&gt;=3,IF(J795&gt;=5,"H","A"),IF(K795&gt;=2,IF(J795&gt;=16,"H",IF(J795&lt;=4,"L","A")),IF(J795&lt;=15,"L","A"))),IF(OR(H795="SE",H795="CE"),IF(K795&gt;=4,IF(J795&gt;=6,"H","A"),IF(K795&gt;=2,IF(J795&gt;=20,"H",IF(J795&lt;=5,"L","A")),IF(J795&lt;=19,"L","A"))),IF(OR(H795="ALI",H795="AIE"),IF(K795&gt;=6,IF(J795&gt;=20,"H","A"),IF(K795&gt;=2,IF(J795&gt;=51,"H",IF(J795&lt;=19,"L","A")),IF(J795&lt;=50,"L","A")))))))</f>
        <v/>
      </c>
      <c r="N795" s="46" t="str">
        <f aca="false">IF(M795="L","Baixa",IF(M795="A","Média",IF(M795="","","Alta")))</f>
        <v/>
      </c>
      <c r="O795" s="47" t="str">
        <f aca="false">IF(ISBLANK(H795),"",IF(H795="ALI",IF(M795="L",7,IF(M795="A",10,15)),IF(H795="AIE",IF(M795="L",5,IF(M795="A",7,10)),IF(H795="SE",IF(M795="L",4,IF(M795="A",5,7)),IF(OR(H795="EE",H795="CE"),IF(M795="L",3,IF(M795="A",4,6)))))))</f>
        <v/>
      </c>
      <c r="P795" s="48" t="str">
        <f aca="false">IF(I795="I",O795*Contagem!$W$15,IF(I795="E",O795*Contagem!$W$17,IF(I795="A",O795*Contagem!$W$16,IF(I795="T",O795*Contagem!$W$18,""))))</f>
        <v/>
      </c>
      <c r="Q795" s="49"/>
    </row>
    <row r="796" customFormat="false" ht="12" hidden="false" customHeight="true" outlineLevel="0" collapsed="false">
      <c r="A796" s="40" t="n">
        <f aca="false">IF(H796="",IF(C796="",A795,A795+1),A795)</f>
        <v>62</v>
      </c>
      <c r="B796" s="41" t="str">
        <f aca="false">IF(A796=A795,"",CONCATENATE("F",A796))</f>
        <v/>
      </c>
      <c r="C796" s="42"/>
      <c r="D796" s="42"/>
      <c r="E796" s="42"/>
      <c r="F796" s="42"/>
      <c r="G796" s="42"/>
      <c r="H796" s="44"/>
      <c r="I796" s="50"/>
      <c r="J796" s="44"/>
      <c r="K796" s="44"/>
      <c r="L796" s="44" t="str">
        <f aca="false">CONCATENATE(H796,M796)</f>
        <v/>
      </c>
      <c r="M796" s="45" t="str">
        <f aca="false">IF(OR(ISBLANK(J796),ISBLANK(K796)),IF(OR(H796="ALI",H796="AIE"),"L",IF(ISBLANK(H796),"","A")),IF(H796="EE",IF(K796&gt;=3,IF(J796&gt;=5,"H","A"),IF(K796&gt;=2,IF(J796&gt;=16,"H",IF(J796&lt;=4,"L","A")),IF(J796&lt;=15,"L","A"))),IF(OR(H796="SE",H796="CE"),IF(K796&gt;=4,IF(J796&gt;=6,"H","A"),IF(K796&gt;=2,IF(J796&gt;=20,"H",IF(J796&lt;=5,"L","A")),IF(J796&lt;=19,"L","A"))),IF(OR(H796="ALI",H796="AIE"),IF(K796&gt;=6,IF(J796&gt;=20,"H","A"),IF(K796&gt;=2,IF(J796&gt;=51,"H",IF(J796&lt;=19,"L","A")),IF(J796&lt;=50,"L","A")))))))</f>
        <v/>
      </c>
      <c r="N796" s="46" t="str">
        <f aca="false">IF(M796="L","Baixa",IF(M796="A","Média",IF(M796="","","Alta")))</f>
        <v/>
      </c>
      <c r="O796" s="47" t="str">
        <f aca="false">IF(ISBLANK(H796),"",IF(H796="ALI",IF(M796="L",7,IF(M796="A",10,15)),IF(H796="AIE",IF(M796="L",5,IF(M796="A",7,10)),IF(H796="SE",IF(M796="L",4,IF(M796="A",5,7)),IF(OR(H796="EE",H796="CE"),IF(M796="L",3,IF(M796="A",4,6)))))))</f>
        <v/>
      </c>
      <c r="P796" s="48" t="str">
        <f aca="false">IF(I796="I",O796*Contagem!$W$15,IF(I796="E",O796*Contagem!$W$17,IF(I796="A",O796*Contagem!$W$16,IF(I796="T",O796*Contagem!$W$18,""))))</f>
        <v/>
      </c>
      <c r="Q796" s="49"/>
    </row>
    <row r="797" customFormat="false" ht="12" hidden="false" customHeight="true" outlineLevel="0" collapsed="false">
      <c r="A797" s="40" t="n">
        <f aca="false">IF(H797="",IF(C797="",A796,A796+1),A796)</f>
        <v>62</v>
      </c>
      <c r="B797" s="41" t="str">
        <f aca="false">IF(A797=A796,"",CONCATENATE("F",A797))</f>
        <v/>
      </c>
      <c r="C797" s="42"/>
      <c r="D797" s="42"/>
      <c r="E797" s="42"/>
      <c r="F797" s="42"/>
      <c r="G797" s="42"/>
      <c r="H797" s="44"/>
      <c r="I797" s="50"/>
      <c r="J797" s="44"/>
      <c r="K797" s="44"/>
      <c r="L797" s="44" t="str">
        <f aca="false">CONCATENATE(H797,M797)</f>
        <v/>
      </c>
      <c r="M797" s="45" t="str">
        <f aca="false">IF(OR(ISBLANK(J797),ISBLANK(K797)),IF(OR(H797="ALI",H797="AIE"),"L",IF(ISBLANK(H797),"","A")),IF(H797="EE",IF(K797&gt;=3,IF(J797&gt;=5,"H","A"),IF(K797&gt;=2,IF(J797&gt;=16,"H",IF(J797&lt;=4,"L","A")),IF(J797&lt;=15,"L","A"))),IF(OR(H797="SE",H797="CE"),IF(K797&gt;=4,IF(J797&gt;=6,"H","A"),IF(K797&gt;=2,IF(J797&gt;=20,"H",IF(J797&lt;=5,"L","A")),IF(J797&lt;=19,"L","A"))),IF(OR(H797="ALI",H797="AIE"),IF(K797&gt;=6,IF(J797&gt;=20,"H","A"),IF(K797&gt;=2,IF(J797&gt;=51,"H",IF(J797&lt;=19,"L","A")),IF(J797&lt;=50,"L","A")))))))</f>
        <v/>
      </c>
      <c r="N797" s="46" t="str">
        <f aca="false">IF(M797="L","Baixa",IF(M797="A","Média",IF(M797="","","Alta")))</f>
        <v/>
      </c>
      <c r="O797" s="47" t="str">
        <f aca="false">IF(ISBLANK(H797),"",IF(H797="ALI",IF(M797="L",7,IF(M797="A",10,15)),IF(H797="AIE",IF(M797="L",5,IF(M797="A",7,10)),IF(H797="SE",IF(M797="L",4,IF(M797="A",5,7)),IF(OR(H797="EE",H797="CE"),IF(M797="L",3,IF(M797="A",4,6)))))))</f>
        <v/>
      </c>
      <c r="P797" s="48" t="str">
        <f aca="false">IF(I797="I",O797*Contagem!$W$15,IF(I797="E",O797*Contagem!$W$17,IF(I797="A",O797*Contagem!$W$16,IF(I797="T",O797*Contagem!$W$18,""))))</f>
        <v/>
      </c>
      <c r="Q797" s="49"/>
    </row>
    <row r="798" customFormat="false" ht="12" hidden="false" customHeight="true" outlineLevel="0" collapsed="false">
      <c r="A798" s="40" t="n">
        <f aca="false">IF(H798="",IF(C798="",A797,A797+1),A797)</f>
        <v>62</v>
      </c>
      <c r="B798" s="41" t="str">
        <f aca="false">IF(A798=A797,"",CONCATENATE("F",A798))</f>
        <v/>
      </c>
      <c r="C798" s="42"/>
      <c r="D798" s="42"/>
      <c r="E798" s="42"/>
      <c r="F798" s="42"/>
      <c r="G798" s="42"/>
      <c r="H798" s="44"/>
      <c r="I798" s="50"/>
      <c r="J798" s="44"/>
      <c r="K798" s="44"/>
      <c r="L798" s="44" t="str">
        <f aca="false">CONCATENATE(H798,M798)</f>
        <v/>
      </c>
      <c r="M798" s="45" t="str">
        <f aca="false">IF(OR(ISBLANK(J798),ISBLANK(K798)),IF(OR(H798="ALI",H798="AIE"),"L",IF(ISBLANK(H798),"","A")),IF(H798="EE",IF(K798&gt;=3,IF(J798&gt;=5,"H","A"),IF(K798&gt;=2,IF(J798&gt;=16,"H",IF(J798&lt;=4,"L","A")),IF(J798&lt;=15,"L","A"))),IF(OR(H798="SE",H798="CE"),IF(K798&gt;=4,IF(J798&gt;=6,"H","A"),IF(K798&gt;=2,IF(J798&gt;=20,"H",IF(J798&lt;=5,"L","A")),IF(J798&lt;=19,"L","A"))),IF(OR(H798="ALI",H798="AIE"),IF(K798&gt;=6,IF(J798&gt;=20,"H","A"),IF(K798&gt;=2,IF(J798&gt;=51,"H",IF(J798&lt;=19,"L","A")),IF(J798&lt;=50,"L","A")))))))</f>
        <v/>
      </c>
      <c r="N798" s="46" t="str">
        <f aca="false">IF(M798="L","Baixa",IF(M798="A","Média",IF(M798="","","Alta")))</f>
        <v/>
      </c>
      <c r="O798" s="47" t="str">
        <f aca="false">IF(ISBLANK(H798),"",IF(H798="ALI",IF(M798="L",7,IF(M798="A",10,15)),IF(H798="AIE",IF(M798="L",5,IF(M798="A",7,10)),IF(H798="SE",IF(M798="L",4,IF(M798="A",5,7)),IF(OR(H798="EE",H798="CE"),IF(M798="L",3,IF(M798="A",4,6)))))))</f>
        <v/>
      </c>
      <c r="P798" s="48" t="str">
        <f aca="false">IF(I798="I",O798*Contagem!$W$15,IF(I798="E",O798*Contagem!$W$17,IF(I798="A",O798*Contagem!$W$16,IF(I798="T",O798*Contagem!$W$18,""))))</f>
        <v/>
      </c>
      <c r="Q798" s="49"/>
    </row>
    <row r="799" customFormat="false" ht="12" hidden="false" customHeight="true" outlineLevel="0" collapsed="false">
      <c r="A799" s="40" t="n">
        <f aca="false">IF(H799="",IF(C799="",A798,A798+1),A798)</f>
        <v>62</v>
      </c>
      <c r="B799" s="41" t="str">
        <f aca="false">IF(A799=A798,"",CONCATENATE("F",A799))</f>
        <v/>
      </c>
      <c r="C799" s="42"/>
      <c r="D799" s="42"/>
      <c r="E799" s="42"/>
      <c r="F799" s="42"/>
      <c r="G799" s="42"/>
      <c r="H799" s="44"/>
      <c r="I799" s="50"/>
      <c r="J799" s="44"/>
      <c r="K799" s="44"/>
      <c r="L799" s="44" t="str">
        <f aca="false">CONCATENATE(H799,M799)</f>
        <v/>
      </c>
      <c r="M799" s="45" t="str">
        <f aca="false">IF(OR(ISBLANK(J799),ISBLANK(K799)),IF(OR(H799="ALI",H799="AIE"),"L",IF(ISBLANK(H799),"","A")),IF(H799="EE",IF(K799&gt;=3,IF(J799&gt;=5,"H","A"),IF(K799&gt;=2,IF(J799&gt;=16,"H",IF(J799&lt;=4,"L","A")),IF(J799&lt;=15,"L","A"))),IF(OR(H799="SE",H799="CE"),IF(K799&gt;=4,IF(J799&gt;=6,"H","A"),IF(K799&gt;=2,IF(J799&gt;=20,"H",IF(J799&lt;=5,"L","A")),IF(J799&lt;=19,"L","A"))),IF(OR(H799="ALI",H799="AIE"),IF(K799&gt;=6,IF(J799&gt;=20,"H","A"),IF(K799&gt;=2,IF(J799&gt;=51,"H",IF(J799&lt;=19,"L","A")),IF(J799&lt;=50,"L","A")))))))</f>
        <v/>
      </c>
      <c r="N799" s="46" t="str">
        <f aca="false">IF(M799="L","Baixa",IF(M799="A","Média",IF(M799="","","Alta")))</f>
        <v/>
      </c>
      <c r="O799" s="47" t="str">
        <f aca="false">IF(ISBLANK(H799),"",IF(H799="ALI",IF(M799="L",7,IF(M799="A",10,15)),IF(H799="AIE",IF(M799="L",5,IF(M799="A",7,10)),IF(H799="SE",IF(M799="L",4,IF(M799="A",5,7)),IF(OR(H799="EE",H799="CE"),IF(M799="L",3,IF(M799="A",4,6)))))))</f>
        <v/>
      </c>
      <c r="P799" s="48" t="str">
        <f aca="false">IF(I799="I",O799*Contagem!$W$15,IF(I799="E",O799*Contagem!$W$17,IF(I799="A",O799*Contagem!$W$16,IF(I799="T",O799*Contagem!$W$18,""))))</f>
        <v/>
      </c>
      <c r="Q799" s="49"/>
    </row>
    <row r="800" customFormat="false" ht="12" hidden="false" customHeight="true" outlineLevel="0" collapsed="false">
      <c r="A800" s="40" t="n">
        <f aca="false">IF(H800="",IF(C800="",A799,A799+1),A799)</f>
        <v>62</v>
      </c>
      <c r="B800" s="41" t="str">
        <f aca="false">IF(A800=A799,"",CONCATENATE("F",A800))</f>
        <v/>
      </c>
      <c r="C800" s="42"/>
      <c r="D800" s="42"/>
      <c r="E800" s="42"/>
      <c r="F800" s="42"/>
      <c r="G800" s="42"/>
      <c r="H800" s="44"/>
      <c r="I800" s="50"/>
      <c r="J800" s="44"/>
      <c r="K800" s="44"/>
      <c r="L800" s="44" t="str">
        <f aca="false">CONCATENATE(H800,M800)</f>
        <v/>
      </c>
      <c r="M800" s="45" t="str">
        <f aca="false">IF(OR(ISBLANK(J800),ISBLANK(K800)),IF(OR(H800="ALI",H800="AIE"),"L",IF(ISBLANK(H800),"","A")),IF(H800="EE",IF(K800&gt;=3,IF(J800&gt;=5,"H","A"),IF(K800&gt;=2,IF(J800&gt;=16,"H",IF(J800&lt;=4,"L","A")),IF(J800&lt;=15,"L","A"))),IF(OR(H800="SE",H800="CE"),IF(K800&gt;=4,IF(J800&gt;=6,"H","A"),IF(K800&gt;=2,IF(J800&gt;=20,"H",IF(J800&lt;=5,"L","A")),IF(J800&lt;=19,"L","A"))),IF(OR(H800="ALI",H800="AIE"),IF(K800&gt;=6,IF(J800&gt;=20,"H","A"),IF(K800&gt;=2,IF(J800&gt;=51,"H",IF(J800&lt;=19,"L","A")),IF(J800&lt;=50,"L","A")))))))</f>
        <v/>
      </c>
      <c r="N800" s="46" t="str">
        <f aca="false">IF(M800="L","Baixa",IF(M800="A","Média",IF(M800="","","Alta")))</f>
        <v/>
      </c>
      <c r="O800" s="47" t="str">
        <f aca="false">IF(ISBLANK(H800),"",IF(H800="ALI",IF(M800="L",7,IF(M800="A",10,15)),IF(H800="AIE",IF(M800="L",5,IF(M800="A",7,10)),IF(H800="SE",IF(M800="L",4,IF(M800="A",5,7)),IF(OR(H800="EE",H800="CE"),IF(M800="L",3,IF(M800="A",4,6)))))))</f>
        <v/>
      </c>
      <c r="P800" s="48" t="str">
        <f aca="false">IF(I800="I",O800*Contagem!$W$15,IF(I800="E",O800*Contagem!$W$17,IF(I800="A",O800*Contagem!$W$16,IF(I800="T",O800*Contagem!$W$18,""))))</f>
        <v/>
      </c>
      <c r="Q800" s="49"/>
    </row>
    <row r="801" customFormat="false" ht="12" hidden="false" customHeight="true" outlineLevel="0" collapsed="false">
      <c r="A801" s="40" t="n">
        <f aca="false">IF(H801="",IF(C801="",A800,A800+1),A800)</f>
        <v>62</v>
      </c>
      <c r="B801" s="41" t="str">
        <f aca="false">IF(A801=A800,"",CONCATENATE("F",A801))</f>
        <v/>
      </c>
      <c r="C801" s="42"/>
      <c r="D801" s="42"/>
      <c r="E801" s="42"/>
      <c r="F801" s="42"/>
      <c r="G801" s="42"/>
      <c r="H801" s="44"/>
      <c r="I801" s="50"/>
      <c r="J801" s="44"/>
      <c r="K801" s="44"/>
      <c r="L801" s="44" t="str">
        <f aca="false">CONCATENATE(H801,M801)</f>
        <v/>
      </c>
      <c r="M801" s="45" t="str">
        <f aca="false">IF(OR(ISBLANK(J801),ISBLANK(K801)),IF(OR(H801="ALI",H801="AIE"),"L",IF(ISBLANK(H801),"","A")),IF(H801="EE",IF(K801&gt;=3,IF(J801&gt;=5,"H","A"),IF(K801&gt;=2,IF(J801&gt;=16,"H",IF(J801&lt;=4,"L","A")),IF(J801&lt;=15,"L","A"))),IF(OR(H801="SE",H801="CE"),IF(K801&gt;=4,IF(J801&gt;=6,"H","A"),IF(K801&gt;=2,IF(J801&gt;=20,"H",IF(J801&lt;=5,"L","A")),IF(J801&lt;=19,"L","A"))),IF(OR(H801="ALI",H801="AIE"),IF(K801&gt;=6,IF(J801&gt;=20,"H","A"),IF(K801&gt;=2,IF(J801&gt;=51,"H",IF(J801&lt;=19,"L","A")),IF(J801&lt;=50,"L","A")))))))</f>
        <v/>
      </c>
      <c r="N801" s="46" t="str">
        <f aca="false">IF(M801="L","Baixa",IF(M801="A","Média",IF(M801="","","Alta")))</f>
        <v/>
      </c>
      <c r="O801" s="47" t="str">
        <f aca="false">IF(ISBLANK(H801),"",IF(H801="ALI",IF(M801="L",7,IF(M801="A",10,15)),IF(H801="AIE",IF(M801="L",5,IF(M801="A",7,10)),IF(H801="SE",IF(M801="L",4,IF(M801="A",5,7)),IF(OR(H801="EE",H801="CE"),IF(M801="L",3,IF(M801="A",4,6)))))))</f>
        <v/>
      </c>
      <c r="P801" s="48" t="str">
        <f aca="false">IF(I801="I",O801*Contagem!$W$15,IF(I801="E",O801*Contagem!$W$17,IF(I801="A",O801*Contagem!$W$16,IF(I801="T",O801*Contagem!$W$18,""))))</f>
        <v/>
      </c>
      <c r="Q801" s="49"/>
    </row>
    <row r="802" customFormat="false" ht="12" hidden="false" customHeight="true" outlineLevel="0" collapsed="false">
      <c r="A802" s="40" t="n">
        <f aca="false">IF(H802="",IF(C802="",A801,A801+1),A801)</f>
        <v>62</v>
      </c>
      <c r="B802" s="41" t="str">
        <f aca="false">IF(A802=A801,"",CONCATENATE("F",A802))</f>
        <v/>
      </c>
      <c r="C802" s="42"/>
      <c r="D802" s="42"/>
      <c r="E802" s="42"/>
      <c r="F802" s="42"/>
      <c r="G802" s="42"/>
      <c r="H802" s="44"/>
      <c r="I802" s="50"/>
      <c r="J802" s="44"/>
      <c r="K802" s="44"/>
      <c r="L802" s="44" t="str">
        <f aca="false">CONCATENATE(H802,M802)</f>
        <v/>
      </c>
      <c r="M802" s="45" t="str">
        <f aca="false">IF(OR(ISBLANK(J802),ISBLANK(K802)),IF(OR(H802="ALI",H802="AIE"),"L",IF(ISBLANK(H802),"","A")),IF(H802="EE",IF(K802&gt;=3,IF(J802&gt;=5,"H","A"),IF(K802&gt;=2,IF(J802&gt;=16,"H",IF(J802&lt;=4,"L","A")),IF(J802&lt;=15,"L","A"))),IF(OR(H802="SE",H802="CE"),IF(K802&gt;=4,IF(J802&gt;=6,"H","A"),IF(K802&gt;=2,IF(J802&gt;=20,"H",IF(J802&lt;=5,"L","A")),IF(J802&lt;=19,"L","A"))),IF(OR(H802="ALI",H802="AIE"),IF(K802&gt;=6,IF(J802&gt;=20,"H","A"),IF(K802&gt;=2,IF(J802&gt;=51,"H",IF(J802&lt;=19,"L","A")),IF(J802&lt;=50,"L","A")))))))</f>
        <v/>
      </c>
      <c r="N802" s="46" t="str">
        <f aca="false">IF(M802="L","Baixa",IF(M802="A","Média",IF(M802="","","Alta")))</f>
        <v/>
      </c>
      <c r="O802" s="47" t="str">
        <f aca="false">IF(ISBLANK(H802),"",IF(H802="ALI",IF(M802="L",7,IF(M802="A",10,15)),IF(H802="AIE",IF(M802="L",5,IF(M802="A",7,10)),IF(H802="SE",IF(M802="L",4,IF(M802="A",5,7)),IF(OR(H802="EE",H802="CE"),IF(M802="L",3,IF(M802="A",4,6)))))))</f>
        <v/>
      </c>
      <c r="P802" s="48" t="str">
        <f aca="false">IF(I802="I",O802*Contagem!$W$15,IF(I802="E",O802*Contagem!$W$17,IF(I802="A",O802*Contagem!$W$16,IF(I802="T",O802*Contagem!$W$18,""))))</f>
        <v/>
      </c>
      <c r="Q802" s="49"/>
    </row>
    <row r="803" customFormat="false" ht="12" hidden="false" customHeight="true" outlineLevel="0" collapsed="false">
      <c r="A803" s="40" t="n">
        <f aca="false">IF(H803="",IF(C803="",A802,A802+1),A802)</f>
        <v>62</v>
      </c>
      <c r="B803" s="41" t="str">
        <f aca="false">IF(A803=A802,"",CONCATENATE("F",A803))</f>
        <v/>
      </c>
      <c r="C803" s="42"/>
      <c r="D803" s="42"/>
      <c r="E803" s="42"/>
      <c r="F803" s="42"/>
      <c r="G803" s="42"/>
      <c r="H803" s="44"/>
      <c r="I803" s="50"/>
      <c r="J803" s="44"/>
      <c r="K803" s="44"/>
      <c r="L803" s="44" t="str">
        <f aca="false">CONCATENATE(H803,M803)</f>
        <v/>
      </c>
      <c r="M803" s="45" t="str">
        <f aca="false">IF(OR(ISBLANK(J803),ISBLANK(K803)),IF(OR(H803="ALI",H803="AIE"),"L",IF(ISBLANK(H803),"","A")),IF(H803="EE",IF(K803&gt;=3,IF(J803&gt;=5,"H","A"),IF(K803&gt;=2,IF(J803&gt;=16,"H",IF(J803&lt;=4,"L","A")),IF(J803&lt;=15,"L","A"))),IF(OR(H803="SE",H803="CE"),IF(K803&gt;=4,IF(J803&gt;=6,"H","A"),IF(K803&gt;=2,IF(J803&gt;=20,"H",IF(J803&lt;=5,"L","A")),IF(J803&lt;=19,"L","A"))),IF(OR(H803="ALI",H803="AIE"),IF(K803&gt;=6,IF(J803&gt;=20,"H","A"),IF(K803&gt;=2,IF(J803&gt;=51,"H",IF(J803&lt;=19,"L","A")),IF(J803&lt;=50,"L","A")))))))</f>
        <v/>
      </c>
      <c r="N803" s="46" t="str">
        <f aca="false">IF(M803="L","Baixa",IF(M803="A","Média",IF(M803="","","Alta")))</f>
        <v/>
      </c>
      <c r="O803" s="47" t="str">
        <f aca="false">IF(ISBLANK(H803),"",IF(H803="ALI",IF(M803="L",7,IF(M803="A",10,15)),IF(H803="AIE",IF(M803="L",5,IF(M803="A",7,10)),IF(H803="SE",IF(M803="L",4,IF(M803="A",5,7)),IF(OR(H803="EE",H803="CE"),IF(M803="L",3,IF(M803="A",4,6)))))))</f>
        <v/>
      </c>
      <c r="P803" s="48" t="str">
        <f aca="false">IF(I803="I",O803*Contagem!$W$15,IF(I803="E",O803*Contagem!$W$17,IF(I803="A",O803*Contagem!$W$16,IF(I803="T",O803*Contagem!$W$18,""))))</f>
        <v/>
      </c>
      <c r="Q803" s="49"/>
    </row>
    <row r="804" customFormat="false" ht="12" hidden="false" customHeight="true" outlineLevel="0" collapsed="false">
      <c r="A804" s="40" t="n">
        <f aca="false">IF(H804="",IF(C804="",A803,A803+1),A803)</f>
        <v>62</v>
      </c>
      <c r="B804" s="41" t="str">
        <f aca="false">IF(A804=A803,"",CONCATENATE("F",A804))</f>
        <v/>
      </c>
      <c r="C804" s="42"/>
      <c r="D804" s="42"/>
      <c r="E804" s="42"/>
      <c r="F804" s="42"/>
      <c r="G804" s="42"/>
      <c r="H804" s="44"/>
      <c r="I804" s="50"/>
      <c r="J804" s="44"/>
      <c r="K804" s="44"/>
      <c r="L804" s="44" t="str">
        <f aca="false">CONCATENATE(H804,M804)</f>
        <v/>
      </c>
      <c r="M804" s="45" t="str">
        <f aca="false">IF(OR(ISBLANK(J804),ISBLANK(K804)),IF(OR(H804="ALI",H804="AIE"),"L",IF(ISBLANK(H804),"","A")),IF(H804="EE",IF(K804&gt;=3,IF(J804&gt;=5,"H","A"),IF(K804&gt;=2,IF(J804&gt;=16,"H",IF(J804&lt;=4,"L","A")),IF(J804&lt;=15,"L","A"))),IF(OR(H804="SE",H804="CE"),IF(K804&gt;=4,IF(J804&gt;=6,"H","A"),IF(K804&gt;=2,IF(J804&gt;=20,"H",IF(J804&lt;=5,"L","A")),IF(J804&lt;=19,"L","A"))),IF(OR(H804="ALI",H804="AIE"),IF(K804&gt;=6,IF(J804&gt;=20,"H","A"),IF(K804&gt;=2,IF(J804&gt;=51,"H",IF(J804&lt;=19,"L","A")),IF(J804&lt;=50,"L","A")))))))</f>
        <v/>
      </c>
      <c r="N804" s="46" t="str">
        <f aca="false">IF(M804="L","Baixa",IF(M804="A","Média",IF(M804="","","Alta")))</f>
        <v/>
      </c>
      <c r="O804" s="47" t="str">
        <f aca="false">IF(ISBLANK(H804),"",IF(H804="ALI",IF(M804="L",7,IF(M804="A",10,15)),IF(H804="AIE",IF(M804="L",5,IF(M804="A",7,10)),IF(H804="SE",IF(M804="L",4,IF(M804="A",5,7)),IF(OR(H804="EE",H804="CE"),IF(M804="L",3,IF(M804="A",4,6)))))))</f>
        <v/>
      </c>
      <c r="P804" s="48" t="str">
        <f aca="false">IF(I804="I",O804*Contagem!$W$15,IF(I804="E",O804*Contagem!$W$17,IF(I804="A",O804*Contagem!$W$16,IF(I804="T",O804*Contagem!$W$18,""))))</f>
        <v/>
      </c>
      <c r="Q804" s="49"/>
    </row>
    <row r="805" customFormat="false" ht="12" hidden="false" customHeight="true" outlineLevel="0" collapsed="false">
      <c r="A805" s="40" t="n">
        <f aca="false">IF(H805="",IF(C805="",A804,A804+1),A804)</f>
        <v>62</v>
      </c>
      <c r="B805" s="41" t="str">
        <f aca="false">IF(A805=A804,"",CONCATENATE("F",A805))</f>
        <v/>
      </c>
      <c r="C805" s="42"/>
      <c r="D805" s="42"/>
      <c r="E805" s="42"/>
      <c r="F805" s="42"/>
      <c r="G805" s="42"/>
      <c r="H805" s="44"/>
      <c r="I805" s="50"/>
      <c r="J805" s="44"/>
      <c r="K805" s="44"/>
      <c r="L805" s="44" t="str">
        <f aca="false">CONCATENATE(H805,M805)</f>
        <v/>
      </c>
      <c r="M805" s="45" t="str">
        <f aca="false">IF(OR(ISBLANK(J805),ISBLANK(K805)),IF(OR(H805="ALI",H805="AIE"),"L",IF(ISBLANK(H805),"","A")),IF(H805="EE",IF(K805&gt;=3,IF(J805&gt;=5,"H","A"),IF(K805&gt;=2,IF(J805&gt;=16,"H",IF(J805&lt;=4,"L","A")),IF(J805&lt;=15,"L","A"))),IF(OR(H805="SE",H805="CE"),IF(K805&gt;=4,IF(J805&gt;=6,"H","A"),IF(K805&gt;=2,IF(J805&gt;=20,"H",IF(J805&lt;=5,"L","A")),IF(J805&lt;=19,"L","A"))),IF(OR(H805="ALI",H805="AIE"),IF(K805&gt;=6,IF(J805&gt;=20,"H","A"),IF(K805&gt;=2,IF(J805&gt;=51,"H",IF(J805&lt;=19,"L","A")),IF(J805&lt;=50,"L","A")))))))</f>
        <v/>
      </c>
      <c r="N805" s="46" t="str">
        <f aca="false">IF(M805="L","Baixa",IF(M805="A","Média",IF(M805="","","Alta")))</f>
        <v/>
      </c>
      <c r="O805" s="47" t="str">
        <f aca="false">IF(ISBLANK(H805),"",IF(H805="ALI",IF(M805="L",7,IF(M805="A",10,15)),IF(H805="AIE",IF(M805="L",5,IF(M805="A",7,10)),IF(H805="SE",IF(M805="L",4,IF(M805="A",5,7)),IF(OR(H805="EE",H805="CE"),IF(M805="L",3,IF(M805="A",4,6)))))))</f>
        <v/>
      </c>
      <c r="P805" s="48" t="str">
        <f aca="false">IF(I805="I",O805*Contagem!$W$15,IF(I805="E",O805*Contagem!$W$17,IF(I805="A",O805*Contagem!$W$16,IF(I805="T",O805*Contagem!$W$18,""))))</f>
        <v/>
      </c>
      <c r="Q805" s="49"/>
    </row>
    <row r="806" customFormat="false" ht="12" hidden="false" customHeight="true" outlineLevel="0" collapsed="false">
      <c r="A806" s="40" t="n">
        <f aca="false">IF(H806="",IF(C806="",A805,A805+1),A805)</f>
        <v>62</v>
      </c>
      <c r="B806" s="41" t="str">
        <f aca="false">IF(A806=A805,"",CONCATENATE("F",A806))</f>
        <v/>
      </c>
      <c r="C806" s="42"/>
      <c r="D806" s="42"/>
      <c r="E806" s="42"/>
      <c r="F806" s="42"/>
      <c r="G806" s="42"/>
      <c r="H806" s="44"/>
      <c r="I806" s="50"/>
      <c r="J806" s="44"/>
      <c r="K806" s="44"/>
      <c r="L806" s="44" t="str">
        <f aca="false">CONCATENATE(H806,M806)</f>
        <v/>
      </c>
      <c r="M806" s="45" t="str">
        <f aca="false">IF(OR(ISBLANK(J806),ISBLANK(K806)),IF(OR(H806="ALI",H806="AIE"),"L",IF(ISBLANK(H806),"","A")),IF(H806="EE",IF(K806&gt;=3,IF(J806&gt;=5,"H","A"),IF(K806&gt;=2,IF(J806&gt;=16,"H",IF(J806&lt;=4,"L","A")),IF(J806&lt;=15,"L","A"))),IF(OR(H806="SE",H806="CE"),IF(K806&gt;=4,IF(J806&gt;=6,"H","A"),IF(K806&gt;=2,IF(J806&gt;=20,"H",IF(J806&lt;=5,"L","A")),IF(J806&lt;=19,"L","A"))),IF(OR(H806="ALI",H806="AIE"),IF(K806&gt;=6,IF(J806&gt;=20,"H","A"),IF(K806&gt;=2,IF(J806&gt;=51,"H",IF(J806&lt;=19,"L","A")),IF(J806&lt;=50,"L","A")))))))</f>
        <v/>
      </c>
      <c r="N806" s="46" t="str">
        <f aca="false">IF(M806="L","Baixa",IF(M806="A","Média",IF(M806="","","Alta")))</f>
        <v/>
      </c>
      <c r="O806" s="47" t="str">
        <f aca="false">IF(ISBLANK(H806),"",IF(H806="ALI",IF(M806="L",7,IF(M806="A",10,15)),IF(H806="AIE",IF(M806="L",5,IF(M806="A",7,10)),IF(H806="SE",IF(M806="L",4,IF(M806="A",5,7)),IF(OR(H806="EE",H806="CE"),IF(M806="L",3,IF(M806="A",4,6)))))))</f>
        <v/>
      </c>
      <c r="P806" s="48" t="str">
        <f aca="false">IF(I806="I",O806*Contagem!$W$15,IF(I806="E",O806*Contagem!$W$17,IF(I806="A",O806*Contagem!$W$16,IF(I806="T",O806*Contagem!$W$18,""))))</f>
        <v/>
      </c>
      <c r="Q806" s="49"/>
    </row>
    <row r="807" customFormat="false" ht="12" hidden="false" customHeight="true" outlineLevel="0" collapsed="false">
      <c r="A807" s="40" t="n">
        <f aca="false">IF(H807="",IF(C807="",A806,A806+1),A806)</f>
        <v>62</v>
      </c>
      <c r="B807" s="41" t="str">
        <f aca="false">IF(A807=A806,"",CONCATENATE("F",A807))</f>
        <v/>
      </c>
      <c r="C807" s="42"/>
      <c r="D807" s="42"/>
      <c r="E807" s="42"/>
      <c r="F807" s="42"/>
      <c r="G807" s="42"/>
      <c r="H807" s="44"/>
      <c r="I807" s="50"/>
      <c r="J807" s="44"/>
      <c r="K807" s="44"/>
      <c r="L807" s="44" t="str">
        <f aca="false">CONCATENATE(H807,M807)</f>
        <v/>
      </c>
      <c r="M807" s="45" t="str">
        <f aca="false">IF(OR(ISBLANK(J807),ISBLANK(K807)),IF(OR(H807="ALI",H807="AIE"),"L",IF(ISBLANK(H807),"","A")),IF(H807="EE",IF(K807&gt;=3,IF(J807&gt;=5,"H","A"),IF(K807&gt;=2,IF(J807&gt;=16,"H",IF(J807&lt;=4,"L","A")),IF(J807&lt;=15,"L","A"))),IF(OR(H807="SE",H807="CE"),IF(K807&gt;=4,IF(J807&gt;=6,"H","A"),IF(K807&gt;=2,IF(J807&gt;=20,"H",IF(J807&lt;=5,"L","A")),IF(J807&lt;=19,"L","A"))),IF(OR(H807="ALI",H807="AIE"),IF(K807&gt;=6,IF(J807&gt;=20,"H","A"),IF(K807&gt;=2,IF(J807&gt;=51,"H",IF(J807&lt;=19,"L","A")),IF(J807&lt;=50,"L","A")))))))</f>
        <v/>
      </c>
      <c r="N807" s="46" t="str">
        <f aca="false">IF(M807="L","Baixa",IF(M807="A","Média",IF(M807="","","Alta")))</f>
        <v/>
      </c>
      <c r="O807" s="47" t="str">
        <f aca="false">IF(ISBLANK(H807),"",IF(H807="ALI",IF(M807="L",7,IF(M807="A",10,15)),IF(H807="AIE",IF(M807="L",5,IF(M807="A",7,10)),IF(H807="SE",IF(M807="L",4,IF(M807="A",5,7)),IF(OR(H807="EE",H807="CE"),IF(M807="L",3,IF(M807="A",4,6)))))))</f>
        <v/>
      </c>
      <c r="P807" s="48" t="str">
        <f aca="false">IF(I807="I",O807*Contagem!$W$15,IF(I807="E",O807*Contagem!$W$17,IF(I807="A",O807*Contagem!$W$16,IF(I807="T",O807*Contagem!$W$18,""))))</f>
        <v/>
      </c>
      <c r="Q807" s="49"/>
    </row>
    <row r="808" customFormat="false" ht="12" hidden="false" customHeight="true" outlineLevel="0" collapsed="false">
      <c r="A808" s="40" t="n">
        <f aca="false">IF(H808="",IF(C808="",A807,A807+1),A807)</f>
        <v>62</v>
      </c>
      <c r="B808" s="41" t="str">
        <f aca="false">IF(A808=A807,"",CONCATENATE("F",A808))</f>
        <v/>
      </c>
      <c r="C808" s="42"/>
      <c r="D808" s="42"/>
      <c r="E808" s="42"/>
      <c r="F808" s="42"/>
      <c r="G808" s="42"/>
      <c r="H808" s="44"/>
      <c r="I808" s="50"/>
      <c r="J808" s="44"/>
      <c r="K808" s="44"/>
      <c r="L808" s="44" t="str">
        <f aca="false">CONCATENATE(H808,M808)</f>
        <v/>
      </c>
      <c r="M808" s="45" t="str">
        <f aca="false">IF(OR(ISBLANK(J808),ISBLANK(K808)),IF(OR(H808="ALI",H808="AIE"),"L",IF(ISBLANK(H808),"","A")),IF(H808="EE",IF(K808&gt;=3,IF(J808&gt;=5,"H","A"),IF(K808&gt;=2,IF(J808&gt;=16,"H",IF(J808&lt;=4,"L","A")),IF(J808&lt;=15,"L","A"))),IF(OR(H808="SE",H808="CE"),IF(K808&gt;=4,IF(J808&gt;=6,"H","A"),IF(K808&gt;=2,IF(J808&gt;=20,"H",IF(J808&lt;=5,"L","A")),IF(J808&lt;=19,"L","A"))),IF(OR(H808="ALI",H808="AIE"),IF(K808&gt;=6,IF(J808&gt;=20,"H","A"),IF(K808&gt;=2,IF(J808&gt;=51,"H",IF(J808&lt;=19,"L","A")),IF(J808&lt;=50,"L","A")))))))</f>
        <v/>
      </c>
      <c r="N808" s="46" t="str">
        <f aca="false">IF(M808="L","Baixa",IF(M808="A","Média",IF(M808="","","Alta")))</f>
        <v/>
      </c>
      <c r="O808" s="47" t="str">
        <f aca="false">IF(ISBLANK(H808),"",IF(H808="ALI",IF(M808="L",7,IF(M808="A",10,15)),IF(H808="AIE",IF(M808="L",5,IF(M808="A",7,10)),IF(H808="SE",IF(M808="L",4,IF(M808="A",5,7)),IF(OR(H808="EE",H808="CE"),IF(M808="L",3,IF(M808="A",4,6)))))))</f>
        <v/>
      </c>
      <c r="P808" s="48" t="str">
        <f aca="false">IF(I808="I",O808*Contagem!$W$15,IF(I808="E",O808*Contagem!$W$17,IF(I808="A",O808*Contagem!$W$16,IF(I808="T",O808*Contagem!$W$18,""))))</f>
        <v/>
      </c>
      <c r="Q808" s="49"/>
    </row>
    <row r="809" customFormat="false" ht="12" hidden="false" customHeight="true" outlineLevel="0" collapsed="false">
      <c r="A809" s="40" t="n">
        <f aca="false">IF(H809="",IF(C809="",A808,A808+1),A808)</f>
        <v>62</v>
      </c>
      <c r="B809" s="41" t="str">
        <f aca="false">IF(A809=A808,"",CONCATENATE("F",A809))</f>
        <v/>
      </c>
      <c r="C809" s="42"/>
      <c r="D809" s="42"/>
      <c r="E809" s="42"/>
      <c r="F809" s="42"/>
      <c r="G809" s="42"/>
      <c r="H809" s="44"/>
      <c r="I809" s="50"/>
      <c r="J809" s="44"/>
      <c r="K809" s="44"/>
      <c r="L809" s="44" t="str">
        <f aca="false">CONCATENATE(H809,M809)</f>
        <v/>
      </c>
      <c r="M809" s="45" t="str">
        <f aca="false">IF(OR(ISBLANK(J809),ISBLANK(K809)),IF(OR(H809="ALI",H809="AIE"),"L",IF(ISBLANK(H809),"","A")),IF(H809="EE",IF(K809&gt;=3,IF(J809&gt;=5,"H","A"),IF(K809&gt;=2,IF(J809&gt;=16,"H",IF(J809&lt;=4,"L","A")),IF(J809&lt;=15,"L","A"))),IF(OR(H809="SE",H809="CE"),IF(K809&gt;=4,IF(J809&gt;=6,"H","A"),IF(K809&gt;=2,IF(J809&gt;=20,"H",IF(J809&lt;=5,"L","A")),IF(J809&lt;=19,"L","A"))),IF(OR(H809="ALI",H809="AIE"),IF(K809&gt;=6,IF(J809&gt;=20,"H","A"),IF(K809&gt;=2,IF(J809&gt;=51,"H",IF(J809&lt;=19,"L","A")),IF(J809&lt;=50,"L","A")))))))</f>
        <v/>
      </c>
      <c r="N809" s="46" t="str">
        <f aca="false">IF(M809="L","Baixa",IF(M809="A","Média",IF(M809="","","Alta")))</f>
        <v/>
      </c>
      <c r="O809" s="47" t="str">
        <f aca="false">IF(ISBLANK(H809),"",IF(H809="ALI",IF(M809="L",7,IF(M809="A",10,15)),IF(H809="AIE",IF(M809="L",5,IF(M809="A",7,10)),IF(H809="SE",IF(M809="L",4,IF(M809="A",5,7)),IF(OR(H809="EE",H809="CE"),IF(M809="L",3,IF(M809="A",4,6)))))))</f>
        <v/>
      </c>
      <c r="P809" s="48" t="str">
        <f aca="false">IF(I809="I",O809*Contagem!$W$15,IF(I809="E",O809*Contagem!$W$17,IF(I809="A",O809*Contagem!$W$16,IF(I809="T",O809*Contagem!$W$18,""))))</f>
        <v/>
      </c>
      <c r="Q809" s="49"/>
    </row>
    <row r="810" customFormat="false" ht="12" hidden="false" customHeight="true" outlineLevel="0" collapsed="false">
      <c r="A810" s="40" t="n">
        <f aca="false">IF(H810="",IF(C810="",A809,A809+1),A809)</f>
        <v>62</v>
      </c>
      <c r="B810" s="41" t="str">
        <f aca="false">IF(A810=A809,"",CONCATENATE("F",A810))</f>
        <v/>
      </c>
      <c r="C810" s="42"/>
      <c r="D810" s="42"/>
      <c r="E810" s="42"/>
      <c r="F810" s="42"/>
      <c r="G810" s="42"/>
      <c r="H810" s="44"/>
      <c r="I810" s="50"/>
      <c r="J810" s="44"/>
      <c r="K810" s="44"/>
      <c r="L810" s="44" t="str">
        <f aca="false">CONCATENATE(H810,M810)</f>
        <v/>
      </c>
      <c r="M810" s="45" t="str">
        <f aca="false">IF(OR(ISBLANK(J810),ISBLANK(K810)),IF(OR(H810="ALI",H810="AIE"),"L",IF(ISBLANK(H810),"","A")),IF(H810="EE",IF(K810&gt;=3,IF(J810&gt;=5,"H","A"),IF(K810&gt;=2,IF(J810&gt;=16,"H",IF(J810&lt;=4,"L","A")),IF(J810&lt;=15,"L","A"))),IF(OR(H810="SE",H810="CE"),IF(K810&gt;=4,IF(J810&gt;=6,"H","A"),IF(K810&gt;=2,IF(J810&gt;=20,"H",IF(J810&lt;=5,"L","A")),IF(J810&lt;=19,"L","A"))),IF(OR(H810="ALI",H810="AIE"),IF(K810&gt;=6,IF(J810&gt;=20,"H","A"),IF(K810&gt;=2,IF(J810&gt;=51,"H",IF(J810&lt;=19,"L","A")),IF(J810&lt;=50,"L","A")))))))</f>
        <v/>
      </c>
      <c r="N810" s="46" t="str">
        <f aca="false">IF(M810="L","Baixa",IF(M810="A","Média",IF(M810="","","Alta")))</f>
        <v/>
      </c>
      <c r="O810" s="47" t="str">
        <f aca="false">IF(ISBLANK(H810),"",IF(H810="ALI",IF(M810="L",7,IF(M810="A",10,15)),IF(H810="AIE",IF(M810="L",5,IF(M810="A",7,10)),IF(H810="SE",IF(M810="L",4,IF(M810="A",5,7)),IF(OR(H810="EE",H810="CE"),IF(M810="L",3,IF(M810="A",4,6)))))))</f>
        <v/>
      </c>
      <c r="P810" s="48" t="str">
        <f aca="false">IF(I810="I",O810*Contagem!$W$15,IF(I810="E",O810*Contagem!$W$17,IF(I810="A",O810*Contagem!$W$16,IF(I810="T",O810*Contagem!$W$18,""))))</f>
        <v/>
      </c>
      <c r="Q810" s="49"/>
    </row>
    <row r="811" customFormat="false" ht="12" hidden="false" customHeight="true" outlineLevel="0" collapsed="false">
      <c r="A811" s="40" t="n">
        <f aca="false">IF(H811="",IF(C811="",A810,A810+1),A810)</f>
        <v>62</v>
      </c>
      <c r="B811" s="41" t="str">
        <f aca="false">IF(A811=A810,"",CONCATENATE("F",A811))</f>
        <v/>
      </c>
      <c r="C811" s="42"/>
      <c r="D811" s="42"/>
      <c r="E811" s="42"/>
      <c r="F811" s="42"/>
      <c r="G811" s="42"/>
      <c r="H811" s="44"/>
      <c r="I811" s="50"/>
      <c r="J811" s="44"/>
      <c r="K811" s="44"/>
      <c r="L811" s="44" t="str">
        <f aca="false">CONCATENATE(H811,M811)</f>
        <v/>
      </c>
      <c r="M811" s="45" t="str">
        <f aca="false">IF(OR(ISBLANK(J811),ISBLANK(K811)),IF(OR(H811="ALI",H811="AIE"),"L",IF(ISBLANK(H811),"","A")),IF(H811="EE",IF(K811&gt;=3,IF(J811&gt;=5,"H","A"),IF(K811&gt;=2,IF(J811&gt;=16,"H",IF(J811&lt;=4,"L","A")),IF(J811&lt;=15,"L","A"))),IF(OR(H811="SE",H811="CE"),IF(K811&gt;=4,IF(J811&gt;=6,"H","A"),IF(K811&gt;=2,IF(J811&gt;=20,"H",IF(J811&lt;=5,"L","A")),IF(J811&lt;=19,"L","A"))),IF(OR(H811="ALI",H811="AIE"),IF(K811&gt;=6,IF(J811&gt;=20,"H","A"),IF(K811&gt;=2,IF(J811&gt;=51,"H",IF(J811&lt;=19,"L","A")),IF(J811&lt;=50,"L","A")))))))</f>
        <v/>
      </c>
      <c r="N811" s="46" t="str">
        <f aca="false">IF(M811="L","Baixa",IF(M811="A","Média",IF(M811="","","Alta")))</f>
        <v/>
      </c>
      <c r="O811" s="47" t="str">
        <f aca="false">IF(ISBLANK(H811),"",IF(H811="ALI",IF(M811="L",7,IF(M811="A",10,15)),IF(H811="AIE",IF(M811="L",5,IF(M811="A",7,10)),IF(H811="SE",IF(M811="L",4,IF(M811="A",5,7)),IF(OR(H811="EE",H811="CE"),IF(M811="L",3,IF(M811="A",4,6)))))))</f>
        <v/>
      </c>
      <c r="P811" s="48" t="str">
        <f aca="false">IF(I811="I",O811*Contagem!$W$15,IF(I811="E",O811*Contagem!$W$17,IF(I811="A",O811*Contagem!$W$16,IF(I811="T",O811*Contagem!$W$18,""))))</f>
        <v/>
      </c>
      <c r="Q811" s="49"/>
    </row>
    <row r="812" customFormat="false" ht="12" hidden="false" customHeight="true" outlineLevel="0" collapsed="false">
      <c r="A812" s="40" t="n">
        <f aca="false">IF(H812="",IF(C812="",A811,A811+1),A811)</f>
        <v>62</v>
      </c>
      <c r="B812" s="41" t="str">
        <f aca="false">IF(A812=A811,"",CONCATENATE("F",A812))</f>
        <v/>
      </c>
      <c r="C812" s="42"/>
      <c r="D812" s="42"/>
      <c r="E812" s="42"/>
      <c r="F812" s="42"/>
      <c r="G812" s="42"/>
      <c r="H812" s="44"/>
      <c r="I812" s="50"/>
      <c r="J812" s="44"/>
      <c r="K812" s="44"/>
      <c r="L812" s="44" t="str">
        <f aca="false">CONCATENATE(H812,M812)</f>
        <v/>
      </c>
      <c r="M812" s="45" t="str">
        <f aca="false">IF(OR(ISBLANK(J812),ISBLANK(K812)),IF(OR(H812="ALI",H812="AIE"),"L",IF(ISBLANK(H812),"","A")),IF(H812="EE",IF(K812&gt;=3,IF(J812&gt;=5,"H","A"),IF(K812&gt;=2,IF(J812&gt;=16,"H",IF(J812&lt;=4,"L","A")),IF(J812&lt;=15,"L","A"))),IF(OR(H812="SE",H812="CE"),IF(K812&gt;=4,IF(J812&gt;=6,"H","A"),IF(K812&gt;=2,IF(J812&gt;=20,"H",IF(J812&lt;=5,"L","A")),IF(J812&lt;=19,"L","A"))),IF(OR(H812="ALI",H812="AIE"),IF(K812&gt;=6,IF(J812&gt;=20,"H","A"),IF(K812&gt;=2,IF(J812&gt;=51,"H",IF(J812&lt;=19,"L","A")),IF(J812&lt;=50,"L","A")))))))</f>
        <v/>
      </c>
      <c r="N812" s="46" t="str">
        <f aca="false">IF(M812="L","Baixa",IF(M812="A","Média",IF(M812="","","Alta")))</f>
        <v/>
      </c>
      <c r="O812" s="47" t="str">
        <f aca="false">IF(ISBLANK(H812),"",IF(H812="ALI",IF(M812="L",7,IF(M812="A",10,15)),IF(H812="AIE",IF(M812="L",5,IF(M812="A",7,10)),IF(H812="SE",IF(M812="L",4,IF(M812="A",5,7)),IF(OR(H812="EE",H812="CE"),IF(M812="L",3,IF(M812="A",4,6)))))))</f>
        <v/>
      </c>
      <c r="P812" s="48" t="str">
        <f aca="false">IF(I812="I",O812*Contagem!$W$15,IF(I812="E",O812*Contagem!$W$17,IF(I812="A",O812*Contagem!$W$16,IF(I812="T",O812*Contagem!$W$18,""))))</f>
        <v/>
      </c>
      <c r="Q812" s="49"/>
    </row>
    <row r="813" customFormat="false" ht="12" hidden="false" customHeight="true" outlineLevel="0" collapsed="false">
      <c r="A813" s="40" t="n">
        <f aca="false">IF(H813="",IF(C813="",A812,A812+1),A812)</f>
        <v>62</v>
      </c>
      <c r="B813" s="41" t="str">
        <f aca="false">IF(A813=A812,"",CONCATENATE("F",A813))</f>
        <v/>
      </c>
      <c r="C813" s="42"/>
      <c r="D813" s="42"/>
      <c r="E813" s="42"/>
      <c r="F813" s="42"/>
      <c r="G813" s="42"/>
      <c r="H813" s="44"/>
      <c r="I813" s="50"/>
      <c r="J813" s="44"/>
      <c r="K813" s="44"/>
      <c r="L813" s="44" t="str">
        <f aca="false">CONCATENATE(H813,M813)</f>
        <v/>
      </c>
      <c r="M813" s="45" t="str">
        <f aca="false">IF(OR(ISBLANK(J813),ISBLANK(K813)),IF(OR(H813="ALI",H813="AIE"),"L",IF(ISBLANK(H813),"","A")),IF(H813="EE",IF(K813&gt;=3,IF(J813&gt;=5,"H","A"),IF(K813&gt;=2,IF(J813&gt;=16,"H",IF(J813&lt;=4,"L","A")),IF(J813&lt;=15,"L","A"))),IF(OR(H813="SE",H813="CE"),IF(K813&gt;=4,IF(J813&gt;=6,"H","A"),IF(K813&gt;=2,IF(J813&gt;=20,"H",IF(J813&lt;=5,"L","A")),IF(J813&lt;=19,"L","A"))),IF(OR(H813="ALI",H813="AIE"),IF(K813&gt;=6,IF(J813&gt;=20,"H","A"),IF(K813&gt;=2,IF(J813&gt;=51,"H",IF(J813&lt;=19,"L","A")),IF(J813&lt;=50,"L","A")))))))</f>
        <v/>
      </c>
      <c r="N813" s="46" t="str">
        <f aca="false">IF(M813="L","Baixa",IF(M813="A","Média",IF(M813="","","Alta")))</f>
        <v/>
      </c>
      <c r="O813" s="47" t="str">
        <f aca="false">IF(ISBLANK(H813),"",IF(H813="ALI",IF(M813="L",7,IF(M813="A",10,15)),IF(H813="AIE",IF(M813="L",5,IF(M813="A",7,10)),IF(H813="SE",IF(M813="L",4,IF(M813="A",5,7)),IF(OR(H813="EE",H813="CE"),IF(M813="L",3,IF(M813="A",4,6)))))))</f>
        <v/>
      </c>
      <c r="P813" s="48" t="str">
        <f aca="false">IF(I813="I",O813*Contagem!$W$15,IF(I813="E",O813*Contagem!$W$17,IF(I813="A",O813*Contagem!$W$16,IF(I813="T",O813*Contagem!$W$18,""))))</f>
        <v/>
      </c>
      <c r="Q813" s="49"/>
    </row>
    <row r="814" customFormat="false" ht="12" hidden="false" customHeight="true" outlineLevel="0" collapsed="false">
      <c r="A814" s="40" t="n">
        <f aca="false">IF(H814="",IF(C814="",A813,A813+1),A813)</f>
        <v>62</v>
      </c>
      <c r="B814" s="41" t="str">
        <f aca="false">IF(A814=A813,"",CONCATENATE("F",A814))</f>
        <v/>
      </c>
      <c r="C814" s="42"/>
      <c r="D814" s="42"/>
      <c r="E814" s="42"/>
      <c r="F814" s="42"/>
      <c r="G814" s="42"/>
      <c r="H814" s="44"/>
      <c r="I814" s="50"/>
      <c r="J814" s="44"/>
      <c r="K814" s="44"/>
      <c r="L814" s="44" t="str">
        <f aca="false">CONCATENATE(H814,M814)</f>
        <v/>
      </c>
      <c r="M814" s="45" t="str">
        <f aca="false">IF(OR(ISBLANK(J814),ISBLANK(K814)),IF(OR(H814="ALI",H814="AIE"),"L",IF(ISBLANK(H814),"","A")),IF(H814="EE",IF(K814&gt;=3,IF(J814&gt;=5,"H","A"),IF(K814&gt;=2,IF(J814&gt;=16,"H",IF(J814&lt;=4,"L","A")),IF(J814&lt;=15,"L","A"))),IF(OR(H814="SE",H814="CE"),IF(K814&gt;=4,IF(J814&gt;=6,"H","A"),IF(K814&gt;=2,IF(J814&gt;=20,"H",IF(J814&lt;=5,"L","A")),IF(J814&lt;=19,"L","A"))),IF(OR(H814="ALI",H814="AIE"),IF(K814&gt;=6,IF(J814&gt;=20,"H","A"),IF(K814&gt;=2,IF(J814&gt;=51,"H",IF(J814&lt;=19,"L","A")),IF(J814&lt;=50,"L","A")))))))</f>
        <v/>
      </c>
      <c r="N814" s="46" t="str">
        <f aca="false">IF(M814="L","Baixa",IF(M814="A","Média",IF(M814="","","Alta")))</f>
        <v/>
      </c>
      <c r="O814" s="47" t="str">
        <f aca="false">IF(ISBLANK(H814),"",IF(H814="ALI",IF(M814="L",7,IF(M814="A",10,15)),IF(H814="AIE",IF(M814="L",5,IF(M814="A",7,10)),IF(H814="SE",IF(M814="L",4,IF(M814="A",5,7)),IF(OR(H814="EE",H814="CE"),IF(M814="L",3,IF(M814="A",4,6)))))))</f>
        <v/>
      </c>
      <c r="P814" s="48" t="str">
        <f aca="false">IF(I814="I",O814*Contagem!$W$15,IF(I814="E",O814*Contagem!$W$17,IF(I814="A",O814*Contagem!$W$16,IF(I814="T",O814*Contagem!$W$18,""))))</f>
        <v/>
      </c>
      <c r="Q814" s="49"/>
    </row>
    <row r="815" customFormat="false" ht="12" hidden="false" customHeight="true" outlineLevel="0" collapsed="false">
      <c r="A815" s="40" t="n">
        <f aca="false">IF(H815="",IF(C815="",A814,A814+1),A814)</f>
        <v>62</v>
      </c>
      <c r="B815" s="41" t="str">
        <f aca="false">IF(A815=A814,"",CONCATENATE("F",A815))</f>
        <v/>
      </c>
      <c r="C815" s="42"/>
      <c r="D815" s="42"/>
      <c r="E815" s="42"/>
      <c r="F815" s="42"/>
      <c r="G815" s="42"/>
      <c r="H815" s="44"/>
      <c r="I815" s="50"/>
      <c r="J815" s="44"/>
      <c r="K815" s="44"/>
      <c r="L815" s="44" t="str">
        <f aca="false">CONCATENATE(H815,M815)</f>
        <v/>
      </c>
      <c r="M815" s="45" t="str">
        <f aca="false">IF(OR(ISBLANK(J815),ISBLANK(K815)),IF(OR(H815="ALI",H815="AIE"),"L",IF(ISBLANK(H815),"","A")),IF(H815="EE",IF(K815&gt;=3,IF(J815&gt;=5,"H","A"),IF(K815&gt;=2,IF(J815&gt;=16,"H",IF(J815&lt;=4,"L","A")),IF(J815&lt;=15,"L","A"))),IF(OR(H815="SE",H815="CE"),IF(K815&gt;=4,IF(J815&gt;=6,"H","A"),IF(K815&gt;=2,IF(J815&gt;=20,"H",IF(J815&lt;=5,"L","A")),IF(J815&lt;=19,"L","A"))),IF(OR(H815="ALI",H815="AIE"),IF(K815&gt;=6,IF(J815&gt;=20,"H","A"),IF(K815&gt;=2,IF(J815&gt;=51,"H",IF(J815&lt;=19,"L","A")),IF(J815&lt;=50,"L","A")))))))</f>
        <v/>
      </c>
      <c r="N815" s="46" t="str">
        <f aca="false">IF(M815="L","Baixa",IF(M815="A","Média",IF(M815="","","Alta")))</f>
        <v/>
      </c>
      <c r="O815" s="47" t="str">
        <f aca="false">IF(ISBLANK(H815),"",IF(H815="ALI",IF(M815="L",7,IF(M815="A",10,15)),IF(H815="AIE",IF(M815="L",5,IF(M815="A",7,10)),IF(H815="SE",IF(M815="L",4,IF(M815="A",5,7)),IF(OR(H815="EE",H815="CE"),IF(M815="L",3,IF(M815="A",4,6)))))))</f>
        <v/>
      </c>
      <c r="P815" s="48" t="str">
        <f aca="false">IF(I815="I",O815*Contagem!$W$15,IF(I815="E",O815*Contagem!$W$17,IF(I815="A",O815*Contagem!$W$16,IF(I815="T",O815*Contagem!$W$18,""))))</f>
        <v/>
      </c>
      <c r="Q815" s="49"/>
    </row>
    <row r="816" customFormat="false" ht="12" hidden="false" customHeight="true" outlineLevel="0" collapsed="false">
      <c r="A816" s="40" t="n">
        <f aca="false">IF(H816="",IF(C816="",A815,A815+1),A815)</f>
        <v>62</v>
      </c>
      <c r="B816" s="41" t="str">
        <f aca="false">IF(A816=A815,"",CONCATENATE("F",A816))</f>
        <v/>
      </c>
      <c r="C816" s="42"/>
      <c r="D816" s="42"/>
      <c r="E816" s="42"/>
      <c r="F816" s="42"/>
      <c r="G816" s="42"/>
      <c r="H816" s="44"/>
      <c r="I816" s="50"/>
      <c r="J816" s="44"/>
      <c r="K816" s="44"/>
      <c r="L816" s="44" t="str">
        <f aca="false">CONCATENATE(H816,M816)</f>
        <v/>
      </c>
      <c r="M816" s="45" t="str">
        <f aca="false">IF(OR(ISBLANK(J816),ISBLANK(K816)),IF(OR(H816="ALI",H816="AIE"),"L",IF(ISBLANK(H816),"","A")),IF(H816="EE",IF(K816&gt;=3,IF(J816&gt;=5,"H","A"),IF(K816&gt;=2,IF(J816&gt;=16,"H",IF(J816&lt;=4,"L","A")),IF(J816&lt;=15,"L","A"))),IF(OR(H816="SE",H816="CE"),IF(K816&gt;=4,IF(J816&gt;=6,"H","A"),IF(K816&gt;=2,IF(J816&gt;=20,"H",IF(J816&lt;=5,"L","A")),IF(J816&lt;=19,"L","A"))),IF(OR(H816="ALI",H816="AIE"),IF(K816&gt;=6,IF(J816&gt;=20,"H","A"),IF(K816&gt;=2,IF(J816&gt;=51,"H",IF(J816&lt;=19,"L","A")),IF(J816&lt;=50,"L","A")))))))</f>
        <v/>
      </c>
      <c r="N816" s="46" t="str">
        <f aca="false">IF(M816="L","Baixa",IF(M816="A","Média",IF(M816="","","Alta")))</f>
        <v/>
      </c>
      <c r="O816" s="47" t="str">
        <f aca="false">IF(ISBLANK(H816),"",IF(H816="ALI",IF(M816="L",7,IF(M816="A",10,15)),IF(H816="AIE",IF(M816="L",5,IF(M816="A",7,10)),IF(H816="SE",IF(M816="L",4,IF(M816="A",5,7)),IF(OR(H816="EE",H816="CE"),IF(M816="L",3,IF(M816="A",4,6)))))))</f>
        <v/>
      </c>
      <c r="P816" s="48" t="str">
        <f aca="false">IF(I816="I",O816*Contagem!$W$15,IF(I816="E",O816*Contagem!$W$17,IF(I816="A",O816*Contagem!$W$16,IF(I816="T",O816*Contagem!$W$18,""))))</f>
        <v/>
      </c>
      <c r="Q816" s="49"/>
    </row>
    <row r="817" customFormat="false" ht="12" hidden="false" customHeight="true" outlineLevel="0" collapsed="false">
      <c r="A817" s="40" t="n">
        <f aca="false">IF(H817="",IF(C817="",A816,A816+1),A816)</f>
        <v>62</v>
      </c>
      <c r="B817" s="41" t="str">
        <f aca="false">IF(A817=A816,"",CONCATENATE("F",A817))</f>
        <v/>
      </c>
      <c r="C817" s="42"/>
      <c r="D817" s="42"/>
      <c r="E817" s="42"/>
      <c r="F817" s="42"/>
      <c r="G817" s="42"/>
      <c r="H817" s="44"/>
      <c r="I817" s="50"/>
      <c r="J817" s="44"/>
      <c r="K817" s="44"/>
      <c r="L817" s="44" t="str">
        <f aca="false">CONCATENATE(H817,M817)</f>
        <v/>
      </c>
      <c r="M817" s="45" t="str">
        <f aca="false">IF(OR(ISBLANK(J817),ISBLANK(K817)),IF(OR(H817="ALI",H817="AIE"),"L",IF(ISBLANK(H817),"","A")),IF(H817="EE",IF(K817&gt;=3,IF(J817&gt;=5,"H","A"),IF(K817&gt;=2,IF(J817&gt;=16,"H",IF(J817&lt;=4,"L","A")),IF(J817&lt;=15,"L","A"))),IF(OR(H817="SE",H817="CE"),IF(K817&gt;=4,IF(J817&gt;=6,"H","A"),IF(K817&gt;=2,IF(J817&gt;=20,"H",IF(J817&lt;=5,"L","A")),IF(J817&lt;=19,"L","A"))),IF(OR(H817="ALI",H817="AIE"),IF(K817&gt;=6,IF(J817&gt;=20,"H","A"),IF(K817&gt;=2,IF(J817&gt;=51,"H",IF(J817&lt;=19,"L","A")),IF(J817&lt;=50,"L","A")))))))</f>
        <v/>
      </c>
      <c r="N817" s="46" t="str">
        <f aca="false">IF(M817="L","Baixa",IF(M817="A","Média",IF(M817="","","Alta")))</f>
        <v/>
      </c>
      <c r="O817" s="47" t="str">
        <f aca="false">IF(ISBLANK(H817),"",IF(H817="ALI",IF(M817="L",7,IF(M817="A",10,15)),IF(H817="AIE",IF(M817="L",5,IF(M817="A",7,10)),IF(H817="SE",IF(M817="L",4,IF(M817="A",5,7)),IF(OR(H817="EE",H817="CE"),IF(M817="L",3,IF(M817="A",4,6)))))))</f>
        <v/>
      </c>
      <c r="P817" s="48" t="str">
        <f aca="false">IF(I817="I",O817*Contagem!$W$15,IF(I817="E",O817*Contagem!$W$17,IF(I817="A",O817*Contagem!$W$16,IF(I817="T",O817*Contagem!$W$18,""))))</f>
        <v/>
      </c>
      <c r="Q817" s="49"/>
    </row>
    <row r="818" customFormat="false" ht="12" hidden="false" customHeight="true" outlineLevel="0" collapsed="false">
      <c r="A818" s="40" t="n">
        <f aca="false">IF(H818="",IF(C818="",A817,A817+1),A817)</f>
        <v>62</v>
      </c>
      <c r="B818" s="41" t="str">
        <f aca="false">IF(A818=A817,"",CONCATENATE("F",A818))</f>
        <v/>
      </c>
      <c r="C818" s="42"/>
      <c r="D818" s="42"/>
      <c r="E818" s="42"/>
      <c r="F818" s="42"/>
      <c r="G818" s="42"/>
      <c r="H818" s="44"/>
      <c r="I818" s="50"/>
      <c r="J818" s="44"/>
      <c r="K818" s="44"/>
      <c r="L818" s="44" t="str">
        <f aca="false">CONCATENATE(H818,M818)</f>
        <v/>
      </c>
      <c r="M818" s="45" t="str">
        <f aca="false">IF(OR(ISBLANK(J818),ISBLANK(K818)),IF(OR(H818="ALI",H818="AIE"),"L",IF(ISBLANK(H818),"","A")),IF(H818="EE",IF(K818&gt;=3,IF(J818&gt;=5,"H","A"),IF(K818&gt;=2,IF(J818&gt;=16,"H",IF(J818&lt;=4,"L","A")),IF(J818&lt;=15,"L","A"))),IF(OR(H818="SE",H818="CE"),IF(K818&gt;=4,IF(J818&gt;=6,"H","A"),IF(K818&gt;=2,IF(J818&gt;=20,"H",IF(J818&lt;=5,"L","A")),IF(J818&lt;=19,"L","A"))),IF(OR(H818="ALI",H818="AIE"),IF(K818&gt;=6,IF(J818&gt;=20,"H","A"),IF(K818&gt;=2,IF(J818&gt;=51,"H",IF(J818&lt;=19,"L","A")),IF(J818&lt;=50,"L","A")))))))</f>
        <v/>
      </c>
      <c r="N818" s="46" t="str">
        <f aca="false">IF(M818="L","Baixa",IF(M818="A","Média",IF(M818="","","Alta")))</f>
        <v/>
      </c>
      <c r="O818" s="47" t="str">
        <f aca="false">IF(ISBLANK(H818),"",IF(H818="ALI",IF(M818="L",7,IF(M818="A",10,15)),IF(H818="AIE",IF(M818="L",5,IF(M818="A",7,10)),IF(H818="SE",IF(M818="L",4,IF(M818="A",5,7)),IF(OR(H818="EE",H818="CE"),IF(M818="L",3,IF(M818="A",4,6)))))))</f>
        <v/>
      </c>
      <c r="P818" s="48" t="str">
        <f aca="false">IF(I818="I",O818*Contagem!$W$15,IF(I818="E",O818*Contagem!$W$17,IF(I818="A",O818*Contagem!$W$16,IF(I818="T",O818*Contagem!$W$18,""))))</f>
        <v/>
      </c>
      <c r="Q818" s="49"/>
    </row>
    <row r="819" customFormat="false" ht="12" hidden="false" customHeight="true" outlineLevel="0" collapsed="false">
      <c r="A819" s="40" t="n">
        <f aca="false">IF(H819="",IF(C819="",A818,A818+1),A818)</f>
        <v>62</v>
      </c>
      <c r="B819" s="41" t="str">
        <f aca="false">IF(A819=A818,"",CONCATENATE("F",A819))</f>
        <v/>
      </c>
      <c r="C819" s="42"/>
      <c r="D819" s="42"/>
      <c r="E819" s="42"/>
      <c r="F819" s="42"/>
      <c r="G819" s="42"/>
      <c r="H819" s="44"/>
      <c r="I819" s="50"/>
      <c r="J819" s="44"/>
      <c r="K819" s="44"/>
      <c r="L819" s="44" t="str">
        <f aca="false">CONCATENATE(H819,M819)</f>
        <v/>
      </c>
      <c r="M819" s="45" t="str">
        <f aca="false">IF(OR(ISBLANK(J819),ISBLANK(K819)),IF(OR(H819="ALI",H819="AIE"),"L",IF(ISBLANK(H819),"","A")),IF(H819="EE",IF(K819&gt;=3,IF(J819&gt;=5,"H","A"),IF(K819&gt;=2,IF(J819&gt;=16,"H",IF(J819&lt;=4,"L","A")),IF(J819&lt;=15,"L","A"))),IF(OR(H819="SE",H819="CE"),IF(K819&gt;=4,IF(J819&gt;=6,"H","A"),IF(K819&gt;=2,IF(J819&gt;=20,"H",IF(J819&lt;=5,"L","A")),IF(J819&lt;=19,"L","A"))),IF(OR(H819="ALI",H819="AIE"),IF(K819&gt;=6,IF(J819&gt;=20,"H","A"),IF(K819&gt;=2,IF(J819&gt;=51,"H",IF(J819&lt;=19,"L","A")),IF(J819&lt;=50,"L","A")))))))</f>
        <v/>
      </c>
      <c r="N819" s="46" t="str">
        <f aca="false">IF(M819="L","Baixa",IF(M819="A","Média",IF(M819="","","Alta")))</f>
        <v/>
      </c>
      <c r="O819" s="47" t="str">
        <f aca="false">IF(ISBLANK(H819),"",IF(H819="ALI",IF(M819="L",7,IF(M819="A",10,15)),IF(H819="AIE",IF(M819="L",5,IF(M819="A",7,10)),IF(H819="SE",IF(M819="L",4,IF(M819="A",5,7)),IF(OR(H819="EE",H819="CE"),IF(M819="L",3,IF(M819="A",4,6)))))))</f>
        <v/>
      </c>
      <c r="P819" s="48" t="str">
        <f aca="false">IF(I819="I",O819*Contagem!$W$15,IF(I819="E",O819*Contagem!$W$17,IF(I819="A",O819*Contagem!$W$16,IF(I819="T",O819*Contagem!$W$18,""))))</f>
        <v/>
      </c>
      <c r="Q819" s="49"/>
    </row>
    <row r="820" customFormat="false" ht="12" hidden="false" customHeight="true" outlineLevel="0" collapsed="false">
      <c r="A820" s="40" t="n">
        <f aca="false">IF(H820="",IF(C820="",A819,A819+1),A819)</f>
        <v>62</v>
      </c>
      <c r="B820" s="41" t="str">
        <f aca="false">IF(A820=A819,"",CONCATENATE("F",A820))</f>
        <v/>
      </c>
      <c r="C820" s="42"/>
      <c r="D820" s="42"/>
      <c r="E820" s="42"/>
      <c r="F820" s="42"/>
      <c r="G820" s="42"/>
      <c r="H820" s="44"/>
      <c r="I820" s="50"/>
      <c r="J820" s="44"/>
      <c r="K820" s="44"/>
      <c r="L820" s="44" t="str">
        <f aca="false">CONCATENATE(H820,M820)</f>
        <v/>
      </c>
      <c r="M820" s="45" t="str">
        <f aca="false">IF(OR(ISBLANK(J820),ISBLANK(K820)),IF(OR(H820="ALI",H820="AIE"),"L",IF(ISBLANK(H820),"","A")),IF(H820="EE",IF(K820&gt;=3,IF(J820&gt;=5,"H","A"),IF(K820&gt;=2,IF(J820&gt;=16,"H",IF(J820&lt;=4,"L","A")),IF(J820&lt;=15,"L","A"))),IF(OR(H820="SE",H820="CE"),IF(K820&gt;=4,IF(J820&gt;=6,"H","A"),IF(K820&gt;=2,IF(J820&gt;=20,"H",IF(J820&lt;=5,"L","A")),IF(J820&lt;=19,"L","A"))),IF(OR(H820="ALI",H820="AIE"),IF(K820&gt;=6,IF(J820&gt;=20,"H","A"),IF(K820&gt;=2,IF(J820&gt;=51,"H",IF(J820&lt;=19,"L","A")),IF(J820&lt;=50,"L","A")))))))</f>
        <v/>
      </c>
      <c r="N820" s="46" t="str">
        <f aca="false">IF(M820="L","Baixa",IF(M820="A","Média",IF(M820="","","Alta")))</f>
        <v/>
      </c>
      <c r="O820" s="47" t="str">
        <f aca="false">IF(ISBLANK(H820),"",IF(H820="ALI",IF(M820="L",7,IF(M820="A",10,15)),IF(H820="AIE",IF(M820="L",5,IF(M820="A",7,10)),IF(H820="SE",IF(M820="L",4,IF(M820="A",5,7)),IF(OR(H820="EE",H820="CE"),IF(M820="L",3,IF(M820="A",4,6)))))))</f>
        <v/>
      </c>
      <c r="P820" s="48" t="str">
        <f aca="false">IF(I820="I",O820*Contagem!$W$15,IF(I820="E",O820*Contagem!$W$17,IF(I820="A",O820*Contagem!$W$16,IF(I820="T",O820*Contagem!$W$18,""))))</f>
        <v/>
      </c>
      <c r="Q820" s="49"/>
    </row>
    <row r="821" customFormat="false" ht="12" hidden="false" customHeight="true" outlineLevel="0" collapsed="false">
      <c r="A821" s="40" t="n">
        <f aca="false">IF(H821="",IF(C821="",A820,A820+1),A820)</f>
        <v>62</v>
      </c>
      <c r="B821" s="41" t="str">
        <f aca="false">IF(A821=A820,"",CONCATENATE("F",A821))</f>
        <v/>
      </c>
      <c r="C821" s="42"/>
      <c r="D821" s="42"/>
      <c r="E821" s="42"/>
      <c r="F821" s="42"/>
      <c r="G821" s="42"/>
      <c r="H821" s="44"/>
      <c r="I821" s="50"/>
      <c r="J821" s="44"/>
      <c r="K821" s="44"/>
      <c r="L821" s="44" t="str">
        <f aca="false">CONCATENATE(H821,M821)</f>
        <v/>
      </c>
      <c r="M821" s="45" t="str">
        <f aca="false">IF(OR(ISBLANK(J821),ISBLANK(K821)),IF(OR(H821="ALI",H821="AIE"),"L",IF(ISBLANK(H821),"","A")),IF(H821="EE",IF(K821&gt;=3,IF(J821&gt;=5,"H","A"),IF(K821&gt;=2,IF(J821&gt;=16,"H",IF(J821&lt;=4,"L","A")),IF(J821&lt;=15,"L","A"))),IF(OR(H821="SE",H821="CE"),IF(K821&gt;=4,IF(J821&gt;=6,"H","A"),IF(K821&gt;=2,IF(J821&gt;=20,"H",IF(J821&lt;=5,"L","A")),IF(J821&lt;=19,"L","A"))),IF(OR(H821="ALI",H821="AIE"),IF(K821&gt;=6,IF(J821&gt;=20,"H","A"),IF(K821&gt;=2,IF(J821&gt;=51,"H",IF(J821&lt;=19,"L","A")),IF(J821&lt;=50,"L","A")))))))</f>
        <v/>
      </c>
      <c r="N821" s="46" t="str">
        <f aca="false">IF(M821="L","Baixa",IF(M821="A","Média",IF(M821="","","Alta")))</f>
        <v/>
      </c>
      <c r="O821" s="47" t="str">
        <f aca="false">IF(ISBLANK(H821),"",IF(H821="ALI",IF(M821="L",7,IF(M821="A",10,15)),IF(H821="AIE",IF(M821="L",5,IF(M821="A",7,10)),IF(H821="SE",IF(M821="L",4,IF(M821="A",5,7)),IF(OR(H821="EE",H821="CE"),IF(M821="L",3,IF(M821="A",4,6)))))))</f>
        <v/>
      </c>
      <c r="P821" s="48" t="str">
        <f aca="false">IF(I821="I",O821*Contagem!$W$15,IF(I821="E",O821*Contagem!$W$17,IF(I821="A",O821*Contagem!$W$16,IF(I821="T",O821*Contagem!$W$18,""))))</f>
        <v/>
      </c>
      <c r="Q821" s="49"/>
    </row>
    <row r="822" customFormat="false" ht="12" hidden="false" customHeight="true" outlineLevel="0" collapsed="false">
      <c r="A822" s="40" t="n">
        <f aca="false">IF(H822="",IF(C822="",A821,A821+1),A821)</f>
        <v>62</v>
      </c>
      <c r="B822" s="41" t="str">
        <f aca="false">IF(A822=A821,"",CONCATENATE("F",A822))</f>
        <v/>
      </c>
      <c r="C822" s="42"/>
      <c r="D822" s="42"/>
      <c r="E822" s="42"/>
      <c r="F822" s="42"/>
      <c r="G822" s="42"/>
      <c r="H822" s="44"/>
      <c r="I822" s="50"/>
      <c r="J822" s="44"/>
      <c r="K822" s="44"/>
      <c r="L822" s="44" t="str">
        <f aca="false">CONCATENATE(H822,M822)</f>
        <v/>
      </c>
      <c r="M822" s="45" t="str">
        <f aca="false">IF(OR(ISBLANK(J822),ISBLANK(K822)),IF(OR(H822="ALI",H822="AIE"),"L",IF(ISBLANK(H822),"","A")),IF(H822="EE",IF(K822&gt;=3,IF(J822&gt;=5,"H","A"),IF(K822&gt;=2,IF(J822&gt;=16,"H",IF(J822&lt;=4,"L","A")),IF(J822&lt;=15,"L","A"))),IF(OR(H822="SE",H822="CE"),IF(K822&gt;=4,IF(J822&gt;=6,"H","A"),IF(K822&gt;=2,IF(J822&gt;=20,"H",IF(J822&lt;=5,"L","A")),IF(J822&lt;=19,"L","A"))),IF(OR(H822="ALI",H822="AIE"),IF(K822&gt;=6,IF(J822&gt;=20,"H","A"),IF(K822&gt;=2,IF(J822&gt;=51,"H",IF(J822&lt;=19,"L","A")),IF(J822&lt;=50,"L","A")))))))</f>
        <v/>
      </c>
      <c r="N822" s="46" t="str">
        <f aca="false">IF(M822="L","Baixa",IF(M822="A","Média",IF(M822="","","Alta")))</f>
        <v/>
      </c>
      <c r="O822" s="47" t="str">
        <f aca="false">IF(ISBLANK(H822),"",IF(H822="ALI",IF(M822="L",7,IF(M822="A",10,15)),IF(H822="AIE",IF(M822="L",5,IF(M822="A",7,10)),IF(H822="SE",IF(M822="L",4,IF(M822="A",5,7)),IF(OR(H822="EE",H822="CE"),IF(M822="L",3,IF(M822="A",4,6)))))))</f>
        <v/>
      </c>
      <c r="P822" s="48" t="str">
        <f aca="false">IF(I822="I",O822*Contagem!$W$15,IF(I822="E",O822*Contagem!$W$17,IF(I822="A",O822*Contagem!$W$16,IF(I822="T",O822*Contagem!$W$18,""))))</f>
        <v/>
      </c>
      <c r="Q822" s="49"/>
    </row>
    <row r="823" customFormat="false" ht="12" hidden="false" customHeight="true" outlineLevel="0" collapsed="false">
      <c r="A823" s="40" t="n">
        <f aca="false">IF(H823="",IF(C823="",A822,A822+1),A822)</f>
        <v>62</v>
      </c>
      <c r="B823" s="41" t="str">
        <f aca="false">IF(A823=A822,"",CONCATENATE("F",A823))</f>
        <v/>
      </c>
      <c r="C823" s="42"/>
      <c r="D823" s="42"/>
      <c r="E823" s="42"/>
      <c r="F823" s="42"/>
      <c r="G823" s="42"/>
      <c r="H823" s="44"/>
      <c r="I823" s="50"/>
      <c r="J823" s="44"/>
      <c r="K823" s="44"/>
      <c r="L823" s="44" t="str">
        <f aca="false">CONCATENATE(H823,M823)</f>
        <v/>
      </c>
      <c r="M823" s="45" t="str">
        <f aca="false">IF(OR(ISBLANK(J823),ISBLANK(K823)),IF(OR(H823="ALI",H823="AIE"),"L",IF(ISBLANK(H823),"","A")),IF(H823="EE",IF(K823&gt;=3,IF(J823&gt;=5,"H","A"),IF(K823&gt;=2,IF(J823&gt;=16,"H",IF(J823&lt;=4,"L","A")),IF(J823&lt;=15,"L","A"))),IF(OR(H823="SE",H823="CE"),IF(K823&gt;=4,IF(J823&gt;=6,"H","A"),IF(K823&gt;=2,IF(J823&gt;=20,"H",IF(J823&lt;=5,"L","A")),IF(J823&lt;=19,"L","A"))),IF(OR(H823="ALI",H823="AIE"),IF(K823&gt;=6,IF(J823&gt;=20,"H","A"),IF(K823&gt;=2,IF(J823&gt;=51,"H",IF(J823&lt;=19,"L","A")),IF(J823&lt;=50,"L","A")))))))</f>
        <v/>
      </c>
      <c r="N823" s="46" t="str">
        <f aca="false">IF(M823="L","Baixa",IF(M823="A","Média",IF(M823="","","Alta")))</f>
        <v/>
      </c>
      <c r="O823" s="47" t="str">
        <f aca="false">IF(ISBLANK(H823),"",IF(H823="ALI",IF(M823="L",7,IF(M823="A",10,15)),IF(H823="AIE",IF(M823="L",5,IF(M823="A",7,10)),IF(H823="SE",IF(M823="L",4,IF(M823="A",5,7)),IF(OR(H823="EE",H823="CE"),IF(M823="L",3,IF(M823="A",4,6)))))))</f>
        <v/>
      </c>
      <c r="P823" s="48" t="str">
        <f aca="false">IF(I823="I",O823*Contagem!$W$15,IF(I823="E",O823*Contagem!$W$17,IF(I823="A",O823*Contagem!$W$16,IF(I823="T",O823*Contagem!$W$18,""))))</f>
        <v/>
      </c>
      <c r="Q823" s="49"/>
    </row>
    <row r="824" customFormat="false" ht="12" hidden="false" customHeight="true" outlineLevel="0" collapsed="false">
      <c r="A824" s="40" t="n">
        <f aca="false">IF(H824="",IF(C824="",A823,A823+1),A823)</f>
        <v>62</v>
      </c>
      <c r="B824" s="41" t="str">
        <f aca="false">IF(A824=A823,"",CONCATENATE("F",A824))</f>
        <v/>
      </c>
      <c r="C824" s="42"/>
      <c r="D824" s="42"/>
      <c r="E824" s="42"/>
      <c r="F824" s="42"/>
      <c r="G824" s="42"/>
      <c r="H824" s="44"/>
      <c r="I824" s="50"/>
      <c r="J824" s="44"/>
      <c r="K824" s="44"/>
      <c r="L824" s="44" t="str">
        <f aca="false">CONCATENATE(H824,M824)</f>
        <v/>
      </c>
      <c r="M824" s="45" t="str">
        <f aca="false">IF(OR(ISBLANK(J824),ISBLANK(K824)),IF(OR(H824="ALI",H824="AIE"),"L",IF(ISBLANK(H824),"","A")),IF(H824="EE",IF(K824&gt;=3,IF(J824&gt;=5,"H","A"),IF(K824&gt;=2,IF(J824&gt;=16,"H",IF(J824&lt;=4,"L","A")),IF(J824&lt;=15,"L","A"))),IF(OR(H824="SE",H824="CE"),IF(K824&gt;=4,IF(J824&gt;=6,"H","A"),IF(K824&gt;=2,IF(J824&gt;=20,"H",IF(J824&lt;=5,"L","A")),IF(J824&lt;=19,"L","A"))),IF(OR(H824="ALI",H824="AIE"),IF(K824&gt;=6,IF(J824&gt;=20,"H","A"),IF(K824&gt;=2,IF(J824&gt;=51,"H",IF(J824&lt;=19,"L","A")),IF(J824&lt;=50,"L","A")))))))</f>
        <v/>
      </c>
      <c r="N824" s="46" t="str">
        <f aca="false">IF(M824="L","Baixa",IF(M824="A","Média",IF(M824="","","Alta")))</f>
        <v/>
      </c>
      <c r="O824" s="47" t="str">
        <f aca="false">IF(ISBLANK(H824),"",IF(H824="ALI",IF(M824="L",7,IF(M824="A",10,15)),IF(H824="AIE",IF(M824="L",5,IF(M824="A",7,10)),IF(H824="SE",IF(M824="L",4,IF(M824="A",5,7)),IF(OR(H824="EE",H824="CE"),IF(M824="L",3,IF(M824="A",4,6)))))))</f>
        <v/>
      </c>
      <c r="P824" s="48" t="str">
        <f aca="false">IF(I824="I",O824*Contagem!$W$15,IF(I824="E",O824*Contagem!$W$17,IF(I824="A",O824*Contagem!$W$16,IF(I824="T",O824*Contagem!$W$18,""))))</f>
        <v/>
      </c>
      <c r="Q824" s="49"/>
    </row>
    <row r="825" customFormat="false" ht="12" hidden="false" customHeight="true" outlineLevel="0" collapsed="false">
      <c r="A825" s="40" t="n">
        <f aca="false">IF(H825="",IF(C825="",A824,A824+1),A824)</f>
        <v>62</v>
      </c>
      <c r="B825" s="41" t="str">
        <f aca="false">IF(A825=A824,"",CONCATENATE("F",A825))</f>
        <v/>
      </c>
      <c r="C825" s="42"/>
      <c r="D825" s="42"/>
      <c r="E825" s="42"/>
      <c r="F825" s="42"/>
      <c r="G825" s="42"/>
      <c r="H825" s="44"/>
      <c r="I825" s="50"/>
      <c r="J825" s="44"/>
      <c r="K825" s="44"/>
      <c r="L825" s="44" t="str">
        <f aca="false">CONCATENATE(H825,M825)</f>
        <v/>
      </c>
      <c r="M825" s="45" t="str">
        <f aca="false">IF(OR(ISBLANK(J825),ISBLANK(K825)),IF(OR(H825="ALI",H825="AIE"),"L",IF(ISBLANK(H825),"","A")),IF(H825="EE",IF(K825&gt;=3,IF(J825&gt;=5,"H","A"),IF(K825&gt;=2,IF(J825&gt;=16,"H",IF(J825&lt;=4,"L","A")),IF(J825&lt;=15,"L","A"))),IF(OR(H825="SE",H825="CE"),IF(K825&gt;=4,IF(J825&gt;=6,"H","A"),IF(K825&gt;=2,IF(J825&gt;=20,"H",IF(J825&lt;=5,"L","A")),IF(J825&lt;=19,"L","A"))),IF(OR(H825="ALI",H825="AIE"),IF(K825&gt;=6,IF(J825&gt;=20,"H","A"),IF(K825&gt;=2,IF(J825&gt;=51,"H",IF(J825&lt;=19,"L","A")),IF(J825&lt;=50,"L","A")))))))</f>
        <v/>
      </c>
      <c r="N825" s="46" t="str">
        <f aca="false">IF(M825="L","Baixa",IF(M825="A","Média",IF(M825="","","Alta")))</f>
        <v/>
      </c>
      <c r="O825" s="47" t="str">
        <f aca="false">IF(ISBLANK(H825),"",IF(H825="ALI",IF(M825="L",7,IF(M825="A",10,15)),IF(H825="AIE",IF(M825="L",5,IF(M825="A",7,10)),IF(H825="SE",IF(M825="L",4,IF(M825="A",5,7)),IF(OR(H825="EE",H825="CE"),IF(M825="L",3,IF(M825="A",4,6)))))))</f>
        <v/>
      </c>
      <c r="P825" s="48" t="str">
        <f aca="false">IF(I825="I",O825*Contagem!$W$15,IF(I825="E",O825*Contagem!$W$17,IF(I825="A",O825*Contagem!$W$16,IF(I825="T",O825*Contagem!$W$18,""))))</f>
        <v/>
      </c>
      <c r="Q825" s="49"/>
    </row>
    <row r="826" customFormat="false" ht="12" hidden="false" customHeight="true" outlineLevel="0" collapsed="false">
      <c r="A826" s="40" t="n">
        <f aca="false">IF(H826="",IF(C826="",A825,A825+1),A825)</f>
        <v>62</v>
      </c>
      <c r="B826" s="41" t="str">
        <f aca="false">IF(A826=A825,"",CONCATENATE("F",A826))</f>
        <v/>
      </c>
      <c r="C826" s="42"/>
      <c r="D826" s="42"/>
      <c r="E826" s="42"/>
      <c r="F826" s="42"/>
      <c r="G826" s="42"/>
      <c r="H826" s="44"/>
      <c r="I826" s="50"/>
      <c r="J826" s="44"/>
      <c r="K826" s="44"/>
      <c r="L826" s="44" t="str">
        <f aca="false">CONCATENATE(H826,M826)</f>
        <v/>
      </c>
      <c r="M826" s="45" t="str">
        <f aca="false">IF(OR(ISBLANK(J826),ISBLANK(K826)),IF(OR(H826="ALI",H826="AIE"),"L",IF(ISBLANK(H826),"","A")),IF(H826="EE",IF(K826&gt;=3,IF(J826&gt;=5,"H","A"),IF(K826&gt;=2,IF(J826&gt;=16,"H",IF(J826&lt;=4,"L","A")),IF(J826&lt;=15,"L","A"))),IF(OR(H826="SE",H826="CE"),IF(K826&gt;=4,IF(J826&gt;=6,"H","A"),IF(K826&gt;=2,IF(J826&gt;=20,"H",IF(J826&lt;=5,"L","A")),IF(J826&lt;=19,"L","A"))),IF(OR(H826="ALI",H826="AIE"),IF(K826&gt;=6,IF(J826&gt;=20,"H","A"),IF(K826&gt;=2,IF(J826&gt;=51,"H",IF(J826&lt;=19,"L","A")),IF(J826&lt;=50,"L","A")))))))</f>
        <v/>
      </c>
      <c r="N826" s="46" t="str">
        <f aca="false">IF(M826="L","Baixa",IF(M826="A","Média",IF(M826="","","Alta")))</f>
        <v/>
      </c>
      <c r="O826" s="47" t="str">
        <f aca="false">IF(ISBLANK(H826),"",IF(H826="ALI",IF(M826="L",7,IF(M826="A",10,15)),IF(H826="AIE",IF(M826="L",5,IF(M826="A",7,10)),IF(H826="SE",IF(M826="L",4,IF(M826="A",5,7)),IF(OR(H826="EE",H826="CE"),IF(M826="L",3,IF(M826="A",4,6)))))))</f>
        <v/>
      </c>
      <c r="P826" s="48" t="str">
        <f aca="false">IF(I826="I",O826*Contagem!$W$15,IF(I826="E",O826*Contagem!$W$17,IF(I826="A",O826*Contagem!$W$16,IF(I826="T",O826*Contagem!$W$18,""))))</f>
        <v/>
      </c>
      <c r="Q826" s="49"/>
    </row>
    <row r="827" customFormat="false" ht="12" hidden="false" customHeight="true" outlineLevel="0" collapsed="false">
      <c r="A827" s="40" t="n">
        <f aca="false">IF(H827="",IF(C827="",A826,A826+1),A826)</f>
        <v>62</v>
      </c>
      <c r="B827" s="41" t="str">
        <f aca="false">IF(A827=A826,"",CONCATENATE("F",A827))</f>
        <v/>
      </c>
      <c r="C827" s="42"/>
      <c r="D827" s="42"/>
      <c r="E827" s="42"/>
      <c r="F827" s="42"/>
      <c r="G827" s="42"/>
      <c r="H827" s="44"/>
      <c r="I827" s="50"/>
      <c r="J827" s="44"/>
      <c r="K827" s="44"/>
      <c r="L827" s="44" t="str">
        <f aca="false">CONCATENATE(H827,M827)</f>
        <v/>
      </c>
      <c r="M827" s="45" t="str">
        <f aca="false">IF(OR(ISBLANK(J827),ISBLANK(K827)),IF(OR(H827="ALI",H827="AIE"),"L",IF(ISBLANK(H827),"","A")),IF(H827="EE",IF(K827&gt;=3,IF(J827&gt;=5,"H","A"),IF(K827&gt;=2,IF(J827&gt;=16,"H",IF(J827&lt;=4,"L","A")),IF(J827&lt;=15,"L","A"))),IF(OR(H827="SE",H827="CE"),IF(K827&gt;=4,IF(J827&gt;=6,"H","A"),IF(K827&gt;=2,IF(J827&gt;=20,"H",IF(J827&lt;=5,"L","A")),IF(J827&lt;=19,"L","A"))),IF(OR(H827="ALI",H827="AIE"),IF(K827&gt;=6,IF(J827&gt;=20,"H","A"),IF(K827&gt;=2,IF(J827&gt;=51,"H",IF(J827&lt;=19,"L","A")),IF(J827&lt;=50,"L","A")))))))</f>
        <v/>
      </c>
      <c r="N827" s="46" t="str">
        <f aca="false">IF(M827="L","Baixa",IF(M827="A","Média",IF(M827="","","Alta")))</f>
        <v/>
      </c>
      <c r="O827" s="47" t="str">
        <f aca="false">IF(ISBLANK(H827),"",IF(H827="ALI",IF(M827="L",7,IF(M827="A",10,15)),IF(H827="AIE",IF(M827="L",5,IF(M827="A",7,10)),IF(H827="SE",IF(M827="L",4,IF(M827="A",5,7)),IF(OR(H827="EE",H827="CE"),IF(M827="L",3,IF(M827="A",4,6)))))))</f>
        <v/>
      </c>
      <c r="P827" s="48" t="str">
        <f aca="false">IF(I827="I",O827*Contagem!$W$15,IF(I827="E",O827*Contagem!$W$17,IF(I827="A",O827*Contagem!$W$16,IF(I827="T",O827*Contagem!$W$18,""))))</f>
        <v/>
      </c>
      <c r="Q827" s="49"/>
    </row>
    <row r="828" customFormat="false" ht="12" hidden="false" customHeight="true" outlineLevel="0" collapsed="false">
      <c r="A828" s="40" t="n">
        <f aca="false">IF(H828="",IF(C828="",A827,A827+1),A827)</f>
        <v>62</v>
      </c>
      <c r="B828" s="41" t="str">
        <f aca="false">IF(A828=A827,"",CONCATENATE("F",A828))</f>
        <v/>
      </c>
      <c r="C828" s="42"/>
      <c r="D828" s="42"/>
      <c r="E828" s="42"/>
      <c r="F828" s="42"/>
      <c r="G828" s="42"/>
      <c r="H828" s="44"/>
      <c r="I828" s="50"/>
      <c r="J828" s="44"/>
      <c r="K828" s="44"/>
      <c r="L828" s="44" t="str">
        <f aca="false">CONCATENATE(H828,M828)</f>
        <v/>
      </c>
      <c r="M828" s="45" t="str">
        <f aca="false">IF(OR(ISBLANK(J828),ISBLANK(K828)),IF(OR(H828="ALI",H828="AIE"),"L",IF(ISBLANK(H828),"","A")),IF(H828="EE",IF(K828&gt;=3,IF(J828&gt;=5,"H","A"),IF(K828&gt;=2,IF(J828&gt;=16,"H",IF(J828&lt;=4,"L","A")),IF(J828&lt;=15,"L","A"))),IF(OR(H828="SE",H828="CE"),IF(K828&gt;=4,IF(J828&gt;=6,"H","A"),IF(K828&gt;=2,IF(J828&gt;=20,"H",IF(J828&lt;=5,"L","A")),IF(J828&lt;=19,"L","A"))),IF(OR(H828="ALI",H828="AIE"),IF(K828&gt;=6,IF(J828&gt;=20,"H","A"),IF(K828&gt;=2,IF(J828&gt;=51,"H",IF(J828&lt;=19,"L","A")),IF(J828&lt;=50,"L","A")))))))</f>
        <v/>
      </c>
      <c r="N828" s="46" t="str">
        <f aca="false">IF(M828="L","Baixa",IF(M828="A","Média",IF(M828="","","Alta")))</f>
        <v/>
      </c>
      <c r="O828" s="47" t="str">
        <f aca="false">IF(ISBLANK(H828),"",IF(H828="ALI",IF(M828="L",7,IF(M828="A",10,15)),IF(H828="AIE",IF(M828="L",5,IF(M828="A",7,10)),IF(H828="SE",IF(M828="L",4,IF(M828="A",5,7)),IF(OR(H828="EE",H828="CE"),IF(M828="L",3,IF(M828="A",4,6)))))))</f>
        <v/>
      </c>
      <c r="P828" s="48" t="str">
        <f aca="false">IF(I828="I",O828*Contagem!$W$15,IF(I828="E",O828*Contagem!$W$17,IF(I828="A",O828*Contagem!$W$16,IF(I828="T",O828*Contagem!$W$18,""))))</f>
        <v/>
      </c>
      <c r="Q828" s="49"/>
    </row>
    <row r="829" customFormat="false" ht="12" hidden="false" customHeight="true" outlineLevel="0" collapsed="false">
      <c r="A829" s="40" t="n">
        <f aca="false">IF(H829="",IF(C829="",A828,A828+1),A828)</f>
        <v>62</v>
      </c>
      <c r="B829" s="41" t="str">
        <f aca="false">IF(A829=A828,"",CONCATENATE("F",A829))</f>
        <v/>
      </c>
      <c r="C829" s="42"/>
      <c r="D829" s="42"/>
      <c r="E829" s="42"/>
      <c r="F829" s="42"/>
      <c r="G829" s="42"/>
      <c r="H829" s="44"/>
      <c r="I829" s="50"/>
      <c r="J829" s="44"/>
      <c r="K829" s="44"/>
      <c r="L829" s="44" t="str">
        <f aca="false">CONCATENATE(H829,M829)</f>
        <v/>
      </c>
      <c r="M829" s="45" t="str">
        <f aca="false">IF(OR(ISBLANK(J829),ISBLANK(K829)),IF(OR(H829="ALI",H829="AIE"),"L",IF(ISBLANK(H829),"","A")),IF(H829="EE",IF(K829&gt;=3,IF(J829&gt;=5,"H","A"),IF(K829&gt;=2,IF(J829&gt;=16,"H",IF(J829&lt;=4,"L","A")),IF(J829&lt;=15,"L","A"))),IF(OR(H829="SE",H829="CE"),IF(K829&gt;=4,IF(J829&gt;=6,"H","A"),IF(K829&gt;=2,IF(J829&gt;=20,"H",IF(J829&lt;=5,"L","A")),IF(J829&lt;=19,"L","A"))),IF(OR(H829="ALI",H829="AIE"),IF(K829&gt;=6,IF(J829&gt;=20,"H","A"),IF(K829&gt;=2,IF(J829&gt;=51,"H",IF(J829&lt;=19,"L","A")),IF(J829&lt;=50,"L","A")))))))</f>
        <v/>
      </c>
      <c r="N829" s="46" t="str">
        <f aca="false">IF(M829="L","Baixa",IF(M829="A","Média",IF(M829="","","Alta")))</f>
        <v/>
      </c>
      <c r="O829" s="47" t="str">
        <f aca="false">IF(ISBLANK(H829),"",IF(H829="ALI",IF(M829="L",7,IF(M829="A",10,15)),IF(H829="AIE",IF(M829="L",5,IF(M829="A",7,10)),IF(H829="SE",IF(M829="L",4,IF(M829="A",5,7)),IF(OR(H829="EE",H829="CE"),IF(M829="L",3,IF(M829="A",4,6)))))))</f>
        <v/>
      </c>
      <c r="P829" s="48" t="str">
        <f aca="false">IF(I829="I",O829*Contagem!$W$15,IF(I829="E",O829*Contagem!$W$17,IF(I829="A",O829*Contagem!$W$16,IF(I829="T",O829*Contagem!$W$18,""))))</f>
        <v/>
      </c>
      <c r="Q829" s="49"/>
    </row>
    <row r="830" customFormat="false" ht="12" hidden="false" customHeight="true" outlineLevel="0" collapsed="false">
      <c r="A830" s="40" t="n">
        <f aca="false">IF(H830="",IF(C830="",A829,A829+1),A829)</f>
        <v>62</v>
      </c>
      <c r="B830" s="41" t="str">
        <f aca="false">IF(A830=A829,"",CONCATENATE("F",A830))</f>
        <v/>
      </c>
      <c r="C830" s="42"/>
      <c r="D830" s="42"/>
      <c r="E830" s="42"/>
      <c r="F830" s="42"/>
      <c r="G830" s="42"/>
      <c r="H830" s="44"/>
      <c r="I830" s="50"/>
      <c r="J830" s="44"/>
      <c r="K830" s="44"/>
      <c r="L830" s="44" t="str">
        <f aca="false">CONCATENATE(H830,M830)</f>
        <v/>
      </c>
      <c r="M830" s="45" t="str">
        <f aca="false">IF(OR(ISBLANK(J830),ISBLANK(K830)),IF(OR(H830="ALI",H830="AIE"),"L",IF(ISBLANK(H830),"","A")),IF(H830="EE",IF(K830&gt;=3,IF(J830&gt;=5,"H","A"),IF(K830&gt;=2,IF(J830&gt;=16,"H",IF(J830&lt;=4,"L","A")),IF(J830&lt;=15,"L","A"))),IF(OR(H830="SE",H830="CE"),IF(K830&gt;=4,IF(J830&gt;=6,"H","A"),IF(K830&gt;=2,IF(J830&gt;=20,"H",IF(J830&lt;=5,"L","A")),IF(J830&lt;=19,"L","A"))),IF(OR(H830="ALI",H830="AIE"),IF(K830&gt;=6,IF(J830&gt;=20,"H","A"),IF(K830&gt;=2,IF(J830&gt;=51,"H",IF(J830&lt;=19,"L","A")),IF(J830&lt;=50,"L","A")))))))</f>
        <v/>
      </c>
      <c r="N830" s="46" t="str">
        <f aca="false">IF(M830="L","Baixa",IF(M830="A","Média",IF(M830="","","Alta")))</f>
        <v/>
      </c>
      <c r="O830" s="47" t="str">
        <f aca="false">IF(ISBLANK(H830),"",IF(H830="ALI",IF(M830="L",7,IF(M830="A",10,15)),IF(H830="AIE",IF(M830="L",5,IF(M830="A",7,10)),IF(H830="SE",IF(M830="L",4,IF(M830="A",5,7)),IF(OR(H830="EE",H830="CE"),IF(M830="L",3,IF(M830="A",4,6)))))))</f>
        <v/>
      </c>
      <c r="P830" s="48" t="str">
        <f aca="false">IF(I830="I",O830*Contagem!$W$15,IF(I830="E",O830*Contagem!$W$17,IF(I830="A",O830*Contagem!$W$16,IF(I830="T",O830*Contagem!$W$18,""))))</f>
        <v/>
      </c>
      <c r="Q830" s="49"/>
    </row>
    <row r="831" customFormat="false" ht="12" hidden="false" customHeight="true" outlineLevel="0" collapsed="false">
      <c r="A831" s="40" t="n">
        <f aca="false">IF(H831="",IF(C831="",A830,A830+1),A830)</f>
        <v>62</v>
      </c>
      <c r="B831" s="41" t="str">
        <f aca="false">IF(A831=A830,"",CONCATENATE("F",A831))</f>
        <v/>
      </c>
      <c r="C831" s="42"/>
      <c r="D831" s="42"/>
      <c r="E831" s="42"/>
      <c r="F831" s="42"/>
      <c r="G831" s="42"/>
      <c r="H831" s="44"/>
      <c r="I831" s="50"/>
      <c r="J831" s="44"/>
      <c r="K831" s="44"/>
      <c r="L831" s="44" t="str">
        <f aca="false">CONCATENATE(H831,M831)</f>
        <v/>
      </c>
      <c r="M831" s="45" t="str">
        <f aca="false">IF(OR(ISBLANK(J831),ISBLANK(K831)),IF(OR(H831="ALI",H831="AIE"),"L",IF(ISBLANK(H831),"","A")),IF(H831="EE",IF(K831&gt;=3,IF(J831&gt;=5,"H","A"),IF(K831&gt;=2,IF(J831&gt;=16,"H",IF(J831&lt;=4,"L","A")),IF(J831&lt;=15,"L","A"))),IF(OR(H831="SE",H831="CE"),IF(K831&gt;=4,IF(J831&gt;=6,"H","A"),IF(K831&gt;=2,IF(J831&gt;=20,"H",IF(J831&lt;=5,"L","A")),IF(J831&lt;=19,"L","A"))),IF(OR(H831="ALI",H831="AIE"),IF(K831&gt;=6,IF(J831&gt;=20,"H","A"),IF(K831&gt;=2,IF(J831&gt;=51,"H",IF(J831&lt;=19,"L","A")),IF(J831&lt;=50,"L","A")))))))</f>
        <v/>
      </c>
      <c r="N831" s="46" t="str">
        <f aca="false">IF(M831="L","Baixa",IF(M831="A","Média",IF(M831="","","Alta")))</f>
        <v/>
      </c>
      <c r="O831" s="47" t="str">
        <f aca="false">IF(ISBLANK(H831),"",IF(H831="ALI",IF(M831="L",7,IF(M831="A",10,15)),IF(H831="AIE",IF(M831="L",5,IF(M831="A",7,10)),IF(H831="SE",IF(M831="L",4,IF(M831="A",5,7)),IF(OR(H831="EE",H831="CE"),IF(M831="L",3,IF(M831="A",4,6)))))))</f>
        <v/>
      </c>
      <c r="P831" s="48" t="str">
        <f aca="false">IF(I831="I",O831*Contagem!$W$15,IF(I831="E",O831*Contagem!$W$17,IF(I831="A",O831*Contagem!$W$16,IF(I831="T",O831*Contagem!$W$18,""))))</f>
        <v/>
      </c>
      <c r="Q831" s="49"/>
    </row>
    <row r="832" customFormat="false" ht="12" hidden="false" customHeight="true" outlineLevel="0" collapsed="false">
      <c r="A832" s="40" t="n">
        <f aca="false">IF(H832="",IF(C832="",A831,A831+1),A831)</f>
        <v>62</v>
      </c>
      <c r="B832" s="41" t="str">
        <f aca="false">IF(A832=A831,"",CONCATENATE("F",A832))</f>
        <v/>
      </c>
      <c r="C832" s="42"/>
      <c r="D832" s="42"/>
      <c r="E832" s="42"/>
      <c r="F832" s="42"/>
      <c r="G832" s="42"/>
      <c r="H832" s="44"/>
      <c r="I832" s="50"/>
      <c r="J832" s="44"/>
      <c r="K832" s="44"/>
      <c r="L832" s="44" t="str">
        <f aca="false">CONCATENATE(H832,M832)</f>
        <v/>
      </c>
      <c r="M832" s="45" t="str">
        <f aca="false">IF(OR(ISBLANK(J832),ISBLANK(K832)),IF(OR(H832="ALI",H832="AIE"),"L",IF(ISBLANK(H832),"","A")),IF(H832="EE",IF(K832&gt;=3,IF(J832&gt;=5,"H","A"),IF(K832&gt;=2,IF(J832&gt;=16,"H",IF(J832&lt;=4,"L","A")),IF(J832&lt;=15,"L","A"))),IF(OR(H832="SE",H832="CE"),IF(K832&gt;=4,IF(J832&gt;=6,"H","A"),IF(K832&gt;=2,IF(J832&gt;=20,"H",IF(J832&lt;=5,"L","A")),IF(J832&lt;=19,"L","A"))),IF(OR(H832="ALI",H832="AIE"),IF(K832&gt;=6,IF(J832&gt;=20,"H","A"),IF(K832&gt;=2,IF(J832&gt;=51,"H",IF(J832&lt;=19,"L","A")),IF(J832&lt;=50,"L","A")))))))</f>
        <v/>
      </c>
      <c r="N832" s="46" t="str">
        <f aca="false">IF(M832="L","Baixa",IF(M832="A","Média",IF(M832="","","Alta")))</f>
        <v/>
      </c>
      <c r="O832" s="47" t="str">
        <f aca="false">IF(ISBLANK(H832),"",IF(H832="ALI",IF(M832="L",7,IF(M832="A",10,15)),IF(H832="AIE",IF(M832="L",5,IF(M832="A",7,10)),IF(H832="SE",IF(M832="L",4,IF(M832="A",5,7)),IF(OR(H832="EE",H832="CE"),IF(M832="L",3,IF(M832="A",4,6)))))))</f>
        <v/>
      </c>
      <c r="P832" s="48" t="str">
        <f aca="false">IF(I832="I",O832*Contagem!$W$15,IF(I832="E",O832*Contagem!$W$17,IF(I832="A",O832*Contagem!$W$16,IF(I832="T",O832*Contagem!$W$18,""))))</f>
        <v/>
      </c>
      <c r="Q832" s="49"/>
    </row>
    <row r="833" customFormat="false" ht="12" hidden="false" customHeight="true" outlineLevel="0" collapsed="false">
      <c r="A833" s="40" t="n">
        <f aca="false">IF(H833="",IF(C833="",A832,A832+1),A832)</f>
        <v>62</v>
      </c>
      <c r="B833" s="41" t="str">
        <f aca="false">IF(A833=A832,"",CONCATENATE("F",A833))</f>
        <v/>
      </c>
      <c r="C833" s="42"/>
      <c r="D833" s="42"/>
      <c r="E833" s="42"/>
      <c r="F833" s="42"/>
      <c r="G833" s="42"/>
      <c r="H833" s="44"/>
      <c r="I833" s="50"/>
      <c r="J833" s="44"/>
      <c r="K833" s="44"/>
      <c r="L833" s="44" t="str">
        <f aca="false">CONCATENATE(H833,M833)</f>
        <v/>
      </c>
      <c r="M833" s="45" t="str">
        <f aca="false">IF(OR(ISBLANK(J833),ISBLANK(K833)),IF(OR(H833="ALI",H833="AIE"),"L",IF(ISBLANK(H833),"","A")),IF(H833="EE",IF(K833&gt;=3,IF(J833&gt;=5,"H","A"),IF(K833&gt;=2,IF(J833&gt;=16,"H",IF(J833&lt;=4,"L","A")),IF(J833&lt;=15,"L","A"))),IF(OR(H833="SE",H833="CE"),IF(K833&gt;=4,IF(J833&gt;=6,"H","A"),IF(K833&gt;=2,IF(J833&gt;=20,"H",IF(J833&lt;=5,"L","A")),IF(J833&lt;=19,"L","A"))),IF(OR(H833="ALI",H833="AIE"),IF(K833&gt;=6,IF(J833&gt;=20,"H","A"),IF(K833&gt;=2,IF(J833&gt;=51,"H",IF(J833&lt;=19,"L","A")),IF(J833&lt;=50,"L","A")))))))</f>
        <v/>
      </c>
      <c r="N833" s="46" t="str">
        <f aca="false">IF(M833="L","Baixa",IF(M833="A","Média",IF(M833="","","Alta")))</f>
        <v/>
      </c>
      <c r="O833" s="47" t="str">
        <f aca="false">IF(ISBLANK(H833),"",IF(H833="ALI",IF(M833="L",7,IF(M833="A",10,15)),IF(H833="AIE",IF(M833="L",5,IF(M833="A",7,10)),IF(H833="SE",IF(M833="L",4,IF(M833="A",5,7)),IF(OR(H833="EE",H833="CE"),IF(M833="L",3,IF(M833="A",4,6)))))))</f>
        <v/>
      </c>
      <c r="P833" s="48" t="str">
        <f aca="false">IF(I833="I",O833*Contagem!$W$15,IF(I833="E",O833*Contagem!$W$17,IF(I833="A",O833*Contagem!$W$16,IF(I833="T",O833*Contagem!$W$18,""))))</f>
        <v/>
      </c>
      <c r="Q833" s="49"/>
    </row>
    <row r="834" customFormat="false" ht="12" hidden="false" customHeight="true" outlineLevel="0" collapsed="false">
      <c r="A834" s="40" t="n">
        <f aca="false">IF(H834="",IF(C834="",A833,A833+1),A833)</f>
        <v>62</v>
      </c>
      <c r="B834" s="41" t="str">
        <f aca="false">IF(A834=A833,"",CONCATENATE("F",A834))</f>
        <v/>
      </c>
      <c r="C834" s="42"/>
      <c r="D834" s="42"/>
      <c r="E834" s="42"/>
      <c r="F834" s="42"/>
      <c r="G834" s="42"/>
      <c r="H834" s="44"/>
      <c r="I834" s="50"/>
      <c r="J834" s="44"/>
      <c r="K834" s="44"/>
      <c r="L834" s="44" t="str">
        <f aca="false">CONCATENATE(H834,M834)</f>
        <v/>
      </c>
      <c r="M834" s="45" t="str">
        <f aca="false">IF(OR(ISBLANK(J834),ISBLANK(K834)),IF(OR(H834="ALI",H834="AIE"),"L",IF(ISBLANK(H834),"","A")),IF(H834="EE",IF(K834&gt;=3,IF(J834&gt;=5,"H","A"),IF(K834&gt;=2,IF(J834&gt;=16,"H",IF(J834&lt;=4,"L","A")),IF(J834&lt;=15,"L","A"))),IF(OR(H834="SE",H834="CE"),IF(K834&gt;=4,IF(J834&gt;=6,"H","A"),IF(K834&gt;=2,IF(J834&gt;=20,"H",IF(J834&lt;=5,"L","A")),IF(J834&lt;=19,"L","A"))),IF(OR(H834="ALI",H834="AIE"),IF(K834&gt;=6,IF(J834&gt;=20,"H","A"),IF(K834&gt;=2,IF(J834&gt;=51,"H",IF(J834&lt;=19,"L","A")),IF(J834&lt;=50,"L","A")))))))</f>
        <v/>
      </c>
      <c r="N834" s="46" t="str">
        <f aca="false">IF(M834="L","Baixa",IF(M834="A","Média",IF(M834="","","Alta")))</f>
        <v/>
      </c>
      <c r="O834" s="47" t="str">
        <f aca="false">IF(ISBLANK(H834),"",IF(H834="ALI",IF(M834="L",7,IF(M834="A",10,15)),IF(H834="AIE",IF(M834="L",5,IF(M834="A",7,10)),IF(H834="SE",IF(M834="L",4,IF(M834="A",5,7)),IF(OR(H834="EE",H834="CE"),IF(M834="L",3,IF(M834="A",4,6)))))))</f>
        <v/>
      </c>
      <c r="P834" s="48" t="str">
        <f aca="false">IF(I834="I",O834*Contagem!$W$15,IF(I834="E",O834*Contagem!$W$17,IF(I834="A",O834*Contagem!$W$16,IF(I834="T",O834*Contagem!$W$18,""))))</f>
        <v/>
      </c>
      <c r="Q834" s="49"/>
    </row>
    <row r="835" customFormat="false" ht="12" hidden="false" customHeight="true" outlineLevel="0" collapsed="false">
      <c r="A835" s="40" t="n">
        <f aca="false">IF(H835="",IF(C835="",A834,A834+1),A834)</f>
        <v>62</v>
      </c>
      <c r="B835" s="41" t="str">
        <f aca="false">IF(A835=A834,"",CONCATENATE("F",A835))</f>
        <v/>
      </c>
      <c r="C835" s="42"/>
      <c r="D835" s="42"/>
      <c r="E835" s="42"/>
      <c r="F835" s="42"/>
      <c r="G835" s="42"/>
      <c r="H835" s="44"/>
      <c r="I835" s="50"/>
      <c r="J835" s="44"/>
      <c r="K835" s="44"/>
      <c r="L835" s="44" t="str">
        <f aca="false">CONCATENATE(H835,M835)</f>
        <v/>
      </c>
      <c r="M835" s="45" t="str">
        <f aca="false">IF(OR(ISBLANK(J835),ISBLANK(K835)),IF(OR(H835="ALI",H835="AIE"),"L",IF(ISBLANK(H835),"","A")),IF(H835="EE",IF(K835&gt;=3,IF(J835&gt;=5,"H","A"),IF(K835&gt;=2,IF(J835&gt;=16,"H",IF(J835&lt;=4,"L","A")),IF(J835&lt;=15,"L","A"))),IF(OR(H835="SE",H835="CE"),IF(K835&gt;=4,IF(J835&gt;=6,"H","A"),IF(K835&gt;=2,IF(J835&gt;=20,"H",IF(J835&lt;=5,"L","A")),IF(J835&lt;=19,"L","A"))),IF(OR(H835="ALI",H835="AIE"),IF(K835&gt;=6,IF(J835&gt;=20,"H","A"),IF(K835&gt;=2,IF(J835&gt;=51,"H",IF(J835&lt;=19,"L","A")),IF(J835&lt;=50,"L","A")))))))</f>
        <v/>
      </c>
      <c r="N835" s="46" t="str">
        <f aca="false">IF(M835="L","Baixa",IF(M835="A","Média",IF(M835="","","Alta")))</f>
        <v/>
      </c>
      <c r="O835" s="47" t="str">
        <f aca="false">IF(ISBLANK(H835),"",IF(H835="ALI",IF(M835="L",7,IF(M835="A",10,15)),IF(H835="AIE",IF(M835="L",5,IF(M835="A",7,10)),IF(H835="SE",IF(M835="L",4,IF(M835="A",5,7)),IF(OR(H835="EE",H835="CE"),IF(M835="L",3,IF(M835="A",4,6)))))))</f>
        <v/>
      </c>
      <c r="P835" s="48" t="str">
        <f aca="false">IF(I835="I",O835*Contagem!$W$15,IF(I835="E",O835*Contagem!$W$17,IF(I835="A",O835*Contagem!$W$16,IF(I835="T",O835*Contagem!$W$18,""))))</f>
        <v/>
      </c>
      <c r="Q835" s="49"/>
    </row>
    <row r="836" customFormat="false" ht="12" hidden="false" customHeight="true" outlineLevel="0" collapsed="false">
      <c r="A836" s="40" t="n">
        <f aca="false">IF(H836="",IF(C836="",A835,A835+1),A835)</f>
        <v>62</v>
      </c>
      <c r="B836" s="41" t="str">
        <f aca="false">IF(A836=A835,"",CONCATENATE("F",A836))</f>
        <v/>
      </c>
      <c r="C836" s="42"/>
      <c r="D836" s="42"/>
      <c r="E836" s="42"/>
      <c r="F836" s="42"/>
      <c r="G836" s="42"/>
      <c r="H836" s="44"/>
      <c r="I836" s="50"/>
      <c r="J836" s="44"/>
      <c r="K836" s="44"/>
      <c r="L836" s="44" t="str">
        <f aca="false">CONCATENATE(H836,M836)</f>
        <v/>
      </c>
      <c r="M836" s="45" t="str">
        <f aca="false">IF(OR(ISBLANK(J836),ISBLANK(K836)),IF(OR(H836="ALI",H836="AIE"),"L",IF(ISBLANK(H836),"","A")),IF(H836="EE",IF(K836&gt;=3,IF(J836&gt;=5,"H","A"),IF(K836&gt;=2,IF(J836&gt;=16,"H",IF(J836&lt;=4,"L","A")),IF(J836&lt;=15,"L","A"))),IF(OR(H836="SE",H836="CE"),IF(K836&gt;=4,IF(J836&gt;=6,"H","A"),IF(K836&gt;=2,IF(J836&gt;=20,"H",IF(J836&lt;=5,"L","A")),IF(J836&lt;=19,"L","A"))),IF(OR(H836="ALI",H836="AIE"),IF(K836&gt;=6,IF(J836&gt;=20,"H","A"),IF(K836&gt;=2,IF(J836&gt;=51,"H",IF(J836&lt;=19,"L","A")),IF(J836&lt;=50,"L","A")))))))</f>
        <v/>
      </c>
      <c r="N836" s="46" t="str">
        <f aca="false">IF(M836="L","Baixa",IF(M836="A","Média",IF(M836="","","Alta")))</f>
        <v/>
      </c>
      <c r="O836" s="47" t="str">
        <f aca="false">IF(ISBLANK(H836),"",IF(H836="ALI",IF(M836="L",7,IF(M836="A",10,15)),IF(H836="AIE",IF(M836="L",5,IF(M836="A",7,10)),IF(H836="SE",IF(M836="L",4,IF(M836="A",5,7)),IF(OR(H836="EE",H836="CE"),IF(M836="L",3,IF(M836="A",4,6)))))))</f>
        <v/>
      </c>
      <c r="P836" s="48" t="str">
        <f aca="false">IF(I836="I",O836*Contagem!$W$15,IF(I836="E",O836*Contagem!$W$17,IF(I836="A",O836*Contagem!$W$16,IF(I836="T",O836*Contagem!$W$18,""))))</f>
        <v/>
      </c>
      <c r="Q836" s="49"/>
    </row>
    <row r="837" customFormat="false" ht="12" hidden="false" customHeight="true" outlineLevel="0" collapsed="false">
      <c r="A837" s="40" t="n">
        <f aca="false">IF(H837="",IF(C837="",A836,A836+1),A836)</f>
        <v>62</v>
      </c>
      <c r="B837" s="41" t="str">
        <f aca="false">IF(A837=A836,"",CONCATENATE("F",A837))</f>
        <v/>
      </c>
      <c r="C837" s="42"/>
      <c r="D837" s="42"/>
      <c r="E837" s="42"/>
      <c r="F837" s="42"/>
      <c r="G837" s="42"/>
      <c r="H837" s="44"/>
      <c r="I837" s="50"/>
      <c r="J837" s="44"/>
      <c r="K837" s="44"/>
      <c r="L837" s="44" t="str">
        <f aca="false">CONCATENATE(H837,M837)</f>
        <v/>
      </c>
      <c r="M837" s="45" t="str">
        <f aca="false">IF(OR(ISBLANK(J837),ISBLANK(K837)),IF(OR(H837="ALI",H837="AIE"),"L",IF(ISBLANK(H837),"","A")),IF(H837="EE",IF(K837&gt;=3,IF(J837&gt;=5,"H","A"),IF(K837&gt;=2,IF(J837&gt;=16,"H",IF(J837&lt;=4,"L","A")),IF(J837&lt;=15,"L","A"))),IF(OR(H837="SE",H837="CE"),IF(K837&gt;=4,IF(J837&gt;=6,"H","A"),IF(K837&gt;=2,IF(J837&gt;=20,"H",IF(J837&lt;=5,"L","A")),IF(J837&lt;=19,"L","A"))),IF(OR(H837="ALI",H837="AIE"),IF(K837&gt;=6,IF(J837&gt;=20,"H","A"),IF(K837&gt;=2,IF(J837&gt;=51,"H",IF(J837&lt;=19,"L","A")),IF(J837&lt;=50,"L","A")))))))</f>
        <v/>
      </c>
      <c r="N837" s="46" t="str">
        <f aca="false">IF(M837="L","Baixa",IF(M837="A","Média",IF(M837="","","Alta")))</f>
        <v/>
      </c>
      <c r="O837" s="47" t="str">
        <f aca="false">IF(ISBLANK(H837),"",IF(H837="ALI",IF(M837="L",7,IF(M837="A",10,15)),IF(H837="AIE",IF(M837="L",5,IF(M837="A",7,10)),IF(H837="SE",IF(M837="L",4,IF(M837="A",5,7)),IF(OR(H837="EE",H837="CE"),IF(M837="L",3,IF(M837="A",4,6)))))))</f>
        <v/>
      </c>
      <c r="P837" s="48" t="str">
        <f aca="false">IF(I837="I",O837*Contagem!$W$15,IF(I837="E",O837*Contagem!$W$17,IF(I837="A",O837*Contagem!$W$16,IF(I837="T",O837*Contagem!$W$18,""))))</f>
        <v/>
      </c>
      <c r="Q837" s="49"/>
    </row>
    <row r="838" customFormat="false" ht="12" hidden="false" customHeight="true" outlineLevel="0" collapsed="false">
      <c r="A838" s="40" t="n">
        <f aca="false">IF(H838="",IF(C838="",A837,A837+1),A837)</f>
        <v>62</v>
      </c>
      <c r="B838" s="41" t="str">
        <f aca="false">IF(A838=A837,"",CONCATENATE("F",A838))</f>
        <v/>
      </c>
      <c r="C838" s="42"/>
      <c r="D838" s="42"/>
      <c r="E838" s="42"/>
      <c r="F838" s="42"/>
      <c r="G838" s="42"/>
      <c r="H838" s="44"/>
      <c r="I838" s="50"/>
      <c r="J838" s="44"/>
      <c r="K838" s="44"/>
      <c r="L838" s="44" t="str">
        <f aca="false">CONCATENATE(H838,M838)</f>
        <v/>
      </c>
      <c r="M838" s="45" t="str">
        <f aca="false">IF(OR(ISBLANK(J838),ISBLANK(K838)),IF(OR(H838="ALI",H838="AIE"),"L",IF(ISBLANK(H838),"","A")),IF(H838="EE",IF(K838&gt;=3,IF(J838&gt;=5,"H","A"),IF(K838&gt;=2,IF(J838&gt;=16,"H",IF(J838&lt;=4,"L","A")),IF(J838&lt;=15,"L","A"))),IF(OR(H838="SE",H838="CE"),IF(K838&gt;=4,IF(J838&gt;=6,"H","A"),IF(K838&gt;=2,IF(J838&gt;=20,"H",IF(J838&lt;=5,"L","A")),IF(J838&lt;=19,"L","A"))),IF(OR(H838="ALI",H838="AIE"),IF(K838&gt;=6,IF(J838&gt;=20,"H","A"),IF(K838&gt;=2,IF(J838&gt;=51,"H",IF(J838&lt;=19,"L","A")),IF(J838&lt;=50,"L","A")))))))</f>
        <v/>
      </c>
      <c r="N838" s="46" t="str">
        <f aca="false">IF(M838="L","Baixa",IF(M838="A","Média",IF(M838="","","Alta")))</f>
        <v/>
      </c>
      <c r="O838" s="47" t="str">
        <f aca="false">IF(ISBLANK(H838),"",IF(H838="ALI",IF(M838="L",7,IF(M838="A",10,15)),IF(H838="AIE",IF(M838="L",5,IF(M838="A",7,10)),IF(H838="SE",IF(M838="L",4,IF(M838="A",5,7)),IF(OR(H838="EE",H838="CE"),IF(M838="L",3,IF(M838="A",4,6)))))))</f>
        <v/>
      </c>
      <c r="P838" s="48" t="str">
        <f aca="false">IF(I838="I",O838*Contagem!$W$15,IF(I838="E",O838*Contagem!$W$17,IF(I838="A",O838*Contagem!$W$16,IF(I838="T",O838*Contagem!$W$18,""))))</f>
        <v/>
      </c>
      <c r="Q838" s="49"/>
    </row>
    <row r="839" customFormat="false" ht="12" hidden="false" customHeight="true" outlineLevel="0" collapsed="false">
      <c r="A839" s="40" t="n">
        <f aca="false">IF(H839="",IF(C839="",A838,A838+1),A838)</f>
        <v>62</v>
      </c>
      <c r="B839" s="41" t="str">
        <f aca="false">IF(A839=A838,"",CONCATENATE("F",A839))</f>
        <v/>
      </c>
      <c r="C839" s="42"/>
      <c r="D839" s="42"/>
      <c r="E839" s="42"/>
      <c r="F839" s="42"/>
      <c r="G839" s="42"/>
      <c r="H839" s="44"/>
      <c r="I839" s="50"/>
      <c r="J839" s="44"/>
      <c r="K839" s="44"/>
      <c r="L839" s="44" t="str">
        <f aca="false">CONCATENATE(H839,M839)</f>
        <v/>
      </c>
      <c r="M839" s="45" t="str">
        <f aca="false">IF(OR(ISBLANK(J839),ISBLANK(K839)),IF(OR(H839="ALI",H839="AIE"),"L",IF(ISBLANK(H839),"","A")),IF(H839="EE",IF(K839&gt;=3,IF(J839&gt;=5,"H","A"),IF(K839&gt;=2,IF(J839&gt;=16,"H",IF(J839&lt;=4,"L","A")),IF(J839&lt;=15,"L","A"))),IF(OR(H839="SE",H839="CE"),IF(K839&gt;=4,IF(J839&gt;=6,"H","A"),IF(K839&gt;=2,IF(J839&gt;=20,"H",IF(J839&lt;=5,"L","A")),IF(J839&lt;=19,"L","A"))),IF(OR(H839="ALI",H839="AIE"),IF(K839&gt;=6,IF(J839&gt;=20,"H","A"),IF(K839&gt;=2,IF(J839&gt;=51,"H",IF(J839&lt;=19,"L","A")),IF(J839&lt;=50,"L","A")))))))</f>
        <v/>
      </c>
      <c r="N839" s="46" t="str">
        <f aca="false">IF(M839="L","Baixa",IF(M839="A","Média",IF(M839="","","Alta")))</f>
        <v/>
      </c>
      <c r="O839" s="47" t="str">
        <f aca="false">IF(ISBLANK(H839),"",IF(H839="ALI",IF(M839="L",7,IF(M839="A",10,15)),IF(H839="AIE",IF(M839="L",5,IF(M839="A",7,10)),IF(H839="SE",IF(M839="L",4,IF(M839="A",5,7)),IF(OR(H839="EE",H839="CE"),IF(M839="L",3,IF(M839="A",4,6)))))))</f>
        <v/>
      </c>
      <c r="P839" s="48" t="str">
        <f aca="false">IF(I839="I",O839*Contagem!$W$15,IF(I839="E",O839*Contagem!$W$17,IF(I839="A",O839*Contagem!$W$16,IF(I839="T",O839*Contagem!$W$18,""))))</f>
        <v/>
      </c>
      <c r="Q839" s="49"/>
    </row>
    <row r="840" customFormat="false" ht="12" hidden="false" customHeight="true" outlineLevel="0" collapsed="false">
      <c r="A840" s="40" t="n">
        <f aca="false">IF(H840="",IF(C840="",A839,A839+1),A839)</f>
        <v>62</v>
      </c>
      <c r="B840" s="41" t="str">
        <f aca="false">IF(A840=A839,"",CONCATENATE("F",A840))</f>
        <v/>
      </c>
      <c r="C840" s="42"/>
      <c r="D840" s="42"/>
      <c r="E840" s="42"/>
      <c r="F840" s="42"/>
      <c r="G840" s="42"/>
      <c r="H840" s="44"/>
      <c r="I840" s="50"/>
      <c r="J840" s="44"/>
      <c r="K840" s="44"/>
      <c r="L840" s="44" t="str">
        <f aca="false">CONCATENATE(H840,M840)</f>
        <v/>
      </c>
      <c r="M840" s="45" t="str">
        <f aca="false">IF(OR(ISBLANK(J840),ISBLANK(K840)),IF(OR(H840="ALI",H840="AIE"),"L",IF(ISBLANK(H840),"","A")),IF(H840="EE",IF(K840&gt;=3,IF(J840&gt;=5,"H","A"),IF(K840&gt;=2,IF(J840&gt;=16,"H",IF(J840&lt;=4,"L","A")),IF(J840&lt;=15,"L","A"))),IF(OR(H840="SE",H840="CE"),IF(K840&gt;=4,IF(J840&gt;=6,"H","A"),IF(K840&gt;=2,IF(J840&gt;=20,"H",IF(J840&lt;=5,"L","A")),IF(J840&lt;=19,"L","A"))),IF(OR(H840="ALI",H840="AIE"),IF(K840&gt;=6,IF(J840&gt;=20,"H","A"),IF(K840&gt;=2,IF(J840&gt;=51,"H",IF(J840&lt;=19,"L","A")),IF(J840&lt;=50,"L","A")))))))</f>
        <v/>
      </c>
      <c r="N840" s="46" t="str">
        <f aca="false">IF(M840="L","Baixa",IF(M840="A","Média",IF(M840="","","Alta")))</f>
        <v/>
      </c>
      <c r="O840" s="47" t="str">
        <f aca="false">IF(ISBLANK(H840),"",IF(H840="ALI",IF(M840="L",7,IF(M840="A",10,15)),IF(H840="AIE",IF(M840="L",5,IF(M840="A",7,10)),IF(H840="SE",IF(M840="L",4,IF(M840="A",5,7)),IF(OR(H840="EE",H840="CE"),IF(M840="L",3,IF(M840="A",4,6)))))))</f>
        <v/>
      </c>
      <c r="P840" s="48" t="str">
        <f aca="false">IF(I840="I",O840*Contagem!$W$15,IF(I840="E",O840*Contagem!$W$17,IF(I840="A",O840*Contagem!$W$16,IF(I840="T",O840*Contagem!$W$18,""))))</f>
        <v/>
      </c>
      <c r="Q840" s="49"/>
    </row>
    <row r="841" customFormat="false" ht="12" hidden="false" customHeight="true" outlineLevel="0" collapsed="false">
      <c r="A841" s="40" t="n">
        <f aca="false">IF(H841="",IF(C841="",A840,A840+1),A840)</f>
        <v>62</v>
      </c>
      <c r="B841" s="41" t="str">
        <f aca="false">IF(A841=A840,"",CONCATENATE("F",A841))</f>
        <v/>
      </c>
      <c r="C841" s="42"/>
      <c r="D841" s="42"/>
      <c r="E841" s="42"/>
      <c r="F841" s="42"/>
      <c r="G841" s="42"/>
      <c r="H841" s="44"/>
      <c r="I841" s="50"/>
      <c r="J841" s="44"/>
      <c r="K841" s="44"/>
      <c r="L841" s="44" t="str">
        <f aca="false">CONCATENATE(H841,M841)</f>
        <v/>
      </c>
      <c r="M841" s="45" t="str">
        <f aca="false">IF(OR(ISBLANK(J841),ISBLANK(K841)),IF(OR(H841="ALI",H841="AIE"),"L",IF(ISBLANK(H841),"","A")),IF(H841="EE",IF(K841&gt;=3,IF(J841&gt;=5,"H","A"),IF(K841&gt;=2,IF(J841&gt;=16,"H",IF(J841&lt;=4,"L","A")),IF(J841&lt;=15,"L","A"))),IF(OR(H841="SE",H841="CE"),IF(K841&gt;=4,IF(J841&gt;=6,"H","A"),IF(K841&gt;=2,IF(J841&gt;=20,"H",IF(J841&lt;=5,"L","A")),IF(J841&lt;=19,"L","A"))),IF(OR(H841="ALI",H841="AIE"),IF(K841&gt;=6,IF(J841&gt;=20,"H","A"),IF(K841&gt;=2,IF(J841&gt;=51,"H",IF(J841&lt;=19,"L","A")),IF(J841&lt;=50,"L","A")))))))</f>
        <v/>
      </c>
      <c r="N841" s="46" t="str">
        <f aca="false">IF(M841="L","Baixa",IF(M841="A","Média",IF(M841="","","Alta")))</f>
        <v/>
      </c>
      <c r="O841" s="47" t="str">
        <f aca="false">IF(ISBLANK(H841),"",IF(H841="ALI",IF(M841="L",7,IF(M841="A",10,15)),IF(H841="AIE",IF(M841="L",5,IF(M841="A",7,10)),IF(H841="SE",IF(M841="L",4,IF(M841="A",5,7)),IF(OR(H841="EE",H841="CE"),IF(M841="L",3,IF(M841="A",4,6)))))))</f>
        <v/>
      </c>
      <c r="P841" s="48" t="str">
        <f aca="false">IF(I841="I",O841*Contagem!$W$15,IF(I841="E",O841*Contagem!$W$17,IF(I841="A",O841*Contagem!$W$16,IF(I841="T",O841*Contagem!$W$18,""))))</f>
        <v/>
      </c>
      <c r="Q841" s="49"/>
    </row>
    <row r="842" customFormat="false" ht="12" hidden="false" customHeight="true" outlineLevel="0" collapsed="false">
      <c r="A842" s="40" t="n">
        <f aca="false">IF(H842="",IF(C842="",A841,A841+1),A841)</f>
        <v>62</v>
      </c>
      <c r="B842" s="41" t="str">
        <f aca="false">IF(A842=A841,"",CONCATENATE("F",A842))</f>
        <v/>
      </c>
      <c r="C842" s="42"/>
      <c r="D842" s="42"/>
      <c r="E842" s="42"/>
      <c r="F842" s="42"/>
      <c r="G842" s="42"/>
      <c r="H842" s="44"/>
      <c r="I842" s="50"/>
      <c r="J842" s="44"/>
      <c r="K842" s="44"/>
      <c r="L842" s="44" t="str">
        <f aca="false">CONCATENATE(H842,M842)</f>
        <v/>
      </c>
      <c r="M842" s="45" t="str">
        <f aca="false">IF(OR(ISBLANK(J842),ISBLANK(K842)),IF(OR(H842="ALI",H842="AIE"),"L",IF(ISBLANK(H842),"","A")),IF(H842="EE",IF(K842&gt;=3,IF(J842&gt;=5,"H","A"),IF(K842&gt;=2,IF(J842&gt;=16,"H",IF(J842&lt;=4,"L","A")),IF(J842&lt;=15,"L","A"))),IF(OR(H842="SE",H842="CE"),IF(K842&gt;=4,IF(J842&gt;=6,"H","A"),IF(K842&gt;=2,IF(J842&gt;=20,"H",IF(J842&lt;=5,"L","A")),IF(J842&lt;=19,"L","A"))),IF(OR(H842="ALI",H842="AIE"),IF(K842&gt;=6,IF(J842&gt;=20,"H","A"),IF(K842&gt;=2,IF(J842&gt;=51,"H",IF(J842&lt;=19,"L","A")),IF(J842&lt;=50,"L","A")))))))</f>
        <v/>
      </c>
      <c r="N842" s="46" t="str">
        <f aca="false">IF(M842="L","Baixa",IF(M842="A","Média",IF(M842="","","Alta")))</f>
        <v/>
      </c>
      <c r="O842" s="47" t="str">
        <f aca="false">IF(ISBLANK(H842),"",IF(H842="ALI",IF(M842="L",7,IF(M842="A",10,15)),IF(H842="AIE",IF(M842="L",5,IF(M842="A",7,10)),IF(H842="SE",IF(M842="L",4,IF(M842="A",5,7)),IF(OR(H842="EE",H842="CE"),IF(M842="L",3,IF(M842="A",4,6)))))))</f>
        <v/>
      </c>
      <c r="P842" s="48" t="str">
        <f aca="false">IF(I842="I",O842*Contagem!$W$15,IF(I842="E",O842*Contagem!$W$17,IF(I842="A",O842*Contagem!$W$16,IF(I842="T",O842*Contagem!$W$18,""))))</f>
        <v/>
      </c>
      <c r="Q842" s="49"/>
    </row>
    <row r="843" customFormat="false" ht="12" hidden="false" customHeight="true" outlineLevel="0" collapsed="false">
      <c r="A843" s="40" t="n">
        <f aca="false">IF(H843="",IF(C843="",A842,A842+1),A842)</f>
        <v>62</v>
      </c>
      <c r="B843" s="41" t="str">
        <f aca="false">IF(A843=A842,"",CONCATENATE("F",A843))</f>
        <v/>
      </c>
      <c r="C843" s="42"/>
      <c r="D843" s="42"/>
      <c r="E843" s="42"/>
      <c r="F843" s="42"/>
      <c r="G843" s="42"/>
      <c r="H843" s="44"/>
      <c r="I843" s="50"/>
      <c r="J843" s="44"/>
      <c r="K843" s="44"/>
      <c r="L843" s="44" t="str">
        <f aca="false">CONCATENATE(H843,M843)</f>
        <v/>
      </c>
      <c r="M843" s="45" t="str">
        <f aca="false">IF(OR(ISBLANK(J843),ISBLANK(K843)),IF(OR(H843="ALI",H843="AIE"),"L",IF(ISBLANK(H843),"","A")),IF(H843="EE",IF(K843&gt;=3,IF(J843&gt;=5,"H","A"),IF(K843&gt;=2,IF(J843&gt;=16,"H",IF(J843&lt;=4,"L","A")),IF(J843&lt;=15,"L","A"))),IF(OR(H843="SE",H843="CE"),IF(K843&gt;=4,IF(J843&gt;=6,"H","A"),IF(K843&gt;=2,IF(J843&gt;=20,"H",IF(J843&lt;=5,"L","A")),IF(J843&lt;=19,"L","A"))),IF(OR(H843="ALI",H843="AIE"),IF(K843&gt;=6,IF(J843&gt;=20,"H","A"),IF(K843&gt;=2,IF(J843&gt;=51,"H",IF(J843&lt;=19,"L","A")),IF(J843&lt;=50,"L","A")))))))</f>
        <v/>
      </c>
      <c r="N843" s="46" t="str">
        <f aca="false">IF(M843="L","Baixa",IF(M843="A","Média",IF(M843="","","Alta")))</f>
        <v/>
      </c>
      <c r="O843" s="47" t="str">
        <f aca="false">IF(ISBLANK(H843),"",IF(H843="ALI",IF(M843="L",7,IF(M843="A",10,15)),IF(H843="AIE",IF(M843="L",5,IF(M843="A",7,10)),IF(H843="SE",IF(M843="L",4,IF(M843="A",5,7)),IF(OR(H843="EE",H843="CE"),IF(M843="L",3,IF(M843="A",4,6)))))))</f>
        <v/>
      </c>
      <c r="P843" s="48" t="str">
        <f aca="false">IF(I843="I",O843*Contagem!$W$15,IF(I843="E",O843*Contagem!$W$17,IF(I843="A",O843*Contagem!$W$16,IF(I843="T",O843*Contagem!$W$18,""))))</f>
        <v/>
      </c>
      <c r="Q843" s="49"/>
    </row>
    <row r="844" customFormat="false" ht="12" hidden="false" customHeight="true" outlineLevel="0" collapsed="false">
      <c r="A844" s="40" t="n">
        <f aca="false">IF(H844="",IF(C844="",A843,A843+1),A843)</f>
        <v>62</v>
      </c>
      <c r="B844" s="41" t="str">
        <f aca="false">IF(A844=A843,"",CONCATENATE("F",A844))</f>
        <v/>
      </c>
      <c r="C844" s="42"/>
      <c r="D844" s="42"/>
      <c r="E844" s="42"/>
      <c r="F844" s="42"/>
      <c r="G844" s="42"/>
      <c r="H844" s="44"/>
      <c r="I844" s="50"/>
      <c r="J844" s="44"/>
      <c r="K844" s="44"/>
      <c r="L844" s="44" t="str">
        <f aca="false">CONCATENATE(H844,M844)</f>
        <v/>
      </c>
      <c r="M844" s="45" t="str">
        <f aca="false">IF(OR(ISBLANK(J844),ISBLANK(K844)),IF(OR(H844="ALI",H844="AIE"),"L",IF(ISBLANK(H844),"","A")),IF(H844="EE",IF(K844&gt;=3,IF(J844&gt;=5,"H","A"),IF(K844&gt;=2,IF(J844&gt;=16,"H",IF(J844&lt;=4,"L","A")),IF(J844&lt;=15,"L","A"))),IF(OR(H844="SE",H844="CE"),IF(K844&gt;=4,IF(J844&gt;=6,"H","A"),IF(K844&gt;=2,IF(J844&gt;=20,"H",IF(J844&lt;=5,"L","A")),IF(J844&lt;=19,"L","A"))),IF(OR(H844="ALI",H844="AIE"),IF(K844&gt;=6,IF(J844&gt;=20,"H","A"),IF(K844&gt;=2,IF(J844&gt;=51,"H",IF(J844&lt;=19,"L","A")),IF(J844&lt;=50,"L","A")))))))</f>
        <v/>
      </c>
      <c r="N844" s="46" t="str">
        <f aca="false">IF(M844="L","Baixa",IF(M844="A","Média",IF(M844="","","Alta")))</f>
        <v/>
      </c>
      <c r="O844" s="47" t="str">
        <f aca="false">IF(ISBLANK(H844),"",IF(H844="ALI",IF(M844="L",7,IF(M844="A",10,15)),IF(H844="AIE",IF(M844="L",5,IF(M844="A",7,10)),IF(H844="SE",IF(M844="L",4,IF(M844="A",5,7)),IF(OR(H844="EE",H844="CE"),IF(M844="L",3,IF(M844="A",4,6)))))))</f>
        <v/>
      </c>
      <c r="P844" s="48" t="str">
        <f aca="false">IF(I844="I",O844*Contagem!$W$15,IF(I844="E",O844*Contagem!$W$17,IF(I844="A",O844*Contagem!$W$16,IF(I844="T",O844*Contagem!$W$18,""))))</f>
        <v/>
      </c>
      <c r="Q844" s="49"/>
    </row>
    <row r="845" customFormat="false" ht="12" hidden="false" customHeight="true" outlineLevel="0" collapsed="false">
      <c r="A845" s="40" t="n">
        <f aca="false">IF(H845="",IF(C845="",A844,A844+1),A844)</f>
        <v>62</v>
      </c>
      <c r="B845" s="41" t="str">
        <f aca="false">IF(A845=A844,"",CONCATENATE("F",A845))</f>
        <v/>
      </c>
      <c r="C845" s="42"/>
      <c r="D845" s="42"/>
      <c r="E845" s="42"/>
      <c r="F845" s="42"/>
      <c r="G845" s="42"/>
      <c r="H845" s="44"/>
      <c r="I845" s="50"/>
      <c r="J845" s="44"/>
      <c r="K845" s="44"/>
      <c r="L845" s="44" t="str">
        <f aca="false">CONCATENATE(H845,M845)</f>
        <v/>
      </c>
      <c r="M845" s="45" t="str">
        <f aca="false">IF(OR(ISBLANK(J845),ISBLANK(K845)),IF(OR(H845="ALI",H845="AIE"),"L",IF(ISBLANK(H845),"","A")),IF(H845="EE",IF(K845&gt;=3,IF(J845&gt;=5,"H","A"),IF(K845&gt;=2,IF(J845&gt;=16,"H",IF(J845&lt;=4,"L","A")),IF(J845&lt;=15,"L","A"))),IF(OR(H845="SE",H845="CE"),IF(K845&gt;=4,IF(J845&gt;=6,"H","A"),IF(K845&gt;=2,IF(J845&gt;=20,"H",IF(J845&lt;=5,"L","A")),IF(J845&lt;=19,"L","A"))),IF(OR(H845="ALI",H845="AIE"),IF(K845&gt;=6,IF(J845&gt;=20,"H","A"),IF(K845&gt;=2,IF(J845&gt;=51,"H",IF(J845&lt;=19,"L","A")),IF(J845&lt;=50,"L","A")))))))</f>
        <v/>
      </c>
      <c r="N845" s="46" t="str">
        <f aca="false">IF(M845="L","Baixa",IF(M845="A","Média",IF(M845="","","Alta")))</f>
        <v/>
      </c>
      <c r="O845" s="47" t="str">
        <f aca="false">IF(ISBLANK(H845),"",IF(H845="ALI",IF(M845="L",7,IF(M845="A",10,15)),IF(H845="AIE",IF(M845="L",5,IF(M845="A",7,10)),IF(H845="SE",IF(M845="L",4,IF(M845="A",5,7)),IF(OR(H845="EE",H845="CE"),IF(M845="L",3,IF(M845="A",4,6)))))))</f>
        <v/>
      </c>
      <c r="P845" s="48" t="str">
        <f aca="false">IF(I845="I",O845*Contagem!$W$15,IF(I845="E",O845*Contagem!$W$17,IF(I845="A",O845*Contagem!$W$16,IF(I845="T",O845*Contagem!$W$18,""))))</f>
        <v/>
      </c>
      <c r="Q845" s="49"/>
    </row>
    <row r="846" customFormat="false" ht="12" hidden="false" customHeight="true" outlineLevel="0" collapsed="false">
      <c r="A846" s="40" t="n">
        <f aca="false">IF(H846="",IF(C846="",A845,A845+1),A845)</f>
        <v>62</v>
      </c>
      <c r="B846" s="41" t="str">
        <f aca="false">IF(A846=A845,"",CONCATENATE("F",A846))</f>
        <v/>
      </c>
      <c r="C846" s="42"/>
      <c r="D846" s="2"/>
      <c r="E846" s="2"/>
      <c r="F846" s="2"/>
      <c r="G846" s="2"/>
      <c r="H846" s="44"/>
      <c r="I846" s="50"/>
      <c r="J846" s="44"/>
      <c r="K846" s="44"/>
      <c r="L846" s="44" t="str">
        <f aca="false">CONCATENATE(H846,M846)</f>
        <v/>
      </c>
      <c r="M846" s="45" t="str">
        <f aca="false">IF(OR(ISBLANK(J846),ISBLANK(K846)),IF(OR(H846="ALI",H846="AIE"),"L",IF(ISBLANK(H846),"","A")),IF(H846="EE",IF(K846&gt;=3,IF(J846&gt;=5,"H","A"),IF(K846&gt;=2,IF(J846&gt;=16,"H",IF(J846&lt;=4,"L","A")),IF(J846&lt;=15,"L","A"))),IF(OR(H846="SE",H846="CE"),IF(K846&gt;=4,IF(J846&gt;=6,"H","A"),IF(K846&gt;=2,IF(J846&gt;=20,"H",IF(J846&lt;=5,"L","A")),IF(J846&lt;=19,"L","A"))),IF(OR(H846="ALI",H846="AIE"),IF(K846&gt;=6,IF(J846&gt;=20,"H","A"),IF(K846&gt;=2,IF(J846&gt;=51,"H",IF(J846&lt;=19,"L","A")),IF(J846&lt;=50,"L","A")))))))</f>
        <v/>
      </c>
      <c r="N846" s="46" t="str">
        <f aca="false">IF(M846="L","Baixa",IF(M846="A","Média",IF(M846="","","Alta")))</f>
        <v/>
      </c>
      <c r="O846" s="47" t="str">
        <f aca="false">IF(ISBLANK(H846),"",IF(H846="ALI",IF(M846="L",7,IF(M846="A",10,15)),IF(H846="AIE",IF(M846="L",5,IF(M846="A",7,10)),IF(H846="SE",IF(M846="L",4,IF(M846="A",5,7)),IF(OR(H846="EE",H846="CE"),IF(M846="L",3,IF(M846="A",4,6)))))))</f>
        <v/>
      </c>
      <c r="P846" s="48" t="str">
        <f aca="false">IF(I846="I",O846*Contagem!$W$15,IF(I846="E",O846*Contagem!$W$17,IF(I846="A",O846*Contagem!$W$16,IF(I846="T",O846*Contagem!$W$18,""))))</f>
        <v/>
      </c>
      <c r="Q846" s="49"/>
    </row>
    <row r="847" customFormat="false" ht="12" hidden="false" customHeight="true" outlineLevel="0" collapsed="false">
      <c r="A847" s="40" t="n">
        <f aca="false">IF(H847="",IF(C847="",A846,A846+1),A846)</f>
        <v>62</v>
      </c>
      <c r="B847" s="41" t="str">
        <f aca="false">IF(A847=A846,"",CONCATENATE("F",A847))</f>
        <v/>
      </c>
      <c r="C847" s="42"/>
      <c r="D847" s="2"/>
      <c r="E847" s="2"/>
      <c r="F847" s="2"/>
      <c r="G847" s="2"/>
      <c r="H847" s="44"/>
      <c r="I847" s="50"/>
      <c r="J847" s="44"/>
      <c r="K847" s="44"/>
      <c r="L847" s="44" t="str">
        <f aca="false">CONCATENATE(H847,M847)</f>
        <v/>
      </c>
      <c r="M847" s="45" t="str">
        <f aca="false">IF(OR(ISBLANK(J847),ISBLANK(K847)),IF(OR(H847="ALI",H847="AIE"),"L",IF(ISBLANK(H847),"","A")),IF(H847="EE",IF(K847&gt;=3,IF(J847&gt;=5,"H","A"),IF(K847&gt;=2,IF(J847&gt;=16,"H",IF(J847&lt;=4,"L","A")),IF(J847&lt;=15,"L","A"))),IF(OR(H847="SE",H847="CE"),IF(K847&gt;=4,IF(J847&gt;=6,"H","A"),IF(K847&gt;=2,IF(J847&gt;=20,"H",IF(J847&lt;=5,"L","A")),IF(J847&lt;=19,"L","A"))),IF(OR(H847="ALI",H847="AIE"),IF(K847&gt;=6,IF(J847&gt;=20,"H","A"),IF(K847&gt;=2,IF(J847&gt;=51,"H",IF(J847&lt;=19,"L","A")),IF(J847&lt;=50,"L","A")))))))</f>
        <v/>
      </c>
      <c r="N847" s="46" t="str">
        <f aca="false">IF(M847="L","Baixa",IF(M847="A","Média",IF(M847="","","Alta")))</f>
        <v/>
      </c>
      <c r="O847" s="47" t="str">
        <f aca="false">IF(ISBLANK(H847),"",IF(H847="ALI",IF(M847="L",7,IF(M847="A",10,15)),IF(H847="AIE",IF(M847="L",5,IF(M847="A",7,10)),IF(H847="SE",IF(M847="L",4,IF(M847="A",5,7)),IF(OR(H847="EE",H847="CE"),IF(M847="L",3,IF(M847="A",4,6)))))))</f>
        <v/>
      </c>
      <c r="P847" s="48" t="str">
        <f aca="false">IF(I847="I",O847*Contagem!$W$15,IF(I847="E",O847*Contagem!$W$17,IF(I847="A",O847*Contagem!$W$16,IF(I847="T",O847*Contagem!$W$18,""))))</f>
        <v/>
      </c>
      <c r="Q847" s="49"/>
    </row>
    <row r="848" customFormat="false" ht="12" hidden="false" customHeight="true" outlineLevel="0" collapsed="false">
      <c r="A848" s="40" t="n">
        <f aca="false">IF(H848="",IF(C848="",A847,A847+1),A847)</f>
        <v>62</v>
      </c>
      <c r="B848" s="41" t="str">
        <f aca="false">IF(A848=A847,"",CONCATENATE("F",A848))</f>
        <v/>
      </c>
      <c r="C848" s="42"/>
      <c r="D848" s="2"/>
      <c r="E848" s="2"/>
      <c r="F848" s="2"/>
      <c r="G848" s="2"/>
      <c r="H848" s="44"/>
      <c r="I848" s="50"/>
      <c r="J848" s="44"/>
      <c r="K848" s="44"/>
      <c r="L848" s="44" t="str">
        <f aca="false">CONCATENATE(H848,M848)</f>
        <v/>
      </c>
      <c r="M848" s="45" t="str">
        <f aca="false">IF(OR(ISBLANK(J848),ISBLANK(K848)),IF(OR(H848="ALI",H848="AIE"),"L",IF(ISBLANK(H848),"","A")),IF(H848="EE",IF(K848&gt;=3,IF(J848&gt;=5,"H","A"),IF(K848&gt;=2,IF(J848&gt;=16,"H",IF(J848&lt;=4,"L","A")),IF(J848&lt;=15,"L","A"))),IF(OR(H848="SE",H848="CE"),IF(K848&gt;=4,IF(J848&gt;=6,"H","A"),IF(K848&gt;=2,IF(J848&gt;=20,"H",IF(J848&lt;=5,"L","A")),IF(J848&lt;=19,"L","A"))),IF(OR(H848="ALI",H848="AIE"),IF(K848&gt;=6,IF(J848&gt;=20,"H","A"),IF(K848&gt;=2,IF(J848&gt;=51,"H",IF(J848&lt;=19,"L","A")),IF(J848&lt;=50,"L","A")))))))</f>
        <v/>
      </c>
      <c r="N848" s="46" t="str">
        <f aca="false">IF(M848="L","Baixa",IF(M848="A","Média",IF(M848="","","Alta")))</f>
        <v/>
      </c>
      <c r="O848" s="47" t="str">
        <f aca="false">IF(ISBLANK(H848),"",IF(H848="ALI",IF(M848="L",7,IF(M848="A",10,15)),IF(H848="AIE",IF(M848="L",5,IF(M848="A",7,10)),IF(H848="SE",IF(M848="L",4,IF(M848="A",5,7)),IF(OR(H848="EE",H848="CE"),IF(M848="L",3,IF(M848="A",4,6)))))))</f>
        <v/>
      </c>
      <c r="P848" s="48" t="str">
        <f aca="false">IF(I848="I",O848*Contagem!$W$15,IF(I848="E",O848*Contagem!$W$17,IF(I848="A",O848*Contagem!$W$16,IF(I848="T",O848*Contagem!$W$18,""))))</f>
        <v/>
      </c>
      <c r="Q848" s="49"/>
    </row>
    <row r="849" customFormat="false" ht="12" hidden="false" customHeight="true" outlineLevel="0" collapsed="false">
      <c r="A849" s="40" t="n">
        <f aca="false">IF(H849="",IF(C849="",A848,A848+1),A848)</f>
        <v>62</v>
      </c>
      <c r="B849" s="41" t="str">
        <f aca="false">IF(A849=A848,"",CONCATENATE("F",A849))</f>
        <v/>
      </c>
      <c r="C849" s="42"/>
      <c r="D849" s="2"/>
      <c r="E849" s="2"/>
      <c r="F849" s="2"/>
      <c r="G849" s="2"/>
      <c r="H849" s="44"/>
      <c r="I849" s="50"/>
      <c r="J849" s="44"/>
      <c r="K849" s="44"/>
      <c r="L849" s="44" t="str">
        <f aca="false">CONCATENATE(H849,M849)</f>
        <v/>
      </c>
      <c r="M849" s="45" t="str">
        <f aca="false">IF(OR(ISBLANK(J849),ISBLANK(K849)),IF(OR(H849="ALI",H849="AIE"),"L",IF(ISBLANK(H849),"","A")),IF(H849="EE",IF(K849&gt;=3,IF(J849&gt;=5,"H","A"),IF(K849&gt;=2,IF(J849&gt;=16,"H",IF(J849&lt;=4,"L","A")),IF(J849&lt;=15,"L","A"))),IF(OR(H849="SE",H849="CE"),IF(K849&gt;=4,IF(J849&gt;=6,"H","A"),IF(K849&gt;=2,IF(J849&gt;=20,"H",IF(J849&lt;=5,"L","A")),IF(J849&lt;=19,"L","A"))),IF(OR(H849="ALI",H849="AIE"),IF(K849&gt;=6,IF(J849&gt;=20,"H","A"),IF(K849&gt;=2,IF(J849&gt;=51,"H",IF(J849&lt;=19,"L","A")),IF(J849&lt;=50,"L","A")))))))</f>
        <v/>
      </c>
      <c r="N849" s="46" t="str">
        <f aca="false">IF(M849="L","Baixa",IF(M849="A","Média",IF(M849="","","Alta")))</f>
        <v/>
      </c>
      <c r="O849" s="47" t="str">
        <f aca="false">IF(ISBLANK(H849),"",IF(H849="ALI",IF(M849="L",7,IF(M849="A",10,15)),IF(H849="AIE",IF(M849="L",5,IF(M849="A",7,10)),IF(H849="SE",IF(M849="L",4,IF(M849="A",5,7)),IF(OR(H849="EE",H849="CE"),IF(M849="L",3,IF(M849="A",4,6)))))))</f>
        <v/>
      </c>
      <c r="P849" s="48" t="str">
        <f aca="false">IF(I849="I",O849*Contagem!$W$15,IF(I849="E",O849*Contagem!$W$17,IF(I849="A",O849*Contagem!$W$16,IF(I849="T",O849*Contagem!$W$18,""))))</f>
        <v/>
      </c>
      <c r="Q849" s="49"/>
    </row>
    <row r="850" customFormat="false" ht="12" hidden="false" customHeight="true" outlineLevel="0" collapsed="false">
      <c r="A850" s="40" t="n">
        <f aca="false">IF(H850="",IF(C850="",A849,A849+1),A849)</f>
        <v>62</v>
      </c>
      <c r="B850" s="41" t="str">
        <f aca="false">IF(A850=A849,"",CONCATENATE("F",A850))</f>
        <v/>
      </c>
      <c r="C850" s="42"/>
      <c r="D850" s="2"/>
      <c r="E850" s="2"/>
      <c r="F850" s="2"/>
      <c r="G850" s="2"/>
      <c r="H850" s="44"/>
      <c r="I850" s="50"/>
      <c r="J850" s="44"/>
      <c r="K850" s="44"/>
      <c r="L850" s="44" t="str">
        <f aca="false">CONCATENATE(H850,M850)</f>
        <v/>
      </c>
      <c r="M850" s="45" t="str">
        <f aca="false">IF(OR(ISBLANK(J850),ISBLANK(K850)),IF(OR(H850="ALI",H850="AIE"),"L",IF(ISBLANK(H850),"","A")),IF(H850="EE",IF(K850&gt;=3,IF(J850&gt;=5,"H","A"),IF(K850&gt;=2,IF(J850&gt;=16,"H",IF(J850&lt;=4,"L","A")),IF(J850&lt;=15,"L","A"))),IF(OR(H850="SE",H850="CE"),IF(K850&gt;=4,IF(J850&gt;=6,"H","A"),IF(K850&gt;=2,IF(J850&gt;=20,"H",IF(J850&lt;=5,"L","A")),IF(J850&lt;=19,"L","A"))),IF(OR(H850="ALI",H850="AIE"),IF(K850&gt;=6,IF(J850&gt;=20,"H","A"),IF(K850&gt;=2,IF(J850&gt;=51,"H",IF(J850&lt;=19,"L","A")),IF(J850&lt;=50,"L","A")))))))</f>
        <v/>
      </c>
      <c r="N850" s="46" t="str">
        <f aca="false">IF(M850="L","Baixa",IF(M850="A","Média",IF(M850="","","Alta")))</f>
        <v/>
      </c>
      <c r="O850" s="47" t="str">
        <f aca="false">IF(ISBLANK(H850),"",IF(H850="ALI",IF(M850="L",7,IF(M850="A",10,15)),IF(H850="AIE",IF(M850="L",5,IF(M850="A",7,10)),IF(H850="SE",IF(M850="L",4,IF(M850="A",5,7)),IF(OR(H850="EE",H850="CE"),IF(M850="L",3,IF(M850="A",4,6)))))))</f>
        <v/>
      </c>
      <c r="P850" s="48" t="str">
        <f aca="false">IF(I850="I",O850*Contagem!$W$15,IF(I850="E",O850*Contagem!$W$17,IF(I850="A",O850*Contagem!$W$16,IF(I850="T",O850*Contagem!$W$18,""))))</f>
        <v/>
      </c>
      <c r="Q850" s="49"/>
    </row>
    <row r="851" customFormat="false" ht="12" hidden="false" customHeight="true" outlineLevel="0" collapsed="false">
      <c r="A851" s="40" t="n">
        <f aca="false">IF(H851="",IF(C851="",A850,A850+1),A850)</f>
        <v>62</v>
      </c>
      <c r="B851" s="41" t="str">
        <f aca="false">IF(A851=A850,"",CONCATENATE("F",A851))</f>
        <v/>
      </c>
      <c r="C851" s="42"/>
      <c r="D851" s="2"/>
      <c r="E851" s="2"/>
      <c r="F851" s="2"/>
      <c r="G851" s="2"/>
      <c r="H851" s="44"/>
      <c r="I851" s="50"/>
      <c r="J851" s="44"/>
      <c r="K851" s="44"/>
      <c r="L851" s="44" t="str">
        <f aca="false">CONCATENATE(H851,M851)</f>
        <v/>
      </c>
      <c r="M851" s="45" t="str">
        <f aca="false">IF(OR(ISBLANK(J851),ISBLANK(K851)),IF(OR(H851="ALI",H851="AIE"),"L",IF(ISBLANK(H851),"","A")),IF(H851="EE",IF(K851&gt;=3,IF(J851&gt;=5,"H","A"),IF(K851&gt;=2,IF(J851&gt;=16,"H",IF(J851&lt;=4,"L","A")),IF(J851&lt;=15,"L","A"))),IF(OR(H851="SE",H851="CE"),IF(K851&gt;=4,IF(J851&gt;=6,"H","A"),IF(K851&gt;=2,IF(J851&gt;=20,"H",IF(J851&lt;=5,"L","A")),IF(J851&lt;=19,"L","A"))),IF(OR(H851="ALI",H851="AIE"),IF(K851&gt;=6,IF(J851&gt;=20,"H","A"),IF(K851&gt;=2,IF(J851&gt;=51,"H",IF(J851&lt;=19,"L","A")),IF(J851&lt;=50,"L","A")))))))</f>
        <v/>
      </c>
      <c r="N851" s="46" t="str">
        <f aca="false">IF(M851="L","Baixa",IF(M851="A","Média",IF(M851="","","Alta")))</f>
        <v/>
      </c>
      <c r="O851" s="47" t="str">
        <f aca="false">IF(ISBLANK(H851),"",IF(H851="ALI",IF(M851="L",7,IF(M851="A",10,15)),IF(H851="AIE",IF(M851="L",5,IF(M851="A",7,10)),IF(H851="SE",IF(M851="L",4,IF(M851="A",5,7)),IF(OR(H851="EE",H851="CE"),IF(M851="L",3,IF(M851="A",4,6)))))))</f>
        <v/>
      </c>
      <c r="P851" s="48" t="str">
        <f aca="false">IF(I851="I",O851*Contagem!$W$15,IF(I851="E",O851*Contagem!$W$17,IF(I851="A",O851*Contagem!$W$16,IF(I851="T",O851*Contagem!$W$18,""))))</f>
        <v/>
      </c>
      <c r="Q851" s="49"/>
    </row>
    <row r="852" customFormat="false" ht="12" hidden="false" customHeight="true" outlineLevel="0" collapsed="false">
      <c r="A852" s="40" t="n">
        <f aca="false">IF(H852="",IF(C852="",A851,A851+1),A851)</f>
        <v>62</v>
      </c>
      <c r="B852" s="41" t="str">
        <f aca="false">IF(A852=A851,"",CONCATENATE("F",A852))</f>
        <v/>
      </c>
      <c r="C852" s="42"/>
      <c r="D852" s="2"/>
      <c r="E852" s="2"/>
      <c r="F852" s="2"/>
      <c r="G852" s="2"/>
      <c r="H852" s="44"/>
      <c r="I852" s="50"/>
      <c r="J852" s="44"/>
      <c r="K852" s="44"/>
      <c r="L852" s="44" t="str">
        <f aca="false">CONCATENATE(H852,M852)</f>
        <v/>
      </c>
      <c r="M852" s="45" t="str">
        <f aca="false">IF(OR(ISBLANK(J852),ISBLANK(K852)),IF(OR(H852="ALI",H852="AIE"),"L",IF(ISBLANK(H852),"","A")),IF(H852="EE",IF(K852&gt;=3,IF(J852&gt;=5,"H","A"),IF(K852&gt;=2,IF(J852&gt;=16,"H",IF(J852&lt;=4,"L","A")),IF(J852&lt;=15,"L","A"))),IF(OR(H852="SE",H852="CE"),IF(K852&gt;=4,IF(J852&gt;=6,"H","A"),IF(K852&gt;=2,IF(J852&gt;=20,"H",IF(J852&lt;=5,"L","A")),IF(J852&lt;=19,"L","A"))),IF(OR(H852="ALI",H852="AIE"),IF(K852&gt;=6,IF(J852&gt;=20,"H","A"),IF(K852&gt;=2,IF(J852&gt;=51,"H",IF(J852&lt;=19,"L","A")),IF(J852&lt;=50,"L","A")))))))</f>
        <v/>
      </c>
      <c r="N852" s="46" t="str">
        <f aca="false">IF(M852="L","Baixa",IF(M852="A","Média",IF(M852="","","Alta")))</f>
        <v/>
      </c>
      <c r="O852" s="47" t="str">
        <f aca="false">IF(ISBLANK(H852),"",IF(H852="ALI",IF(M852="L",7,IF(M852="A",10,15)),IF(H852="AIE",IF(M852="L",5,IF(M852="A",7,10)),IF(H852="SE",IF(M852="L",4,IF(M852="A",5,7)),IF(OR(H852="EE",H852="CE"),IF(M852="L",3,IF(M852="A",4,6)))))))</f>
        <v/>
      </c>
      <c r="P852" s="48" t="str">
        <f aca="false">IF(I852="I",O852*Contagem!$W$15,IF(I852="E",O852*Contagem!$W$17,IF(I852="A",O852*Contagem!$W$16,IF(I852="T",O852*Contagem!$W$18,""))))</f>
        <v/>
      </c>
      <c r="Q852" s="49"/>
    </row>
    <row r="853" customFormat="false" ht="12" hidden="false" customHeight="true" outlineLevel="0" collapsed="false">
      <c r="A853" s="40" t="n">
        <f aca="false">IF(H853="",IF(C853="",A852,A852+1),A852)</f>
        <v>62</v>
      </c>
      <c r="B853" s="41" t="str">
        <f aca="false">IF(A853=A852,"",CONCATENATE("F",A853))</f>
        <v/>
      </c>
      <c r="C853" s="42"/>
      <c r="D853" s="2"/>
      <c r="E853" s="2"/>
      <c r="F853" s="2"/>
      <c r="G853" s="2"/>
      <c r="H853" s="44"/>
      <c r="I853" s="50"/>
      <c r="J853" s="44"/>
      <c r="K853" s="44"/>
      <c r="L853" s="44" t="str">
        <f aca="false">CONCATENATE(H853,M853)</f>
        <v/>
      </c>
      <c r="M853" s="45" t="str">
        <f aca="false">IF(OR(ISBLANK(J853),ISBLANK(K853)),IF(OR(H853="ALI",H853="AIE"),"L",IF(ISBLANK(H853),"","A")),IF(H853="EE",IF(K853&gt;=3,IF(J853&gt;=5,"H","A"),IF(K853&gt;=2,IF(J853&gt;=16,"H",IF(J853&lt;=4,"L","A")),IF(J853&lt;=15,"L","A"))),IF(OR(H853="SE",H853="CE"),IF(K853&gt;=4,IF(J853&gt;=6,"H","A"),IF(K853&gt;=2,IF(J853&gt;=20,"H",IF(J853&lt;=5,"L","A")),IF(J853&lt;=19,"L","A"))),IF(OR(H853="ALI",H853="AIE"),IF(K853&gt;=6,IF(J853&gt;=20,"H","A"),IF(K853&gt;=2,IF(J853&gt;=51,"H",IF(J853&lt;=19,"L","A")),IF(J853&lt;=50,"L","A")))))))</f>
        <v/>
      </c>
      <c r="N853" s="46" t="str">
        <f aca="false">IF(M853="L","Baixa",IF(M853="A","Média",IF(M853="","","Alta")))</f>
        <v/>
      </c>
      <c r="O853" s="47" t="str">
        <f aca="false">IF(ISBLANK(H853),"",IF(H853="ALI",IF(M853="L",7,IF(M853="A",10,15)),IF(H853="AIE",IF(M853="L",5,IF(M853="A",7,10)),IF(H853="SE",IF(M853="L",4,IF(M853="A",5,7)),IF(OR(H853="EE",H853="CE"),IF(M853="L",3,IF(M853="A",4,6)))))))</f>
        <v/>
      </c>
      <c r="P853" s="48" t="str">
        <f aca="false">IF(I853="I",O853*Contagem!$W$15,IF(I853="E",O853*Contagem!$W$17,IF(I853="A",O853*Contagem!$W$16,IF(I853="T",O853*Contagem!$W$18,""))))</f>
        <v/>
      </c>
      <c r="Q853" s="49"/>
    </row>
    <row r="854" customFormat="false" ht="12" hidden="false" customHeight="true" outlineLevel="0" collapsed="false">
      <c r="A854" s="40" t="n">
        <f aca="false">IF(H854="",IF(C854="",A853,A853+1),A853)</f>
        <v>62</v>
      </c>
      <c r="B854" s="41" t="str">
        <f aca="false">IF(A854=A853,"",CONCATENATE("F",A854))</f>
        <v/>
      </c>
      <c r="C854" s="42"/>
      <c r="D854" s="2"/>
      <c r="E854" s="2"/>
      <c r="F854" s="2"/>
      <c r="G854" s="2"/>
      <c r="H854" s="44"/>
      <c r="I854" s="50"/>
      <c r="J854" s="44"/>
      <c r="K854" s="44"/>
      <c r="L854" s="44" t="str">
        <f aca="false">CONCATENATE(H854,M854)</f>
        <v/>
      </c>
      <c r="M854" s="45" t="str">
        <f aca="false">IF(OR(ISBLANK(J854),ISBLANK(K854)),IF(OR(H854="ALI",H854="AIE"),"L",IF(ISBLANK(H854),"","A")),IF(H854="EE",IF(K854&gt;=3,IF(J854&gt;=5,"H","A"),IF(K854&gt;=2,IF(J854&gt;=16,"H",IF(J854&lt;=4,"L","A")),IF(J854&lt;=15,"L","A"))),IF(OR(H854="SE",H854="CE"),IF(K854&gt;=4,IF(J854&gt;=6,"H","A"),IF(K854&gt;=2,IF(J854&gt;=20,"H",IF(J854&lt;=5,"L","A")),IF(J854&lt;=19,"L","A"))),IF(OR(H854="ALI",H854="AIE"),IF(K854&gt;=6,IF(J854&gt;=20,"H","A"),IF(K854&gt;=2,IF(J854&gt;=51,"H",IF(J854&lt;=19,"L","A")),IF(J854&lt;=50,"L","A")))))))</f>
        <v/>
      </c>
      <c r="N854" s="46" t="str">
        <f aca="false">IF(M854="L","Baixa",IF(M854="A","Média",IF(M854="","","Alta")))</f>
        <v/>
      </c>
      <c r="O854" s="47" t="str">
        <f aca="false">IF(ISBLANK(H854),"",IF(H854="ALI",IF(M854="L",7,IF(M854="A",10,15)),IF(H854="AIE",IF(M854="L",5,IF(M854="A",7,10)),IF(H854="SE",IF(M854="L",4,IF(M854="A",5,7)),IF(OR(H854="EE",H854="CE"),IF(M854="L",3,IF(M854="A",4,6)))))))</f>
        <v/>
      </c>
      <c r="P854" s="48" t="str">
        <f aca="false">IF(I854="I",O854*Contagem!$W$15,IF(I854="E",O854*Contagem!$W$17,IF(I854="A",O854*Contagem!$W$16,IF(I854="T",O854*Contagem!$W$18,""))))</f>
        <v/>
      </c>
      <c r="Q854" s="49"/>
    </row>
    <row r="855" customFormat="false" ht="12" hidden="false" customHeight="true" outlineLevel="0" collapsed="false">
      <c r="A855" s="40" t="n">
        <f aca="false">IF(H855="",IF(C855="",A854,A854+1),A854)</f>
        <v>62</v>
      </c>
      <c r="B855" s="41" t="str">
        <f aca="false">IF(A855=A854,"",CONCATENATE("F",A855))</f>
        <v/>
      </c>
      <c r="C855" s="42"/>
      <c r="D855" s="2"/>
      <c r="E855" s="2"/>
      <c r="F855" s="2"/>
      <c r="G855" s="2"/>
      <c r="H855" s="44"/>
      <c r="I855" s="50"/>
      <c r="J855" s="44"/>
      <c r="K855" s="44"/>
      <c r="L855" s="44" t="str">
        <f aca="false">CONCATENATE(H855,M855)</f>
        <v/>
      </c>
      <c r="M855" s="45" t="str">
        <f aca="false">IF(OR(ISBLANK(J855),ISBLANK(K855)),IF(OR(H855="ALI",H855="AIE"),"L",IF(ISBLANK(H855),"","A")),IF(H855="EE",IF(K855&gt;=3,IF(J855&gt;=5,"H","A"),IF(K855&gt;=2,IF(J855&gt;=16,"H",IF(J855&lt;=4,"L","A")),IF(J855&lt;=15,"L","A"))),IF(OR(H855="SE",H855="CE"),IF(K855&gt;=4,IF(J855&gt;=6,"H","A"),IF(K855&gt;=2,IF(J855&gt;=20,"H",IF(J855&lt;=5,"L","A")),IF(J855&lt;=19,"L","A"))),IF(OR(H855="ALI",H855="AIE"),IF(K855&gt;=6,IF(J855&gt;=20,"H","A"),IF(K855&gt;=2,IF(J855&gt;=51,"H",IF(J855&lt;=19,"L","A")),IF(J855&lt;=50,"L","A")))))))</f>
        <v/>
      </c>
      <c r="N855" s="46" t="str">
        <f aca="false">IF(M855="L","Baixa",IF(M855="A","Média",IF(M855="","","Alta")))</f>
        <v/>
      </c>
      <c r="O855" s="47" t="str">
        <f aca="false">IF(ISBLANK(H855),"",IF(H855="ALI",IF(M855="L",7,IF(M855="A",10,15)),IF(H855="AIE",IF(M855="L",5,IF(M855="A",7,10)),IF(H855="SE",IF(M855="L",4,IF(M855="A",5,7)),IF(OR(H855="EE",H855="CE"),IF(M855="L",3,IF(M855="A",4,6)))))))</f>
        <v/>
      </c>
      <c r="P855" s="48" t="str">
        <f aca="false">IF(I855="I",O855*Contagem!$W$15,IF(I855="E",O855*Contagem!$W$17,IF(I855="A",O855*Contagem!$W$16,IF(I855="T",O855*Contagem!$W$18,""))))</f>
        <v/>
      </c>
      <c r="Q855" s="49"/>
    </row>
    <row r="856" customFormat="false" ht="12" hidden="false" customHeight="true" outlineLevel="0" collapsed="false">
      <c r="A856" s="40" t="n">
        <f aca="false">IF(H856="",IF(C856="",A855,A855+1),A855)</f>
        <v>62</v>
      </c>
      <c r="B856" s="41" t="str">
        <f aca="false">IF(A856=A855,"",CONCATENATE("F",A856))</f>
        <v/>
      </c>
      <c r="C856" s="42"/>
      <c r="D856" s="2"/>
      <c r="E856" s="2"/>
      <c r="F856" s="2"/>
      <c r="G856" s="2"/>
      <c r="H856" s="44"/>
      <c r="I856" s="50"/>
      <c r="J856" s="44"/>
      <c r="K856" s="44"/>
      <c r="L856" s="44" t="str">
        <f aca="false">CONCATENATE(H856,M856)</f>
        <v/>
      </c>
      <c r="M856" s="45" t="str">
        <f aca="false">IF(OR(ISBLANK(J856),ISBLANK(K856)),IF(OR(H856="ALI",H856="AIE"),"L",IF(ISBLANK(H856),"","A")),IF(H856="EE",IF(K856&gt;=3,IF(J856&gt;=5,"H","A"),IF(K856&gt;=2,IF(J856&gt;=16,"H",IF(J856&lt;=4,"L","A")),IF(J856&lt;=15,"L","A"))),IF(OR(H856="SE",H856="CE"),IF(K856&gt;=4,IF(J856&gt;=6,"H","A"),IF(K856&gt;=2,IF(J856&gt;=20,"H",IF(J856&lt;=5,"L","A")),IF(J856&lt;=19,"L","A"))),IF(OR(H856="ALI",H856="AIE"),IF(K856&gt;=6,IF(J856&gt;=20,"H","A"),IF(K856&gt;=2,IF(J856&gt;=51,"H",IF(J856&lt;=19,"L","A")),IF(J856&lt;=50,"L","A")))))))</f>
        <v/>
      </c>
      <c r="N856" s="46" t="str">
        <f aca="false">IF(M856="L","Baixa",IF(M856="A","Média",IF(M856="","","Alta")))</f>
        <v/>
      </c>
      <c r="O856" s="47" t="str">
        <f aca="false">IF(ISBLANK(H856),"",IF(H856="ALI",IF(M856="L",7,IF(M856="A",10,15)),IF(H856="AIE",IF(M856="L",5,IF(M856="A",7,10)),IF(H856="SE",IF(M856="L",4,IF(M856="A",5,7)),IF(OR(H856="EE",H856="CE"),IF(M856="L",3,IF(M856="A",4,6)))))))</f>
        <v/>
      </c>
      <c r="P856" s="48" t="str">
        <f aca="false">IF(I856="I",O856*Contagem!$W$15,IF(I856="E",O856*Contagem!$W$17,IF(I856="A",O856*Contagem!$W$16,IF(I856="T",O856*Contagem!$W$18,""))))</f>
        <v/>
      </c>
      <c r="Q856" s="49"/>
    </row>
    <row r="857" customFormat="false" ht="12" hidden="false" customHeight="true" outlineLevel="0" collapsed="false">
      <c r="A857" s="40" t="n">
        <f aca="false">IF(H857="",IF(C857="",A856,A856+1),A856)</f>
        <v>62</v>
      </c>
      <c r="B857" s="41" t="str">
        <f aca="false">IF(A857=A856,"",CONCATENATE("F",A857))</f>
        <v/>
      </c>
      <c r="C857" s="42"/>
      <c r="D857" s="2"/>
      <c r="E857" s="2"/>
      <c r="F857" s="2"/>
      <c r="G857" s="2"/>
      <c r="H857" s="44"/>
      <c r="I857" s="50"/>
      <c r="J857" s="44"/>
      <c r="K857" s="44"/>
      <c r="L857" s="44" t="str">
        <f aca="false">CONCATENATE(H857,M857)</f>
        <v/>
      </c>
      <c r="M857" s="45" t="str">
        <f aca="false">IF(OR(ISBLANK(J857),ISBLANK(K857)),IF(OR(H857="ALI",H857="AIE"),"L",IF(ISBLANK(H857),"","A")),IF(H857="EE",IF(K857&gt;=3,IF(J857&gt;=5,"H","A"),IF(K857&gt;=2,IF(J857&gt;=16,"H",IF(J857&lt;=4,"L","A")),IF(J857&lt;=15,"L","A"))),IF(OR(H857="SE",H857="CE"),IF(K857&gt;=4,IF(J857&gt;=6,"H","A"),IF(K857&gt;=2,IF(J857&gt;=20,"H",IF(J857&lt;=5,"L","A")),IF(J857&lt;=19,"L","A"))),IF(OR(H857="ALI",H857="AIE"),IF(K857&gt;=6,IF(J857&gt;=20,"H","A"),IF(K857&gt;=2,IF(J857&gt;=51,"H",IF(J857&lt;=19,"L","A")),IF(J857&lt;=50,"L","A")))))))</f>
        <v/>
      </c>
      <c r="N857" s="46" t="str">
        <f aca="false">IF(M857="L","Baixa",IF(M857="A","Média",IF(M857="","","Alta")))</f>
        <v/>
      </c>
      <c r="O857" s="47" t="str">
        <f aca="false">IF(ISBLANK(H857),"",IF(H857="ALI",IF(M857="L",7,IF(M857="A",10,15)),IF(H857="AIE",IF(M857="L",5,IF(M857="A",7,10)),IF(H857="SE",IF(M857="L",4,IF(M857="A",5,7)),IF(OR(H857="EE",H857="CE"),IF(M857="L",3,IF(M857="A",4,6)))))))</f>
        <v/>
      </c>
      <c r="P857" s="48" t="str">
        <f aca="false">IF(I857="I",O857*Contagem!$W$15,IF(I857="E",O857*Contagem!$W$17,IF(I857="A",O857*Contagem!$W$16,IF(I857="T",O857*Contagem!$W$18,""))))</f>
        <v/>
      </c>
      <c r="Q857" s="49"/>
    </row>
    <row r="858" customFormat="false" ht="12" hidden="false" customHeight="true" outlineLevel="0" collapsed="false">
      <c r="A858" s="40" t="n">
        <f aca="false">IF(H858="",IF(C858="",A857,A857+1),A857)</f>
        <v>62</v>
      </c>
      <c r="B858" s="41" t="str">
        <f aca="false">IF(A858=A857,"",CONCATENATE("F",A858))</f>
        <v/>
      </c>
      <c r="C858" s="42"/>
      <c r="D858" s="2"/>
      <c r="E858" s="2"/>
      <c r="F858" s="2"/>
      <c r="G858" s="2"/>
      <c r="H858" s="44"/>
      <c r="I858" s="50"/>
      <c r="J858" s="44"/>
      <c r="K858" s="44"/>
      <c r="L858" s="44" t="str">
        <f aca="false">CONCATENATE(H858,M858)</f>
        <v/>
      </c>
      <c r="M858" s="45" t="str">
        <f aca="false">IF(OR(ISBLANK(J858),ISBLANK(K858)),IF(OR(H858="ALI",H858="AIE"),"L",IF(ISBLANK(H858),"","A")),IF(H858="EE",IF(K858&gt;=3,IF(J858&gt;=5,"H","A"),IF(K858&gt;=2,IF(J858&gt;=16,"H",IF(J858&lt;=4,"L","A")),IF(J858&lt;=15,"L","A"))),IF(OR(H858="SE",H858="CE"),IF(K858&gt;=4,IF(J858&gt;=6,"H","A"),IF(K858&gt;=2,IF(J858&gt;=20,"H",IF(J858&lt;=5,"L","A")),IF(J858&lt;=19,"L","A"))),IF(OR(H858="ALI",H858="AIE"),IF(K858&gt;=6,IF(J858&gt;=20,"H","A"),IF(K858&gt;=2,IF(J858&gt;=51,"H",IF(J858&lt;=19,"L","A")),IF(J858&lt;=50,"L","A")))))))</f>
        <v/>
      </c>
      <c r="N858" s="46" t="str">
        <f aca="false">IF(M858="L","Baixa",IF(M858="A","Média",IF(M858="","","Alta")))</f>
        <v/>
      </c>
      <c r="O858" s="47" t="str">
        <f aca="false">IF(ISBLANK(H858),"",IF(H858="ALI",IF(M858="L",7,IF(M858="A",10,15)),IF(H858="AIE",IF(M858="L",5,IF(M858="A",7,10)),IF(H858="SE",IF(M858="L",4,IF(M858="A",5,7)),IF(OR(H858="EE",H858="CE"),IF(M858="L",3,IF(M858="A",4,6)))))))</f>
        <v/>
      </c>
      <c r="P858" s="48" t="str">
        <f aca="false">IF(I858="I",O858*Contagem!$W$15,IF(I858="E",O858*Contagem!$W$17,IF(I858="A",O858*Contagem!$W$16,IF(I858="T",O858*Contagem!$W$18,""))))</f>
        <v/>
      </c>
      <c r="Q858" s="49"/>
    </row>
    <row r="859" customFormat="false" ht="12" hidden="false" customHeight="true" outlineLevel="0" collapsed="false">
      <c r="A859" s="40" t="n">
        <f aca="false">IF(H859="",IF(C859="",A858,A858+1),A858)</f>
        <v>62</v>
      </c>
      <c r="B859" s="41" t="str">
        <f aca="false">IF(A859=A858,"",CONCATENATE("F",A859))</f>
        <v/>
      </c>
      <c r="C859" s="42"/>
      <c r="D859" s="2"/>
      <c r="E859" s="2"/>
      <c r="F859" s="2"/>
      <c r="G859" s="2"/>
      <c r="H859" s="44"/>
      <c r="I859" s="50"/>
      <c r="J859" s="44"/>
      <c r="K859" s="44"/>
      <c r="L859" s="44" t="str">
        <f aca="false">CONCATENATE(H859,M859)</f>
        <v/>
      </c>
      <c r="M859" s="45" t="str">
        <f aca="false">IF(OR(ISBLANK(J859),ISBLANK(K859)),IF(OR(H859="ALI",H859="AIE"),"L",IF(ISBLANK(H859),"","A")),IF(H859="EE",IF(K859&gt;=3,IF(J859&gt;=5,"H","A"),IF(K859&gt;=2,IF(J859&gt;=16,"H",IF(J859&lt;=4,"L","A")),IF(J859&lt;=15,"L","A"))),IF(OR(H859="SE",H859="CE"),IF(K859&gt;=4,IF(J859&gt;=6,"H","A"),IF(K859&gt;=2,IF(J859&gt;=20,"H",IF(J859&lt;=5,"L","A")),IF(J859&lt;=19,"L","A"))),IF(OR(H859="ALI",H859="AIE"),IF(K859&gt;=6,IF(J859&gt;=20,"H","A"),IF(K859&gt;=2,IF(J859&gt;=51,"H",IF(J859&lt;=19,"L","A")),IF(J859&lt;=50,"L","A")))))))</f>
        <v/>
      </c>
      <c r="N859" s="46" t="str">
        <f aca="false">IF(M859="L","Baixa",IF(M859="A","Média",IF(M859="","","Alta")))</f>
        <v/>
      </c>
      <c r="O859" s="47" t="str">
        <f aca="false">IF(ISBLANK(H859),"",IF(H859="ALI",IF(M859="L",7,IF(M859="A",10,15)),IF(H859="AIE",IF(M859="L",5,IF(M859="A",7,10)),IF(H859="SE",IF(M859="L",4,IF(M859="A",5,7)),IF(OR(H859="EE",H859="CE"),IF(M859="L",3,IF(M859="A",4,6)))))))</f>
        <v/>
      </c>
      <c r="P859" s="48" t="str">
        <f aca="false">IF(I859="I",O859*Contagem!$W$15,IF(I859="E",O859*Contagem!$W$17,IF(I859="A",O859*Contagem!$W$16,IF(I859="T",O859*Contagem!$W$18,""))))</f>
        <v/>
      </c>
      <c r="Q859" s="49"/>
    </row>
    <row r="860" customFormat="false" ht="12" hidden="false" customHeight="true" outlineLevel="0" collapsed="false">
      <c r="A860" s="40" t="n">
        <f aca="false">IF(H860="",IF(C860="",A859,A859+1),A859)</f>
        <v>62</v>
      </c>
      <c r="B860" s="41" t="str">
        <f aca="false">IF(A860=A859,"",CONCATENATE("F",A860))</f>
        <v/>
      </c>
      <c r="C860" s="42"/>
      <c r="D860" s="2"/>
      <c r="E860" s="2"/>
      <c r="F860" s="2"/>
      <c r="G860" s="2"/>
      <c r="H860" s="44"/>
      <c r="I860" s="50"/>
      <c r="J860" s="44"/>
      <c r="K860" s="44"/>
      <c r="L860" s="44" t="str">
        <f aca="false">CONCATENATE(H860,M860)</f>
        <v/>
      </c>
      <c r="M860" s="45" t="str">
        <f aca="false">IF(OR(ISBLANK(J860),ISBLANK(K860)),IF(OR(H860="ALI",H860="AIE"),"L",IF(ISBLANK(H860),"","A")),IF(H860="EE",IF(K860&gt;=3,IF(J860&gt;=5,"H","A"),IF(K860&gt;=2,IF(J860&gt;=16,"H",IF(J860&lt;=4,"L","A")),IF(J860&lt;=15,"L","A"))),IF(OR(H860="SE",H860="CE"),IF(K860&gt;=4,IF(J860&gt;=6,"H","A"),IF(K860&gt;=2,IF(J860&gt;=20,"H",IF(J860&lt;=5,"L","A")),IF(J860&lt;=19,"L","A"))),IF(OR(H860="ALI",H860="AIE"),IF(K860&gt;=6,IF(J860&gt;=20,"H","A"),IF(K860&gt;=2,IF(J860&gt;=51,"H",IF(J860&lt;=19,"L","A")),IF(J860&lt;=50,"L","A")))))))</f>
        <v/>
      </c>
      <c r="N860" s="46" t="str">
        <f aca="false">IF(M860="L","Baixa",IF(M860="A","Média",IF(M860="","","Alta")))</f>
        <v/>
      </c>
      <c r="O860" s="47" t="str">
        <f aca="false">IF(ISBLANK(H860),"",IF(H860="ALI",IF(M860="L",7,IF(M860="A",10,15)),IF(H860="AIE",IF(M860="L",5,IF(M860="A",7,10)),IF(H860="SE",IF(M860="L",4,IF(M860="A",5,7)),IF(OR(H860="EE",H860="CE"),IF(M860="L",3,IF(M860="A",4,6)))))))</f>
        <v/>
      </c>
      <c r="P860" s="48" t="str">
        <f aca="false">IF(I860="I",O860*Contagem!$W$15,IF(I860="E",O860*Contagem!$W$17,IF(I860="A",O860*Contagem!$W$16,IF(I860="T",O860*Contagem!$W$18,""))))</f>
        <v/>
      </c>
      <c r="Q860" s="49"/>
    </row>
    <row r="861" customFormat="false" ht="12" hidden="false" customHeight="true" outlineLevel="0" collapsed="false">
      <c r="A861" s="40" t="n">
        <f aca="false">IF(H861="",IF(C861="",A860,A860+1),A860)</f>
        <v>62</v>
      </c>
      <c r="B861" s="41" t="str">
        <f aca="false">IF(A861=A860,"",CONCATENATE("F",A861))</f>
        <v/>
      </c>
      <c r="C861" s="42"/>
      <c r="D861" s="2"/>
      <c r="E861" s="2"/>
      <c r="F861" s="2"/>
      <c r="G861" s="2"/>
      <c r="H861" s="44"/>
      <c r="I861" s="50"/>
      <c r="J861" s="44"/>
      <c r="K861" s="44"/>
      <c r="L861" s="44" t="str">
        <f aca="false">CONCATENATE(H861,M861)</f>
        <v/>
      </c>
      <c r="M861" s="45" t="str">
        <f aca="false">IF(OR(ISBLANK(J861),ISBLANK(K861)),IF(OR(H861="ALI",H861="AIE"),"L",IF(ISBLANK(H861),"","A")),IF(H861="EE",IF(K861&gt;=3,IF(J861&gt;=5,"H","A"),IF(K861&gt;=2,IF(J861&gt;=16,"H",IF(J861&lt;=4,"L","A")),IF(J861&lt;=15,"L","A"))),IF(OR(H861="SE",H861="CE"),IF(K861&gt;=4,IF(J861&gt;=6,"H","A"),IF(K861&gt;=2,IF(J861&gt;=20,"H",IF(J861&lt;=5,"L","A")),IF(J861&lt;=19,"L","A"))),IF(OR(H861="ALI",H861="AIE"),IF(K861&gt;=6,IF(J861&gt;=20,"H","A"),IF(K861&gt;=2,IF(J861&gt;=51,"H",IF(J861&lt;=19,"L","A")),IF(J861&lt;=50,"L","A")))))))</f>
        <v/>
      </c>
      <c r="N861" s="46" t="str">
        <f aca="false">IF(M861="L","Baixa",IF(M861="A","Média",IF(M861="","","Alta")))</f>
        <v/>
      </c>
      <c r="O861" s="47" t="str">
        <f aca="false">IF(ISBLANK(H861),"",IF(H861="ALI",IF(M861="L",7,IF(M861="A",10,15)),IF(H861="AIE",IF(M861="L",5,IF(M861="A",7,10)),IF(H861="SE",IF(M861="L",4,IF(M861="A",5,7)),IF(OR(H861="EE",H861="CE"),IF(M861="L",3,IF(M861="A",4,6)))))))</f>
        <v/>
      </c>
      <c r="P861" s="48" t="str">
        <f aca="false">IF(I861="I",O861*Contagem!$W$15,IF(I861="E",O861*Contagem!$W$17,IF(I861="A",O861*Contagem!$W$16,IF(I861="T",O861*Contagem!$W$18,""))))</f>
        <v/>
      </c>
      <c r="Q861" s="49"/>
    </row>
    <row r="862" customFormat="false" ht="12" hidden="false" customHeight="true" outlineLevel="0" collapsed="false">
      <c r="A862" s="40" t="n">
        <f aca="false">IF(H862="",IF(C862="",A861,A861+1),A861)</f>
        <v>62</v>
      </c>
      <c r="B862" s="41" t="str">
        <f aca="false">IF(A862=A861,"",CONCATENATE("F",A862))</f>
        <v/>
      </c>
      <c r="C862" s="42"/>
      <c r="D862" s="2"/>
      <c r="E862" s="2"/>
      <c r="F862" s="2"/>
      <c r="G862" s="2"/>
      <c r="H862" s="44"/>
      <c r="I862" s="50"/>
      <c r="J862" s="44"/>
      <c r="K862" s="44"/>
      <c r="L862" s="44" t="str">
        <f aca="false">CONCATENATE(H862,M862)</f>
        <v/>
      </c>
      <c r="M862" s="45" t="str">
        <f aca="false">IF(OR(ISBLANK(J862),ISBLANK(K862)),IF(OR(H862="ALI",H862="AIE"),"L",IF(ISBLANK(H862),"","A")),IF(H862="EE",IF(K862&gt;=3,IF(J862&gt;=5,"H","A"),IF(K862&gt;=2,IF(J862&gt;=16,"H",IF(J862&lt;=4,"L","A")),IF(J862&lt;=15,"L","A"))),IF(OR(H862="SE",H862="CE"),IF(K862&gt;=4,IF(J862&gt;=6,"H","A"),IF(K862&gt;=2,IF(J862&gt;=20,"H",IF(J862&lt;=5,"L","A")),IF(J862&lt;=19,"L","A"))),IF(OR(H862="ALI",H862="AIE"),IF(K862&gt;=6,IF(J862&gt;=20,"H","A"),IF(K862&gt;=2,IF(J862&gt;=51,"H",IF(J862&lt;=19,"L","A")),IF(J862&lt;=50,"L","A")))))))</f>
        <v/>
      </c>
      <c r="N862" s="46" t="str">
        <f aca="false">IF(M862="L","Baixa",IF(M862="A","Média",IF(M862="","","Alta")))</f>
        <v/>
      </c>
      <c r="O862" s="47" t="str">
        <f aca="false">IF(ISBLANK(H862),"",IF(H862="ALI",IF(M862="L",7,IF(M862="A",10,15)),IF(H862="AIE",IF(M862="L",5,IF(M862="A",7,10)),IF(H862="SE",IF(M862="L",4,IF(M862="A",5,7)),IF(OR(H862="EE",H862="CE"),IF(M862="L",3,IF(M862="A",4,6)))))))</f>
        <v/>
      </c>
      <c r="P862" s="48" t="str">
        <f aca="false">IF(I862="I",O862*Contagem!$W$15,IF(I862="E",O862*Contagem!$W$17,IF(I862="A",O862*Contagem!$W$16,IF(I862="T",O862*Contagem!$W$18,""))))</f>
        <v/>
      </c>
      <c r="Q862" s="49"/>
    </row>
    <row r="863" customFormat="false" ht="12" hidden="false" customHeight="true" outlineLevel="0" collapsed="false">
      <c r="A863" s="40" t="n">
        <f aca="false">IF(H863="",IF(C863="",A862,A862+1),A862)</f>
        <v>62</v>
      </c>
      <c r="B863" s="41" t="str">
        <f aca="false">IF(A863=A862,"",CONCATENATE("F",A863))</f>
        <v/>
      </c>
      <c r="C863" s="42"/>
      <c r="D863" s="2"/>
      <c r="E863" s="2"/>
      <c r="F863" s="2"/>
      <c r="G863" s="2"/>
      <c r="H863" s="44"/>
      <c r="I863" s="50"/>
      <c r="J863" s="44"/>
      <c r="K863" s="44"/>
      <c r="L863" s="44" t="str">
        <f aca="false">CONCATENATE(H863,M863)</f>
        <v/>
      </c>
      <c r="M863" s="45" t="str">
        <f aca="false">IF(OR(ISBLANK(J863),ISBLANK(K863)),IF(OR(H863="ALI",H863="AIE"),"L",IF(ISBLANK(H863),"","A")),IF(H863="EE",IF(K863&gt;=3,IF(J863&gt;=5,"H","A"),IF(K863&gt;=2,IF(J863&gt;=16,"H",IF(J863&lt;=4,"L","A")),IF(J863&lt;=15,"L","A"))),IF(OR(H863="SE",H863="CE"),IF(K863&gt;=4,IF(J863&gt;=6,"H","A"),IF(K863&gt;=2,IF(J863&gt;=20,"H",IF(J863&lt;=5,"L","A")),IF(J863&lt;=19,"L","A"))),IF(OR(H863="ALI",H863="AIE"),IF(K863&gt;=6,IF(J863&gt;=20,"H","A"),IF(K863&gt;=2,IF(J863&gt;=51,"H",IF(J863&lt;=19,"L","A")),IF(J863&lt;=50,"L","A")))))))</f>
        <v/>
      </c>
      <c r="N863" s="46" t="str">
        <f aca="false">IF(M863="L","Baixa",IF(M863="A","Média",IF(M863="","","Alta")))</f>
        <v/>
      </c>
      <c r="O863" s="47" t="str">
        <f aca="false">IF(ISBLANK(H863),"",IF(H863="ALI",IF(M863="L",7,IF(M863="A",10,15)),IF(H863="AIE",IF(M863="L",5,IF(M863="A",7,10)),IF(H863="SE",IF(M863="L",4,IF(M863="A",5,7)),IF(OR(H863="EE",H863="CE"),IF(M863="L",3,IF(M863="A",4,6)))))))</f>
        <v/>
      </c>
      <c r="P863" s="48" t="str">
        <f aca="false">IF(I863="I",O863*Contagem!$W$15,IF(I863="E",O863*Contagem!$W$17,IF(I863="A",O863*Contagem!$W$16,IF(I863="T",O863*Contagem!$W$18,""))))</f>
        <v/>
      </c>
      <c r="Q863" s="49"/>
    </row>
    <row r="864" customFormat="false" ht="12" hidden="false" customHeight="true" outlineLevel="0" collapsed="false">
      <c r="A864" s="40" t="n">
        <f aca="false">IF(H864="",IF(C864="",A863,A863+1),A863)</f>
        <v>62</v>
      </c>
      <c r="B864" s="41" t="str">
        <f aca="false">IF(A864=A863,"",CONCATENATE("F",A864))</f>
        <v/>
      </c>
      <c r="C864" s="42"/>
      <c r="D864" s="2"/>
      <c r="E864" s="2"/>
      <c r="F864" s="2"/>
      <c r="G864" s="2"/>
      <c r="H864" s="44"/>
      <c r="I864" s="50"/>
      <c r="J864" s="44"/>
      <c r="K864" s="44"/>
      <c r="L864" s="44" t="str">
        <f aca="false">CONCATENATE(H864,M864)</f>
        <v/>
      </c>
      <c r="M864" s="45" t="str">
        <f aca="false">IF(OR(ISBLANK(J864),ISBLANK(K864)),IF(OR(H864="ALI",H864="AIE"),"L",IF(ISBLANK(H864),"","A")),IF(H864="EE",IF(K864&gt;=3,IF(J864&gt;=5,"H","A"),IF(K864&gt;=2,IF(J864&gt;=16,"H",IF(J864&lt;=4,"L","A")),IF(J864&lt;=15,"L","A"))),IF(OR(H864="SE",H864="CE"),IF(K864&gt;=4,IF(J864&gt;=6,"H","A"),IF(K864&gt;=2,IF(J864&gt;=20,"H",IF(J864&lt;=5,"L","A")),IF(J864&lt;=19,"L","A"))),IF(OR(H864="ALI",H864="AIE"),IF(K864&gt;=6,IF(J864&gt;=20,"H","A"),IF(K864&gt;=2,IF(J864&gt;=51,"H",IF(J864&lt;=19,"L","A")),IF(J864&lt;=50,"L","A")))))))</f>
        <v/>
      </c>
      <c r="N864" s="46" t="str">
        <f aca="false">IF(M864="L","Baixa",IF(M864="A","Média",IF(M864="","","Alta")))</f>
        <v/>
      </c>
      <c r="O864" s="47" t="str">
        <f aca="false">IF(ISBLANK(H864),"",IF(H864="ALI",IF(M864="L",7,IF(M864="A",10,15)),IF(H864="AIE",IF(M864="L",5,IF(M864="A",7,10)),IF(H864="SE",IF(M864="L",4,IF(M864="A",5,7)),IF(OR(H864="EE",H864="CE"),IF(M864="L",3,IF(M864="A",4,6)))))))</f>
        <v/>
      </c>
      <c r="P864" s="48" t="str">
        <f aca="false">IF(I864="I",O864*Contagem!$W$15,IF(I864="E",O864*Contagem!$W$17,IF(I864="A",O864*Contagem!$W$16,IF(I864="T",O864*Contagem!$W$18,""))))</f>
        <v/>
      </c>
      <c r="Q864" s="49"/>
    </row>
    <row r="865" customFormat="false" ht="12" hidden="false" customHeight="true" outlineLevel="0" collapsed="false">
      <c r="A865" s="40" t="n">
        <f aca="false">IF(H865="",IF(C865="",A864,A864+1),A864)</f>
        <v>62</v>
      </c>
      <c r="B865" s="41" t="str">
        <f aca="false">IF(A865=A864,"",CONCATENATE("F",A865))</f>
        <v/>
      </c>
      <c r="C865" s="42"/>
      <c r="D865" s="2"/>
      <c r="E865" s="2"/>
      <c r="F865" s="2"/>
      <c r="G865" s="2"/>
      <c r="H865" s="44"/>
      <c r="I865" s="50"/>
      <c r="J865" s="44"/>
      <c r="K865" s="44"/>
      <c r="L865" s="44" t="str">
        <f aca="false">CONCATENATE(H865,M865)</f>
        <v/>
      </c>
      <c r="M865" s="45" t="str">
        <f aca="false">IF(OR(ISBLANK(J865),ISBLANK(K865)),IF(OR(H865="ALI",H865="AIE"),"L",IF(ISBLANK(H865),"","A")),IF(H865="EE",IF(K865&gt;=3,IF(J865&gt;=5,"H","A"),IF(K865&gt;=2,IF(J865&gt;=16,"H",IF(J865&lt;=4,"L","A")),IF(J865&lt;=15,"L","A"))),IF(OR(H865="SE",H865="CE"),IF(K865&gt;=4,IF(J865&gt;=6,"H","A"),IF(K865&gt;=2,IF(J865&gt;=20,"H",IF(J865&lt;=5,"L","A")),IF(J865&lt;=19,"L","A"))),IF(OR(H865="ALI",H865="AIE"),IF(K865&gt;=6,IF(J865&gt;=20,"H","A"),IF(K865&gt;=2,IF(J865&gt;=51,"H",IF(J865&lt;=19,"L","A")),IF(J865&lt;=50,"L","A")))))))</f>
        <v/>
      </c>
      <c r="N865" s="46" t="str">
        <f aca="false">IF(M865="L","Baixa",IF(M865="A","Média",IF(M865="","","Alta")))</f>
        <v/>
      </c>
      <c r="O865" s="47" t="str">
        <f aca="false">IF(ISBLANK(H865),"",IF(H865="ALI",IF(M865="L",7,IF(M865="A",10,15)),IF(H865="AIE",IF(M865="L",5,IF(M865="A",7,10)),IF(H865="SE",IF(M865="L",4,IF(M865="A",5,7)),IF(OR(H865="EE",H865="CE"),IF(M865="L",3,IF(M865="A",4,6)))))))</f>
        <v/>
      </c>
      <c r="P865" s="48" t="str">
        <f aca="false">IF(I865="I",O865*Contagem!$W$15,IF(I865="E",O865*Contagem!$W$17,IF(I865="A",O865*Contagem!$W$16,IF(I865="T",O865*Contagem!$W$18,""))))</f>
        <v/>
      </c>
      <c r="Q865" s="49"/>
    </row>
    <row r="866" customFormat="false" ht="12" hidden="false" customHeight="true" outlineLevel="0" collapsed="false">
      <c r="A866" s="40" t="n">
        <f aca="false">IF(H866="",IF(C866="",A865,A865+1),A865)</f>
        <v>62</v>
      </c>
      <c r="B866" s="41" t="str">
        <f aca="false">IF(A866=A865,"",CONCATENATE("F",A866))</f>
        <v/>
      </c>
      <c r="C866" s="42"/>
      <c r="D866" s="2"/>
      <c r="E866" s="2"/>
      <c r="F866" s="2"/>
      <c r="G866" s="2"/>
      <c r="H866" s="44"/>
      <c r="I866" s="50"/>
      <c r="J866" s="44"/>
      <c r="K866" s="44"/>
      <c r="L866" s="44" t="str">
        <f aca="false">CONCATENATE(H866,M866)</f>
        <v/>
      </c>
      <c r="M866" s="45" t="str">
        <f aca="false">IF(OR(ISBLANK(J866),ISBLANK(K866)),IF(OR(H866="ALI",H866="AIE"),"L",IF(ISBLANK(H866),"","A")),IF(H866="EE",IF(K866&gt;=3,IF(J866&gt;=5,"H","A"),IF(K866&gt;=2,IF(J866&gt;=16,"H",IF(J866&lt;=4,"L","A")),IF(J866&lt;=15,"L","A"))),IF(OR(H866="SE",H866="CE"),IF(K866&gt;=4,IF(J866&gt;=6,"H","A"),IF(K866&gt;=2,IF(J866&gt;=20,"H",IF(J866&lt;=5,"L","A")),IF(J866&lt;=19,"L","A"))),IF(OR(H866="ALI",H866="AIE"),IF(K866&gt;=6,IF(J866&gt;=20,"H","A"),IF(K866&gt;=2,IF(J866&gt;=51,"H",IF(J866&lt;=19,"L","A")),IF(J866&lt;=50,"L","A")))))))</f>
        <v/>
      </c>
      <c r="N866" s="46" t="str">
        <f aca="false">IF(M866="L","Baixa",IF(M866="A","Média",IF(M866="","","Alta")))</f>
        <v/>
      </c>
      <c r="O866" s="47" t="str">
        <f aca="false">IF(ISBLANK(H866),"",IF(H866="ALI",IF(M866="L",7,IF(M866="A",10,15)),IF(H866="AIE",IF(M866="L",5,IF(M866="A",7,10)),IF(H866="SE",IF(M866="L",4,IF(M866="A",5,7)),IF(OR(H866="EE",H866="CE"),IF(M866="L",3,IF(M866="A",4,6)))))))</f>
        <v/>
      </c>
      <c r="P866" s="48" t="str">
        <f aca="false">IF(I866="I",O866*Contagem!$W$15,IF(I866="E",O866*Contagem!$W$17,IF(I866="A",O866*Contagem!$W$16,IF(I866="T",O866*Contagem!$W$18,""))))</f>
        <v/>
      </c>
      <c r="Q866" s="49"/>
    </row>
    <row r="867" customFormat="false" ht="12" hidden="false" customHeight="true" outlineLevel="0" collapsed="false">
      <c r="A867" s="40" t="n">
        <f aca="false">IF(H867="",IF(C867="",A866,A866+1),A866)</f>
        <v>62</v>
      </c>
      <c r="B867" s="41" t="str">
        <f aca="false">IF(A867=A866,"",CONCATENATE("F",A867))</f>
        <v/>
      </c>
      <c r="C867" s="42"/>
      <c r="D867" s="2"/>
      <c r="E867" s="2"/>
      <c r="F867" s="2"/>
      <c r="G867" s="2"/>
      <c r="H867" s="44"/>
      <c r="I867" s="50"/>
      <c r="J867" s="44"/>
      <c r="K867" s="44"/>
      <c r="L867" s="44" t="str">
        <f aca="false">CONCATENATE(H867,M867)</f>
        <v/>
      </c>
      <c r="M867" s="45" t="str">
        <f aca="false">IF(OR(ISBLANK(J867),ISBLANK(K867)),IF(OR(H867="ALI",H867="AIE"),"L",IF(ISBLANK(H867),"","A")),IF(H867="EE",IF(K867&gt;=3,IF(J867&gt;=5,"H","A"),IF(K867&gt;=2,IF(J867&gt;=16,"H",IF(J867&lt;=4,"L","A")),IF(J867&lt;=15,"L","A"))),IF(OR(H867="SE",H867="CE"),IF(K867&gt;=4,IF(J867&gt;=6,"H","A"),IF(K867&gt;=2,IF(J867&gt;=20,"H",IF(J867&lt;=5,"L","A")),IF(J867&lt;=19,"L","A"))),IF(OR(H867="ALI",H867="AIE"),IF(K867&gt;=6,IF(J867&gt;=20,"H","A"),IF(K867&gt;=2,IF(J867&gt;=51,"H",IF(J867&lt;=19,"L","A")),IF(J867&lt;=50,"L","A")))))))</f>
        <v/>
      </c>
      <c r="N867" s="46" t="str">
        <f aca="false">IF(M867="L","Baixa",IF(M867="A","Média",IF(M867="","","Alta")))</f>
        <v/>
      </c>
      <c r="O867" s="47" t="str">
        <f aca="false">IF(ISBLANK(H867),"",IF(H867="ALI",IF(M867="L",7,IF(M867="A",10,15)),IF(H867="AIE",IF(M867="L",5,IF(M867="A",7,10)),IF(H867="SE",IF(M867="L",4,IF(M867="A",5,7)),IF(OR(H867="EE",H867="CE"),IF(M867="L",3,IF(M867="A",4,6)))))))</f>
        <v/>
      </c>
      <c r="P867" s="48" t="str">
        <f aca="false">IF(I867="I",O867*Contagem!$W$15,IF(I867="E",O867*Contagem!$W$17,IF(I867="A",O867*Contagem!$W$16,IF(I867="T",O867*Contagem!$W$18,""))))</f>
        <v/>
      </c>
      <c r="Q867" s="49"/>
    </row>
    <row r="868" customFormat="false" ht="12" hidden="false" customHeight="true" outlineLevel="0" collapsed="false">
      <c r="A868" s="40" t="n">
        <f aca="false">IF(H868="",IF(C868="",A867,A867+1),A867)</f>
        <v>62</v>
      </c>
      <c r="B868" s="41" t="str">
        <f aca="false">IF(A868=A867,"",CONCATENATE("F",A868))</f>
        <v/>
      </c>
      <c r="C868" s="42"/>
      <c r="D868" s="2"/>
      <c r="E868" s="2"/>
      <c r="F868" s="2"/>
      <c r="G868" s="2"/>
      <c r="H868" s="44"/>
      <c r="I868" s="50"/>
      <c r="J868" s="44"/>
      <c r="K868" s="44"/>
      <c r="L868" s="44" t="str">
        <f aca="false">CONCATENATE(H868,M868)</f>
        <v/>
      </c>
      <c r="M868" s="45" t="str">
        <f aca="false">IF(OR(ISBLANK(J868),ISBLANK(K868)),IF(OR(H868="ALI",H868="AIE"),"L",IF(ISBLANK(H868),"","A")),IF(H868="EE",IF(K868&gt;=3,IF(J868&gt;=5,"H","A"),IF(K868&gt;=2,IF(J868&gt;=16,"H",IF(J868&lt;=4,"L","A")),IF(J868&lt;=15,"L","A"))),IF(OR(H868="SE",H868="CE"),IF(K868&gt;=4,IF(J868&gt;=6,"H","A"),IF(K868&gt;=2,IF(J868&gt;=20,"H",IF(J868&lt;=5,"L","A")),IF(J868&lt;=19,"L","A"))),IF(OR(H868="ALI",H868="AIE"),IF(K868&gt;=6,IF(J868&gt;=20,"H","A"),IF(K868&gt;=2,IF(J868&gt;=51,"H",IF(J868&lt;=19,"L","A")),IF(J868&lt;=50,"L","A")))))))</f>
        <v/>
      </c>
      <c r="N868" s="46" t="str">
        <f aca="false">IF(M868="L","Baixa",IF(M868="A","Média",IF(M868="","","Alta")))</f>
        <v/>
      </c>
      <c r="O868" s="47" t="str">
        <f aca="false">IF(ISBLANK(H868),"",IF(H868="ALI",IF(M868="L",7,IF(M868="A",10,15)),IF(H868="AIE",IF(M868="L",5,IF(M868="A",7,10)),IF(H868="SE",IF(M868="L",4,IF(M868="A",5,7)),IF(OR(H868="EE",H868="CE"),IF(M868="L",3,IF(M868="A",4,6)))))))</f>
        <v/>
      </c>
      <c r="P868" s="48" t="str">
        <f aca="false">IF(I868="I",O868*Contagem!$W$15,IF(I868="E",O868*Contagem!$W$17,IF(I868="A",O868*Contagem!$W$16,IF(I868="T",O868*Contagem!$W$18,""))))</f>
        <v/>
      </c>
      <c r="Q868" s="49"/>
    </row>
    <row r="869" customFormat="false" ht="12" hidden="false" customHeight="true" outlineLevel="0" collapsed="false">
      <c r="A869" s="40" t="n">
        <f aca="false">IF(H869="",IF(C869="",A868,A868+1),A868)</f>
        <v>62</v>
      </c>
      <c r="B869" s="41" t="str">
        <f aca="false">IF(A869=A868,"",CONCATENATE("F",A869))</f>
        <v/>
      </c>
      <c r="C869" s="42"/>
      <c r="D869" s="2"/>
      <c r="E869" s="2"/>
      <c r="F869" s="2"/>
      <c r="G869" s="2"/>
      <c r="H869" s="44"/>
      <c r="I869" s="50"/>
      <c r="J869" s="44"/>
      <c r="K869" s="44"/>
      <c r="L869" s="44" t="str">
        <f aca="false">CONCATENATE(H869,M869)</f>
        <v/>
      </c>
      <c r="M869" s="45" t="str">
        <f aca="false">IF(OR(ISBLANK(J869),ISBLANK(K869)),IF(OR(H869="ALI",H869="AIE"),"L",IF(ISBLANK(H869),"","A")),IF(H869="EE",IF(K869&gt;=3,IF(J869&gt;=5,"H","A"),IF(K869&gt;=2,IF(J869&gt;=16,"H",IF(J869&lt;=4,"L","A")),IF(J869&lt;=15,"L","A"))),IF(OR(H869="SE",H869="CE"),IF(K869&gt;=4,IF(J869&gt;=6,"H","A"),IF(K869&gt;=2,IF(J869&gt;=20,"H",IF(J869&lt;=5,"L","A")),IF(J869&lt;=19,"L","A"))),IF(OR(H869="ALI",H869="AIE"),IF(K869&gt;=6,IF(J869&gt;=20,"H","A"),IF(K869&gt;=2,IF(J869&gt;=51,"H",IF(J869&lt;=19,"L","A")),IF(J869&lt;=50,"L","A")))))))</f>
        <v/>
      </c>
      <c r="N869" s="46" t="str">
        <f aca="false">IF(M869="L","Baixa",IF(M869="A","Média",IF(M869="","","Alta")))</f>
        <v/>
      </c>
      <c r="O869" s="47" t="str">
        <f aca="false">IF(ISBLANK(H869),"",IF(H869="ALI",IF(M869="L",7,IF(M869="A",10,15)),IF(H869="AIE",IF(M869="L",5,IF(M869="A",7,10)),IF(H869="SE",IF(M869="L",4,IF(M869="A",5,7)),IF(OR(H869="EE",H869="CE"),IF(M869="L",3,IF(M869="A",4,6)))))))</f>
        <v/>
      </c>
      <c r="P869" s="48" t="str">
        <f aca="false">IF(I869="I",O869*Contagem!$W$15,IF(I869="E",O869*Contagem!$W$17,IF(I869="A",O869*Contagem!$W$16,IF(I869="T",O869*Contagem!$W$18,""))))</f>
        <v/>
      </c>
      <c r="Q869" s="49"/>
    </row>
    <row r="870" customFormat="false" ht="12" hidden="false" customHeight="true" outlineLevel="0" collapsed="false">
      <c r="A870" s="40" t="n">
        <f aca="false">IF(H870="",IF(C870="",A869,A869+1),A869)</f>
        <v>62</v>
      </c>
      <c r="B870" s="41" t="str">
        <f aca="false">IF(A870=A869,"",CONCATENATE("F",A870))</f>
        <v/>
      </c>
      <c r="C870" s="42"/>
      <c r="D870" s="2"/>
      <c r="E870" s="2"/>
      <c r="F870" s="2"/>
      <c r="G870" s="2"/>
      <c r="H870" s="44"/>
      <c r="I870" s="50"/>
      <c r="J870" s="44"/>
      <c r="K870" s="44"/>
      <c r="L870" s="44" t="str">
        <f aca="false">CONCATENATE(H870,M870)</f>
        <v/>
      </c>
      <c r="M870" s="45" t="str">
        <f aca="false">IF(OR(ISBLANK(J870),ISBLANK(K870)),IF(OR(H870="ALI",H870="AIE"),"L",IF(ISBLANK(H870),"","A")),IF(H870="EE",IF(K870&gt;=3,IF(J870&gt;=5,"H","A"),IF(K870&gt;=2,IF(J870&gt;=16,"H",IF(J870&lt;=4,"L","A")),IF(J870&lt;=15,"L","A"))),IF(OR(H870="SE",H870="CE"),IF(K870&gt;=4,IF(J870&gt;=6,"H","A"),IF(K870&gt;=2,IF(J870&gt;=20,"H",IF(J870&lt;=5,"L","A")),IF(J870&lt;=19,"L","A"))),IF(OR(H870="ALI",H870="AIE"),IF(K870&gt;=6,IF(J870&gt;=20,"H","A"),IF(K870&gt;=2,IF(J870&gt;=51,"H",IF(J870&lt;=19,"L","A")),IF(J870&lt;=50,"L","A")))))))</f>
        <v/>
      </c>
      <c r="N870" s="46" t="str">
        <f aca="false">IF(M870="L","Baixa",IF(M870="A","Média",IF(M870="","","Alta")))</f>
        <v/>
      </c>
      <c r="O870" s="47" t="str">
        <f aca="false">IF(ISBLANK(H870),"",IF(H870="ALI",IF(M870="L",7,IF(M870="A",10,15)),IF(H870="AIE",IF(M870="L",5,IF(M870="A",7,10)),IF(H870="SE",IF(M870="L",4,IF(M870="A",5,7)),IF(OR(H870="EE",H870="CE"),IF(M870="L",3,IF(M870="A",4,6)))))))</f>
        <v/>
      </c>
      <c r="P870" s="48" t="str">
        <f aca="false">IF(I870="I",O870*Contagem!$W$15,IF(I870="E",O870*Contagem!$W$17,IF(I870="A",O870*Contagem!$W$16,IF(I870="T",O870*Contagem!$W$18,""))))</f>
        <v/>
      </c>
      <c r="Q870" s="49"/>
    </row>
    <row r="871" customFormat="false" ht="12" hidden="false" customHeight="true" outlineLevel="0" collapsed="false">
      <c r="A871" s="40" t="n">
        <f aca="false">IF(H871="",IF(C871="",A870,A870+1),A870)</f>
        <v>62</v>
      </c>
      <c r="B871" s="41" t="str">
        <f aca="false">IF(A871=A870,"",CONCATENATE("F",A871))</f>
        <v/>
      </c>
      <c r="C871" s="42"/>
      <c r="D871" s="2"/>
      <c r="E871" s="2"/>
      <c r="F871" s="2"/>
      <c r="G871" s="2"/>
      <c r="H871" s="44"/>
      <c r="I871" s="50"/>
      <c r="J871" s="44"/>
      <c r="K871" s="44"/>
      <c r="L871" s="44" t="str">
        <f aca="false">CONCATENATE(H871,M871)</f>
        <v/>
      </c>
      <c r="M871" s="45" t="str">
        <f aca="false">IF(OR(ISBLANK(J871),ISBLANK(K871)),IF(OR(H871="ALI",H871="AIE"),"L",IF(ISBLANK(H871),"","A")),IF(H871="EE",IF(K871&gt;=3,IF(J871&gt;=5,"H","A"),IF(K871&gt;=2,IF(J871&gt;=16,"H",IF(J871&lt;=4,"L","A")),IF(J871&lt;=15,"L","A"))),IF(OR(H871="SE",H871="CE"),IF(K871&gt;=4,IF(J871&gt;=6,"H","A"),IF(K871&gt;=2,IF(J871&gt;=20,"H",IF(J871&lt;=5,"L","A")),IF(J871&lt;=19,"L","A"))),IF(OR(H871="ALI",H871="AIE"),IF(K871&gt;=6,IF(J871&gt;=20,"H","A"),IF(K871&gt;=2,IF(J871&gt;=51,"H",IF(J871&lt;=19,"L","A")),IF(J871&lt;=50,"L","A")))))))</f>
        <v/>
      </c>
      <c r="N871" s="46" t="str">
        <f aca="false">IF(M871="L","Baixa",IF(M871="A","Média",IF(M871="","","Alta")))</f>
        <v/>
      </c>
      <c r="O871" s="47" t="str">
        <f aca="false">IF(ISBLANK(H871),"",IF(H871="ALI",IF(M871="L",7,IF(M871="A",10,15)),IF(H871="AIE",IF(M871="L",5,IF(M871="A",7,10)),IF(H871="SE",IF(M871="L",4,IF(M871="A",5,7)),IF(OR(H871="EE",H871="CE"),IF(M871="L",3,IF(M871="A",4,6)))))))</f>
        <v/>
      </c>
      <c r="P871" s="48" t="str">
        <f aca="false">IF(I871="I",O871*Contagem!$W$15,IF(I871="E",O871*Contagem!$W$17,IF(I871="A",O871*Contagem!$W$16,IF(I871="T",O871*Contagem!$W$18,""))))</f>
        <v/>
      </c>
      <c r="Q871" s="49"/>
    </row>
    <row r="872" customFormat="false" ht="12" hidden="false" customHeight="true" outlineLevel="0" collapsed="false">
      <c r="A872" s="40" t="n">
        <f aca="false">IF(H872="",IF(C872="",A871,A871+1),A871)</f>
        <v>62</v>
      </c>
      <c r="B872" s="41" t="str">
        <f aca="false">IF(A872=A871,"",CONCATENATE("F",A872))</f>
        <v/>
      </c>
      <c r="C872" s="42"/>
      <c r="D872" s="2"/>
      <c r="E872" s="2"/>
      <c r="F872" s="2"/>
      <c r="G872" s="2"/>
      <c r="H872" s="44"/>
      <c r="I872" s="50"/>
      <c r="J872" s="44"/>
      <c r="K872" s="44"/>
      <c r="L872" s="44" t="str">
        <f aca="false">CONCATENATE(H872,M872)</f>
        <v/>
      </c>
      <c r="M872" s="45" t="str">
        <f aca="false">IF(OR(ISBLANK(J872),ISBLANK(K872)),IF(OR(H872="ALI",H872="AIE"),"L",IF(ISBLANK(H872),"","A")),IF(H872="EE",IF(K872&gt;=3,IF(J872&gt;=5,"H","A"),IF(K872&gt;=2,IF(J872&gt;=16,"H",IF(J872&lt;=4,"L","A")),IF(J872&lt;=15,"L","A"))),IF(OR(H872="SE",H872="CE"),IF(K872&gt;=4,IF(J872&gt;=6,"H","A"),IF(K872&gt;=2,IF(J872&gt;=20,"H",IF(J872&lt;=5,"L","A")),IF(J872&lt;=19,"L","A"))),IF(OR(H872="ALI",H872="AIE"),IF(K872&gt;=6,IF(J872&gt;=20,"H","A"),IF(K872&gt;=2,IF(J872&gt;=51,"H",IF(J872&lt;=19,"L","A")),IF(J872&lt;=50,"L","A")))))))</f>
        <v/>
      </c>
      <c r="N872" s="46" t="str">
        <f aca="false">IF(M872="L","Baixa",IF(M872="A","Média",IF(M872="","","Alta")))</f>
        <v/>
      </c>
      <c r="O872" s="47" t="str">
        <f aca="false">IF(ISBLANK(H872),"",IF(H872="ALI",IF(M872="L",7,IF(M872="A",10,15)),IF(H872="AIE",IF(M872="L",5,IF(M872="A",7,10)),IF(H872="SE",IF(M872="L",4,IF(M872="A",5,7)),IF(OR(H872="EE",H872="CE"),IF(M872="L",3,IF(M872="A",4,6)))))))</f>
        <v/>
      </c>
      <c r="P872" s="48" t="str">
        <f aca="false">IF(I872="I",O872*Contagem!$W$15,IF(I872="E",O872*Contagem!$W$17,IF(I872="A",O872*Contagem!$W$16,IF(I872="T",O872*Contagem!$W$18,""))))</f>
        <v/>
      </c>
      <c r="Q872" s="49"/>
    </row>
    <row r="873" customFormat="false" ht="12" hidden="false" customHeight="true" outlineLevel="0" collapsed="false">
      <c r="A873" s="40" t="n">
        <f aca="false">IF(H873="",IF(C873="",A872,A872+1),A872)</f>
        <v>62</v>
      </c>
      <c r="B873" s="41" t="str">
        <f aca="false">IF(A873=A872,"",CONCATENATE("F",A873))</f>
        <v/>
      </c>
      <c r="C873" s="42"/>
      <c r="D873" s="2"/>
      <c r="E873" s="2"/>
      <c r="F873" s="2"/>
      <c r="G873" s="2"/>
      <c r="H873" s="44"/>
      <c r="I873" s="50"/>
      <c r="J873" s="44"/>
      <c r="K873" s="44"/>
      <c r="L873" s="44" t="str">
        <f aca="false">CONCATENATE(H873,M873)</f>
        <v/>
      </c>
      <c r="M873" s="45" t="str">
        <f aca="false">IF(OR(ISBLANK(J873),ISBLANK(K873)),IF(OR(H873="ALI",H873="AIE"),"L",IF(ISBLANK(H873),"","A")),IF(H873="EE",IF(K873&gt;=3,IF(J873&gt;=5,"H","A"),IF(K873&gt;=2,IF(J873&gt;=16,"H",IF(J873&lt;=4,"L","A")),IF(J873&lt;=15,"L","A"))),IF(OR(H873="SE",H873="CE"),IF(K873&gt;=4,IF(J873&gt;=6,"H","A"),IF(K873&gt;=2,IF(J873&gt;=20,"H",IF(J873&lt;=5,"L","A")),IF(J873&lt;=19,"L","A"))),IF(OR(H873="ALI",H873="AIE"),IF(K873&gt;=6,IF(J873&gt;=20,"H","A"),IF(K873&gt;=2,IF(J873&gt;=51,"H",IF(J873&lt;=19,"L","A")),IF(J873&lt;=50,"L","A")))))))</f>
        <v/>
      </c>
      <c r="N873" s="46" t="str">
        <f aca="false">IF(M873="L","Baixa",IF(M873="A","Média",IF(M873="","","Alta")))</f>
        <v/>
      </c>
      <c r="O873" s="47" t="str">
        <f aca="false">IF(ISBLANK(H873),"",IF(H873="ALI",IF(M873="L",7,IF(M873="A",10,15)),IF(H873="AIE",IF(M873="L",5,IF(M873="A",7,10)),IF(H873="SE",IF(M873="L",4,IF(M873="A",5,7)),IF(OR(H873="EE",H873="CE"),IF(M873="L",3,IF(M873="A",4,6)))))))</f>
        <v/>
      </c>
      <c r="P873" s="48" t="str">
        <f aca="false">IF(I873="I",O873*Contagem!$W$15,IF(I873="E",O873*Contagem!$W$17,IF(I873="A",O873*Contagem!$W$16,IF(I873="T",O873*Contagem!$W$18,""))))</f>
        <v/>
      </c>
      <c r="Q873" s="49"/>
    </row>
    <row r="874" customFormat="false" ht="12" hidden="false" customHeight="true" outlineLevel="0" collapsed="false">
      <c r="A874" s="40" t="n">
        <f aca="false">IF(H874="",IF(C874="",A873,A873+1),A873)</f>
        <v>62</v>
      </c>
      <c r="B874" s="41" t="str">
        <f aca="false">IF(A874=A873,"",CONCATENATE("F",A874))</f>
        <v/>
      </c>
      <c r="C874" s="42"/>
      <c r="D874" s="2"/>
      <c r="E874" s="2"/>
      <c r="F874" s="2"/>
      <c r="G874" s="2"/>
      <c r="H874" s="44"/>
      <c r="I874" s="50"/>
      <c r="J874" s="44"/>
      <c r="K874" s="44"/>
      <c r="L874" s="44" t="str">
        <f aca="false">CONCATENATE(H874,M874)</f>
        <v/>
      </c>
      <c r="M874" s="45" t="str">
        <f aca="false">IF(OR(ISBLANK(J874),ISBLANK(K874)),IF(OR(H874="ALI",H874="AIE"),"L",IF(ISBLANK(H874),"","A")),IF(H874="EE",IF(K874&gt;=3,IF(J874&gt;=5,"H","A"),IF(K874&gt;=2,IF(J874&gt;=16,"H",IF(J874&lt;=4,"L","A")),IF(J874&lt;=15,"L","A"))),IF(OR(H874="SE",H874="CE"),IF(K874&gt;=4,IF(J874&gt;=6,"H","A"),IF(K874&gt;=2,IF(J874&gt;=20,"H",IF(J874&lt;=5,"L","A")),IF(J874&lt;=19,"L","A"))),IF(OR(H874="ALI",H874="AIE"),IF(K874&gt;=6,IF(J874&gt;=20,"H","A"),IF(K874&gt;=2,IF(J874&gt;=51,"H",IF(J874&lt;=19,"L","A")),IF(J874&lt;=50,"L","A")))))))</f>
        <v/>
      </c>
      <c r="N874" s="46" t="str">
        <f aca="false">IF(M874="L","Baixa",IF(M874="A","Média",IF(M874="","","Alta")))</f>
        <v/>
      </c>
      <c r="O874" s="47" t="str">
        <f aca="false">IF(ISBLANK(H874),"",IF(H874="ALI",IF(M874="L",7,IF(M874="A",10,15)),IF(H874="AIE",IF(M874="L",5,IF(M874="A",7,10)),IF(H874="SE",IF(M874="L",4,IF(M874="A",5,7)),IF(OR(H874="EE",H874="CE"),IF(M874="L",3,IF(M874="A",4,6)))))))</f>
        <v/>
      </c>
      <c r="P874" s="48" t="str">
        <f aca="false">IF(I874="I",O874*Contagem!$W$15,IF(I874="E",O874*Contagem!$W$17,IF(I874="A",O874*Contagem!$W$16,IF(I874="T",O874*Contagem!$W$18,""))))</f>
        <v/>
      </c>
      <c r="Q874" s="49"/>
    </row>
    <row r="875" customFormat="false" ht="12" hidden="false" customHeight="true" outlineLevel="0" collapsed="false">
      <c r="A875" s="40" t="n">
        <f aca="false">IF(H875="",IF(C875="",A874,A874+1),A874)</f>
        <v>62</v>
      </c>
      <c r="B875" s="41" t="str">
        <f aca="false">IF(A875=A874,"",CONCATENATE("F",A875))</f>
        <v/>
      </c>
      <c r="C875" s="42"/>
      <c r="D875" s="2"/>
      <c r="E875" s="2"/>
      <c r="F875" s="2"/>
      <c r="G875" s="2"/>
      <c r="H875" s="44"/>
      <c r="I875" s="50"/>
      <c r="J875" s="44"/>
      <c r="K875" s="44"/>
      <c r="L875" s="44" t="str">
        <f aca="false">CONCATENATE(H875,M875)</f>
        <v/>
      </c>
      <c r="M875" s="45" t="str">
        <f aca="false">IF(OR(ISBLANK(J875),ISBLANK(K875)),IF(OR(H875="ALI",H875="AIE"),"L",IF(ISBLANK(H875),"","A")),IF(H875="EE",IF(K875&gt;=3,IF(J875&gt;=5,"H","A"),IF(K875&gt;=2,IF(J875&gt;=16,"H",IF(J875&lt;=4,"L","A")),IF(J875&lt;=15,"L","A"))),IF(OR(H875="SE",H875="CE"),IF(K875&gt;=4,IF(J875&gt;=6,"H","A"),IF(K875&gt;=2,IF(J875&gt;=20,"H",IF(J875&lt;=5,"L","A")),IF(J875&lt;=19,"L","A"))),IF(OR(H875="ALI",H875="AIE"),IF(K875&gt;=6,IF(J875&gt;=20,"H","A"),IF(K875&gt;=2,IF(J875&gt;=51,"H",IF(J875&lt;=19,"L","A")),IF(J875&lt;=50,"L","A")))))))</f>
        <v/>
      </c>
      <c r="N875" s="46" t="str">
        <f aca="false">IF(M875="L","Baixa",IF(M875="A","Média",IF(M875="","","Alta")))</f>
        <v/>
      </c>
      <c r="O875" s="47" t="str">
        <f aca="false">IF(ISBLANK(H875),"",IF(H875="ALI",IF(M875="L",7,IF(M875="A",10,15)),IF(H875="AIE",IF(M875="L",5,IF(M875="A",7,10)),IF(H875="SE",IF(M875="L",4,IF(M875="A",5,7)),IF(OR(H875="EE",H875="CE"),IF(M875="L",3,IF(M875="A",4,6)))))))</f>
        <v/>
      </c>
      <c r="P875" s="48" t="str">
        <f aca="false">IF(I875="I",O875*Contagem!$W$15,IF(I875="E",O875*Contagem!$W$17,IF(I875="A",O875*Contagem!$W$16,IF(I875="T",O875*Contagem!$W$18,""))))</f>
        <v/>
      </c>
      <c r="Q875" s="49"/>
    </row>
    <row r="876" customFormat="false" ht="12" hidden="false" customHeight="true" outlineLevel="0" collapsed="false">
      <c r="A876" s="40" t="n">
        <f aca="false">IF(H876="",IF(C876="",A875,A875+1),A875)</f>
        <v>62</v>
      </c>
      <c r="B876" s="41" t="str">
        <f aca="false">IF(A876=A875,"",CONCATENATE("F",A876))</f>
        <v/>
      </c>
      <c r="C876" s="42"/>
      <c r="D876" s="2"/>
      <c r="E876" s="2"/>
      <c r="F876" s="2"/>
      <c r="G876" s="2"/>
      <c r="H876" s="44"/>
      <c r="I876" s="50"/>
      <c r="J876" s="44"/>
      <c r="K876" s="44"/>
      <c r="L876" s="44" t="str">
        <f aca="false">CONCATENATE(H876,M876)</f>
        <v/>
      </c>
      <c r="M876" s="45" t="str">
        <f aca="false">IF(OR(ISBLANK(J876),ISBLANK(K876)),IF(OR(H876="ALI",H876="AIE"),"L",IF(ISBLANK(H876),"","A")),IF(H876="EE",IF(K876&gt;=3,IF(J876&gt;=5,"H","A"),IF(K876&gt;=2,IF(J876&gt;=16,"H",IF(J876&lt;=4,"L","A")),IF(J876&lt;=15,"L","A"))),IF(OR(H876="SE",H876="CE"),IF(K876&gt;=4,IF(J876&gt;=6,"H","A"),IF(K876&gt;=2,IF(J876&gt;=20,"H",IF(J876&lt;=5,"L","A")),IF(J876&lt;=19,"L","A"))),IF(OR(H876="ALI",H876="AIE"),IF(K876&gt;=6,IF(J876&gt;=20,"H","A"),IF(K876&gt;=2,IF(J876&gt;=51,"H",IF(J876&lt;=19,"L","A")),IF(J876&lt;=50,"L","A")))))))</f>
        <v/>
      </c>
      <c r="N876" s="46" t="str">
        <f aca="false">IF(M876="L","Baixa",IF(M876="A","Média",IF(M876="","","Alta")))</f>
        <v/>
      </c>
      <c r="O876" s="47" t="str">
        <f aca="false">IF(ISBLANK(H876),"",IF(H876="ALI",IF(M876="L",7,IF(M876="A",10,15)),IF(H876="AIE",IF(M876="L",5,IF(M876="A",7,10)),IF(H876="SE",IF(M876="L",4,IF(M876="A",5,7)),IF(OR(H876="EE",H876="CE"),IF(M876="L",3,IF(M876="A",4,6)))))))</f>
        <v/>
      </c>
      <c r="P876" s="48" t="str">
        <f aca="false">IF(I876="I",O876*Contagem!$W$15,IF(I876="E",O876*Contagem!$W$17,IF(I876="A",O876*Contagem!$W$16,IF(I876="T",O876*Contagem!$W$18,""))))</f>
        <v/>
      </c>
      <c r="Q876" s="49"/>
    </row>
    <row r="877" customFormat="false" ht="12" hidden="false" customHeight="true" outlineLevel="0" collapsed="false">
      <c r="A877" s="40" t="n">
        <f aca="false">IF(H877="",IF(C877="",A876,A876+1),A876)</f>
        <v>62</v>
      </c>
      <c r="B877" s="41" t="str">
        <f aca="false">IF(A877=A876,"",CONCATENATE("F",A877))</f>
        <v/>
      </c>
      <c r="C877" s="42"/>
      <c r="D877" s="2"/>
      <c r="E877" s="2"/>
      <c r="F877" s="2"/>
      <c r="G877" s="2"/>
      <c r="H877" s="44"/>
      <c r="I877" s="50"/>
      <c r="J877" s="44"/>
      <c r="K877" s="44"/>
      <c r="L877" s="44" t="str">
        <f aca="false">CONCATENATE(H877,M877)</f>
        <v/>
      </c>
      <c r="M877" s="45" t="str">
        <f aca="false">IF(OR(ISBLANK(J877),ISBLANK(K877)),IF(OR(H877="ALI",H877="AIE"),"L",IF(ISBLANK(H877),"","A")),IF(H877="EE",IF(K877&gt;=3,IF(J877&gt;=5,"H","A"),IF(K877&gt;=2,IF(J877&gt;=16,"H",IF(J877&lt;=4,"L","A")),IF(J877&lt;=15,"L","A"))),IF(OR(H877="SE",H877="CE"),IF(K877&gt;=4,IF(J877&gt;=6,"H","A"),IF(K877&gt;=2,IF(J877&gt;=20,"H",IF(J877&lt;=5,"L","A")),IF(J877&lt;=19,"L","A"))),IF(OR(H877="ALI",H877="AIE"),IF(K877&gt;=6,IF(J877&gt;=20,"H","A"),IF(K877&gt;=2,IF(J877&gt;=51,"H",IF(J877&lt;=19,"L","A")),IF(J877&lt;=50,"L","A")))))))</f>
        <v/>
      </c>
      <c r="N877" s="46" t="str">
        <f aca="false">IF(M877="L","Baixa",IF(M877="A","Média",IF(M877="","","Alta")))</f>
        <v/>
      </c>
      <c r="O877" s="47" t="str">
        <f aca="false">IF(ISBLANK(H877),"",IF(H877="ALI",IF(M877="L",7,IF(M877="A",10,15)),IF(H877="AIE",IF(M877="L",5,IF(M877="A",7,10)),IF(H877="SE",IF(M877="L",4,IF(M877="A",5,7)),IF(OR(H877="EE",H877="CE"),IF(M877="L",3,IF(M877="A",4,6)))))))</f>
        <v/>
      </c>
      <c r="P877" s="48" t="str">
        <f aca="false">IF(I877="I",O877*Contagem!$W$15,IF(I877="E",O877*Contagem!$W$17,IF(I877="A",O877*Contagem!$W$16,IF(I877="T",O877*Contagem!$W$18,""))))</f>
        <v/>
      </c>
      <c r="Q877" s="49"/>
    </row>
    <row r="878" customFormat="false" ht="12" hidden="false" customHeight="true" outlineLevel="0" collapsed="false">
      <c r="A878" s="40" t="n">
        <f aca="false">IF(H878="",IF(C878="",A877,A877+1),A877)</f>
        <v>62</v>
      </c>
      <c r="B878" s="41" t="str">
        <f aca="false">IF(A878=A877,"",CONCATENATE("F",A878))</f>
        <v/>
      </c>
      <c r="C878" s="42"/>
      <c r="D878" s="2"/>
      <c r="E878" s="2"/>
      <c r="F878" s="2"/>
      <c r="G878" s="2"/>
      <c r="H878" s="44"/>
      <c r="I878" s="50"/>
      <c r="J878" s="44"/>
      <c r="K878" s="44"/>
      <c r="L878" s="44" t="str">
        <f aca="false">CONCATENATE(H878,M878)</f>
        <v/>
      </c>
      <c r="M878" s="45" t="str">
        <f aca="false">IF(OR(ISBLANK(J878),ISBLANK(K878)),IF(OR(H878="ALI",H878="AIE"),"L",IF(ISBLANK(H878),"","A")),IF(H878="EE",IF(K878&gt;=3,IF(J878&gt;=5,"H","A"),IF(K878&gt;=2,IF(J878&gt;=16,"H",IF(J878&lt;=4,"L","A")),IF(J878&lt;=15,"L","A"))),IF(OR(H878="SE",H878="CE"),IF(K878&gt;=4,IF(J878&gt;=6,"H","A"),IF(K878&gt;=2,IF(J878&gt;=20,"H",IF(J878&lt;=5,"L","A")),IF(J878&lt;=19,"L","A"))),IF(OR(H878="ALI",H878="AIE"),IF(K878&gt;=6,IF(J878&gt;=20,"H","A"),IF(K878&gt;=2,IF(J878&gt;=51,"H",IF(J878&lt;=19,"L","A")),IF(J878&lt;=50,"L","A")))))))</f>
        <v/>
      </c>
      <c r="N878" s="46" t="str">
        <f aca="false">IF(M878="L","Baixa",IF(M878="A","Média",IF(M878="","","Alta")))</f>
        <v/>
      </c>
      <c r="O878" s="47" t="str">
        <f aca="false">IF(ISBLANK(H878),"",IF(H878="ALI",IF(M878="L",7,IF(M878="A",10,15)),IF(H878="AIE",IF(M878="L",5,IF(M878="A",7,10)),IF(H878="SE",IF(M878="L",4,IF(M878="A",5,7)),IF(OR(H878="EE",H878="CE"),IF(M878="L",3,IF(M878="A",4,6)))))))</f>
        <v/>
      </c>
      <c r="P878" s="48" t="str">
        <f aca="false">IF(I878="I",O878*Contagem!$W$15,IF(I878="E",O878*Contagem!$W$17,IF(I878="A",O878*Contagem!$W$16,IF(I878="T",O878*Contagem!$W$18,""))))</f>
        <v/>
      </c>
      <c r="Q878" s="49"/>
    </row>
    <row r="879" customFormat="false" ht="12" hidden="false" customHeight="true" outlineLevel="0" collapsed="false">
      <c r="A879" s="40" t="n">
        <f aca="false">IF(H879="",IF(C879="",A878,A878+1),A878)</f>
        <v>62</v>
      </c>
      <c r="B879" s="41" t="str">
        <f aca="false">IF(A879=A878,"",CONCATENATE("F",A879))</f>
        <v/>
      </c>
      <c r="C879" s="42"/>
      <c r="D879" s="2"/>
      <c r="E879" s="2"/>
      <c r="F879" s="2"/>
      <c r="G879" s="2"/>
      <c r="H879" s="44"/>
      <c r="I879" s="50"/>
      <c r="J879" s="44"/>
      <c r="K879" s="44"/>
      <c r="L879" s="44" t="str">
        <f aca="false">CONCATENATE(H879,M879)</f>
        <v/>
      </c>
      <c r="M879" s="45" t="str">
        <f aca="false">IF(OR(ISBLANK(J879),ISBLANK(K879)),IF(OR(H879="ALI",H879="AIE"),"L",IF(ISBLANK(H879),"","A")),IF(H879="EE",IF(K879&gt;=3,IF(J879&gt;=5,"H","A"),IF(K879&gt;=2,IF(J879&gt;=16,"H",IF(J879&lt;=4,"L","A")),IF(J879&lt;=15,"L","A"))),IF(OR(H879="SE",H879="CE"),IF(K879&gt;=4,IF(J879&gt;=6,"H","A"),IF(K879&gt;=2,IF(J879&gt;=20,"H",IF(J879&lt;=5,"L","A")),IF(J879&lt;=19,"L","A"))),IF(OR(H879="ALI",H879="AIE"),IF(K879&gt;=6,IF(J879&gt;=20,"H","A"),IF(K879&gt;=2,IF(J879&gt;=51,"H",IF(J879&lt;=19,"L","A")),IF(J879&lt;=50,"L","A")))))))</f>
        <v/>
      </c>
      <c r="N879" s="46" t="str">
        <f aca="false">IF(M879="L","Baixa",IF(M879="A","Média",IF(M879="","","Alta")))</f>
        <v/>
      </c>
      <c r="O879" s="47" t="str">
        <f aca="false">IF(ISBLANK(H879),"",IF(H879="ALI",IF(M879="L",7,IF(M879="A",10,15)),IF(H879="AIE",IF(M879="L",5,IF(M879="A",7,10)),IF(H879="SE",IF(M879="L",4,IF(M879="A",5,7)),IF(OR(H879="EE",H879="CE"),IF(M879="L",3,IF(M879="A",4,6)))))))</f>
        <v/>
      </c>
      <c r="P879" s="48" t="str">
        <f aca="false">IF(I879="I",O879*Contagem!$W$15,IF(I879="E",O879*Contagem!$W$17,IF(I879="A",O879*Contagem!$W$16,IF(I879="T",O879*Contagem!$W$18,""))))</f>
        <v/>
      </c>
      <c r="Q879" s="49"/>
    </row>
    <row r="880" customFormat="false" ht="12" hidden="false" customHeight="true" outlineLevel="0" collapsed="false">
      <c r="A880" s="40" t="n">
        <f aca="false">IF(H880="",IF(C880="",A879,A879+1),A879)</f>
        <v>62</v>
      </c>
      <c r="B880" s="41" t="str">
        <f aca="false">IF(A880=A879,"",CONCATENATE("F",A880))</f>
        <v/>
      </c>
      <c r="C880" s="42"/>
      <c r="D880" s="2"/>
      <c r="E880" s="2"/>
      <c r="F880" s="2"/>
      <c r="G880" s="2"/>
      <c r="H880" s="44"/>
      <c r="I880" s="50"/>
      <c r="J880" s="44"/>
      <c r="K880" s="44"/>
      <c r="L880" s="44" t="str">
        <f aca="false">CONCATENATE(H880,M880)</f>
        <v/>
      </c>
      <c r="M880" s="45" t="str">
        <f aca="false">IF(OR(ISBLANK(J880),ISBLANK(K880)),IF(OR(H880="ALI",H880="AIE"),"L",IF(ISBLANK(H880),"","A")),IF(H880="EE",IF(K880&gt;=3,IF(J880&gt;=5,"H","A"),IF(K880&gt;=2,IF(J880&gt;=16,"H",IF(J880&lt;=4,"L","A")),IF(J880&lt;=15,"L","A"))),IF(OR(H880="SE",H880="CE"),IF(K880&gt;=4,IF(J880&gt;=6,"H","A"),IF(K880&gt;=2,IF(J880&gt;=20,"H",IF(J880&lt;=5,"L","A")),IF(J880&lt;=19,"L","A"))),IF(OR(H880="ALI",H880="AIE"),IF(K880&gt;=6,IF(J880&gt;=20,"H","A"),IF(K880&gt;=2,IF(J880&gt;=51,"H",IF(J880&lt;=19,"L","A")),IF(J880&lt;=50,"L","A")))))))</f>
        <v/>
      </c>
      <c r="N880" s="46" t="str">
        <f aca="false">IF(M880="L","Baixa",IF(M880="A","Média",IF(M880="","","Alta")))</f>
        <v/>
      </c>
      <c r="O880" s="47" t="str">
        <f aca="false">IF(ISBLANK(H880),"",IF(H880="ALI",IF(M880="L",7,IF(M880="A",10,15)),IF(H880="AIE",IF(M880="L",5,IF(M880="A",7,10)),IF(H880="SE",IF(M880="L",4,IF(M880="A",5,7)),IF(OR(H880="EE",H880="CE"),IF(M880="L",3,IF(M880="A",4,6)))))))</f>
        <v/>
      </c>
      <c r="P880" s="48" t="str">
        <f aca="false">IF(I880="I",O880*Contagem!$W$15,IF(I880="E",O880*Contagem!$W$17,IF(I880="A",O880*Contagem!$W$16,IF(I880="T",O880*Contagem!$W$18,""))))</f>
        <v/>
      </c>
      <c r="Q880" s="49"/>
    </row>
    <row r="881" customFormat="false" ht="12" hidden="false" customHeight="true" outlineLevel="0" collapsed="false">
      <c r="A881" s="40" t="n">
        <f aca="false">IF(H881="",IF(C881="",A880,A880+1),A880)</f>
        <v>62</v>
      </c>
      <c r="B881" s="41" t="str">
        <f aca="false">IF(A881=A880,"",CONCATENATE("F",A881))</f>
        <v/>
      </c>
      <c r="C881" s="42"/>
      <c r="D881" s="2"/>
      <c r="E881" s="2"/>
      <c r="F881" s="2"/>
      <c r="G881" s="2"/>
      <c r="H881" s="44"/>
      <c r="I881" s="50"/>
      <c r="J881" s="44"/>
      <c r="K881" s="44"/>
      <c r="L881" s="44" t="str">
        <f aca="false">CONCATENATE(H881,M881)</f>
        <v/>
      </c>
      <c r="M881" s="45" t="str">
        <f aca="false">IF(OR(ISBLANK(J881),ISBLANK(K881)),IF(OR(H881="ALI",H881="AIE"),"L",IF(ISBLANK(H881),"","A")),IF(H881="EE",IF(K881&gt;=3,IF(J881&gt;=5,"H","A"),IF(K881&gt;=2,IF(J881&gt;=16,"H",IF(J881&lt;=4,"L","A")),IF(J881&lt;=15,"L","A"))),IF(OR(H881="SE",H881="CE"),IF(K881&gt;=4,IF(J881&gt;=6,"H","A"),IF(K881&gt;=2,IF(J881&gt;=20,"H",IF(J881&lt;=5,"L","A")),IF(J881&lt;=19,"L","A"))),IF(OR(H881="ALI",H881="AIE"),IF(K881&gt;=6,IF(J881&gt;=20,"H","A"),IF(K881&gt;=2,IF(J881&gt;=51,"H",IF(J881&lt;=19,"L","A")),IF(J881&lt;=50,"L","A")))))))</f>
        <v/>
      </c>
      <c r="N881" s="46" t="str">
        <f aca="false">IF(M881="L","Baixa",IF(M881="A","Média",IF(M881="","","Alta")))</f>
        <v/>
      </c>
      <c r="O881" s="47" t="str">
        <f aca="false">IF(ISBLANK(H881),"",IF(H881="ALI",IF(M881="L",7,IF(M881="A",10,15)),IF(H881="AIE",IF(M881="L",5,IF(M881="A",7,10)),IF(H881="SE",IF(M881="L",4,IF(M881="A",5,7)),IF(OR(H881="EE",H881="CE"),IF(M881="L",3,IF(M881="A",4,6)))))))</f>
        <v/>
      </c>
      <c r="P881" s="48" t="str">
        <f aca="false">IF(I881="I",O881*Contagem!$W$15,IF(I881="E",O881*Contagem!$W$17,IF(I881="A",O881*Contagem!$W$16,IF(I881="T",O881*Contagem!$W$18,""))))</f>
        <v/>
      </c>
      <c r="Q881" s="49"/>
    </row>
    <row r="882" customFormat="false" ht="12" hidden="false" customHeight="true" outlineLevel="0" collapsed="false">
      <c r="A882" s="40" t="n">
        <f aca="false">IF(H882="",IF(C882="",A881,A881+1),A881)</f>
        <v>62</v>
      </c>
      <c r="B882" s="41" t="str">
        <f aca="false">IF(A882=A881,"",CONCATENATE("F",A882))</f>
        <v/>
      </c>
      <c r="C882" s="42"/>
      <c r="D882" s="2"/>
      <c r="E882" s="2"/>
      <c r="F882" s="2"/>
      <c r="G882" s="2"/>
      <c r="H882" s="44"/>
      <c r="I882" s="50"/>
      <c r="J882" s="44"/>
      <c r="K882" s="44"/>
      <c r="L882" s="44" t="str">
        <f aca="false">CONCATENATE(H882,M882)</f>
        <v/>
      </c>
      <c r="M882" s="45" t="str">
        <f aca="false">IF(OR(ISBLANK(J882),ISBLANK(K882)),IF(OR(H882="ALI",H882="AIE"),"L",IF(ISBLANK(H882),"","A")),IF(H882="EE",IF(K882&gt;=3,IF(J882&gt;=5,"H","A"),IF(K882&gt;=2,IF(J882&gt;=16,"H",IF(J882&lt;=4,"L","A")),IF(J882&lt;=15,"L","A"))),IF(OR(H882="SE",H882="CE"),IF(K882&gt;=4,IF(J882&gt;=6,"H","A"),IF(K882&gt;=2,IF(J882&gt;=20,"H",IF(J882&lt;=5,"L","A")),IF(J882&lt;=19,"L","A"))),IF(OR(H882="ALI",H882="AIE"),IF(K882&gt;=6,IF(J882&gt;=20,"H","A"),IF(K882&gt;=2,IF(J882&gt;=51,"H",IF(J882&lt;=19,"L","A")),IF(J882&lt;=50,"L","A")))))))</f>
        <v/>
      </c>
      <c r="N882" s="46" t="str">
        <f aca="false">IF(M882="L","Baixa",IF(M882="A","Média",IF(M882="","","Alta")))</f>
        <v/>
      </c>
      <c r="O882" s="47" t="str">
        <f aca="false">IF(ISBLANK(H882),"",IF(H882="ALI",IF(M882="L",7,IF(M882="A",10,15)),IF(H882="AIE",IF(M882="L",5,IF(M882="A",7,10)),IF(H882="SE",IF(M882="L",4,IF(M882="A",5,7)),IF(OR(H882="EE",H882="CE"),IF(M882="L",3,IF(M882="A",4,6)))))))</f>
        <v/>
      </c>
      <c r="P882" s="48" t="str">
        <f aca="false">IF(I882="I",O882*Contagem!$W$15,IF(I882="E",O882*Contagem!$W$17,IF(I882="A",O882*Contagem!$W$16,IF(I882="T",O882*Contagem!$W$18,""))))</f>
        <v/>
      </c>
      <c r="Q882" s="49"/>
    </row>
    <row r="883" customFormat="false" ht="12" hidden="false" customHeight="true" outlineLevel="0" collapsed="false">
      <c r="A883" s="40" t="n">
        <f aca="false">IF(H883="",IF(C883="",A882,A882+1),A882)</f>
        <v>62</v>
      </c>
      <c r="B883" s="41" t="str">
        <f aca="false">IF(A883=A882,"",CONCATENATE("F",A883))</f>
        <v/>
      </c>
      <c r="C883" s="42"/>
      <c r="D883" s="2"/>
      <c r="E883" s="2"/>
      <c r="F883" s="2"/>
      <c r="G883" s="2"/>
      <c r="H883" s="44"/>
      <c r="I883" s="50"/>
      <c r="J883" s="44"/>
      <c r="K883" s="44"/>
      <c r="L883" s="44" t="str">
        <f aca="false">CONCATENATE(H883,M883)</f>
        <v/>
      </c>
      <c r="M883" s="45" t="str">
        <f aca="false">IF(OR(ISBLANK(J883),ISBLANK(K883)),IF(OR(H883="ALI",H883="AIE"),"L",IF(ISBLANK(H883),"","A")),IF(H883="EE",IF(K883&gt;=3,IF(J883&gt;=5,"H","A"),IF(K883&gt;=2,IF(J883&gt;=16,"H",IF(J883&lt;=4,"L","A")),IF(J883&lt;=15,"L","A"))),IF(OR(H883="SE",H883="CE"),IF(K883&gt;=4,IF(J883&gt;=6,"H","A"),IF(K883&gt;=2,IF(J883&gt;=20,"H",IF(J883&lt;=5,"L","A")),IF(J883&lt;=19,"L","A"))),IF(OR(H883="ALI",H883="AIE"),IF(K883&gt;=6,IF(J883&gt;=20,"H","A"),IF(K883&gt;=2,IF(J883&gt;=51,"H",IF(J883&lt;=19,"L","A")),IF(J883&lt;=50,"L","A")))))))</f>
        <v/>
      </c>
      <c r="N883" s="46" t="str">
        <f aca="false">IF(M883="L","Baixa",IF(M883="A","Média",IF(M883="","","Alta")))</f>
        <v/>
      </c>
      <c r="O883" s="47" t="str">
        <f aca="false">IF(ISBLANK(H883),"",IF(H883="ALI",IF(M883="L",7,IF(M883="A",10,15)),IF(H883="AIE",IF(M883="L",5,IF(M883="A",7,10)),IF(H883="SE",IF(M883="L",4,IF(M883="A",5,7)),IF(OR(H883="EE",H883="CE"),IF(M883="L",3,IF(M883="A",4,6)))))))</f>
        <v/>
      </c>
      <c r="P883" s="48" t="str">
        <f aca="false">IF(I883="I",O883*Contagem!$W$15,IF(I883="E",O883*Contagem!$W$17,IF(I883="A",O883*Contagem!$W$16,IF(I883="T",O883*Contagem!$W$18,""))))</f>
        <v/>
      </c>
      <c r="Q883" s="49"/>
    </row>
    <row r="884" customFormat="false" ht="12" hidden="false" customHeight="true" outlineLevel="0" collapsed="false">
      <c r="A884" s="40" t="n">
        <f aca="false">IF(H884="",IF(C884="",A883,A883+1),A883)</f>
        <v>62</v>
      </c>
      <c r="B884" s="41" t="str">
        <f aca="false">IF(A884=A883,"",CONCATENATE("F",A884))</f>
        <v/>
      </c>
      <c r="C884" s="42"/>
      <c r="D884" s="2"/>
      <c r="E884" s="2"/>
      <c r="F884" s="2"/>
      <c r="G884" s="2"/>
      <c r="H884" s="44"/>
      <c r="I884" s="50"/>
      <c r="J884" s="44"/>
      <c r="K884" s="44"/>
      <c r="L884" s="44" t="str">
        <f aca="false">CONCATENATE(H884,M884)</f>
        <v/>
      </c>
      <c r="M884" s="45" t="str">
        <f aca="false">IF(OR(ISBLANK(J884),ISBLANK(K884)),IF(OR(H884="ALI",H884="AIE"),"L",IF(ISBLANK(H884),"","A")),IF(H884="EE",IF(K884&gt;=3,IF(J884&gt;=5,"H","A"),IF(K884&gt;=2,IF(J884&gt;=16,"H",IF(J884&lt;=4,"L","A")),IF(J884&lt;=15,"L","A"))),IF(OR(H884="SE",H884="CE"),IF(K884&gt;=4,IF(J884&gt;=6,"H","A"),IF(K884&gt;=2,IF(J884&gt;=20,"H",IF(J884&lt;=5,"L","A")),IF(J884&lt;=19,"L","A"))),IF(OR(H884="ALI",H884="AIE"),IF(K884&gt;=6,IF(J884&gt;=20,"H","A"),IF(K884&gt;=2,IF(J884&gt;=51,"H",IF(J884&lt;=19,"L","A")),IF(J884&lt;=50,"L","A")))))))</f>
        <v/>
      </c>
      <c r="N884" s="46" t="str">
        <f aca="false">IF(M884="L","Baixa",IF(M884="A","Média",IF(M884="","","Alta")))</f>
        <v/>
      </c>
      <c r="O884" s="47" t="str">
        <f aca="false">IF(ISBLANK(H884),"",IF(H884="ALI",IF(M884="L",7,IF(M884="A",10,15)),IF(H884="AIE",IF(M884="L",5,IF(M884="A",7,10)),IF(H884="SE",IF(M884="L",4,IF(M884="A",5,7)),IF(OR(H884="EE",H884="CE"),IF(M884="L",3,IF(M884="A",4,6)))))))</f>
        <v/>
      </c>
      <c r="P884" s="48" t="str">
        <f aca="false">IF(I884="I",O884*Contagem!$W$15,IF(I884="E",O884*Contagem!$W$17,IF(I884="A",O884*Contagem!$W$16,IF(I884="T",O884*Contagem!$W$18,""))))</f>
        <v/>
      </c>
      <c r="Q884" s="49"/>
    </row>
    <row r="885" customFormat="false" ht="12" hidden="false" customHeight="true" outlineLevel="0" collapsed="false">
      <c r="A885" s="40" t="n">
        <f aca="false">IF(H885="",IF(C885="",A884,A884+1),A884)</f>
        <v>62</v>
      </c>
      <c r="B885" s="41" t="str">
        <f aca="false">IF(A885=A884,"",CONCATENATE("F",A885))</f>
        <v/>
      </c>
      <c r="C885" s="42"/>
      <c r="D885" s="2"/>
      <c r="E885" s="2"/>
      <c r="F885" s="2"/>
      <c r="G885" s="2"/>
      <c r="H885" s="44"/>
      <c r="I885" s="50"/>
      <c r="J885" s="44"/>
      <c r="K885" s="44"/>
      <c r="L885" s="44" t="str">
        <f aca="false">CONCATENATE(H885,M885)</f>
        <v/>
      </c>
      <c r="M885" s="45" t="str">
        <f aca="false">IF(OR(ISBLANK(J885),ISBLANK(K885)),IF(OR(H885="ALI",H885="AIE"),"L",IF(ISBLANK(H885),"","A")),IF(H885="EE",IF(K885&gt;=3,IF(J885&gt;=5,"H","A"),IF(K885&gt;=2,IF(J885&gt;=16,"H",IF(J885&lt;=4,"L","A")),IF(J885&lt;=15,"L","A"))),IF(OR(H885="SE",H885="CE"),IF(K885&gt;=4,IF(J885&gt;=6,"H","A"),IF(K885&gt;=2,IF(J885&gt;=20,"H",IF(J885&lt;=5,"L","A")),IF(J885&lt;=19,"L","A"))),IF(OR(H885="ALI",H885="AIE"),IF(K885&gt;=6,IF(J885&gt;=20,"H","A"),IF(K885&gt;=2,IF(J885&gt;=51,"H",IF(J885&lt;=19,"L","A")),IF(J885&lt;=50,"L","A")))))))</f>
        <v/>
      </c>
      <c r="N885" s="46" t="str">
        <f aca="false">IF(M885="L","Baixa",IF(M885="A","Média",IF(M885="","","Alta")))</f>
        <v/>
      </c>
      <c r="O885" s="47" t="str">
        <f aca="false">IF(ISBLANK(H885),"",IF(H885="ALI",IF(M885="L",7,IF(M885="A",10,15)),IF(H885="AIE",IF(M885="L",5,IF(M885="A",7,10)),IF(H885="SE",IF(M885="L",4,IF(M885="A",5,7)),IF(OR(H885="EE",H885="CE"),IF(M885="L",3,IF(M885="A",4,6)))))))</f>
        <v/>
      </c>
      <c r="P885" s="48" t="str">
        <f aca="false">IF(I885="I",O885*Contagem!$W$15,IF(I885="E",O885*Contagem!$W$17,IF(I885="A",O885*Contagem!$W$16,IF(I885="T",O885*Contagem!$W$18,""))))</f>
        <v/>
      </c>
      <c r="Q885" s="49"/>
    </row>
    <row r="886" customFormat="false" ht="12" hidden="false" customHeight="true" outlineLevel="0" collapsed="false">
      <c r="A886" s="40" t="n">
        <f aca="false">IF(H886="",IF(C886="",A885,A885+1),A885)</f>
        <v>62</v>
      </c>
      <c r="B886" s="41" t="str">
        <f aca="false">IF(A886=A885,"",CONCATENATE("F",A886))</f>
        <v/>
      </c>
      <c r="C886" s="42"/>
      <c r="D886" s="2"/>
      <c r="E886" s="2"/>
      <c r="F886" s="2"/>
      <c r="G886" s="2"/>
      <c r="H886" s="44"/>
      <c r="I886" s="50"/>
      <c r="J886" s="44"/>
      <c r="K886" s="44"/>
      <c r="L886" s="44" t="str">
        <f aca="false">CONCATENATE(H886,M886)</f>
        <v/>
      </c>
      <c r="M886" s="45" t="str">
        <f aca="false">IF(OR(ISBLANK(J886),ISBLANK(K886)),IF(OR(H886="ALI",H886="AIE"),"L",IF(ISBLANK(H886),"","A")),IF(H886="EE",IF(K886&gt;=3,IF(J886&gt;=5,"H","A"),IF(K886&gt;=2,IF(J886&gt;=16,"H",IF(J886&lt;=4,"L","A")),IF(J886&lt;=15,"L","A"))),IF(OR(H886="SE",H886="CE"),IF(K886&gt;=4,IF(J886&gt;=6,"H","A"),IF(K886&gt;=2,IF(J886&gt;=20,"H",IF(J886&lt;=5,"L","A")),IF(J886&lt;=19,"L","A"))),IF(OR(H886="ALI",H886="AIE"),IF(K886&gt;=6,IF(J886&gt;=20,"H","A"),IF(K886&gt;=2,IF(J886&gt;=51,"H",IF(J886&lt;=19,"L","A")),IF(J886&lt;=50,"L","A")))))))</f>
        <v/>
      </c>
      <c r="N886" s="46" t="str">
        <f aca="false">IF(M886="L","Baixa",IF(M886="A","Média",IF(M886="","","Alta")))</f>
        <v/>
      </c>
      <c r="O886" s="47" t="str">
        <f aca="false">IF(ISBLANK(H886),"",IF(H886="ALI",IF(M886="L",7,IF(M886="A",10,15)),IF(H886="AIE",IF(M886="L",5,IF(M886="A",7,10)),IF(H886="SE",IF(M886="L",4,IF(M886="A",5,7)),IF(OR(H886="EE",H886="CE"),IF(M886="L",3,IF(M886="A",4,6)))))))</f>
        <v/>
      </c>
      <c r="P886" s="48" t="str">
        <f aca="false">IF(I886="I",O886*Contagem!$W$15,IF(I886="E",O886*Contagem!$W$17,IF(I886="A",O886*Contagem!$W$16,IF(I886="T",O886*Contagem!$W$18,""))))</f>
        <v/>
      </c>
      <c r="Q886" s="49"/>
    </row>
    <row r="887" customFormat="false" ht="12" hidden="false" customHeight="true" outlineLevel="0" collapsed="false">
      <c r="A887" s="40" t="n">
        <f aca="false">IF(H887="",IF(C887="",A886,A886+1),A886)</f>
        <v>62</v>
      </c>
      <c r="B887" s="41" t="str">
        <f aca="false">IF(A887=A886,"",CONCATENATE("F",A887))</f>
        <v/>
      </c>
      <c r="C887" s="42"/>
      <c r="D887" s="2"/>
      <c r="E887" s="2"/>
      <c r="F887" s="2"/>
      <c r="G887" s="2"/>
      <c r="H887" s="44"/>
      <c r="I887" s="50"/>
      <c r="J887" s="44"/>
      <c r="K887" s="44"/>
      <c r="L887" s="44" t="str">
        <f aca="false">CONCATENATE(H887,M887)</f>
        <v/>
      </c>
      <c r="M887" s="45" t="str">
        <f aca="false">IF(OR(ISBLANK(J887),ISBLANK(K887)),IF(OR(H887="ALI",H887="AIE"),"L",IF(ISBLANK(H887),"","A")),IF(H887="EE",IF(K887&gt;=3,IF(J887&gt;=5,"H","A"),IF(K887&gt;=2,IF(J887&gt;=16,"H",IF(J887&lt;=4,"L","A")),IF(J887&lt;=15,"L","A"))),IF(OR(H887="SE",H887="CE"),IF(K887&gt;=4,IF(J887&gt;=6,"H","A"),IF(K887&gt;=2,IF(J887&gt;=20,"H",IF(J887&lt;=5,"L","A")),IF(J887&lt;=19,"L","A"))),IF(OR(H887="ALI",H887="AIE"),IF(K887&gt;=6,IF(J887&gt;=20,"H","A"),IF(K887&gt;=2,IF(J887&gt;=51,"H",IF(J887&lt;=19,"L","A")),IF(J887&lt;=50,"L","A")))))))</f>
        <v/>
      </c>
      <c r="N887" s="46" t="str">
        <f aca="false">IF(M887="L","Baixa",IF(M887="A","Média",IF(M887="","","Alta")))</f>
        <v/>
      </c>
      <c r="O887" s="47" t="str">
        <f aca="false">IF(ISBLANK(H887),"",IF(H887="ALI",IF(M887="L",7,IF(M887="A",10,15)),IF(H887="AIE",IF(M887="L",5,IF(M887="A",7,10)),IF(H887="SE",IF(M887="L",4,IF(M887="A",5,7)),IF(OR(H887="EE",H887="CE"),IF(M887="L",3,IF(M887="A",4,6)))))))</f>
        <v/>
      </c>
      <c r="P887" s="48" t="str">
        <f aca="false">IF(I887="I",O887*Contagem!$W$15,IF(I887="E",O887*Contagem!$W$17,IF(I887="A",O887*Contagem!$W$16,IF(I887="T",O887*Contagem!$W$18,""))))</f>
        <v/>
      </c>
      <c r="Q887" s="49"/>
    </row>
    <row r="888" customFormat="false" ht="12" hidden="false" customHeight="true" outlineLevel="0" collapsed="false">
      <c r="A888" s="40" t="n">
        <f aca="false">IF(H888="",IF(C888="",A887,A887+1),A887)</f>
        <v>62</v>
      </c>
      <c r="B888" s="41" t="str">
        <f aca="false">IF(A888=A887,"",CONCATENATE("F",A888))</f>
        <v/>
      </c>
      <c r="C888" s="42"/>
      <c r="D888" s="2"/>
      <c r="E888" s="2"/>
      <c r="F888" s="2"/>
      <c r="G888" s="2"/>
      <c r="H888" s="44"/>
      <c r="I888" s="50"/>
      <c r="J888" s="44"/>
      <c r="K888" s="44"/>
      <c r="L888" s="44" t="str">
        <f aca="false">CONCATENATE(H888,M888)</f>
        <v/>
      </c>
      <c r="M888" s="45" t="str">
        <f aca="false">IF(OR(ISBLANK(J888),ISBLANK(K888)),IF(OR(H888="ALI",H888="AIE"),"L",IF(ISBLANK(H888),"","A")),IF(H888="EE",IF(K888&gt;=3,IF(J888&gt;=5,"H","A"),IF(K888&gt;=2,IF(J888&gt;=16,"H",IF(J888&lt;=4,"L","A")),IF(J888&lt;=15,"L","A"))),IF(OR(H888="SE",H888="CE"),IF(K888&gt;=4,IF(J888&gt;=6,"H","A"),IF(K888&gt;=2,IF(J888&gt;=20,"H",IF(J888&lt;=5,"L","A")),IF(J888&lt;=19,"L","A"))),IF(OR(H888="ALI",H888="AIE"),IF(K888&gt;=6,IF(J888&gt;=20,"H","A"),IF(K888&gt;=2,IF(J888&gt;=51,"H",IF(J888&lt;=19,"L","A")),IF(J888&lt;=50,"L","A")))))))</f>
        <v/>
      </c>
      <c r="N888" s="46" t="str">
        <f aca="false">IF(M888="L","Baixa",IF(M888="A","Média",IF(M888="","","Alta")))</f>
        <v/>
      </c>
      <c r="O888" s="47" t="str">
        <f aca="false">IF(ISBLANK(H888),"",IF(H888="ALI",IF(M888="L",7,IF(M888="A",10,15)),IF(H888="AIE",IF(M888="L",5,IF(M888="A",7,10)),IF(H888="SE",IF(M888="L",4,IF(M888="A",5,7)),IF(OR(H888="EE",H888="CE"),IF(M888="L",3,IF(M888="A",4,6)))))))</f>
        <v/>
      </c>
      <c r="P888" s="48" t="str">
        <f aca="false">IF(I888="I",O888*Contagem!$W$15,IF(I888="E",O888*Contagem!$W$17,IF(I888="A",O888*Contagem!$W$16,IF(I888="T",O888*Contagem!$W$18,""))))</f>
        <v/>
      </c>
      <c r="Q888" s="49"/>
    </row>
    <row r="889" customFormat="false" ht="12" hidden="false" customHeight="true" outlineLevel="0" collapsed="false">
      <c r="A889" s="40" t="n">
        <f aca="false">IF(H889="",IF(C889="",A888,A888+1),A888)</f>
        <v>62</v>
      </c>
      <c r="B889" s="41" t="str">
        <f aca="false">IF(A889=A888,"",CONCATENATE("F",A889))</f>
        <v/>
      </c>
      <c r="C889" s="42"/>
      <c r="D889" s="2"/>
      <c r="E889" s="2"/>
      <c r="F889" s="2"/>
      <c r="G889" s="2"/>
      <c r="H889" s="44"/>
      <c r="I889" s="50"/>
      <c r="J889" s="44"/>
      <c r="K889" s="44"/>
      <c r="L889" s="44" t="str">
        <f aca="false">CONCATENATE(H889,M889)</f>
        <v/>
      </c>
      <c r="M889" s="45" t="str">
        <f aca="false">IF(OR(ISBLANK(J889),ISBLANK(K889)),IF(OR(H889="ALI",H889="AIE"),"L",IF(ISBLANK(H889),"","A")),IF(H889="EE",IF(K889&gt;=3,IF(J889&gt;=5,"H","A"),IF(K889&gt;=2,IF(J889&gt;=16,"H",IF(J889&lt;=4,"L","A")),IF(J889&lt;=15,"L","A"))),IF(OR(H889="SE",H889="CE"),IF(K889&gt;=4,IF(J889&gt;=6,"H","A"),IF(K889&gt;=2,IF(J889&gt;=20,"H",IF(J889&lt;=5,"L","A")),IF(J889&lt;=19,"L","A"))),IF(OR(H889="ALI",H889="AIE"),IF(K889&gt;=6,IF(J889&gt;=20,"H","A"),IF(K889&gt;=2,IF(J889&gt;=51,"H",IF(J889&lt;=19,"L","A")),IF(J889&lt;=50,"L","A")))))))</f>
        <v/>
      </c>
      <c r="N889" s="46" t="str">
        <f aca="false">IF(M889="L","Baixa",IF(M889="A","Média",IF(M889="","","Alta")))</f>
        <v/>
      </c>
      <c r="O889" s="47" t="str">
        <f aca="false">IF(ISBLANK(H889),"",IF(H889="ALI",IF(M889="L",7,IF(M889="A",10,15)),IF(H889="AIE",IF(M889="L",5,IF(M889="A",7,10)),IF(H889="SE",IF(M889="L",4,IF(M889="A",5,7)),IF(OR(H889="EE",H889="CE"),IF(M889="L",3,IF(M889="A",4,6)))))))</f>
        <v/>
      </c>
      <c r="P889" s="48" t="str">
        <f aca="false">IF(I889="I",O889*Contagem!$W$15,IF(I889="E",O889*Contagem!$W$17,IF(I889="A",O889*Contagem!$W$16,IF(I889="T",O889*Contagem!$W$18,""))))</f>
        <v/>
      </c>
      <c r="Q889" s="49"/>
    </row>
    <row r="890" customFormat="false" ht="12" hidden="false" customHeight="true" outlineLevel="0" collapsed="false">
      <c r="A890" s="40" t="n">
        <f aca="false">IF(H890="",IF(C890="",A889,A889+1),A889)</f>
        <v>62</v>
      </c>
      <c r="B890" s="41" t="str">
        <f aca="false">IF(A890=A889,"",CONCATENATE("F",A890))</f>
        <v/>
      </c>
      <c r="C890" s="42"/>
      <c r="D890" s="2"/>
      <c r="E890" s="2"/>
      <c r="F890" s="2"/>
      <c r="G890" s="2"/>
      <c r="H890" s="44"/>
      <c r="I890" s="50"/>
      <c r="J890" s="44"/>
      <c r="K890" s="44"/>
      <c r="L890" s="44" t="str">
        <f aca="false">CONCATENATE(H890,M890)</f>
        <v/>
      </c>
      <c r="M890" s="45" t="str">
        <f aca="false">IF(OR(ISBLANK(J890),ISBLANK(K890)),IF(OR(H890="ALI",H890="AIE"),"L",IF(ISBLANK(H890),"","A")),IF(H890="EE",IF(K890&gt;=3,IF(J890&gt;=5,"H","A"),IF(K890&gt;=2,IF(J890&gt;=16,"H",IF(J890&lt;=4,"L","A")),IF(J890&lt;=15,"L","A"))),IF(OR(H890="SE",H890="CE"),IF(K890&gt;=4,IF(J890&gt;=6,"H","A"),IF(K890&gt;=2,IF(J890&gt;=20,"H",IF(J890&lt;=5,"L","A")),IF(J890&lt;=19,"L","A"))),IF(OR(H890="ALI",H890="AIE"),IF(K890&gt;=6,IF(J890&gt;=20,"H","A"),IF(K890&gt;=2,IF(J890&gt;=51,"H",IF(J890&lt;=19,"L","A")),IF(J890&lt;=50,"L","A")))))))</f>
        <v/>
      </c>
      <c r="N890" s="46" t="str">
        <f aca="false">IF(M890="L","Baixa",IF(M890="A","Média",IF(M890="","","Alta")))</f>
        <v/>
      </c>
      <c r="O890" s="47" t="str">
        <f aca="false">IF(ISBLANK(H890),"",IF(H890="ALI",IF(M890="L",7,IF(M890="A",10,15)),IF(H890="AIE",IF(M890="L",5,IF(M890="A",7,10)),IF(H890="SE",IF(M890="L",4,IF(M890="A",5,7)),IF(OR(H890="EE",H890="CE"),IF(M890="L",3,IF(M890="A",4,6)))))))</f>
        <v/>
      </c>
      <c r="P890" s="48" t="str">
        <f aca="false">IF(I890="I",O890*Contagem!$W$15,IF(I890="E",O890*Contagem!$W$17,IF(I890="A",O890*Contagem!$W$16,IF(I890="T",O890*Contagem!$W$18,""))))</f>
        <v/>
      </c>
      <c r="Q890" s="49"/>
    </row>
    <row r="891" customFormat="false" ht="12" hidden="false" customHeight="true" outlineLevel="0" collapsed="false">
      <c r="A891" s="40" t="n">
        <f aca="false">IF(H891="",IF(C891="",A890,A890+1),A890)</f>
        <v>62</v>
      </c>
      <c r="B891" s="41" t="str">
        <f aca="false">IF(A891=A890,"",CONCATENATE("F",A891))</f>
        <v/>
      </c>
      <c r="C891" s="42"/>
      <c r="D891" s="2"/>
      <c r="E891" s="2"/>
      <c r="F891" s="2"/>
      <c r="G891" s="2"/>
      <c r="H891" s="44"/>
      <c r="I891" s="50"/>
      <c r="J891" s="44"/>
      <c r="K891" s="44"/>
      <c r="L891" s="44" t="str">
        <f aca="false">CONCATENATE(H891,M891)</f>
        <v/>
      </c>
      <c r="M891" s="45" t="str">
        <f aca="false">IF(OR(ISBLANK(J891),ISBLANK(K891)),IF(OR(H891="ALI",H891="AIE"),"L",IF(ISBLANK(H891),"","A")),IF(H891="EE",IF(K891&gt;=3,IF(J891&gt;=5,"H","A"),IF(K891&gt;=2,IF(J891&gt;=16,"H",IF(J891&lt;=4,"L","A")),IF(J891&lt;=15,"L","A"))),IF(OR(H891="SE",H891="CE"),IF(K891&gt;=4,IF(J891&gt;=6,"H","A"),IF(K891&gt;=2,IF(J891&gt;=20,"H",IF(J891&lt;=5,"L","A")),IF(J891&lt;=19,"L","A"))),IF(OR(H891="ALI",H891="AIE"),IF(K891&gt;=6,IF(J891&gt;=20,"H","A"),IF(K891&gt;=2,IF(J891&gt;=51,"H",IF(J891&lt;=19,"L","A")),IF(J891&lt;=50,"L","A")))))))</f>
        <v/>
      </c>
      <c r="N891" s="46" t="str">
        <f aca="false">IF(M891="L","Baixa",IF(M891="A","Média",IF(M891="","","Alta")))</f>
        <v/>
      </c>
      <c r="O891" s="47" t="str">
        <f aca="false">IF(ISBLANK(H891),"",IF(H891="ALI",IF(M891="L",7,IF(M891="A",10,15)),IF(H891="AIE",IF(M891="L",5,IF(M891="A",7,10)),IF(H891="SE",IF(M891="L",4,IF(M891="A",5,7)),IF(OR(H891="EE",H891="CE"),IF(M891="L",3,IF(M891="A",4,6)))))))</f>
        <v/>
      </c>
      <c r="P891" s="48" t="str">
        <f aca="false">IF(I891="I",O891*Contagem!$W$15,IF(I891="E",O891*Contagem!$W$17,IF(I891="A",O891*Contagem!$W$16,IF(I891="T",O891*Contagem!$W$18,""))))</f>
        <v/>
      </c>
      <c r="Q891" s="49"/>
    </row>
    <row r="892" customFormat="false" ht="12" hidden="false" customHeight="true" outlineLevel="0" collapsed="false">
      <c r="A892" s="40" t="n">
        <f aca="false">IF(H892="",IF(C892="",A891,A891+1),A891)</f>
        <v>62</v>
      </c>
      <c r="B892" s="41" t="str">
        <f aca="false">IF(A892=A891,"",CONCATENATE("F",A892))</f>
        <v/>
      </c>
      <c r="C892" s="42"/>
      <c r="D892" s="2"/>
      <c r="E892" s="2"/>
      <c r="F892" s="2"/>
      <c r="G892" s="2"/>
      <c r="H892" s="44"/>
      <c r="I892" s="50"/>
      <c r="J892" s="44"/>
      <c r="K892" s="44"/>
      <c r="L892" s="44" t="str">
        <f aca="false">CONCATENATE(H892,M892)</f>
        <v/>
      </c>
      <c r="M892" s="45" t="str">
        <f aca="false">IF(OR(ISBLANK(J892),ISBLANK(K892)),IF(OR(H892="ALI",H892="AIE"),"L",IF(ISBLANK(H892),"","A")),IF(H892="EE",IF(K892&gt;=3,IF(J892&gt;=5,"H","A"),IF(K892&gt;=2,IF(J892&gt;=16,"H",IF(J892&lt;=4,"L","A")),IF(J892&lt;=15,"L","A"))),IF(OR(H892="SE",H892="CE"),IF(K892&gt;=4,IF(J892&gt;=6,"H","A"),IF(K892&gt;=2,IF(J892&gt;=20,"H",IF(J892&lt;=5,"L","A")),IF(J892&lt;=19,"L","A"))),IF(OR(H892="ALI",H892="AIE"),IF(K892&gt;=6,IF(J892&gt;=20,"H","A"),IF(K892&gt;=2,IF(J892&gt;=51,"H",IF(J892&lt;=19,"L","A")),IF(J892&lt;=50,"L","A")))))))</f>
        <v/>
      </c>
      <c r="N892" s="46" t="str">
        <f aca="false">IF(M892="L","Baixa",IF(M892="A","Média",IF(M892="","","Alta")))</f>
        <v/>
      </c>
      <c r="O892" s="47" t="str">
        <f aca="false">IF(ISBLANK(H892),"",IF(H892="ALI",IF(M892="L",7,IF(M892="A",10,15)),IF(H892="AIE",IF(M892="L",5,IF(M892="A",7,10)),IF(H892="SE",IF(M892="L",4,IF(M892="A",5,7)),IF(OR(H892="EE",H892="CE"),IF(M892="L",3,IF(M892="A",4,6)))))))</f>
        <v/>
      </c>
      <c r="P892" s="48" t="str">
        <f aca="false">IF(I892="I",O892*Contagem!$W$15,IF(I892="E",O892*Contagem!$W$17,IF(I892="A",O892*Contagem!$W$16,IF(I892="T",O892*Contagem!$W$18,""))))</f>
        <v/>
      </c>
      <c r="Q892" s="49"/>
    </row>
    <row r="893" customFormat="false" ht="12" hidden="false" customHeight="true" outlineLevel="0" collapsed="false">
      <c r="A893" s="40" t="n">
        <f aca="false">IF(H893="",IF(C893="",A892,A892+1),A892)</f>
        <v>62</v>
      </c>
      <c r="B893" s="41" t="str">
        <f aca="false">IF(A893=A892,"",CONCATENATE("F",A893))</f>
        <v/>
      </c>
      <c r="C893" s="42"/>
      <c r="D893" s="2"/>
      <c r="E893" s="2"/>
      <c r="F893" s="2"/>
      <c r="G893" s="2"/>
      <c r="H893" s="44"/>
      <c r="I893" s="50"/>
      <c r="J893" s="44"/>
      <c r="K893" s="44"/>
      <c r="L893" s="44" t="str">
        <f aca="false">CONCATENATE(H893,M893)</f>
        <v/>
      </c>
      <c r="M893" s="45" t="str">
        <f aca="false">IF(OR(ISBLANK(J893),ISBLANK(K893)),IF(OR(H893="ALI",H893="AIE"),"L",IF(ISBLANK(H893),"","A")),IF(H893="EE",IF(K893&gt;=3,IF(J893&gt;=5,"H","A"),IF(K893&gt;=2,IF(J893&gt;=16,"H",IF(J893&lt;=4,"L","A")),IF(J893&lt;=15,"L","A"))),IF(OR(H893="SE",H893="CE"),IF(K893&gt;=4,IF(J893&gt;=6,"H","A"),IF(K893&gt;=2,IF(J893&gt;=20,"H",IF(J893&lt;=5,"L","A")),IF(J893&lt;=19,"L","A"))),IF(OR(H893="ALI",H893="AIE"),IF(K893&gt;=6,IF(J893&gt;=20,"H","A"),IF(K893&gt;=2,IF(J893&gt;=51,"H",IF(J893&lt;=19,"L","A")),IF(J893&lt;=50,"L","A")))))))</f>
        <v/>
      </c>
      <c r="N893" s="46" t="str">
        <f aca="false">IF(M893="L","Baixa",IF(M893="A","Média",IF(M893="","","Alta")))</f>
        <v/>
      </c>
      <c r="O893" s="47" t="str">
        <f aca="false">IF(ISBLANK(H893),"",IF(H893="ALI",IF(M893="L",7,IF(M893="A",10,15)),IF(H893="AIE",IF(M893="L",5,IF(M893="A",7,10)),IF(H893="SE",IF(M893="L",4,IF(M893="A",5,7)),IF(OR(H893="EE",H893="CE"),IF(M893="L",3,IF(M893="A",4,6)))))))</f>
        <v/>
      </c>
      <c r="P893" s="48" t="str">
        <f aca="false">IF(I893="I",O893*Contagem!$W$15,IF(I893="E",O893*Contagem!$W$17,IF(I893="A",O893*Contagem!$W$16,IF(I893="T",O893*Contagem!$W$18,""))))</f>
        <v/>
      </c>
      <c r="Q893" s="49"/>
    </row>
    <row r="894" customFormat="false" ht="12" hidden="false" customHeight="true" outlineLevel="0" collapsed="false">
      <c r="A894" s="40" t="n">
        <f aca="false">IF(H894="",IF(C894="",A893,A893+1),A893)</f>
        <v>62</v>
      </c>
      <c r="B894" s="41" t="str">
        <f aca="false">IF(A894=A893,"",CONCATENATE("F",A894))</f>
        <v/>
      </c>
      <c r="C894" s="42"/>
      <c r="D894" s="2"/>
      <c r="E894" s="2"/>
      <c r="F894" s="2"/>
      <c r="G894" s="2"/>
      <c r="H894" s="44"/>
      <c r="I894" s="50"/>
      <c r="J894" s="44"/>
      <c r="K894" s="44"/>
      <c r="L894" s="44" t="str">
        <f aca="false">CONCATENATE(H894,M894)</f>
        <v/>
      </c>
      <c r="M894" s="45" t="str">
        <f aca="false">IF(OR(ISBLANK(J894),ISBLANK(K894)),IF(OR(H894="ALI",H894="AIE"),"L",IF(ISBLANK(H894),"","A")),IF(H894="EE",IF(K894&gt;=3,IF(J894&gt;=5,"H","A"),IF(K894&gt;=2,IF(J894&gt;=16,"H",IF(J894&lt;=4,"L","A")),IF(J894&lt;=15,"L","A"))),IF(OR(H894="SE",H894="CE"),IF(K894&gt;=4,IF(J894&gt;=6,"H","A"),IF(K894&gt;=2,IF(J894&gt;=20,"H",IF(J894&lt;=5,"L","A")),IF(J894&lt;=19,"L","A"))),IF(OR(H894="ALI",H894="AIE"),IF(K894&gt;=6,IF(J894&gt;=20,"H","A"),IF(K894&gt;=2,IF(J894&gt;=51,"H",IF(J894&lt;=19,"L","A")),IF(J894&lt;=50,"L","A")))))))</f>
        <v/>
      </c>
      <c r="N894" s="46" t="str">
        <f aca="false">IF(M894="L","Baixa",IF(M894="A","Média",IF(M894="","","Alta")))</f>
        <v/>
      </c>
      <c r="O894" s="47" t="str">
        <f aca="false">IF(ISBLANK(H894),"",IF(H894="ALI",IF(M894="L",7,IF(M894="A",10,15)),IF(H894="AIE",IF(M894="L",5,IF(M894="A",7,10)),IF(H894="SE",IF(M894="L",4,IF(M894="A",5,7)),IF(OR(H894="EE",H894="CE"),IF(M894="L",3,IF(M894="A",4,6)))))))</f>
        <v/>
      </c>
      <c r="P894" s="48" t="str">
        <f aca="false">IF(I894="I",O894*Contagem!$W$15,IF(I894="E",O894*Contagem!$W$17,IF(I894="A",O894*Contagem!$W$16,IF(I894="T",O894*Contagem!$W$18,""))))</f>
        <v/>
      </c>
      <c r="Q894" s="49"/>
    </row>
    <row r="895" customFormat="false" ht="12" hidden="false" customHeight="true" outlineLevel="0" collapsed="false">
      <c r="A895" s="40" t="n">
        <f aca="false">IF(H895="",IF(C895="",A894,A894+1),A894)</f>
        <v>62</v>
      </c>
      <c r="B895" s="41" t="str">
        <f aca="false">IF(A895=A894,"",CONCATENATE("F",A895))</f>
        <v/>
      </c>
      <c r="C895" s="42"/>
      <c r="D895" s="2"/>
      <c r="E895" s="2"/>
      <c r="F895" s="2"/>
      <c r="G895" s="2"/>
      <c r="H895" s="44"/>
      <c r="I895" s="50"/>
      <c r="J895" s="44"/>
      <c r="K895" s="44"/>
      <c r="L895" s="44" t="str">
        <f aca="false">CONCATENATE(H895,M895)</f>
        <v/>
      </c>
      <c r="M895" s="45" t="str">
        <f aca="false">IF(OR(ISBLANK(J895),ISBLANK(K895)),IF(OR(H895="ALI",H895="AIE"),"L",IF(ISBLANK(H895),"","A")),IF(H895="EE",IF(K895&gt;=3,IF(J895&gt;=5,"H","A"),IF(K895&gt;=2,IF(J895&gt;=16,"H",IF(J895&lt;=4,"L","A")),IF(J895&lt;=15,"L","A"))),IF(OR(H895="SE",H895="CE"),IF(K895&gt;=4,IF(J895&gt;=6,"H","A"),IF(K895&gt;=2,IF(J895&gt;=20,"H",IF(J895&lt;=5,"L","A")),IF(J895&lt;=19,"L","A"))),IF(OR(H895="ALI",H895="AIE"),IF(K895&gt;=6,IF(J895&gt;=20,"H","A"),IF(K895&gt;=2,IF(J895&gt;=51,"H",IF(J895&lt;=19,"L","A")),IF(J895&lt;=50,"L","A")))))))</f>
        <v/>
      </c>
      <c r="N895" s="46" t="str">
        <f aca="false">IF(M895="L","Baixa",IF(M895="A","Média",IF(M895="","","Alta")))</f>
        <v/>
      </c>
      <c r="O895" s="47" t="str">
        <f aca="false">IF(ISBLANK(H895),"",IF(H895="ALI",IF(M895="L",7,IF(M895="A",10,15)),IF(H895="AIE",IF(M895="L",5,IF(M895="A",7,10)),IF(H895="SE",IF(M895="L",4,IF(M895="A",5,7)),IF(OR(H895="EE",H895="CE"),IF(M895="L",3,IF(M895="A",4,6)))))))</f>
        <v/>
      </c>
      <c r="P895" s="48" t="str">
        <f aca="false">IF(I895="I",O895*Contagem!$W$15,IF(I895="E",O895*Contagem!$W$17,IF(I895="A",O895*Contagem!$W$16,IF(I895="T",O895*Contagem!$W$18,""))))</f>
        <v/>
      </c>
      <c r="Q895" s="49"/>
    </row>
    <row r="896" customFormat="false" ht="12" hidden="false" customHeight="true" outlineLevel="0" collapsed="false">
      <c r="A896" s="40" t="n">
        <f aca="false">IF(H896="",IF(C896="",A895,A895+1),A895)</f>
        <v>62</v>
      </c>
      <c r="B896" s="41" t="str">
        <f aca="false">IF(A896=A895,"",CONCATENATE("F",A896))</f>
        <v/>
      </c>
      <c r="C896" s="42"/>
      <c r="D896" s="2"/>
      <c r="E896" s="2"/>
      <c r="F896" s="2"/>
      <c r="G896" s="2"/>
      <c r="H896" s="44"/>
      <c r="I896" s="50"/>
      <c r="J896" s="44"/>
      <c r="K896" s="44"/>
      <c r="L896" s="44" t="str">
        <f aca="false">CONCATENATE(H896,M896)</f>
        <v/>
      </c>
      <c r="M896" s="45" t="str">
        <f aca="false">IF(OR(ISBLANK(J896),ISBLANK(K896)),IF(OR(H896="ALI",H896="AIE"),"L",IF(ISBLANK(H896),"","A")),IF(H896="EE",IF(K896&gt;=3,IF(J896&gt;=5,"H","A"),IF(K896&gt;=2,IF(J896&gt;=16,"H",IF(J896&lt;=4,"L","A")),IF(J896&lt;=15,"L","A"))),IF(OR(H896="SE",H896="CE"),IF(K896&gt;=4,IF(J896&gt;=6,"H","A"),IF(K896&gt;=2,IF(J896&gt;=20,"H",IF(J896&lt;=5,"L","A")),IF(J896&lt;=19,"L","A"))),IF(OR(H896="ALI",H896="AIE"),IF(K896&gt;=6,IF(J896&gt;=20,"H","A"),IF(K896&gt;=2,IF(J896&gt;=51,"H",IF(J896&lt;=19,"L","A")),IF(J896&lt;=50,"L","A")))))))</f>
        <v/>
      </c>
      <c r="N896" s="46" t="str">
        <f aca="false">IF(M896="L","Baixa",IF(M896="A","Média",IF(M896="","","Alta")))</f>
        <v/>
      </c>
      <c r="O896" s="47" t="str">
        <f aca="false">IF(ISBLANK(H896),"",IF(H896="ALI",IF(M896="L",7,IF(M896="A",10,15)),IF(H896="AIE",IF(M896="L",5,IF(M896="A",7,10)),IF(H896="SE",IF(M896="L",4,IF(M896="A",5,7)),IF(OR(H896="EE",H896="CE"),IF(M896="L",3,IF(M896="A",4,6)))))))</f>
        <v/>
      </c>
      <c r="P896" s="48" t="str">
        <f aca="false">IF(I896="I",O896*Contagem!$W$15,IF(I896="E",O896*Contagem!$W$17,IF(I896="A",O896*Contagem!$W$16,IF(I896="T",O896*Contagem!$W$18,""))))</f>
        <v/>
      </c>
      <c r="Q896" s="49"/>
    </row>
    <row r="897" customFormat="false" ht="12" hidden="false" customHeight="true" outlineLevel="0" collapsed="false">
      <c r="A897" s="40" t="n">
        <f aca="false">IF(H897="",IF(C897="",A896,A896+1),A896)</f>
        <v>62</v>
      </c>
      <c r="B897" s="41" t="str">
        <f aca="false">IF(A897=A896,"",CONCATENATE("F",A897))</f>
        <v/>
      </c>
      <c r="C897" s="42"/>
      <c r="D897" s="2"/>
      <c r="E897" s="2"/>
      <c r="F897" s="2"/>
      <c r="G897" s="2"/>
      <c r="H897" s="44"/>
      <c r="I897" s="50"/>
      <c r="J897" s="44"/>
      <c r="K897" s="44"/>
      <c r="L897" s="44" t="str">
        <f aca="false">CONCATENATE(H897,M897)</f>
        <v/>
      </c>
      <c r="M897" s="45" t="str">
        <f aca="false">IF(OR(ISBLANK(J897),ISBLANK(K897)),IF(OR(H897="ALI",H897="AIE"),"L",IF(ISBLANK(H897),"","A")),IF(H897="EE",IF(K897&gt;=3,IF(J897&gt;=5,"H","A"),IF(K897&gt;=2,IF(J897&gt;=16,"H",IF(J897&lt;=4,"L","A")),IF(J897&lt;=15,"L","A"))),IF(OR(H897="SE",H897="CE"),IF(K897&gt;=4,IF(J897&gt;=6,"H","A"),IF(K897&gt;=2,IF(J897&gt;=20,"H",IF(J897&lt;=5,"L","A")),IF(J897&lt;=19,"L","A"))),IF(OR(H897="ALI",H897="AIE"),IF(K897&gt;=6,IF(J897&gt;=20,"H","A"),IF(K897&gt;=2,IF(J897&gt;=51,"H",IF(J897&lt;=19,"L","A")),IF(J897&lt;=50,"L","A")))))))</f>
        <v/>
      </c>
      <c r="N897" s="46" t="str">
        <f aca="false">IF(M897="L","Baixa",IF(M897="A","Média",IF(M897="","","Alta")))</f>
        <v/>
      </c>
      <c r="O897" s="47" t="str">
        <f aca="false">IF(ISBLANK(H897),"",IF(H897="ALI",IF(M897="L",7,IF(M897="A",10,15)),IF(H897="AIE",IF(M897="L",5,IF(M897="A",7,10)),IF(H897="SE",IF(M897="L",4,IF(M897="A",5,7)),IF(OR(H897="EE",H897="CE"),IF(M897="L",3,IF(M897="A",4,6)))))))</f>
        <v/>
      </c>
      <c r="P897" s="48" t="str">
        <f aca="false">IF(I897="I",O897*Contagem!$W$15,IF(I897="E",O897*Contagem!$W$17,IF(I897="A",O897*Contagem!$W$16,IF(I897="T",O897*Contagem!$W$18,""))))</f>
        <v/>
      </c>
      <c r="Q897" s="49"/>
    </row>
    <row r="898" customFormat="false" ht="12" hidden="false" customHeight="true" outlineLevel="0" collapsed="false">
      <c r="A898" s="40" t="n">
        <f aca="false">IF(H898="",IF(C898="",A897,A897+1),A897)</f>
        <v>62</v>
      </c>
      <c r="B898" s="41" t="str">
        <f aca="false">IF(A898=A897,"",CONCATENATE("F",A898))</f>
        <v/>
      </c>
      <c r="C898" s="42"/>
      <c r="D898" s="2"/>
      <c r="E898" s="2"/>
      <c r="F898" s="2"/>
      <c r="G898" s="2"/>
      <c r="H898" s="44"/>
      <c r="I898" s="50"/>
      <c r="J898" s="44"/>
      <c r="K898" s="44"/>
      <c r="L898" s="44" t="str">
        <f aca="false">CONCATENATE(H898,M898)</f>
        <v/>
      </c>
      <c r="M898" s="45" t="str">
        <f aca="false">IF(OR(ISBLANK(J898),ISBLANK(K898)),IF(OR(H898="ALI",H898="AIE"),"L",IF(ISBLANK(H898),"","A")),IF(H898="EE",IF(K898&gt;=3,IF(J898&gt;=5,"H","A"),IF(K898&gt;=2,IF(J898&gt;=16,"H",IF(J898&lt;=4,"L","A")),IF(J898&lt;=15,"L","A"))),IF(OR(H898="SE",H898="CE"),IF(K898&gt;=4,IF(J898&gt;=6,"H","A"),IF(K898&gt;=2,IF(J898&gt;=20,"H",IF(J898&lt;=5,"L","A")),IF(J898&lt;=19,"L","A"))),IF(OR(H898="ALI",H898="AIE"),IF(K898&gt;=6,IF(J898&gt;=20,"H","A"),IF(K898&gt;=2,IF(J898&gt;=51,"H",IF(J898&lt;=19,"L","A")),IF(J898&lt;=50,"L","A")))))))</f>
        <v/>
      </c>
      <c r="N898" s="46" t="str">
        <f aca="false">IF(M898="L","Baixa",IF(M898="A","Média",IF(M898="","","Alta")))</f>
        <v/>
      </c>
      <c r="O898" s="47" t="str">
        <f aca="false">IF(ISBLANK(H898),"",IF(H898="ALI",IF(M898="L",7,IF(M898="A",10,15)),IF(H898="AIE",IF(M898="L",5,IF(M898="A",7,10)),IF(H898="SE",IF(M898="L",4,IF(M898="A",5,7)),IF(OR(H898="EE",H898="CE"),IF(M898="L",3,IF(M898="A",4,6)))))))</f>
        <v/>
      </c>
      <c r="P898" s="48" t="str">
        <f aca="false">IF(I898="I",O898*Contagem!$W$15,IF(I898="E",O898*Contagem!$W$17,IF(I898="A",O898*Contagem!$W$16,IF(I898="T",O898*Contagem!$W$18,""))))</f>
        <v/>
      </c>
      <c r="Q898" s="49"/>
    </row>
    <row r="899" customFormat="false" ht="12" hidden="false" customHeight="true" outlineLevel="0" collapsed="false">
      <c r="A899" s="40" t="n">
        <f aca="false">IF(H899="",IF(C899="",A898,A898+1),A898)</f>
        <v>62</v>
      </c>
      <c r="B899" s="41" t="str">
        <f aca="false">IF(A899=A898,"",CONCATENATE("F",A899))</f>
        <v/>
      </c>
      <c r="C899" s="42"/>
      <c r="D899" s="2"/>
      <c r="E899" s="2"/>
      <c r="F899" s="2"/>
      <c r="G899" s="2"/>
      <c r="H899" s="44"/>
      <c r="I899" s="50"/>
      <c r="J899" s="44"/>
      <c r="K899" s="44"/>
      <c r="L899" s="44" t="str">
        <f aca="false">CONCATENATE(H899,M899)</f>
        <v/>
      </c>
      <c r="M899" s="45" t="str">
        <f aca="false">IF(OR(ISBLANK(J899),ISBLANK(K899)),IF(OR(H899="ALI",H899="AIE"),"L",IF(ISBLANK(H899),"","A")),IF(H899="EE",IF(K899&gt;=3,IF(J899&gt;=5,"H","A"),IF(K899&gt;=2,IF(J899&gt;=16,"H",IF(J899&lt;=4,"L","A")),IF(J899&lt;=15,"L","A"))),IF(OR(H899="SE",H899="CE"),IF(K899&gt;=4,IF(J899&gt;=6,"H","A"),IF(K899&gt;=2,IF(J899&gt;=20,"H",IF(J899&lt;=5,"L","A")),IF(J899&lt;=19,"L","A"))),IF(OR(H899="ALI",H899="AIE"),IF(K899&gt;=6,IF(J899&gt;=20,"H","A"),IF(K899&gt;=2,IF(J899&gt;=51,"H",IF(J899&lt;=19,"L","A")),IF(J899&lt;=50,"L","A")))))))</f>
        <v/>
      </c>
      <c r="N899" s="46" t="str">
        <f aca="false">IF(M899="L","Baixa",IF(M899="A","Média",IF(M899="","","Alta")))</f>
        <v/>
      </c>
      <c r="O899" s="47" t="str">
        <f aca="false">IF(ISBLANK(H899),"",IF(H899="ALI",IF(M899="L",7,IF(M899="A",10,15)),IF(H899="AIE",IF(M899="L",5,IF(M899="A",7,10)),IF(H899="SE",IF(M899="L",4,IF(M899="A",5,7)),IF(OR(H899="EE",H899="CE"),IF(M899="L",3,IF(M899="A",4,6)))))))</f>
        <v/>
      </c>
      <c r="P899" s="48" t="str">
        <f aca="false">IF(I899="I",O899*Contagem!$W$15,IF(I899="E",O899*Contagem!$W$17,IF(I899="A",O899*Contagem!$W$16,IF(I899="T",O899*Contagem!$W$18,""))))</f>
        <v/>
      </c>
      <c r="Q899" s="49"/>
    </row>
    <row r="900" customFormat="false" ht="12" hidden="false" customHeight="true" outlineLevel="0" collapsed="false">
      <c r="A900" s="40" t="n">
        <f aca="false">IF(H900="",IF(C900="",A899,A899+1),A899)</f>
        <v>62</v>
      </c>
      <c r="B900" s="41" t="str">
        <f aca="false">IF(A900=A899,"",CONCATENATE("F",A900))</f>
        <v/>
      </c>
      <c r="C900" s="42"/>
      <c r="D900" s="2"/>
      <c r="E900" s="2"/>
      <c r="F900" s="2"/>
      <c r="G900" s="2"/>
      <c r="H900" s="44"/>
      <c r="I900" s="50"/>
      <c r="J900" s="44"/>
      <c r="K900" s="44"/>
      <c r="L900" s="44" t="str">
        <f aca="false">CONCATENATE(H900,M900)</f>
        <v/>
      </c>
      <c r="M900" s="45" t="str">
        <f aca="false">IF(OR(ISBLANK(J900),ISBLANK(K900)),IF(OR(H900="ALI",H900="AIE"),"L",IF(ISBLANK(H900),"","A")),IF(H900="EE",IF(K900&gt;=3,IF(J900&gt;=5,"H","A"),IF(K900&gt;=2,IF(J900&gt;=16,"H",IF(J900&lt;=4,"L","A")),IF(J900&lt;=15,"L","A"))),IF(OR(H900="SE",H900="CE"),IF(K900&gt;=4,IF(J900&gt;=6,"H","A"),IF(K900&gt;=2,IF(J900&gt;=20,"H",IF(J900&lt;=5,"L","A")),IF(J900&lt;=19,"L","A"))),IF(OR(H900="ALI",H900="AIE"),IF(K900&gt;=6,IF(J900&gt;=20,"H","A"),IF(K900&gt;=2,IF(J900&gt;=51,"H",IF(J900&lt;=19,"L","A")),IF(J900&lt;=50,"L","A")))))))</f>
        <v/>
      </c>
      <c r="N900" s="46" t="str">
        <f aca="false">IF(M900="L","Baixa",IF(M900="A","Média",IF(M900="","","Alta")))</f>
        <v/>
      </c>
      <c r="O900" s="47" t="str">
        <f aca="false">IF(ISBLANK(H900),"",IF(H900="ALI",IF(M900="L",7,IF(M900="A",10,15)),IF(H900="AIE",IF(M900="L",5,IF(M900="A",7,10)),IF(H900="SE",IF(M900="L",4,IF(M900="A",5,7)),IF(OR(H900="EE",H900="CE"),IF(M900="L",3,IF(M900="A",4,6)))))))</f>
        <v/>
      </c>
      <c r="P900" s="48" t="str">
        <f aca="false">IF(I900="I",O900*Contagem!$W$15,IF(I900="E",O900*Contagem!$W$17,IF(I900="A",O900*Contagem!$W$16,IF(I900="T",O900*Contagem!$W$18,""))))</f>
        <v/>
      </c>
      <c r="Q900" s="49"/>
    </row>
    <row r="901" customFormat="false" ht="12" hidden="false" customHeight="true" outlineLevel="0" collapsed="false">
      <c r="A901" s="40" t="n">
        <f aca="false">IF(H901="",IF(C901="",A900,A900+1),A900)</f>
        <v>62</v>
      </c>
      <c r="B901" s="41" t="str">
        <f aca="false">IF(A901=A900,"",CONCATENATE("F",A901))</f>
        <v/>
      </c>
      <c r="C901" s="42"/>
      <c r="D901" s="2"/>
      <c r="E901" s="2"/>
      <c r="F901" s="2"/>
      <c r="G901" s="2"/>
      <c r="H901" s="44"/>
      <c r="I901" s="50"/>
      <c r="J901" s="44"/>
      <c r="K901" s="44"/>
      <c r="L901" s="44" t="str">
        <f aca="false">CONCATENATE(H901,M901)</f>
        <v/>
      </c>
      <c r="M901" s="45" t="str">
        <f aca="false">IF(OR(ISBLANK(J901),ISBLANK(K901)),IF(OR(H901="ALI",H901="AIE"),"L",IF(ISBLANK(H901),"","A")),IF(H901="EE",IF(K901&gt;=3,IF(J901&gt;=5,"H","A"),IF(K901&gt;=2,IF(J901&gt;=16,"H",IF(J901&lt;=4,"L","A")),IF(J901&lt;=15,"L","A"))),IF(OR(H901="SE",H901="CE"),IF(K901&gt;=4,IF(J901&gt;=6,"H","A"),IF(K901&gt;=2,IF(J901&gt;=20,"H",IF(J901&lt;=5,"L","A")),IF(J901&lt;=19,"L","A"))),IF(OR(H901="ALI",H901="AIE"),IF(K901&gt;=6,IF(J901&gt;=20,"H","A"),IF(K901&gt;=2,IF(J901&gt;=51,"H",IF(J901&lt;=19,"L","A")),IF(J901&lt;=50,"L","A")))))))</f>
        <v/>
      </c>
      <c r="N901" s="46" t="str">
        <f aca="false">IF(M901="L","Baixa",IF(M901="A","Média",IF(M901="","","Alta")))</f>
        <v/>
      </c>
      <c r="O901" s="47" t="str">
        <f aca="false">IF(ISBLANK(H901),"",IF(H901="ALI",IF(M901="L",7,IF(M901="A",10,15)),IF(H901="AIE",IF(M901="L",5,IF(M901="A",7,10)),IF(H901="SE",IF(M901="L",4,IF(M901="A",5,7)),IF(OR(H901="EE",H901="CE"),IF(M901="L",3,IF(M901="A",4,6)))))))</f>
        <v/>
      </c>
      <c r="P901" s="48" t="str">
        <f aca="false">IF(I901="I",O901*Contagem!$W$15,IF(I901="E",O901*Contagem!$W$17,IF(I901="A",O901*Contagem!$W$16,IF(I901="T",O901*Contagem!$W$18,""))))</f>
        <v/>
      </c>
      <c r="Q901" s="49"/>
    </row>
    <row r="902" customFormat="false" ht="12" hidden="false" customHeight="true" outlineLevel="0" collapsed="false">
      <c r="A902" s="40" t="n">
        <f aca="false">IF(H902="",IF(C902="",A901,A901+1),A901)</f>
        <v>62</v>
      </c>
      <c r="B902" s="41" t="str">
        <f aca="false">IF(A902=A901,"",CONCATENATE("F",A902))</f>
        <v/>
      </c>
      <c r="C902" s="42"/>
      <c r="D902" s="2"/>
      <c r="E902" s="2"/>
      <c r="F902" s="2"/>
      <c r="G902" s="2"/>
      <c r="H902" s="44"/>
      <c r="I902" s="50"/>
      <c r="J902" s="44"/>
      <c r="K902" s="44"/>
      <c r="L902" s="44" t="str">
        <f aca="false">CONCATENATE(H902,M902)</f>
        <v/>
      </c>
      <c r="M902" s="45" t="str">
        <f aca="false">IF(OR(ISBLANK(J902),ISBLANK(K902)),IF(OR(H902="ALI",H902="AIE"),"L",IF(ISBLANK(H902),"","A")),IF(H902="EE",IF(K902&gt;=3,IF(J902&gt;=5,"H","A"),IF(K902&gt;=2,IF(J902&gt;=16,"H",IF(J902&lt;=4,"L","A")),IF(J902&lt;=15,"L","A"))),IF(OR(H902="SE",H902="CE"),IF(K902&gt;=4,IF(J902&gt;=6,"H","A"),IF(K902&gt;=2,IF(J902&gt;=20,"H",IF(J902&lt;=5,"L","A")),IF(J902&lt;=19,"L","A"))),IF(OR(H902="ALI",H902="AIE"),IF(K902&gt;=6,IF(J902&gt;=20,"H","A"),IF(K902&gt;=2,IF(J902&gt;=51,"H",IF(J902&lt;=19,"L","A")),IF(J902&lt;=50,"L","A")))))))</f>
        <v/>
      </c>
      <c r="N902" s="46" t="str">
        <f aca="false">IF(M902="L","Baixa",IF(M902="A","Média",IF(M902="","","Alta")))</f>
        <v/>
      </c>
      <c r="O902" s="47" t="str">
        <f aca="false">IF(ISBLANK(H902),"",IF(H902="ALI",IF(M902="L",7,IF(M902="A",10,15)),IF(H902="AIE",IF(M902="L",5,IF(M902="A",7,10)),IF(H902="SE",IF(M902="L",4,IF(M902="A",5,7)),IF(OR(H902="EE",H902="CE"),IF(M902="L",3,IF(M902="A",4,6)))))))</f>
        <v/>
      </c>
      <c r="P902" s="48" t="str">
        <f aca="false">IF(I902="I",O902*Contagem!$W$15,IF(I902="E",O902*Contagem!$W$17,IF(I902="A",O902*Contagem!$W$16,IF(I902="T",O902*Contagem!$W$18,""))))</f>
        <v/>
      </c>
      <c r="Q902" s="49"/>
    </row>
    <row r="903" customFormat="false" ht="12" hidden="false" customHeight="true" outlineLevel="0" collapsed="false">
      <c r="A903" s="40" t="n">
        <f aca="false">IF(H903="",IF(C903="",A902,A902+1),A902)</f>
        <v>62</v>
      </c>
      <c r="B903" s="41" t="str">
        <f aca="false">IF(A903=A902,"",CONCATENATE("F",A903))</f>
        <v/>
      </c>
      <c r="C903" s="42"/>
      <c r="D903" s="2"/>
      <c r="E903" s="2"/>
      <c r="F903" s="2"/>
      <c r="G903" s="2"/>
      <c r="H903" s="44"/>
      <c r="I903" s="50"/>
      <c r="J903" s="44"/>
      <c r="K903" s="44"/>
      <c r="L903" s="44" t="str">
        <f aca="false">CONCATENATE(H903,M903)</f>
        <v/>
      </c>
      <c r="M903" s="45" t="str">
        <f aca="false">IF(OR(ISBLANK(J903),ISBLANK(K903)),IF(OR(H903="ALI",H903="AIE"),"L",IF(ISBLANK(H903),"","A")),IF(H903="EE",IF(K903&gt;=3,IF(J903&gt;=5,"H","A"),IF(K903&gt;=2,IF(J903&gt;=16,"H",IF(J903&lt;=4,"L","A")),IF(J903&lt;=15,"L","A"))),IF(OR(H903="SE",H903="CE"),IF(K903&gt;=4,IF(J903&gt;=6,"H","A"),IF(K903&gt;=2,IF(J903&gt;=20,"H",IF(J903&lt;=5,"L","A")),IF(J903&lt;=19,"L","A"))),IF(OR(H903="ALI",H903="AIE"),IF(K903&gt;=6,IF(J903&gt;=20,"H","A"),IF(K903&gt;=2,IF(J903&gt;=51,"H",IF(J903&lt;=19,"L","A")),IF(J903&lt;=50,"L","A")))))))</f>
        <v/>
      </c>
      <c r="N903" s="46" t="str">
        <f aca="false">IF(M903="L","Baixa",IF(M903="A","Média",IF(M903="","","Alta")))</f>
        <v/>
      </c>
      <c r="O903" s="47" t="str">
        <f aca="false">IF(ISBLANK(H903),"",IF(H903="ALI",IF(M903="L",7,IF(M903="A",10,15)),IF(H903="AIE",IF(M903="L",5,IF(M903="A",7,10)),IF(H903="SE",IF(M903="L",4,IF(M903="A",5,7)),IF(OR(H903="EE",H903="CE"),IF(M903="L",3,IF(M903="A",4,6)))))))</f>
        <v/>
      </c>
      <c r="P903" s="48" t="str">
        <f aca="false">IF(I903="I",O903*Contagem!$W$15,IF(I903="E",O903*Contagem!$W$17,IF(I903="A",O903*Contagem!$W$16,IF(I903="T",O903*Contagem!$W$18,""))))</f>
        <v/>
      </c>
      <c r="Q903" s="49"/>
    </row>
    <row r="904" customFormat="false" ht="12" hidden="false" customHeight="true" outlineLevel="0" collapsed="false">
      <c r="A904" s="40" t="n">
        <f aca="false">IF(H904="",IF(C904="",A903,A903+1),A903)</f>
        <v>62</v>
      </c>
      <c r="B904" s="41" t="str">
        <f aca="false">IF(A904=A903,"",CONCATENATE("F",A904))</f>
        <v/>
      </c>
      <c r="C904" s="42"/>
      <c r="D904" s="2"/>
      <c r="E904" s="2"/>
      <c r="F904" s="2"/>
      <c r="G904" s="2"/>
      <c r="H904" s="44"/>
      <c r="I904" s="50"/>
      <c r="J904" s="44"/>
      <c r="K904" s="44"/>
      <c r="L904" s="44" t="str">
        <f aca="false">CONCATENATE(H904,M904)</f>
        <v/>
      </c>
      <c r="M904" s="45" t="str">
        <f aca="false">IF(OR(ISBLANK(J904),ISBLANK(K904)),IF(OR(H904="ALI",H904="AIE"),"L",IF(ISBLANK(H904),"","A")),IF(H904="EE",IF(K904&gt;=3,IF(J904&gt;=5,"H","A"),IF(K904&gt;=2,IF(J904&gt;=16,"H",IF(J904&lt;=4,"L","A")),IF(J904&lt;=15,"L","A"))),IF(OR(H904="SE",H904="CE"),IF(K904&gt;=4,IF(J904&gt;=6,"H","A"),IF(K904&gt;=2,IF(J904&gt;=20,"H",IF(J904&lt;=5,"L","A")),IF(J904&lt;=19,"L","A"))),IF(OR(H904="ALI",H904="AIE"),IF(K904&gt;=6,IF(J904&gt;=20,"H","A"),IF(K904&gt;=2,IF(J904&gt;=51,"H",IF(J904&lt;=19,"L","A")),IF(J904&lt;=50,"L","A")))))))</f>
        <v/>
      </c>
      <c r="N904" s="46" t="str">
        <f aca="false">IF(M904="L","Baixa",IF(M904="A","Média",IF(M904="","","Alta")))</f>
        <v/>
      </c>
      <c r="O904" s="47" t="str">
        <f aca="false">IF(ISBLANK(H904),"",IF(H904="ALI",IF(M904="L",7,IF(M904="A",10,15)),IF(H904="AIE",IF(M904="L",5,IF(M904="A",7,10)),IF(H904="SE",IF(M904="L",4,IF(M904="A",5,7)),IF(OR(H904="EE",H904="CE"),IF(M904="L",3,IF(M904="A",4,6)))))))</f>
        <v/>
      </c>
      <c r="P904" s="48" t="str">
        <f aca="false">IF(I904="I",O904*Contagem!$W$15,IF(I904="E",O904*Contagem!$W$17,IF(I904="A",O904*Contagem!$W$16,IF(I904="T",O904*Contagem!$W$18,""))))</f>
        <v/>
      </c>
      <c r="Q904" s="49"/>
    </row>
    <row r="905" customFormat="false" ht="12" hidden="false" customHeight="true" outlineLevel="0" collapsed="false">
      <c r="A905" s="40" t="n">
        <f aca="false">IF(H905="",IF(C905="",A904,A904+1),A904)</f>
        <v>62</v>
      </c>
      <c r="B905" s="41" t="str">
        <f aca="false">IF(A905=A904,"",CONCATENATE("F",A905))</f>
        <v/>
      </c>
      <c r="C905" s="42"/>
      <c r="D905" s="2"/>
      <c r="E905" s="2"/>
      <c r="F905" s="2"/>
      <c r="G905" s="2"/>
      <c r="H905" s="44"/>
      <c r="I905" s="50"/>
      <c r="J905" s="44"/>
      <c r="K905" s="44"/>
      <c r="L905" s="44" t="str">
        <f aca="false">CONCATENATE(H905,M905)</f>
        <v/>
      </c>
      <c r="M905" s="45" t="str">
        <f aca="false">IF(OR(ISBLANK(J905),ISBLANK(K905)),IF(OR(H905="ALI",H905="AIE"),"L",IF(ISBLANK(H905),"","A")),IF(H905="EE",IF(K905&gt;=3,IF(J905&gt;=5,"H","A"),IF(K905&gt;=2,IF(J905&gt;=16,"H",IF(J905&lt;=4,"L","A")),IF(J905&lt;=15,"L","A"))),IF(OR(H905="SE",H905="CE"),IF(K905&gt;=4,IF(J905&gt;=6,"H","A"),IF(K905&gt;=2,IF(J905&gt;=20,"H",IF(J905&lt;=5,"L","A")),IF(J905&lt;=19,"L","A"))),IF(OR(H905="ALI",H905="AIE"),IF(K905&gt;=6,IF(J905&gt;=20,"H","A"),IF(K905&gt;=2,IF(J905&gt;=51,"H",IF(J905&lt;=19,"L","A")),IF(J905&lt;=50,"L","A")))))))</f>
        <v/>
      </c>
      <c r="N905" s="46" t="str">
        <f aca="false">IF(M905="L","Baixa",IF(M905="A","Média",IF(M905="","","Alta")))</f>
        <v/>
      </c>
      <c r="O905" s="47" t="str">
        <f aca="false">IF(ISBLANK(H905),"",IF(H905="ALI",IF(M905="L",7,IF(M905="A",10,15)),IF(H905="AIE",IF(M905="L",5,IF(M905="A",7,10)),IF(H905="SE",IF(M905="L",4,IF(M905="A",5,7)),IF(OR(H905="EE",H905="CE"),IF(M905="L",3,IF(M905="A",4,6)))))))</f>
        <v/>
      </c>
      <c r="P905" s="48" t="str">
        <f aca="false">IF(I905="I",O905*Contagem!$W$15,IF(I905="E",O905*Contagem!$W$17,IF(I905="A",O905*Contagem!$W$16,IF(I905="T",O905*Contagem!$W$18,""))))</f>
        <v/>
      </c>
      <c r="Q905" s="49"/>
    </row>
    <row r="906" customFormat="false" ht="12" hidden="false" customHeight="true" outlineLevel="0" collapsed="false">
      <c r="A906" s="40" t="n">
        <f aca="false">IF(H906="",IF(C906="",A905,A905+1),A905)</f>
        <v>62</v>
      </c>
      <c r="B906" s="41" t="str">
        <f aca="false">IF(A906=A905,"",CONCATENATE("F",A906))</f>
        <v/>
      </c>
      <c r="C906" s="42"/>
      <c r="D906" s="2"/>
      <c r="E906" s="2"/>
      <c r="F906" s="2"/>
      <c r="G906" s="2"/>
      <c r="H906" s="44"/>
      <c r="I906" s="50"/>
      <c r="J906" s="44"/>
      <c r="K906" s="44"/>
      <c r="L906" s="44" t="str">
        <f aca="false">CONCATENATE(H906,M906)</f>
        <v/>
      </c>
      <c r="M906" s="45" t="str">
        <f aca="false">IF(OR(ISBLANK(J906),ISBLANK(K906)),IF(OR(H906="ALI",H906="AIE"),"L",IF(ISBLANK(H906),"","A")),IF(H906="EE",IF(K906&gt;=3,IF(J906&gt;=5,"H","A"),IF(K906&gt;=2,IF(J906&gt;=16,"H",IF(J906&lt;=4,"L","A")),IF(J906&lt;=15,"L","A"))),IF(OR(H906="SE",H906="CE"),IF(K906&gt;=4,IF(J906&gt;=6,"H","A"),IF(K906&gt;=2,IF(J906&gt;=20,"H",IF(J906&lt;=5,"L","A")),IF(J906&lt;=19,"L","A"))),IF(OR(H906="ALI",H906="AIE"),IF(K906&gt;=6,IF(J906&gt;=20,"H","A"),IF(K906&gt;=2,IF(J906&gt;=51,"H",IF(J906&lt;=19,"L","A")),IF(J906&lt;=50,"L","A")))))))</f>
        <v/>
      </c>
      <c r="N906" s="46" t="str">
        <f aca="false">IF(M906="L","Baixa",IF(M906="A","Média",IF(M906="","","Alta")))</f>
        <v/>
      </c>
      <c r="O906" s="47" t="str">
        <f aca="false">IF(ISBLANK(H906),"",IF(H906="ALI",IF(M906="L",7,IF(M906="A",10,15)),IF(H906="AIE",IF(M906="L",5,IF(M906="A",7,10)),IF(H906="SE",IF(M906="L",4,IF(M906="A",5,7)),IF(OR(H906="EE",H906="CE"),IF(M906="L",3,IF(M906="A",4,6)))))))</f>
        <v/>
      </c>
      <c r="P906" s="48" t="str">
        <f aca="false">IF(I906="I",O906*Contagem!$W$15,IF(I906="E",O906*Contagem!$W$17,IF(I906="A",O906*Contagem!$W$16,IF(I906="T",O906*Contagem!$W$18,""))))</f>
        <v/>
      </c>
      <c r="Q906" s="49"/>
    </row>
    <row r="907" customFormat="false" ht="12" hidden="false" customHeight="true" outlineLevel="0" collapsed="false">
      <c r="A907" s="40" t="n">
        <f aca="false">IF(H907="",IF(C907="",A906,A906+1),A906)</f>
        <v>62</v>
      </c>
      <c r="B907" s="41" t="str">
        <f aca="false">IF(A907=A906,"",CONCATENATE("F",A907))</f>
        <v/>
      </c>
      <c r="C907" s="42"/>
      <c r="D907" s="2"/>
      <c r="E907" s="2"/>
      <c r="F907" s="2"/>
      <c r="G907" s="2"/>
      <c r="H907" s="44"/>
      <c r="I907" s="50"/>
      <c r="J907" s="44"/>
      <c r="K907" s="44"/>
      <c r="L907" s="44" t="str">
        <f aca="false">CONCATENATE(H907,M907)</f>
        <v/>
      </c>
      <c r="M907" s="45" t="str">
        <f aca="false">IF(OR(ISBLANK(J907),ISBLANK(K907)),IF(OR(H907="ALI",H907="AIE"),"L",IF(ISBLANK(H907),"","A")),IF(H907="EE",IF(K907&gt;=3,IF(J907&gt;=5,"H","A"),IF(K907&gt;=2,IF(J907&gt;=16,"H",IF(J907&lt;=4,"L","A")),IF(J907&lt;=15,"L","A"))),IF(OR(H907="SE",H907="CE"),IF(K907&gt;=4,IF(J907&gt;=6,"H","A"),IF(K907&gt;=2,IF(J907&gt;=20,"H",IF(J907&lt;=5,"L","A")),IF(J907&lt;=19,"L","A"))),IF(OR(H907="ALI",H907="AIE"),IF(K907&gt;=6,IF(J907&gt;=20,"H","A"),IF(K907&gt;=2,IF(J907&gt;=51,"H",IF(J907&lt;=19,"L","A")),IF(J907&lt;=50,"L","A")))))))</f>
        <v/>
      </c>
      <c r="N907" s="46" t="str">
        <f aca="false">IF(M907="L","Baixa",IF(M907="A","Média",IF(M907="","","Alta")))</f>
        <v/>
      </c>
      <c r="O907" s="47" t="str">
        <f aca="false">IF(ISBLANK(H907),"",IF(H907="ALI",IF(M907="L",7,IF(M907="A",10,15)),IF(H907="AIE",IF(M907="L",5,IF(M907="A",7,10)),IF(H907="SE",IF(M907="L",4,IF(M907="A",5,7)),IF(OR(H907="EE",H907="CE"),IF(M907="L",3,IF(M907="A",4,6)))))))</f>
        <v/>
      </c>
      <c r="P907" s="48" t="str">
        <f aca="false">IF(I907="I",O907*Contagem!$W$15,IF(I907="E",O907*Contagem!$W$17,IF(I907="A",O907*Contagem!$W$16,IF(I907="T",O907*Contagem!$W$18,""))))</f>
        <v/>
      </c>
      <c r="Q907" s="49"/>
    </row>
    <row r="908" customFormat="false" ht="12" hidden="false" customHeight="true" outlineLevel="0" collapsed="false">
      <c r="A908" s="40" t="n">
        <f aca="false">IF(H908="",IF(C908="",A907,A907+1),A907)</f>
        <v>62</v>
      </c>
      <c r="B908" s="41" t="str">
        <f aca="false">IF(A908=A907,"",CONCATENATE("F",A908))</f>
        <v/>
      </c>
      <c r="C908" s="42"/>
      <c r="D908" s="2"/>
      <c r="E908" s="2"/>
      <c r="F908" s="2"/>
      <c r="G908" s="2"/>
      <c r="H908" s="44"/>
      <c r="I908" s="50"/>
      <c r="J908" s="44"/>
      <c r="K908" s="44"/>
      <c r="L908" s="44" t="str">
        <f aca="false">CONCATENATE(H908,M908)</f>
        <v/>
      </c>
      <c r="M908" s="45" t="str">
        <f aca="false">IF(OR(ISBLANK(J908),ISBLANK(K908)),IF(OR(H908="ALI",H908="AIE"),"L",IF(ISBLANK(H908),"","A")),IF(H908="EE",IF(K908&gt;=3,IF(J908&gt;=5,"H","A"),IF(K908&gt;=2,IF(J908&gt;=16,"H",IF(J908&lt;=4,"L","A")),IF(J908&lt;=15,"L","A"))),IF(OR(H908="SE",H908="CE"),IF(K908&gt;=4,IF(J908&gt;=6,"H","A"),IF(K908&gt;=2,IF(J908&gt;=20,"H",IF(J908&lt;=5,"L","A")),IF(J908&lt;=19,"L","A"))),IF(OR(H908="ALI",H908="AIE"),IF(K908&gt;=6,IF(J908&gt;=20,"H","A"),IF(K908&gt;=2,IF(J908&gt;=51,"H",IF(J908&lt;=19,"L","A")),IF(J908&lt;=50,"L","A")))))))</f>
        <v/>
      </c>
      <c r="N908" s="46" t="str">
        <f aca="false">IF(M908="L","Baixa",IF(M908="A","Média",IF(M908="","","Alta")))</f>
        <v/>
      </c>
      <c r="O908" s="47" t="str">
        <f aca="false">IF(ISBLANK(H908),"",IF(H908="ALI",IF(M908="L",7,IF(M908="A",10,15)),IF(H908="AIE",IF(M908="L",5,IF(M908="A",7,10)),IF(H908="SE",IF(M908="L",4,IF(M908="A",5,7)),IF(OR(H908="EE",H908="CE"),IF(M908="L",3,IF(M908="A",4,6)))))))</f>
        <v/>
      </c>
      <c r="P908" s="48" t="str">
        <f aca="false">IF(I908="I",O908*Contagem!$W$15,IF(I908="E",O908*Contagem!$W$17,IF(I908="A",O908*Contagem!$W$16,IF(I908="T",O908*Contagem!$W$18,""))))</f>
        <v/>
      </c>
      <c r="Q908" s="49"/>
    </row>
    <row r="909" customFormat="false" ht="12" hidden="false" customHeight="true" outlineLevel="0" collapsed="false">
      <c r="A909" s="40" t="n">
        <f aca="false">IF(H909="",IF(C909="",A908,A908+1),A908)</f>
        <v>62</v>
      </c>
      <c r="B909" s="41" t="str">
        <f aca="false">IF(A909=A908,"",CONCATENATE("F",A909))</f>
        <v/>
      </c>
      <c r="C909" s="42"/>
      <c r="D909" s="2"/>
      <c r="E909" s="2"/>
      <c r="F909" s="2"/>
      <c r="G909" s="2"/>
      <c r="H909" s="44"/>
      <c r="I909" s="50"/>
      <c r="J909" s="44"/>
      <c r="K909" s="44"/>
      <c r="L909" s="44" t="str">
        <f aca="false">CONCATENATE(H909,M909)</f>
        <v/>
      </c>
      <c r="M909" s="45" t="str">
        <f aca="false">IF(OR(ISBLANK(J909),ISBLANK(K909)),IF(OR(H909="ALI",H909="AIE"),"L",IF(ISBLANK(H909),"","A")),IF(H909="EE",IF(K909&gt;=3,IF(J909&gt;=5,"H","A"),IF(K909&gt;=2,IF(J909&gt;=16,"H",IF(J909&lt;=4,"L","A")),IF(J909&lt;=15,"L","A"))),IF(OR(H909="SE",H909="CE"),IF(K909&gt;=4,IF(J909&gt;=6,"H","A"),IF(K909&gt;=2,IF(J909&gt;=20,"H",IF(J909&lt;=5,"L","A")),IF(J909&lt;=19,"L","A"))),IF(OR(H909="ALI",H909="AIE"),IF(K909&gt;=6,IF(J909&gt;=20,"H","A"),IF(K909&gt;=2,IF(J909&gt;=51,"H",IF(J909&lt;=19,"L","A")),IF(J909&lt;=50,"L","A")))))))</f>
        <v/>
      </c>
      <c r="N909" s="46" t="str">
        <f aca="false">IF(M909="L","Baixa",IF(M909="A","Média",IF(M909="","","Alta")))</f>
        <v/>
      </c>
      <c r="O909" s="47" t="str">
        <f aca="false">IF(ISBLANK(H909),"",IF(H909="ALI",IF(M909="L",7,IF(M909="A",10,15)),IF(H909="AIE",IF(M909="L",5,IF(M909="A",7,10)),IF(H909="SE",IF(M909="L",4,IF(M909="A",5,7)),IF(OR(H909="EE",H909="CE"),IF(M909="L",3,IF(M909="A",4,6)))))))</f>
        <v/>
      </c>
      <c r="P909" s="48" t="str">
        <f aca="false">IF(I909="I",O909*Contagem!$W$15,IF(I909="E",O909*Contagem!$W$17,IF(I909="A",O909*Contagem!$W$16,IF(I909="T",O909*Contagem!$W$18,""))))</f>
        <v/>
      </c>
      <c r="Q909" s="49"/>
    </row>
    <row r="910" customFormat="false" ht="12" hidden="false" customHeight="true" outlineLevel="0" collapsed="false">
      <c r="A910" s="40" t="n">
        <f aca="false">IF(H910="",IF(C910="",A909,A909+1),A909)</f>
        <v>62</v>
      </c>
      <c r="B910" s="41" t="str">
        <f aca="false">IF(A910=A909,"",CONCATENATE("F",A910))</f>
        <v/>
      </c>
      <c r="C910" s="42"/>
      <c r="D910" s="2"/>
      <c r="E910" s="2"/>
      <c r="F910" s="2"/>
      <c r="G910" s="2"/>
      <c r="H910" s="44"/>
      <c r="I910" s="50"/>
      <c r="J910" s="44"/>
      <c r="K910" s="44"/>
      <c r="L910" s="44" t="str">
        <f aca="false">CONCATENATE(H910,M910)</f>
        <v/>
      </c>
      <c r="M910" s="45" t="str">
        <f aca="false">IF(OR(ISBLANK(J910),ISBLANK(K910)),IF(OR(H910="ALI",H910="AIE"),"L",IF(ISBLANK(H910),"","A")),IF(H910="EE",IF(K910&gt;=3,IF(J910&gt;=5,"H","A"),IF(K910&gt;=2,IF(J910&gt;=16,"H",IF(J910&lt;=4,"L","A")),IF(J910&lt;=15,"L","A"))),IF(OR(H910="SE",H910="CE"),IF(K910&gt;=4,IF(J910&gt;=6,"H","A"),IF(K910&gt;=2,IF(J910&gt;=20,"H",IF(J910&lt;=5,"L","A")),IF(J910&lt;=19,"L","A"))),IF(OR(H910="ALI",H910="AIE"),IF(K910&gt;=6,IF(J910&gt;=20,"H","A"),IF(K910&gt;=2,IF(J910&gt;=51,"H",IF(J910&lt;=19,"L","A")),IF(J910&lt;=50,"L","A")))))))</f>
        <v/>
      </c>
      <c r="N910" s="46" t="str">
        <f aca="false">IF(M910="L","Baixa",IF(M910="A","Média",IF(M910="","","Alta")))</f>
        <v/>
      </c>
      <c r="O910" s="47" t="str">
        <f aca="false">IF(ISBLANK(H910),"",IF(H910="ALI",IF(M910="L",7,IF(M910="A",10,15)),IF(H910="AIE",IF(M910="L",5,IF(M910="A",7,10)),IF(H910="SE",IF(M910="L",4,IF(M910="A",5,7)),IF(OR(H910="EE",H910="CE"),IF(M910="L",3,IF(M910="A",4,6)))))))</f>
        <v/>
      </c>
      <c r="P910" s="48" t="str">
        <f aca="false">IF(I910="I",O910*Contagem!$W$15,IF(I910="E",O910*Contagem!$W$17,IF(I910="A",O910*Contagem!$W$16,IF(I910="T",O910*Contagem!$W$18,""))))</f>
        <v/>
      </c>
      <c r="Q910" s="49"/>
    </row>
    <row r="911" customFormat="false" ht="12" hidden="false" customHeight="true" outlineLevel="0" collapsed="false">
      <c r="A911" s="40" t="n">
        <f aca="false">IF(H911="",IF(C911="",A910,A910+1),A910)</f>
        <v>62</v>
      </c>
      <c r="B911" s="41" t="str">
        <f aca="false">IF(A911=A910,"",CONCATENATE("F",A911))</f>
        <v/>
      </c>
      <c r="C911" s="42"/>
      <c r="D911" s="2"/>
      <c r="E911" s="2"/>
      <c r="F911" s="2"/>
      <c r="G911" s="2"/>
      <c r="H911" s="44"/>
      <c r="I911" s="50"/>
      <c r="J911" s="44"/>
      <c r="K911" s="44"/>
      <c r="L911" s="44" t="str">
        <f aca="false">CONCATENATE(H911,M911)</f>
        <v/>
      </c>
      <c r="M911" s="45" t="str">
        <f aca="false">IF(OR(ISBLANK(J911),ISBLANK(K911)),IF(OR(H911="ALI",H911="AIE"),"L",IF(ISBLANK(H911),"","A")),IF(H911="EE",IF(K911&gt;=3,IF(J911&gt;=5,"H","A"),IF(K911&gt;=2,IF(J911&gt;=16,"H",IF(J911&lt;=4,"L","A")),IF(J911&lt;=15,"L","A"))),IF(OR(H911="SE",H911="CE"),IF(K911&gt;=4,IF(J911&gt;=6,"H","A"),IF(K911&gt;=2,IF(J911&gt;=20,"H",IF(J911&lt;=5,"L","A")),IF(J911&lt;=19,"L","A"))),IF(OR(H911="ALI",H911="AIE"),IF(K911&gt;=6,IF(J911&gt;=20,"H","A"),IF(K911&gt;=2,IF(J911&gt;=51,"H",IF(J911&lt;=19,"L","A")),IF(J911&lt;=50,"L","A")))))))</f>
        <v/>
      </c>
      <c r="N911" s="46" t="str">
        <f aca="false">IF(M911="L","Baixa",IF(M911="A","Média",IF(M911="","","Alta")))</f>
        <v/>
      </c>
      <c r="O911" s="47" t="str">
        <f aca="false">IF(ISBLANK(H911),"",IF(H911="ALI",IF(M911="L",7,IF(M911="A",10,15)),IF(H911="AIE",IF(M911="L",5,IF(M911="A",7,10)),IF(H911="SE",IF(M911="L",4,IF(M911="A",5,7)),IF(OR(H911="EE",H911="CE"),IF(M911="L",3,IF(M911="A",4,6)))))))</f>
        <v/>
      </c>
      <c r="P911" s="48" t="str">
        <f aca="false">IF(I911="I",O911*Contagem!$W$15,IF(I911="E",O911*Contagem!$W$17,IF(I911="A",O911*Contagem!$W$16,IF(I911="T",O911*Contagem!$W$18,""))))</f>
        <v/>
      </c>
      <c r="Q911" s="49"/>
    </row>
    <row r="912" customFormat="false" ht="12" hidden="false" customHeight="true" outlineLevel="0" collapsed="false">
      <c r="A912" s="40" t="n">
        <f aca="false">IF(H912="",IF(C912="",A911,A911+1),A911)</f>
        <v>62</v>
      </c>
      <c r="B912" s="41" t="str">
        <f aca="false">IF(A912=A911,"",CONCATENATE("F",A912))</f>
        <v/>
      </c>
      <c r="C912" s="42"/>
      <c r="D912" s="2"/>
      <c r="E912" s="2"/>
      <c r="F912" s="2"/>
      <c r="G912" s="2"/>
      <c r="H912" s="44"/>
      <c r="I912" s="50"/>
      <c r="J912" s="44"/>
      <c r="K912" s="44"/>
      <c r="L912" s="44" t="str">
        <f aca="false">CONCATENATE(H912,M912)</f>
        <v/>
      </c>
      <c r="M912" s="45" t="str">
        <f aca="false">IF(OR(ISBLANK(J912),ISBLANK(K912)),IF(OR(H912="ALI",H912="AIE"),"L",IF(ISBLANK(H912),"","A")),IF(H912="EE",IF(K912&gt;=3,IF(J912&gt;=5,"H","A"),IF(K912&gt;=2,IF(J912&gt;=16,"H",IF(J912&lt;=4,"L","A")),IF(J912&lt;=15,"L","A"))),IF(OR(H912="SE",H912="CE"),IF(K912&gt;=4,IF(J912&gt;=6,"H","A"),IF(K912&gt;=2,IF(J912&gt;=20,"H",IF(J912&lt;=5,"L","A")),IF(J912&lt;=19,"L","A"))),IF(OR(H912="ALI",H912="AIE"),IF(K912&gt;=6,IF(J912&gt;=20,"H","A"),IF(K912&gt;=2,IF(J912&gt;=51,"H",IF(J912&lt;=19,"L","A")),IF(J912&lt;=50,"L","A")))))))</f>
        <v/>
      </c>
      <c r="N912" s="46" t="str">
        <f aca="false">IF(M912="L","Baixa",IF(M912="A","Média",IF(M912="","","Alta")))</f>
        <v/>
      </c>
      <c r="O912" s="47" t="str">
        <f aca="false">IF(ISBLANK(H912),"",IF(H912="ALI",IF(M912="L",7,IF(M912="A",10,15)),IF(H912="AIE",IF(M912="L",5,IF(M912="A",7,10)),IF(H912="SE",IF(M912="L",4,IF(M912="A",5,7)),IF(OR(H912="EE",H912="CE"),IF(M912="L",3,IF(M912="A",4,6)))))))</f>
        <v/>
      </c>
      <c r="P912" s="48" t="str">
        <f aca="false">IF(I912="I",O912*Contagem!$W$15,IF(I912="E",O912*Contagem!$W$17,IF(I912="A",O912*Contagem!$W$16,IF(I912="T",O912*Contagem!$W$18,""))))</f>
        <v/>
      </c>
      <c r="Q912" s="49"/>
    </row>
    <row r="913" customFormat="false" ht="12" hidden="false" customHeight="true" outlineLevel="0" collapsed="false">
      <c r="A913" s="40" t="n">
        <f aca="false">IF(H913="",IF(C913="",A912,A912+1),A912)</f>
        <v>62</v>
      </c>
      <c r="B913" s="41" t="str">
        <f aca="false">IF(A913=A912,"",CONCATENATE("F",A913))</f>
        <v/>
      </c>
      <c r="C913" s="42"/>
      <c r="D913" s="2"/>
      <c r="E913" s="2"/>
      <c r="F913" s="2"/>
      <c r="G913" s="2"/>
      <c r="H913" s="44"/>
      <c r="I913" s="50"/>
      <c r="J913" s="44"/>
      <c r="K913" s="44"/>
      <c r="L913" s="44" t="str">
        <f aca="false">CONCATENATE(H913,M913)</f>
        <v/>
      </c>
      <c r="M913" s="45" t="str">
        <f aca="false">IF(OR(ISBLANK(J913),ISBLANK(K913)),IF(OR(H913="ALI",H913="AIE"),"L",IF(ISBLANK(H913),"","A")),IF(H913="EE",IF(K913&gt;=3,IF(J913&gt;=5,"H","A"),IF(K913&gt;=2,IF(J913&gt;=16,"H",IF(J913&lt;=4,"L","A")),IF(J913&lt;=15,"L","A"))),IF(OR(H913="SE",H913="CE"),IF(K913&gt;=4,IF(J913&gt;=6,"H","A"),IF(K913&gt;=2,IF(J913&gt;=20,"H",IF(J913&lt;=5,"L","A")),IF(J913&lt;=19,"L","A"))),IF(OR(H913="ALI",H913="AIE"),IF(K913&gt;=6,IF(J913&gt;=20,"H","A"),IF(K913&gt;=2,IF(J913&gt;=51,"H",IF(J913&lt;=19,"L","A")),IF(J913&lt;=50,"L","A")))))))</f>
        <v/>
      </c>
      <c r="N913" s="46" t="str">
        <f aca="false">IF(M913="L","Baixa",IF(M913="A","Média",IF(M913="","","Alta")))</f>
        <v/>
      </c>
      <c r="O913" s="47" t="str">
        <f aca="false">IF(ISBLANK(H913),"",IF(H913="ALI",IF(M913="L",7,IF(M913="A",10,15)),IF(H913="AIE",IF(M913="L",5,IF(M913="A",7,10)),IF(H913="SE",IF(M913="L",4,IF(M913="A",5,7)),IF(OR(H913="EE",H913="CE"),IF(M913="L",3,IF(M913="A",4,6)))))))</f>
        <v/>
      </c>
      <c r="P913" s="48" t="str">
        <f aca="false">IF(I913="I",O913*Contagem!$W$15,IF(I913="E",O913*Contagem!$W$17,IF(I913="A",O913*Contagem!$W$16,IF(I913="T",O913*Contagem!$W$18,""))))</f>
        <v/>
      </c>
      <c r="Q913" s="49"/>
    </row>
    <row r="914" customFormat="false" ht="12" hidden="false" customHeight="true" outlineLevel="0" collapsed="false">
      <c r="A914" s="40" t="n">
        <f aca="false">IF(H914="",IF(C914="",A913,A913+1),A913)</f>
        <v>62</v>
      </c>
      <c r="B914" s="41" t="str">
        <f aca="false">IF(A914=A913,"",CONCATENATE("F",A914))</f>
        <v/>
      </c>
      <c r="C914" s="42"/>
      <c r="D914" s="2"/>
      <c r="E914" s="2"/>
      <c r="F914" s="2"/>
      <c r="G914" s="2"/>
      <c r="H914" s="44"/>
      <c r="I914" s="50"/>
      <c r="J914" s="44"/>
      <c r="K914" s="44"/>
      <c r="L914" s="44" t="str">
        <f aca="false">CONCATENATE(H914,M914)</f>
        <v/>
      </c>
      <c r="M914" s="45" t="str">
        <f aca="false">IF(OR(ISBLANK(J914),ISBLANK(K914)),IF(OR(H914="ALI",H914="AIE"),"L",IF(ISBLANK(H914),"","A")),IF(H914="EE",IF(K914&gt;=3,IF(J914&gt;=5,"H","A"),IF(K914&gt;=2,IF(J914&gt;=16,"H",IF(J914&lt;=4,"L","A")),IF(J914&lt;=15,"L","A"))),IF(OR(H914="SE",H914="CE"),IF(K914&gt;=4,IF(J914&gt;=6,"H","A"),IF(K914&gt;=2,IF(J914&gt;=20,"H",IF(J914&lt;=5,"L","A")),IF(J914&lt;=19,"L","A"))),IF(OR(H914="ALI",H914="AIE"),IF(K914&gt;=6,IF(J914&gt;=20,"H","A"),IF(K914&gt;=2,IF(J914&gt;=51,"H",IF(J914&lt;=19,"L","A")),IF(J914&lt;=50,"L","A")))))))</f>
        <v/>
      </c>
      <c r="N914" s="46" t="str">
        <f aca="false">IF(M914="L","Baixa",IF(M914="A","Média",IF(M914="","","Alta")))</f>
        <v/>
      </c>
      <c r="O914" s="47" t="str">
        <f aca="false">IF(ISBLANK(H914),"",IF(H914="ALI",IF(M914="L",7,IF(M914="A",10,15)),IF(H914="AIE",IF(M914="L",5,IF(M914="A",7,10)),IF(H914="SE",IF(M914="L",4,IF(M914="A",5,7)),IF(OR(H914="EE",H914="CE"),IF(M914="L",3,IF(M914="A",4,6)))))))</f>
        <v/>
      </c>
      <c r="P914" s="48" t="str">
        <f aca="false">IF(I914="I",O914*Contagem!$W$15,IF(I914="E",O914*Contagem!$W$17,IF(I914="A",O914*Contagem!$W$16,IF(I914="T",O914*Contagem!$W$18,""))))</f>
        <v/>
      </c>
      <c r="Q914" s="49"/>
    </row>
    <row r="915" customFormat="false" ht="12" hidden="false" customHeight="true" outlineLevel="0" collapsed="false">
      <c r="A915" s="40" t="n">
        <f aca="false">IF(H915="",IF(C915="",A914,A914+1),A914)</f>
        <v>62</v>
      </c>
      <c r="B915" s="41" t="str">
        <f aca="false">IF(A915=A914,"",CONCATENATE("F",A915))</f>
        <v/>
      </c>
      <c r="C915" s="42"/>
      <c r="D915" s="2"/>
      <c r="E915" s="2"/>
      <c r="F915" s="2"/>
      <c r="G915" s="2"/>
      <c r="H915" s="44"/>
      <c r="I915" s="50"/>
      <c r="J915" s="44"/>
      <c r="K915" s="44"/>
      <c r="L915" s="44" t="str">
        <f aca="false">CONCATENATE(H915,M915)</f>
        <v/>
      </c>
      <c r="M915" s="45" t="str">
        <f aca="false">IF(OR(ISBLANK(J915),ISBLANK(K915)),IF(OR(H915="ALI",H915="AIE"),"L",IF(ISBLANK(H915),"","A")),IF(H915="EE",IF(K915&gt;=3,IF(J915&gt;=5,"H","A"),IF(K915&gt;=2,IF(J915&gt;=16,"H",IF(J915&lt;=4,"L","A")),IF(J915&lt;=15,"L","A"))),IF(OR(H915="SE",H915="CE"),IF(K915&gt;=4,IF(J915&gt;=6,"H","A"),IF(K915&gt;=2,IF(J915&gt;=20,"H",IF(J915&lt;=5,"L","A")),IF(J915&lt;=19,"L","A"))),IF(OR(H915="ALI",H915="AIE"),IF(K915&gt;=6,IF(J915&gt;=20,"H","A"),IF(K915&gt;=2,IF(J915&gt;=51,"H",IF(J915&lt;=19,"L","A")),IF(J915&lt;=50,"L","A")))))))</f>
        <v/>
      </c>
      <c r="N915" s="46" t="str">
        <f aca="false">IF(M915="L","Baixa",IF(M915="A","Média",IF(M915="","","Alta")))</f>
        <v/>
      </c>
      <c r="O915" s="47" t="str">
        <f aca="false">IF(ISBLANK(H915),"",IF(H915="ALI",IF(M915="L",7,IF(M915="A",10,15)),IF(H915="AIE",IF(M915="L",5,IF(M915="A",7,10)),IF(H915="SE",IF(M915="L",4,IF(M915="A",5,7)),IF(OR(H915="EE",H915="CE"),IF(M915="L",3,IF(M915="A",4,6)))))))</f>
        <v/>
      </c>
      <c r="P915" s="48" t="str">
        <f aca="false">IF(I915="I",O915*Contagem!$W$15,IF(I915="E",O915*Contagem!$W$17,IF(I915="A",O915*Contagem!$W$16,IF(I915="T",O915*Contagem!$W$18,""))))</f>
        <v/>
      </c>
      <c r="Q915" s="49"/>
    </row>
    <row r="916" customFormat="false" ht="12" hidden="false" customHeight="true" outlineLevel="0" collapsed="false">
      <c r="A916" s="40" t="n">
        <f aca="false">IF(H916="",IF(C916="",A915,A915+1),A915)</f>
        <v>62</v>
      </c>
      <c r="B916" s="41" t="str">
        <f aca="false">IF(A916=A915,"",CONCATENATE("F",A916))</f>
        <v/>
      </c>
      <c r="C916" s="42"/>
      <c r="D916" s="2"/>
      <c r="E916" s="2"/>
      <c r="F916" s="2"/>
      <c r="G916" s="2"/>
      <c r="H916" s="44"/>
      <c r="I916" s="50"/>
      <c r="J916" s="44"/>
      <c r="K916" s="44"/>
      <c r="L916" s="44" t="str">
        <f aca="false">CONCATENATE(H916,M916)</f>
        <v/>
      </c>
      <c r="M916" s="45" t="str">
        <f aca="false">IF(OR(ISBLANK(J916),ISBLANK(K916)),IF(OR(H916="ALI",H916="AIE"),"L",IF(ISBLANK(H916),"","A")),IF(H916="EE",IF(K916&gt;=3,IF(J916&gt;=5,"H","A"),IF(K916&gt;=2,IF(J916&gt;=16,"H",IF(J916&lt;=4,"L","A")),IF(J916&lt;=15,"L","A"))),IF(OR(H916="SE",H916="CE"),IF(K916&gt;=4,IF(J916&gt;=6,"H","A"),IF(K916&gt;=2,IF(J916&gt;=20,"H",IF(J916&lt;=5,"L","A")),IF(J916&lt;=19,"L","A"))),IF(OR(H916="ALI",H916="AIE"),IF(K916&gt;=6,IF(J916&gt;=20,"H","A"),IF(K916&gt;=2,IF(J916&gt;=51,"H",IF(J916&lt;=19,"L","A")),IF(J916&lt;=50,"L","A")))))))</f>
        <v/>
      </c>
      <c r="N916" s="46" t="str">
        <f aca="false">IF(M916="L","Baixa",IF(M916="A","Média",IF(M916="","","Alta")))</f>
        <v/>
      </c>
      <c r="O916" s="47" t="str">
        <f aca="false">IF(ISBLANK(H916),"",IF(H916="ALI",IF(M916="L",7,IF(M916="A",10,15)),IF(H916="AIE",IF(M916="L",5,IF(M916="A",7,10)),IF(H916="SE",IF(M916="L",4,IF(M916="A",5,7)),IF(OR(H916="EE",H916="CE"),IF(M916="L",3,IF(M916="A",4,6)))))))</f>
        <v/>
      </c>
      <c r="P916" s="48" t="str">
        <f aca="false">IF(I916="I",O916*Contagem!$W$15,IF(I916="E",O916*Contagem!$W$17,IF(I916="A",O916*Contagem!$W$16,IF(I916="T",O916*Contagem!$W$18,""))))</f>
        <v/>
      </c>
      <c r="Q916" s="49"/>
    </row>
    <row r="917" customFormat="false" ht="12" hidden="false" customHeight="true" outlineLevel="0" collapsed="false">
      <c r="A917" s="40" t="n">
        <f aca="false">IF(H917="",IF(C917="",A916,A916+1),A916)</f>
        <v>62</v>
      </c>
      <c r="B917" s="41" t="str">
        <f aca="false">IF(A917=A916,"",CONCATENATE("F",A917))</f>
        <v/>
      </c>
      <c r="C917" s="42"/>
      <c r="D917" s="2"/>
      <c r="E917" s="2"/>
      <c r="F917" s="2"/>
      <c r="G917" s="2"/>
      <c r="H917" s="44"/>
      <c r="I917" s="50"/>
      <c r="J917" s="44"/>
      <c r="K917" s="44"/>
      <c r="L917" s="44" t="str">
        <f aca="false">CONCATENATE(H917,M917)</f>
        <v/>
      </c>
      <c r="M917" s="45" t="str">
        <f aca="false">IF(OR(ISBLANK(J917),ISBLANK(K917)),IF(OR(H917="ALI",H917="AIE"),"L",IF(ISBLANK(H917),"","A")),IF(H917="EE",IF(K917&gt;=3,IF(J917&gt;=5,"H","A"),IF(K917&gt;=2,IF(J917&gt;=16,"H",IF(J917&lt;=4,"L","A")),IF(J917&lt;=15,"L","A"))),IF(OR(H917="SE",H917="CE"),IF(K917&gt;=4,IF(J917&gt;=6,"H","A"),IF(K917&gt;=2,IF(J917&gt;=20,"H",IF(J917&lt;=5,"L","A")),IF(J917&lt;=19,"L","A"))),IF(OR(H917="ALI",H917="AIE"),IF(K917&gt;=6,IF(J917&gt;=20,"H","A"),IF(K917&gt;=2,IF(J917&gt;=51,"H",IF(J917&lt;=19,"L","A")),IF(J917&lt;=50,"L","A")))))))</f>
        <v/>
      </c>
      <c r="N917" s="46" t="str">
        <f aca="false">IF(M917="L","Baixa",IF(M917="A","Média",IF(M917="","","Alta")))</f>
        <v/>
      </c>
      <c r="O917" s="47" t="str">
        <f aca="false">IF(ISBLANK(H917),"",IF(H917="ALI",IF(M917="L",7,IF(M917="A",10,15)),IF(H917="AIE",IF(M917="L",5,IF(M917="A",7,10)),IF(H917="SE",IF(M917="L",4,IF(M917="A",5,7)),IF(OR(H917="EE",H917="CE"),IF(M917="L",3,IF(M917="A",4,6)))))))</f>
        <v/>
      </c>
      <c r="P917" s="48" t="str">
        <f aca="false">IF(I917="I",O917*Contagem!$W$15,IF(I917="E",O917*Contagem!$W$17,IF(I917="A",O917*Contagem!$W$16,IF(I917="T",O917*Contagem!$W$18,""))))</f>
        <v/>
      </c>
      <c r="Q917" s="49"/>
    </row>
    <row r="918" customFormat="false" ht="12" hidden="false" customHeight="true" outlineLevel="0" collapsed="false">
      <c r="A918" s="40" t="n">
        <f aca="false">IF(H918="",IF(C918="",A917,A917+1),A917)</f>
        <v>62</v>
      </c>
      <c r="B918" s="41" t="str">
        <f aca="false">IF(A918=A917,"",CONCATENATE("F",A918))</f>
        <v/>
      </c>
      <c r="C918" s="42"/>
      <c r="D918" s="2"/>
      <c r="E918" s="2"/>
      <c r="F918" s="2"/>
      <c r="G918" s="2"/>
      <c r="H918" s="44"/>
      <c r="I918" s="50"/>
      <c r="J918" s="44"/>
      <c r="K918" s="44"/>
      <c r="L918" s="44" t="str">
        <f aca="false">CONCATENATE(H918,M918)</f>
        <v/>
      </c>
      <c r="M918" s="45" t="str">
        <f aca="false">IF(OR(ISBLANK(J918),ISBLANK(K918)),IF(OR(H918="ALI",H918="AIE"),"L",IF(ISBLANK(H918),"","A")),IF(H918="EE",IF(K918&gt;=3,IF(J918&gt;=5,"H","A"),IF(K918&gt;=2,IF(J918&gt;=16,"H",IF(J918&lt;=4,"L","A")),IF(J918&lt;=15,"L","A"))),IF(OR(H918="SE",H918="CE"),IF(K918&gt;=4,IF(J918&gt;=6,"H","A"),IF(K918&gt;=2,IF(J918&gt;=20,"H",IF(J918&lt;=5,"L","A")),IF(J918&lt;=19,"L","A"))),IF(OR(H918="ALI",H918="AIE"),IF(K918&gt;=6,IF(J918&gt;=20,"H","A"),IF(K918&gt;=2,IF(J918&gt;=51,"H",IF(J918&lt;=19,"L","A")),IF(J918&lt;=50,"L","A")))))))</f>
        <v/>
      </c>
      <c r="N918" s="46" t="str">
        <f aca="false">IF(M918="L","Baixa",IF(M918="A","Média",IF(M918="","","Alta")))</f>
        <v/>
      </c>
      <c r="O918" s="47" t="str">
        <f aca="false">IF(ISBLANK(H918),"",IF(H918="ALI",IF(M918="L",7,IF(M918="A",10,15)),IF(H918="AIE",IF(M918="L",5,IF(M918="A",7,10)),IF(H918="SE",IF(M918="L",4,IF(M918="A",5,7)),IF(OR(H918="EE",H918="CE"),IF(M918="L",3,IF(M918="A",4,6)))))))</f>
        <v/>
      </c>
      <c r="P918" s="48" t="str">
        <f aca="false">IF(I918="I",O918*Contagem!$W$15,IF(I918="E",O918*Contagem!$W$17,IF(I918="A",O918*Contagem!$W$16,IF(I918="T",O918*Contagem!$W$18,""))))</f>
        <v/>
      </c>
      <c r="Q918" s="49"/>
    </row>
    <row r="919" customFormat="false" ht="12" hidden="false" customHeight="true" outlineLevel="0" collapsed="false">
      <c r="A919" s="40" t="n">
        <f aca="false">IF(H919="",IF(C919="",A918,A918+1),A918)</f>
        <v>62</v>
      </c>
      <c r="B919" s="41" t="str">
        <f aca="false">IF(A919=A918,"",CONCATENATE("F",A919))</f>
        <v/>
      </c>
      <c r="C919" s="42"/>
      <c r="D919" s="2"/>
      <c r="E919" s="2"/>
      <c r="F919" s="2"/>
      <c r="G919" s="2"/>
      <c r="H919" s="44"/>
      <c r="I919" s="50"/>
      <c r="J919" s="44"/>
      <c r="K919" s="44"/>
      <c r="L919" s="44" t="str">
        <f aca="false">CONCATENATE(H919,M919)</f>
        <v/>
      </c>
      <c r="M919" s="45" t="str">
        <f aca="false">IF(OR(ISBLANK(J919),ISBLANK(K919)),IF(OR(H919="ALI",H919="AIE"),"L",IF(ISBLANK(H919),"","A")),IF(H919="EE",IF(K919&gt;=3,IF(J919&gt;=5,"H","A"),IF(K919&gt;=2,IF(J919&gt;=16,"H",IF(J919&lt;=4,"L","A")),IF(J919&lt;=15,"L","A"))),IF(OR(H919="SE",H919="CE"),IF(K919&gt;=4,IF(J919&gt;=6,"H","A"),IF(K919&gt;=2,IF(J919&gt;=20,"H",IF(J919&lt;=5,"L","A")),IF(J919&lt;=19,"L","A"))),IF(OR(H919="ALI",H919="AIE"),IF(K919&gt;=6,IF(J919&gt;=20,"H","A"),IF(K919&gt;=2,IF(J919&gt;=51,"H",IF(J919&lt;=19,"L","A")),IF(J919&lt;=50,"L","A")))))))</f>
        <v/>
      </c>
      <c r="N919" s="46" t="str">
        <f aca="false">IF(M919="L","Baixa",IF(M919="A","Média",IF(M919="","","Alta")))</f>
        <v/>
      </c>
      <c r="O919" s="47" t="str">
        <f aca="false">IF(ISBLANK(H919),"",IF(H919="ALI",IF(M919="L",7,IF(M919="A",10,15)),IF(H919="AIE",IF(M919="L",5,IF(M919="A",7,10)),IF(H919="SE",IF(M919="L",4,IF(M919="A",5,7)),IF(OR(H919="EE",H919="CE"),IF(M919="L",3,IF(M919="A",4,6)))))))</f>
        <v/>
      </c>
      <c r="P919" s="48" t="str">
        <f aca="false">IF(I919="I",O919*Contagem!$W$15,IF(I919="E",O919*Contagem!$W$17,IF(I919="A",O919*Contagem!$W$16,IF(I919="T",O919*Contagem!$W$18,""))))</f>
        <v/>
      </c>
      <c r="Q919" s="49"/>
    </row>
    <row r="920" customFormat="false" ht="12" hidden="false" customHeight="true" outlineLevel="0" collapsed="false">
      <c r="A920" s="40" t="n">
        <f aca="false">IF(H920="",IF(C920="",A919,A919+1),A919)</f>
        <v>62</v>
      </c>
      <c r="B920" s="41" t="str">
        <f aca="false">IF(A920=A919,"",CONCATENATE("F",A920))</f>
        <v/>
      </c>
      <c r="C920" s="42"/>
      <c r="D920" s="2"/>
      <c r="E920" s="2"/>
      <c r="F920" s="2"/>
      <c r="G920" s="2"/>
      <c r="H920" s="44"/>
      <c r="I920" s="50"/>
      <c r="J920" s="44"/>
      <c r="K920" s="44"/>
      <c r="L920" s="44" t="str">
        <f aca="false">CONCATENATE(H920,M920)</f>
        <v/>
      </c>
      <c r="M920" s="45" t="str">
        <f aca="false">IF(OR(ISBLANK(J920),ISBLANK(K920)),IF(OR(H920="ALI",H920="AIE"),"L",IF(ISBLANK(H920),"","A")),IF(H920="EE",IF(K920&gt;=3,IF(J920&gt;=5,"H","A"),IF(K920&gt;=2,IF(J920&gt;=16,"H",IF(J920&lt;=4,"L","A")),IF(J920&lt;=15,"L","A"))),IF(OR(H920="SE",H920="CE"),IF(K920&gt;=4,IF(J920&gt;=6,"H","A"),IF(K920&gt;=2,IF(J920&gt;=20,"H",IF(J920&lt;=5,"L","A")),IF(J920&lt;=19,"L","A"))),IF(OR(H920="ALI",H920="AIE"),IF(K920&gt;=6,IF(J920&gt;=20,"H","A"),IF(K920&gt;=2,IF(J920&gt;=51,"H",IF(J920&lt;=19,"L","A")),IF(J920&lt;=50,"L","A")))))))</f>
        <v/>
      </c>
      <c r="N920" s="46" t="str">
        <f aca="false">IF(M920="L","Baixa",IF(M920="A","Média",IF(M920="","","Alta")))</f>
        <v/>
      </c>
      <c r="O920" s="47" t="str">
        <f aca="false">IF(ISBLANK(H920),"",IF(H920="ALI",IF(M920="L",7,IF(M920="A",10,15)),IF(H920="AIE",IF(M920="L",5,IF(M920="A",7,10)),IF(H920="SE",IF(M920="L",4,IF(M920="A",5,7)),IF(OR(H920="EE",H920="CE"),IF(M920="L",3,IF(M920="A",4,6)))))))</f>
        <v/>
      </c>
      <c r="P920" s="48" t="str">
        <f aca="false">IF(I920="I",O920*Contagem!$W$15,IF(I920="E",O920*Contagem!$W$17,IF(I920="A",O920*Contagem!$W$16,IF(I920="T",O920*Contagem!$W$18,""))))</f>
        <v/>
      </c>
      <c r="Q920" s="49"/>
    </row>
    <row r="921" customFormat="false" ht="12" hidden="false" customHeight="true" outlineLevel="0" collapsed="false">
      <c r="A921" s="40" t="n">
        <f aca="false">IF(H921="",IF(C921="",A920,A920+1),A920)</f>
        <v>62</v>
      </c>
      <c r="B921" s="41" t="str">
        <f aca="false">IF(A921=A920,"",CONCATENATE("F",A921))</f>
        <v/>
      </c>
      <c r="C921" s="42"/>
      <c r="D921" s="2"/>
      <c r="E921" s="2"/>
      <c r="F921" s="2"/>
      <c r="G921" s="2"/>
      <c r="H921" s="44"/>
      <c r="I921" s="50"/>
      <c r="J921" s="44"/>
      <c r="K921" s="44"/>
      <c r="L921" s="44" t="str">
        <f aca="false">CONCATENATE(H921,M921)</f>
        <v/>
      </c>
      <c r="M921" s="45" t="str">
        <f aca="false">IF(OR(ISBLANK(J921),ISBLANK(K921)),IF(OR(H921="ALI",H921="AIE"),"L",IF(ISBLANK(H921),"","A")),IF(H921="EE",IF(K921&gt;=3,IF(J921&gt;=5,"H","A"),IF(K921&gt;=2,IF(J921&gt;=16,"H",IF(J921&lt;=4,"L","A")),IF(J921&lt;=15,"L","A"))),IF(OR(H921="SE",H921="CE"),IF(K921&gt;=4,IF(J921&gt;=6,"H","A"),IF(K921&gt;=2,IF(J921&gt;=20,"H",IF(J921&lt;=5,"L","A")),IF(J921&lt;=19,"L","A"))),IF(OR(H921="ALI",H921="AIE"),IF(K921&gt;=6,IF(J921&gt;=20,"H","A"),IF(K921&gt;=2,IF(J921&gt;=51,"H",IF(J921&lt;=19,"L","A")),IF(J921&lt;=50,"L","A")))))))</f>
        <v/>
      </c>
      <c r="N921" s="46" t="str">
        <f aca="false">IF(M921="L","Baixa",IF(M921="A","Média",IF(M921="","","Alta")))</f>
        <v/>
      </c>
      <c r="O921" s="47" t="str">
        <f aca="false">IF(ISBLANK(H921),"",IF(H921="ALI",IF(M921="L",7,IF(M921="A",10,15)),IF(H921="AIE",IF(M921="L",5,IF(M921="A",7,10)),IF(H921="SE",IF(M921="L",4,IF(M921="A",5,7)),IF(OR(H921="EE",H921="CE"),IF(M921="L",3,IF(M921="A",4,6)))))))</f>
        <v/>
      </c>
      <c r="P921" s="48" t="str">
        <f aca="false">IF(I921="I",O921*Contagem!$W$15,IF(I921="E",O921*Contagem!$W$17,IF(I921="A",O921*Contagem!$W$16,IF(I921="T",O921*Contagem!$W$18,""))))</f>
        <v/>
      </c>
      <c r="Q921" s="49"/>
    </row>
    <row r="922" customFormat="false" ht="12" hidden="false" customHeight="true" outlineLevel="0" collapsed="false">
      <c r="A922" s="40" t="n">
        <f aca="false">IF(H922="",IF(C922="",A921,A921+1),A921)</f>
        <v>62</v>
      </c>
      <c r="B922" s="41" t="str">
        <f aca="false">IF(A922=A921,"",CONCATENATE("F",A922))</f>
        <v/>
      </c>
      <c r="C922" s="42"/>
      <c r="D922" s="2"/>
      <c r="E922" s="2"/>
      <c r="F922" s="2"/>
      <c r="G922" s="2"/>
      <c r="H922" s="44"/>
      <c r="I922" s="50"/>
      <c r="J922" s="44"/>
      <c r="K922" s="44"/>
      <c r="L922" s="44" t="str">
        <f aca="false">CONCATENATE(H922,M922)</f>
        <v/>
      </c>
      <c r="M922" s="45" t="str">
        <f aca="false">IF(OR(ISBLANK(J922),ISBLANK(K922)),IF(OR(H922="ALI",H922="AIE"),"L",IF(ISBLANK(H922),"","A")),IF(H922="EE",IF(K922&gt;=3,IF(J922&gt;=5,"H","A"),IF(K922&gt;=2,IF(J922&gt;=16,"H",IF(J922&lt;=4,"L","A")),IF(J922&lt;=15,"L","A"))),IF(OR(H922="SE",H922="CE"),IF(K922&gt;=4,IF(J922&gt;=6,"H","A"),IF(K922&gt;=2,IF(J922&gt;=20,"H",IF(J922&lt;=5,"L","A")),IF(J922&lt;=19,"L","A"))),IF(OR(H922="ALI",H922="AIE"),IF(K922&gt;=6,IF(J922&gt;=20,"H","A"),IF(K922&gt;=2,IF(J922&gt;=51,"H",IF(J922&lt;=19,"L","A")),IF(J922&lt;=50,"L","A")))))))</f>
        <v/>
      </c>
      <c r="N922" s="46" t="str">
        <f aca="false">IF(M922="L","Baixa",IF(M922="A","Média",IF(M922="","","Alta")))</f>
        <v/>
      </c>
      <c r="O922" s="47" t="str">
        <f aca="false">IF(ISBLANK(H922),"",IF(H922="ALI",IF(M922="L",7,IF(M922="A",10,15)),IF(H922="AIE",IF(M922="L",5,IF(M922="A",7,10)),IF(H922="SE",IF(M922="L",4,IF(M922="A",5,7)),IF(OR(H922="EE",H922="CE"),IF(M922="L",3,IF(M922="A",4,6)))))))</f>
        <v/>
      </c>
      <c r="P922" s="48" t="str">
        <f aca="false">IF(I922="I",O922*Contagem!$W$15,IF(I922="E",O922*Contagem!$W$17,IF(I922="A",O922*Contagem!$W$16,IF(I922="T",O922*Contagem!$W$18,""))))</f>
        <v/>
      </c>
      <c r="Q922" s="49"/>
    </row>
    <row r="923" customFormat="false" ht="12" hidden="false" customHeight="true" outlineLevel="0" collapsed="false">
      <c r="A923" s="40" t="n">
        <f aca="false">IF(H923="",IF(C923="",A922,A922+1),A922)</f>
        <v>62</v>
      </c>
      <c r="B923" s="41" t="str">
        <f aca="false">IF(A923=A922,"",CONCATENATE("F",A923))</f>
        <v/>
      </c>
      <c r="C923" s="42"/>
      <c r="D923" s="2"/>
      <c r="E923" s="2"/>
      <c r="F923" s="2"/>
      <c r="G923" s="2"/>
      <c r="H923" s="44"/>
      <c r="I923" s="50"/>
      <c r="J923" s="44"/>
      <c r="K923" s="44"/>
      <c r="L923" s="44" t="str">
        <f aca="false">CONCATENATE(H923,M923)</f>
        <v/>
      </c>
      <c r="M923" s="45" t="str">
        <f aca="false">IF(OR(ISBLANK(J923),ISBLANK(K923)),IF(OR(H923="ALI",H923="AIE"),"L",IF(ISBLANK(H923),"","A")),IF(H923="EE",IF(K923&gt;=3,IF(J923&gt;=5,"H","A"),IF(K923&gt;=2,IF(J923&gt;=16,"H",IF(J923&lt;=4,"L","A")),IF(J923&lt;=15,"L","A"))),IF(OR(H923="SE",H923="CE"),IF(K923&gt;=4,IF(J923&gt;=6,"H","A"),IF(K923&gt;=2,IF(J923&gt;=20,"H",IF(J923&lt;=5,"L","A")),IF(J923&lt;=19,"L","A"))),IF(OR(H923="ALI",H923="AIE"),IF(K923&gt;=6,IF(J923&gt;=20,"H","A"),IF(K923&gt;=2,IF(J923&gt;=51,"H",IF(J923&lt;=19,"L","A")),IF(J923&lt;=50,"L","A")))))))</f>
        <v/>
      </c>
      <c r="N923" s="46" t="str">
        <f aca="false">IF(M923="L","Baixa",IF(M923="A","Média",IF(M923="","","Alta")))</f>
        <v/>
      </c>
      <c r="O923" s="47" t="str">
        <f aca="false">IF(ISBLANK(H923),"",IF(H923="ALI",IF(M923="L",7,IF(M923="A",10,15)),IF(H923="AIE",IF(M923="L",5,IF(M923="A",7,10)),IF(H923="SE",IF(M923="L",4,IF(M923="A",5,7)),IF(OR(H923="EE",H923="CE"),IF(M923="L",3,IF(M923="A",4,6)))))))</f>
        <v/>
      </c>
      <c r="P923" s="48" t="str">
        <f aca="false">IF(I923="I",O923*Contagem!$W$15,IF(I923="E",O923*Contagem!$W$17,IF(I923="A",O923*Contagem!$W$16,IF(I923="T",O923*Contagem!$W$18,""))))</f>
        <v/>
      </c>
      <c r="Q923" s="49"/>
    </row>
    <row r="924" customFormat="false" ht="12" hidden="false" customHeight="true" outlineLevel="0" collapsed="false">
      <c r="A924" s="40" t="n">
        <f aca="false">IF(H924="",IF(C924="",A923,A923+1),A923)</f>
        <v>62</v>
      </c>
      <c r="B924" s="41" t="str">
        <f aca="false">IF(A924=A923,"",CONCATENATE("F",A924))</f>
        <v/>
      </c>
      <c r="C924" s="42"/>
      <c r="D924" s="2"/>
      <c r="E924" s="2"/>
      <c r="F924" s="2"/>
      <c r="G924" s="2"/>
      <c r="H924" s="44"/>
      <c r="I924" s="50"/>
      <c r="J924" s="44"/>
      <c r="K924" s="44"/>
      <c r="L924" s="44" t="str">
        <f aca="false">CONCATENATE(H924,M924)</f>
        <v/>
      </c>
      <c r="M924" s="45" t="str">
        <f aca="false">IF(OR(ISBLANK(J924),ISBLANK(K924)),IF(OR(H924="ALI",H924="AIE"),"L",IF(ISBLANK(H924),"","A")),IF(H924="EE",IF(K924&gt;=3,IF(J924&gt;=5,"H","A"),IF(K924&gt;=2,IF(J924&gt;=16,"H",IF(J924&lt;=4,"L","A")),IF(J924&lt;=15,"L","A"))),IF(OR(H924="SE",H924="CE"),IF(K924&gt;=4,IF(J924&gt;=6,"H","A"),IF(K924&gt;=2,IF(J924&gt;=20,"H",IF(J924&lt;=5,"L","A")),IF(J924&lt;=19,"L","A"))),IF(OR(H924="ALI",H924="AIE"),IF(K924&gt;=6,IF(J924&gt;=20,"H","A"),IF(K924&gt;=2,IF(J924&gt;=51,"H",IF(J924&lt;=19,"L","A")),IF(J924&lt;=50,"L","A")))))))</f>
        <v/>
      </c>
      <c r="N924" s="46" t="str">
        <f aca="false">IF(M924="L","Baixa",IF(M924="A","Média",IF(M924="","","Alta")))</f>
        <v/>
      </c>
      <c r="O924" s="47" t="str">
        <f aca="false">IF(ISBLANK(H924),"",IF(H924="ALI",IF(M924="L",7,IF(M924="A",10,15)),IF(H924="AIE",IF(M924="L",5,IF(M924="A",7,10)),IF(H924="SE",IF(M924="L",4,IF(M924="A",5,7)),IF(OR(H924="EE",H924="CE"),IF(M924="L",3,IF(M924="A",4,6)))))))</f>
        <v/>
      </c>
      <c r="P924" s="48" t="str">
        <f aca="false">IF(I924="I",O924*Contagem!$W$15,IF(I924="E",O924*Contagem!$W$17,IF(I924="A",O924*Contagem!$W$16,IF(I924="T",O924*Contagem!$W$18,""))))</f>
        <v/>
      </c>
      <c r="Q924" s="49"/>
    </row>
    <row r="925" customFormat="false" ht="12" hidden="false" customHeight="true" outlineLevel="0" collapsed="false">
      <c r="A925" s="40" t="n">
        <f aca="false">IF(H925="",IF(C925="",A924,A924+1),A924)</f>
        <v>62</v>
      </c>
      <c r="B925" s="41" t="str">
        <f aca="false">IF(A925=A924,"",CONCATENATE("F",A925))</f>
        <v/>
      </c>
      <c r="C925" s="42"/>
      <c r="D925" s="2"/>
      <c r="E925" s="2"/>
      <c r="F925" s="2"/>
      <c r="G925" s="2"/>
      <c r="H925" s="44"/>
      <c r="I925" s="50"/>
      <c r="J925" s="44"/>
      <c r="K925" s="44"/>
      <c r="L925" s="44" t="str">
        <f aca="false">CONCATENATE(H925,M925)</f>
        <v/>
      </c>
      <c r="M925" s="45" t="str">
        <f aca="false">IF(OR(ISBLANK(J925),ISBLANK(K925)),IF(OR(H925="ALI",H925="AIE"),"L",IF(ISBLANK(H925),"","A")),IF(H925="EE",IF(K925&gt;=3,IF(J925&gt;=5,"H","A"),IF(K925&gt;=2,IF(J925&gt;=16,"H",IF(J925&lt;=4,"L","A")),IF(J925&lt;=15,"L","A"))),IF(OR(H925="SE",H925="CE"),IF(K925&gt;=4,IF(J925&gt;=6,"H","A"),IF(K925&gt;=2,IF(J925&gt;=20,"H",IF(J925&lt;=5,"L","A")),IF(J925&lt;=19,"L","A"))),IF(OR(H925="ALI",H925="AIE"),IF(K925&gt;=6,IF(J925&gt;=20,"H","A"),IF(K925&gt;=2,IF(J925&gt;=51,"H",IF(J925&lt;=19,"L","A")),IF(J925&lt;=50,"L","A")))))))</f>
        <v/>
      </c>
      <c r="N925" s="46" t="str">
        <f aca="false">IF(M925="L","Baixa",IF(M925="A","Média",IF(M925="","","Alta")))</f>
        <v/>
      </c>
      <c r="O925" s="47" t="str">
        <f aca="false">IF(ISBLANK(H925),"",IF(H925="ALI",IF(M925="L",7,IF(M925="A",10,15)),IF(H925="AIE",IF(M925="L",5,IF(M925="A",7,10)),IF(H925="SE",IF(M925="L",4,IF(M925="A",5,7)),IF(OR(H925="EE",H925="CE"),IF(M925="L",3,IF(M925="A",4,6)))))))</f>
        <v/>
      </c>
      <c r="P925" s="48" t="str">
        <f aca="false">IF(I925="I",O925*Contagem!$W$15,IF(I925="E",O925*Contagem!$W$17,IF(I925="A",O925*Contagem!$W$16,IF(I925="T",O925*Contagem!$W$18,""))))</f>
        <v/>
      </c>
      <c r="Q925" s="49"/>
    </row>
    <row r="926" customFormat="false" ht="12" hidden="false" customHeight="true" outlineLevel="0" collapsed="false">
      <c r="A926" s="40" t="n">
        <f aca="false">IF(H926="",IF(C926="",A925,A925+1),A925)</f>
        <v>62</v>
      </c>
      <c r="B926" s="41" t="str">
        <f aca="false">IF(A926=A925,"",CONCATENATE("F",A926))</f>
        <v/>
      </c>
      <c r="C926" s="42"/>
      <c r="D926" s="2"/>
      <c r="E926" s="2"/>
      <c r="F926" s="2"/>
      <c r="G926" s="2"/>
      <c r="H926" s="44"/>
      <c r="I926" s="50"/>
      <c r="J926" s="44"/>
      <c r="K926" s="44"/>
      <c r="L926" s="44" t="str">
        <f aca="false">CONCATENATE(H926,M926)</f>
        <v/>
      </c>
      <c r="M926" s="45" t="str">
        <f aca="false">IF(OR(ISBLANK(J926),ISBLANK(K926)),IF(OR(H926="ALI",H926="AIE"),"L",IF(ISBLANK(H926),"","A")),IF(H926="EE",IF(K926&gt;=3,IF(J926&gt;=5,"H","A"),IF(K926&gt;=2,IF(J926&gt;=16,"H",IF(J926&lt;=4,"L","A")),IF(J926&lt;=15,"L","A"))),IF(OR(H926="SE",H926="CE"),IF(K926&gt;=4,IF(J926&gt;=6,"H","A"),IF(K926&gt;=2,IF(J926&gt;=20,"H",IF(J926&lt;=5,"L","A")),IF(J926&lt;=19,"L","A"))),IF(OR(H926="ALI",H926="AIE"),IF(K926&gt;=6,IF(J926&gt;=20,"H","A"),IF(K926&gt;=2,IF(J926&gt;=51,"H",IF(J926&lt;=19,"L","A")),IF(J926&lt;=50,"L","A")))))))</f>
        <v/>
      </c>
      <c r="N926" s="46" t="str">
        <f aca="false">IF(M926="L","Baixa",IF(M926="A","Média",IF(M926="","","Alta")))</f>
        <v/>
      </c>
      <c r="O926" s="47" t="str">
        <f aca="false">IF(ISBLANK(H926),"",IF(H926="ALI",IF(M926="L",7,IF(M926="A",10,15)),IF(H926="AIE",IF(M926="L",5,IF(M926="A",7,10)),IF(H926="SE",IF(M926="L",4,IF(M926="A",5,7)),IF(OR(H926="EE",H926="CE"),IF(M926="L",3,IF(M926="A",4,6)))))))</f>
        <v/>
      </c>
      <c r="P926" s="48" t="str">
        <f aca="false">IF(I926="I",O926*Contagem!$W$15,IF(I926="E",O926*Contagem!$W$17,IF(I926="A",O926*Contagem!$W$16,IF(I926="T",O926*Contagem!$W$18,""))))</f>
        <v/>
      </c>
      <c r="Q926" s="49"/>
    </row>
    <row r="927" customFormat="false" ht="12" hidden="false" customHeight="true" outlineLevel="0" collapsed="false">
      <c r="A927" s="40" t="n">
        <f aca="false">IF(H927="",IF(C927="",A926,A926+1),A926)</f>
        <v>62</v>
      </c>
      <c r="B927" s="41" t="str">
        <f aca="false">IF(A927=A926,"",CONCATENATE("F",A927))</f>
        <v/>
      </c>
      <c r="C927" s="42"/>
      <c r="D927" s="2"/>
      <c r="E927" s="2"/>
      <c r="F927" s="2"/>
      <c r="G927" s="2"/>
      <c r="H927" s="44"/>
      <c r="I927" s="50"/>
      <c r="J927" s="44"/>
      <c r="K927" s="44"/>
      <c r="L927" s="44" t="str">
        <f aca="false">CONCATENATE(H927,M927)</f>
        <v/>
      </c>
      <c r="M927" s="45" t="str">
        <f aca="false">IF(OR(ISBLANK(J927),ISBLANK(K927)),IF(OR(H927="ALI",H927="AIE"),"L",IF(ISBLANK(H927),"","A")),IF(H927="EE",IF(K927&gt;=3,IF(J927&gt;=5,"H","A"),IF(K927&gt;=2,IF(J927&gt;=16,"H",IF(J927&lt;=4,"L","A")),IF(J927&lt;=15,"L","A"))),IF(OR(H927="SE",H927="CE"),IF(K927&gt;=4,IF(J927&gt;=6,"H","A"),IF(K927&gt;=2,IF(J927&gt;=20,"H",IF(J927&lt;=5,"L","A")),IF(J927&lt;=19,"L","A"))),IF(OR(H927="ALI",H927="AIE"),IF(K927&gt;=6,IF(J927&gt;=20,"H","A"),IF(K927&gt;=2,IF(J927&gt;=51,"H",IF(J927&lt;=19,"L","A")),IF(J927&lt;=50,"L","A")))))))</f>
        <v/>
      </c>
      <c r="N927" s="46" t="str">
        <f aca="false">IF(M927="L","Baixa",IF(M927="A","Média",IF(M927="","","Alta")))</f>
        <v/>
      </c>
      <c r="O927" s="47" t="str">
        <f aca="false">IF(ISBLANK(H927),"",IF(H927="ALI",IF(M927="L",7,IF(M927="A",10,15)),IF(H927="AIE",IF(M927="L",5,IF(M927="A",7,10)),IF(H927="SE",IF(M927="L",4,IF(M927="A",5,7)),IF(OR(H927="EE",H927="CE"),IF(M927="L",3,IF(M927="A",4,6)))))))</f>
        <v/>
      </c>
      <c r="P927" s="48" t="str">
        <f aca="false">IF(I927="I",O927*Contagem!$W$15,IF(I927="E",O927*Contagem!$W$17,IF(I927="A",O927*Contagem!$W$16,IF(I927="T",O927*Contagem!$W$18,""))))</f>
        <v/>
      </c>
      <c r="Q927" s="49"/>
    </row>
    <row r="928" customFormat="false" ht="12" hidden="false" customHeight="true" outlineLevel="0" collapsed="false">
      <c r="A928" s="40" t="n">
        <f aca="false">IF(H928="",IF(C928="",A927,A927+1),A927)</f>
        <v>62</v>
      </c>
      <c r="B928" s="41" t="str">
        <f aca="false">IF(A928=A927,"",CONCATENATE("F",A928))</f>
        <v/>
      </c>
      <c r="C928" s="42"/>
      <c r="D928" s="2"/>
      <c r="E928" s="2"/>
      <c r="F928" s="2"/>
      <c r="G928" s="2"/>
      <c r="H928" s="44"/>
      <c r="I928" s="50"/>
      <c r="J928" s="44"/>
      <c r="K928" s="44"/>
      <c r="L928" s="44" t="str">
        <f aca="false">CONCATENATE(H928,M928)</f>
        <v/>
      </c>
      <c r="M928" s="45" t="str">
        <f aca="false">IF(OR(ISBLANK(J928),ISBLANK(K928)),IF(OR(H928="ALI",H928="AIE"),"L",IF(ISBLANK(H928),"","A")),IF(H928="EE",IF(K928&gt;=3,IF(J928&gt;=5,"H","A"),IF(K928&gt;=2,IF(J928&gt;=16,"H",IF(J928&lt;=4,"L","A")),IF(J928&lt;=15,"L","A"))),IF(OR(H928="SE",H928="CE"),IF(K928&gt;=4,IF(J928&gt;=6,"H","A"),IF(K928&gt;=2,IF(J928&gt;=20,"H",IF(J928&lt;=5,"L","A")),IF(J928&lt;=19,"L","A"))),IF(OR(H928="ALI",H928="AIE"),IF(K928&gt;=6,IF(J928&gt;=20,"H","A"),IF(K928&gt;=2,IF(J928&gt;=51,"H",IF(J928&lt;=19,"L","A")),IF(J928&lt;=50,"L","A")))))))</f>
        <v/>
      </c>
      <c r="N928" s="46" t="str">
        <f aca="false">IF(M928="L","Baixa",IF(M928="A","Média",IF(M928="","","Alta")))</f>
        <v/>
      </c>
      <c r="O928" s="47" t="str">
        <f aca="false">IF(ISBLANK(H928),"",IF(H928="ALI",IF(M928="L",7,IF(M928="A",10,15)),IF(H928="AIE",IF(M928="L",5,IF(M928="A",7,10)),IF(H928="SE",IF(M928="L",4,IF(M928="A",5,7)),IF(OR(H928="EE",H928="CE"),IF(M928="L",3,IF(M928="A",4,6)))))))</f>
        <v/>
      </c>
      <c r="P928" s="48" t="str">
        <f aca="false">IF(I928="I",O928*Contagem!$W$15,IF(I928="E",O928*Contagem!$W$17,IF(I928="A",O928*Contagem!$W$16,IF(I928="T",O928*Contagem!$W$18,""))))</f>
        <v/>
      </c>
      <c r="Q928" s="49"/>
    </row>
    <row r="929" customFormat="false" ht="12" hidden="false" customHeight="true" outlineLevel="0" collapsed="false">
      <c r="A929" s="40" t="n">
        <f aca="false">IF(H929="",IF(C929="",A928,A928+1),A928)</f>
        <v>62</v>
      </c>
      <c r="B929" s="41" t="str">
        <f aca="false">IF(A929=A928,"",CONCATENATE("F",A929))</f>
        <v/>
      </c>
      <c r="C929" s="42"/>
      <c r="D929" s="2"/>
      <c r="E929" s="2"/>
      <c r="F929" s="2"/>
      <c r="G929" s="2"/>
      <c r="H929" s="44"/>
      <c r="I929" s="50"/>
      <c r="J929" s="44"/>
      <c r="K929" s="44"/>
      <c r="L929" s="44" t="str">
        <f aca="false">CONCATENATE(H929,M929)</f>
        <v/>
      </c>
      <c r="M929" s="45" t="str">
        <f aca="false">IF(OR(ISBLANK(J929),ISBLANK(K929)),IF(OR(H929="ALI",H929="AIE"),"L",IF(ISBLANK(H929),"","A")),IF(H929="EE",IF(K929&gt;=3,IF(J929&gt;=5,"H","A"),IF(K929&gt;=2,IF(J929&gt;=16,"H",IF(J929&lt;=4,"L","A")),IF(J929&lt;=15,"L","A"))),IF(OR(H929="SE",H929="CE"),IF(K929&gt;=4,IF(J929&gt;=6,"H","A"),IF(K929&gt;=2,IF(J929&gt;=20,"H",IF(J929&lt;=5,"L","A")),IF(J929&lt;=19,"L","A"))),IF(OR(H929="ALI",H929="AIE"),IF(K929&gt;=6,IF(J929&gt;=20,"H","A"),IF(K929&gt;=2,IF(J929&gt;=51,"H",IF(J929&lt;=19,"L","A")),IF(J929&lt;=50,"L","A")))))))</f>
        <v/>
      </c>
      <c r="N929" s="46" t="str">
        <f aca="false">IF(M929="L","Baixa",IF(M929="A","Média",IF(M929="","","Alta")))</f>
        <v/>
      </c>
      <c r="O929" s="47" t="str">
        <f aca="false">IF(ISBLANK(H929),"",IF(H929="ALI",IF(M929="L",7,IF(M929="A",10,15)),IF(H929="AIE",IF(M929="L",5,IF(M929="A",7,10)),IF(H929="SE",IF(M929="L",4,IF(M929="A",5,7)),IF(OR(H929="EE",H929="CE"),IF(M929="L",3,IF(M929="A",4,6)))))))</f>
        <v/>
      </c>
      <c r="P929" s="48" t="str">
        <f aca="false">IF(I929="I",O929*Contagem!$W$15,IF(I929="E",O929*Contagem!$W$17,IF(I929="A",O929*Contagem!$W$16,IF(I929="T",O929*Contagem!$W$18,""))))</f>
        <v/>
      </c>
      <c r="Q929" s="49"/>
    </row>
    <row r="930" customFormat="false" ht="12" hidden="false" customHeight="true" outlineLevel="0" collapsed="false">
      <c r="A930" s="40" t="n">
        <f aca="false">IF(H930="",IF(C930="",A929,A929+1),A929)</f>
        <v>62</v>
      </c>
      <c r="B930" s="41" t="str">
        <f aca="false">IF(A930=A929,"",CONCATENATE("F",A930))</f>
        <v/>
      </c>
      <c r="C930" s="42"/>
      <c r="D930" s="2"/>
      <c r="E930" s="2"/>
      <c r="F930" s="2"/>
      <c r="G930" s="2"/>
      <c r="H930" s="44"/>
      <c r="I930" s="50"/>
      <c r="J930" s="44"/>
      <c r="K930" s="44"/>
      <c r="L930" s="44" t="str">
        <f aca="false">CONCATENATE(H930,M930)</f>
        <v/>
      </c>
      <c r="M930" s="45" t="str">
        <f aca="false">IF(OR(ISBLANK(J930),ISBLANK(K930)),IF(OR(H930="ALI",H930="AIE"),"L",IF(ISBLANK(H930),"","A")),IF(H930="EE",IF(K930&gt;=3,IF(J930&gt;=5,"H","A"),IF(K930&gt;=2,IF(J930&gt;=16,"H",IF(J930&lt;=4,"L","A")),IF(J930&lt;=15,"L","A"))),IF(OR(H930="SE",H930="CE"),IF(K930&gt;=4,IF(J930&gt;=6,"H","A"),IF(K930&gt;=2,IF(J930&gt;=20,"H",IF(J930&lt;=5,"L","A")),IF(J930&lt;=19,"L","A"))),IF(OR(H930="ALI",H930="AIE"),IF(K930&gt;=6,IF(J930&gt;=20,"H","A"),IF(K930&gt;=2,IF(J930&gt;=51,"H",IF(J930&lt;=19,"L","A")),IF(J930&lt;=50,"L","A")))))))</f>
        <v/>
      </c>
      <c r="N930" s="46" t="str">
        <f aca="false">IF(M930="L","Baixa",IF(M930="A","Média",IF(M930="","","Alta")))</f>
        <v/>
      </c>
      <c r="O930" s="47" t="str">
        <f aca="false">IF(ISBLANK(H930),"",IF(H930="ALI",IF(M930="L",7,IF(M930="A",10,15)),IF(H930="AIE",IF(M930="L",5,IF(M930="A",7,10)),IF(H930="SE",IF(M930="L",4,IF(M930="A",5,7)),IF(OR(H930="EE",H930="CE"),IF(M930="L",3,IF(M930="A",4,6)))))))</f>
        <v/>
      </c>
      <c r="P930" s="48" t="str">
        <f aca="false">IF(I930="I",O930*Contagem!$W$15,IF(I930="E",O930*Contagem!$W$17,IF(I930="A",O930*Contagem!$W$16,IF(I930="T",O930*Contagem!$W$18,""))))</f>
        <v/>
      </c>
      <c r="Q930" s="49"/>
    </row>
    <row r="931" customFormat="false" ht="12" hidden="false" customHeight="true" outlineLevel="0" collapsed="false">
      <c r="A931" s="40" t="n">
        <f aca="false">IF(H931="",IF(C931="",A930,A930+1),A930)</f>
        <v>62</v>
      </c>
      <c r="B931" s="41" t="str">
        <f aca="false">IF(A931=A930,"",CONCATENATE("F",A931))</f>
        <v/>
      </c>
      <c r="C931" s="42"/>
      <c r="D931" s="2"/>
      <c r="E931" s="2"/>
      <c r="F931" s="2"/>
      <c r="G931" s="2"/>
      <c r="H931" s="44"/>
      <c r="I931" s="50"/>
      <c r="J931" s="44"/>
      <c r="K931" s="44"/>
      <c r="L931" s="44" t="str">
        <f aca="false">CONCATENATE(H931,M931)</f>
        <v/>
      </c>
      <c r="M931" s="45" t="str">
        <f aca="false">IF(OR(ISBLANK(J931),ISBLANK(K931)),IF(OR(H931="ALI",H931="AIE"),"L",IF(ISBLANK(H931),"","A")),IF(H931="EE",IF(K931&gt;=3,IF(J931&gt;=5,"H","A"),IF(K931&gt;=2,IF(J931&gt;=16,"H",IF(J931&lt;=4,"L","A")),IF(J931&lt;=15,"L","A"))),IF(OR(H931="SE",H931="CE"),IF(K931&gt;=4,IF(J931&gt;=6,"H","A"),IF(K931&gt;=2,IF(J931&gt;=20,"H",IF(J931&lt;=5,"L","A")),IF(J931&lt;=19,"L","A"))),IF(OR(H931="ALI",H931="AIE"),IF(K931&gt;=6,IF(J931&gt;=20,"H","A"),IF(K931&gt;=2,IF(J931&gt;=51,"H",IF(J931&lt;=19,"L","A")),IF(J931&lt;=50,"L","A")))))))</f>
        <v/>
      </c>
      <c r="N931" s="46" t="str">
        <f aca="false">IF(M931="L","Baixa",IF(M931="A","Média",IF(M931="","","Alta")))</f>
        <v/>
      </c>
      <c r="O931" s="47" t="str">
        <f aca="false">IF(ISBLANK(H931),"",IF(H931="ALI",IF(M931="L",7,IF(M931="A",10,15)),IF(H931="AIE",IF(M931="L",5,IF(M931="A",7,10)),IF(H931="SE",IF(M931="L",4,IF(M931="A",5,7)),IF(OR(H931="EE",H931="CE"),IF(M931="L",3,IF(M931="A",4,6)))))))</f>
        <v/>
      </c>
      <c r="P931" s="48" t="str">
        <f aca="false">IF(I931="I",O931*Contagem!$W$15,IF(I931="E",O931*Contagem!$W$17,IF(I931="A",O931*Contagem!$W$16,IF(I931="T",O931*Contagem!$W$18,""))))</f>
        <v/>
      </c>
      <c r="Q931" s="49"/>
    </row>
    <row r="932" customFormat="false" ht="12" hidden="false" customHeight="true" outlineLevel="0" collapsed="false">
      <c r="A932" s="40" t="n">
        <f aca="false">IF(H932="",IF(C932="",A931,A931+1),A931)</f>
        <v>62</v>
      </c>
      <c r="B932" s="41" t="str">
        <f aca="false">IF(A932=A931,"",CONCATENATE("F",A932))</f>
        <v/>
      </c>
      <c r="C932" s="42"/>
      <c r="D932" s="2"/>
      <c r="E932" s="2"/>
      <c r="F932" s="2"/>
      <c r="G932" s="2"/>
      <c r="H932" s="44"/>
      <c r="I932" s="50"/>
      <c r="J932" s="44"/>
      <c r="K932" s="44"/>
      <c r="L932" s="44" t="str">
        <f aca="false">CONCATENATE(H932,M932)</f>
        <v/>
      </c>
      <c r="M932" s="45" t="str">
        <f aca="false">IF(OR(ISBLANK(J932),ISBLANK(K932)),IF(OR(H932="ALI",H932="AIE"),"L",IF(ISBLANK(H932),"","A")),IF(H932="EE",IF(K932&gt;=3,IF(J932&gt;=5,"H","A"),IF(K932&gt;=2,IF(J932&gt;=16,"H",IF(J932&lt;=4,"L","A")),IF(J932&lt;=15,"L","A"))),IF(OR(H932="SE",H932="CE"),IF(K932&gt;=4,IF(J932&gt;=6,"H","A"),IF(K932&gt;=2,IF(J932&gt;=20,"H",IF(J932&lt;=5,"L","A")),IF(J932&lt;=19,"L","A"))),IF(OR(H932="ALI",H932="AIE"),IF(K932&gt;=6,IF(J932&gt;=20,"H","A"),IF(K932&gt;=2,IF(J932&gt;=51,"H",IF(J932&lt;=19,"L","A")),IF(J932&lt;=50,"L","A")))))))</f>
        <v/>
      </c>
      <c r="N932" s="46" t="str">
        <f aca="false">IF(M932="L","Baixa",IF(M932="A","Média",IF(M932="","","Alta")))</f>
        <v/>
      </c>
      <c r="O932" s="47" t="str">
        <f aca="false">IF(ISBLANK(H932),"",IF(H932="ALI",IF(M932="L",7,IF(M932="A",10,15)),IF(H932="AIE",IF(M932="L",5,IF(M932="A",7,10)),IF(H932="SE",IF(M932="L",4,IF(M932="A",5,7)),IF(OR(H932="EE",H932="CE"),IF(M932="L",3,IF(M932="A",4,6)))))))</f>
        <v/>
      </c>
      <c r="P932" s="48" t="str">
        <f aca="false">IF(I932="I",O932*Contagem!$W$15,IF(I932="E",O932*Contagem!$W$17,IF(I932="A",O932*Contagem!$W$16,IF(I932="T",O932*Contagem!$W$18,""))))</f>
        <v/>
      </c>
      <c r="Q932" s="49"/>
    </row>
    <row r="933" customFormat="false" ht="12" hidden="false" customHeight="true" outlineLevel="0" collapsed="false">
      <c r="A933" s="40" t="n">
        <f aca="false">IF(H933="",IF(C933="",A932,A932+1),A932)</f>
        <v>62</v>
      </c>
      <c r="B933" s="41" t="str">
        <f aca="false">IF(A933=A932,"",CONCATENATE("F",A933))</f>
        <v/>
      </c>
      <c r="C933" s="42"/>
      <c r="D933" s="2"/>
      <c r="E933" s="2"/>
      <c r="F933" s="2"/>
      <c r="G933" s="2"/>
      <c r="H933" s="44"/>
      <c r="I933" s="50"/>
      <c r="J933" s="44"/>
      <c r="K933" s="44"/>
      <c r="L933" s="44" t="str">
        <f aca="false">CONCATENATE(H933,M933)</f>
        <v/>
      </c>
      <c r="M933" s="45" t="str">
        <f aca="false">IF(OR(ISBLANK(J933),ISBLANK(K933)),IF(OR(H933="ALI",H933="AIE"),"L",IF(ISBLANK(H933),"","A")),IF(H933="EE",IF(K933&gt;=3,IF(J933&gt;=5,"H","A"),IF(K933&gt;=2,IF(J933&gt;=16,"H",IF(J933&lt;=4,"L","A")),IF(J933&lt;=15,"L","A"))),IF(OR(H933="SE",H933="CE"),IF(K933&gt;=4,IF(J933&gt;=6,"H","A"),IF(K933&gt;=2,IF(J933&gt;=20,"H",IF(J933&lt;=5,"L","A")),IF(J933&lt;=19,"L","A"))),IF(OR(H933="ALI",H933="AIE"),IF(K933&gt;=6,IF(J933&gt;=20,"H","A"),IF(K933&gt;=2,IF(J933&gt;=51,"H",IF(J933&lt;=19,"L","A")),IF(J933&lt;=50,"L","A")))))))</f>
        <v/>
      </c>
      <c r="N933" s="46" t="str">
        <f aca="false">IF(M933="L","Baixa",IF(M933="A","Média",IF(M933="","","Alta")))</f>
        <v/>
      </c>
      <c r="O933" s="47" t="str">
        <f aca="false">IF(ISBLANK(H933),"",IF(H933="ALI",IF(M933="L",7,IF(M933="A",10,15)),IF(H933="AIE",IF(M933="L",5,IF(M933="A",7,10)),IF(H933="SE",IF(M933="L",4,IF(M933="A",5,7)),IF(OR(H933="EE",H933="CE"),IF(M933="L",3,IF(M933="A",4,6)))))))</f>
        <v/>
      </c>
      <c r="P933" s="48" t="str">
        <f aca="false">IF(I933="I",O933*Contagem!$W$15,IF(I933="E",O933*Contagem!$W$17,IF(I933="A",O933*Contagem!$W$16,IF(I933="T",O933*Contagem!$W$18,""))))</f>
        <v/>
      </c>
      <c r="Q933" s="49"/>
    </row>
    <row r="934" customFormat="false" ht="12" hidden="false" customHeight="true" outlineLevel="0" collapsed="false">
      <c r="A934" s="40" t="n">
        <f aca="false">IF(H934="",IF(C934="",A933,A933+1),A933)</f>
        <v>62</v>
      </c>
      <c r="B934" s="41" t="str">
        <f aca="false">IF(A934=A933,"",CONCATENATE("F",A934))</f>
        <v/>
      </c>
      <c r="C934" s="42"/>
      <c r="D934" s="2"/>
      <c r="E934" s="2"/>
      <c r="F934" s="2"/>
      <c r="G934" s="2"/>
      <c r="H934" s="44"/>
      <c r="I934" s="50"/>
      <c r="J934" s="44"/>
      <c r="K934" s="44"/>
      <c r="L934" s="44" t="str">
        <f aca="false">CONCATENATE(H934,M934)</f>
        <v/>
      </c>
      <c r="M934" s="45" t="str">
        <f aca="false">IF(OR(ISBLANK(J934),ISBLANK(K934)),IF(OR(H934="ALI",H934="AIE"),"L",IF(ISBLANK(H934),"","A")),IF(H934="EE",IF(K934&gt;=3,IF(J934&gt;=5,"H","A"),IF(K934&gt;=2,IF(J934&gt;=16,"H",IF(J934&lt;=4,"L","A")),IF(J934&lt;=15,"L","A"))),IF(OR(H934="SE",H934="CE"),IF(K934&gt;=4,IF(J934&gt;=6,"H","A"),IF(K934&gt;=2,IF(J934&gt;=20,"H",IF(J934&lt;=5,"L","A")),IF(J934&lt;=19,"L","A"))),IF(OR(H934="ALI",H934="AIE"),IF(K934&gt;=6,IF(J934&gt;=20,"H","A"),IF(K934&gt;=2,IF(J934&gt;=51,"H",IF(J934&lt;=19,"L","A")),IF(J934&lt;=50,"L","A")))))))</f>
        <v/>
      </c>
      <c r="N934" s="46" t="str">
        <f aca="false">IF(M934="L","Baixa",IF(M934="A","Média",IF(M934="","","Alta")))</f>
        <v/>
      </c>
      <c r="O934" s="47" t="str">
        <f aca="false">IF(ISBLANK(H934),"",IF(H934="ALI",IF(M934="L",7,IF(M934="A",10,15)),IF(H934="AIE",IF(M934="L",5,IF(M934="A",7,10)),IF(H934="SE",IF(M934="L",4,IF(M934="A",5,7)),IF(OR(H934="EE",H934="CE"),IF(M934="L",3,IF(M934="A",4,6)))))))</f>
        <v/>
      </c>
      <c r="P934" s="48" t="str">
        <f aca="false">IF(I934="I",O934*Contagem!$W$15,IF(I934="E",O934*Contagem!$W$17,IF(I934="A",O934*Contagem!$W$16,IF(I934="T",O934*Contagem!$W$18,""))))</f>
        <v/>
      </c>
      <c r="Q934" s="49"/>
    </row>
    <row r="935" customFormat="false" ht="12" hidden="false" customHeight="true" outlineLevel="0" collapsed="false">
      <c r="A935" s="40" t="n">
        <f aca="false">IF(H935="",IF(C935="",A934,A934+1),A934)</f>
        <v>62</v>
      </c>
      <c r="B935" s="41" t="str">
        <f aca="false">IF(A935=A934,"",CONCATENATE("F",A935))</f>
        <v/>
      </c>
      <c r="C935" s="42"/>
      <c r="D935" s="2"/>
      <c r="E935" s="2"/>
      <c r="F935" s="2"/>
      <c r="G935" s="2"/>
      <c r="H935" s="44"/>
      <c r="I935" s="50"/>
      <c r="J935" s="44"/>
      <c r="K935" s="44"/>
      <c r="L935" s="44" t="str">
        <f aca="false">CONCATENATE(H935,M935)</f>
        <v/>
      </c>
      <c r="M935" s="45" t="str">
        <f aca="false">IF(OR(ISBLANK(J935),ISBLANK(K935)),IF(OR(H935="ALI",H935="AIE"),"L",IF(ISBLANK(H935),"","A")),IF(H935="EE",IF(K935&gt;=3,IF(J935&gt;=5,"H","A"),IF(K935&gt;=2,IF(J935&gt;=16,"H",IF(J935&lt;=4,"L","A")),IF(J935&lt;=15,"L","A"))),IF(OR(H935="SE",H935="CE"),IF(K935&gt;=4,IF(J935&gt;=6,"H","A"),IF(K935&gt;=2,IF(J935&gt;=20,"H",IF(J935&lt;=5,"L","A")),IF(J935&lt;=19,"L","A"))),IF(OR(H935="ALI",H935="AIE"),IF(K935&gt;=6,IF(J935&gt;=20,"H","A"),IF(K935&gt;=2,IF(J935&gt;=51,"H",IF(J935&lt;=19,"L","A")),IF(J935&lt;=50,"L","A")))))))</f>
        <v/>
      </c>
      <c r="N935" s="46" t="str">
        <f aca="false">IF(M935="L","Baixa",IF(M935="A","Média",IF(M935="","","Alta")))</f>
        <v/>
      </c>
      <c r="O935" s="47" t="str">
        <f aca="false">IF(ISBLANK(H935),"",IF(H935="ALI",IF(M935="L",7,IF(M935="A",10,15)),IF(H935="AIE",IF(M935="L",5,IF(M935="A",7,10)),IF(H935="SE",IF(M935="L",4,IF(M935="A",5,7)),IF(OR(H935="EE",H935="CE"),IF(M935="L",3,IF(M935="A",4,6)))))))</f>
        <v/>
      </c>
      <c r="P935" s="48" t="str">
        <f aca="false">IF(I935="I",O935*Contagem!$W$15,IF(I935="E",O935*Contagem!$W$17,IF(I935="A",O935*Contagem!$W$16,IF(I935="T",O935*Contagem!$W$18,""))))</f>
        <v/>
      </c>
      <c r="Q935" s="49"/>
    </row>
    <row r="936" customFormat="false" ht="12" hidden="false" customHeight="true" outlineLevel="0" collapsed="false">
      <c r="A936" s="40" t="n">
        <f aca="false">IF(H936="",IF(C936="",A935,A935+1),A935)</f>
        <v>62</v>
      </c>
      <c r="B936" s="41" t="str">
        <f aca="false">IF(A936=A935,"",CONCATENATE("F",A936))</f>
        <v/>
      </c>
      <c r="C936" s="42"/>
      <c r="D936" s="2"/>
      <c r="E936" s="2"/>
      <c r="F936" s="2"/>
      <c r="G936" s="2"/>
      <c r="H936" s="44"/>
      <c r="I936" s="50"/>
      <c r="J936" s="44"/>
      <c r="K936" s="44"/>
      <c r="L936" s="44" t="str">
        <f aca="false">CONCATENATE(H936,M936)</f>
        <v/>
      </c>
      <c r="M936" s="45" t="str">
        <f aca="false">IF(OR(ISBLANK(J936),ISBLANK(K936)),IF(OR(H936="ALI",H936="AIE"),"L",IF(ISBLANK(H936),"","A")),IF(H936="EE",IF(K936&gt;=3,IF(J936&gt;=5,"H","A"),IF(K936&gt;=2,IF(J936&gt;=16,"H",IF(J936&lt;=4,"L","A")),IF(J936&lt;=15,"L","A"))),IF(OR(H936="SE",H936="CE"),IF(K936&gt;=4,IF(J936&gt;=6,"H","A"),IF(K936&gt;=2,IF(J936&gt;=20,"H",IF(J936&lt;=5,"L","A")),IF(J936&lt;=19,"L","A"))),IF(OR(H936="ALI",H936="AIE"),IF(K936&gt;=6,IF(J936&gt;=20,"H","A"),IF(K936&gt;=2,IF(J936&gt;=51,"H",IF(J936&lt;=19,"L","A")),IF(J936&lt;=50,"L","A")))))))</f>
        <v/>
      </c>
      <c r="N936" s="46" t="str">
        <f aca="false">IF(M936="L","Baixa",IF(M936="A","Média",IF(M936="","","Alta")))</f>
        <v/>
      </c>
      <c r="O936" s="47" t="str">
        <f aca="false">IF(ISBLANK(H936),"",IF(H936="ALI",IF(M936="L",7,IF(M936="A",10,15)),IF(H936="AIE",IF(M936="L",5,IF(M936="A",7,10)),IF(H936="SE",IF(M936="L",4,IF(M936="A",5,7)),IF(OR(H936="EE",H936="CE"),IF(M936="L",3,IF(M936="A",4,6)))))))</f>
        <v/>
      </c>
      <c r="P936" s="48" t="str">
        <f aca="false">IF(I936="I",O936*Contagem!$W$15,IF(I936="E",O936*Contagem!$W$17,IF(I936="A",O936*Contagem!$W$16,IF(I936="T",O936*Contagem!$W$18,""))))</f>
        <v/>
      </c>
      <c r="Q936" s="49"/>
    </row>
    <row r="937" customFormat="false" ht="12" hidden="false" customHeight="true" outlineLevel="0" collapsed="false">
      <c r="A937" s="40" t="n">
        <f aca="false">IF(H937="",IF(C937="",A936,A936+1),A936)</f>
        <v>62</v>
      </c>
      <c r="B937" s="41" t="str">
        <f aca="false">IF(A937=A936,"",CONCATENATE("F",A937))</f>
        <v/>
      </c>
      <c r="C937" s="42"/>
      <c r="D937" s="2"/>
      <c r="E937" s="2"/>
      <c r="F937" s="2"/>
      <c r="G937" s="2"/>
      <c r="H937" s="44"/>
      <c r="I937" s="50"/>
      <c r="J937" s="44"/>
      <c r="K937" s="44"/>
      <c r="L937" s="44" t="str">
        <f aca="false">CONCATENATE(H937,M937)</f>
        <v/>
      </c>
      <c r="M937" s="45" t="str">
        <f aca="false">IF(OR(ISBLANK(J937),ISBLANK(K937)),IF(OR(H937="ALI",H937="AIE"),"L",IF(ISBLANK(H937),"","A")),IF(H937="EE",IF(K937&gt;=3,IF(J937&gt;=5,"H","A"),IF(K937&gt;=2,IF(J937&gt;=16,"H",IF(J937&lt;=4,"L","A")),IF(J937&lt;=15,"L","A"))),IF(OR(H937="SE",H937="CE"),IF(K937&gt;=4,IF(J937&gt;=6,"H","A"),IF(K937&gt;=2,IF(J937&gt;=20,"H",IF(J937&lt;=5,"L","A")),IF(J937&lt;=19,"L","A"))),IF(OR(H937="ALI",H937="AIE"),IF(K937&gt;=6,IF(J937&gt;=20,"H","A"),IF(K937&gt;=2,IF(J937&gt;=51,"H",IF(J937&lt;=19,"L","A")),IF(J937&lt;=50,"L","A")))))))</f>
        <v/>
      </c>
      <c r="N937" s="46" t="str">
        <f aca="false">IF(M937="L","Baixa",IF(M937="A","Média",IF(M937="","","Alta")))</f>
        <v/>
      </c>
      <c r="O937" s="47" t="str">
        <f aca="false">IF(ISBLANK(H937),"",IF(H937="ALI",IF(M937="L",7,IF(M937="A",10,15)),IF(H937="AIE",IF(M937="L",5,IF(M937="A",7,10)),IF(H937="SE",IF(M937="L",4,IF(M937="A",5,7)),IF(OR(H937="EE",H937="CE"),IF(M937="L",3,IF(M937="A",4,6)))))))</f>
        <v/>
      </c>
      <c r="P937" s="48" t="str">
        <f aca="false">IF(I937="I",O937*Contagem!$W$15,IF(I937="E",O937*Contagem!$W$17,IF(I937="A",O937*Contagem!$W$16,IF(I937="T",O937*Contagem!$W$18,""))))</f>
        <v/>
      </c>
      <c r="Q937" s="49"/>
    </row>
    <row r="938" customFormat="false" ht="12" hidden="false" customHeight="true" outlineLevel="0" collapsed="false">
      <c r="A938" s="40" t="n">
        <f aca="false">IF(H938="",IF(C938="",A937,A937+1),A937)</f>
        <v>62</v>
      </c>
      <c r="B938" s="41" t="str">
        <f aca="false">IF(A938=A937,"",CONCATENATE("F",A938))</f>
        <v/>
      </c>
      <c r="C938" s="42"/>
      <c r="D938" s="2"/>
      <c r="E938" s="2"/>
      <c r="F938" s="2"/>
      <c r="G938" s="2"/>
      <c r="H938" s="44"/>
      <c r="I938" s="50"/>
      <c r="J938" s="44"/>
      <c r="K938" s="44"/>
      <c r="L938" s="44" t="str">
        <f aca="false">CONCATENATE(H938,M938)</f>
        <v/>
      </c>
      <c r="M938" s="45" t="str">
        <f aca="false">IF(OR(ISBLANK(J938),ISBLANK(K938)),IF(OR(H938="ALI",H938="AIE"),"L",IF(ISBLANK(H938),"","A")),IF(H938="EE",IF(K938&gt;=3,IF(J938&gt;=5,"H","A"),IF(K938&gt;=2,IF(J938&gt;=16,"H",IF(J938&lt;=4,"L","A")),IF(J938&lt;=15,"L","A"))),IF(OR(H938="SE",H938="CE"),IF(K938&gt;=4,IF(J938&gt;=6,"H","A"),IF(K938&gt;=2,IF(J938&gt;=20,"H",IF(J938&lt;=5,"L","A")),IF(J938&lt;=19,"L","A"))),IF(OR(H938="ALI",H938="AIE"),IF(K938&gt;=6,IF(J938&gt;=20,"H","A"),IF(K938&gt;=2,IF(J938&gt;=51,"H",IF(J938&lt;=19,"L","A")),IF(J938&lt;=50,"L","A")))))))</f>
        <v/>
      </c>
      <c r="N938" s="46" t="str">
        <f aca="false">IF(M938="L","Baixa",IF(M938="A","Média",IF(M938="","","Alta")))</f>
        <v/>
      </c>
      <c r="O938" s="47" t="str">
        <f aca="false">IF(ISBLANK(H938),"",IF(H938="ALI",IF(M938="L",7,IF(M938="A",10,15)),IF(H938="AIE",IF(M938="L",5,IF(M938="A",7,10)),IF(H938="SE",IF(M938="L",4,IF(M938="A",5,7)),IF(OR(H938="EE",H938="CE"),IF(M938="L",3,IF(M938="A",4,6)))))))</f>
        <v/>
      </c>
      <c r="P938" s="48" t="str">
        <f aca="false">IF(I938="I",O938*Contagem!$W$15,IF(I938="E",O938*Contagem!$W$17,IF(I938="A",O938*Contagem!$W$16,IF(I938="T",O938*Contagem!$W$18,""))))</f>
        <v/>
      </c>
      <c r="Q938" s="49"/>
    </row>
    <row r="939" customFormat="false" ht="12" hidden="false" customHeight="true" outlineLevel="0" collapsed="false">
      <c r="A939" s="40" t="n">
        <f aca="false">IF(H939="",IF(C939="",A938,A938+1),A938)</f>
        <v>62</v>
      </c>
      <c r="B939" s="41" t="str">
        <f aca="false">IF(A939=A938,"",CONCATENATE("F",A939))</f>
        <v/>
      </c>
      <c r="C939" s="42"/>
      <c r="D939" s="2"/>
      <c r="E939" s="2"/>
      <c r="F939" s="2"/>
      <c r="G939" s="2"/>
      <c r="H939" s="44"/>
      <c r="I939" s="50"/>
      <c r="J939" s="44"/>
      <c r="K939" s="44"/>
      <c r="L939" s="44" t="str">
        <f aca="false">CONCATENATE(H939,M939)</f>
        <v/>
      </c>
      <c r="M939" s="45" t="str">
        <f aca="false">IF(OR(ISBLANK(J939),ISBLANK(K939)),IF(OR(H939="ALI",H939="AIE"),"L",IF(ISBLANK(H939),"","A")),IF(H939="EE",IF(K939&gt;=3,IF(J939&gt;=5,"H","A"),IF(K939&gt;=2,IF(J939&gt;=16,"H",IF(J939&lt;=4,"L","A")),IF(J939&lt;=15,"L","A"))),IF(OR(H939="SE",H939="CE"),IF(K939&gt;=4,IF(J939&gt;=6,"H","A"),IF(K939&gt;=2,IF(J939&gt;=20,"H",IF(J939&lt;=5,"L","A")),IF(J939&lt;=19,"L","A"))),IF(OR(H939="ALI",H939="AIE"),IF(K939&gt;=6,IF(J939&gt;=20,"H","A"),IF(K939&gt;=2,IF(J939&gt;=51,"H",IF(J939&lt;=19,"L","A")),IF(J939&lt;=50,"L","A")))))))</f>
        <v/>
      </c>
      <c r="N939" s="46" t="str">
        <f aca="false">IF(M939="L","Baixa",IF(M939="A","Média",IF(M939="","","Alta")))</f>
        <v/>
      </c>
      <c r="O939" s="47" t="str">
        <f aca="false">IF(ISBLANK(H939),"",IF(H939="ALI",IF(M939="L",7,IF(M939="A",10,15)),IF(H939="AIE",IF(M939="L",5,IF(M939="A",7,10)),IF(H939="SE",IF(M939="L",4,IF(M939="A",5,7)),IF(OR(H939="EE",H939="CE"),IF(M939="L",3,IF(M939="A",4,6)))))))</f>
        <v/>
      </c>
      <c r="P939" s="48" t="str">
        <f aca="false">IF(I939="I",O939*Contagem!$W$15,IF(I939="E",O939*Contagem!$W$17,IF(I939="A",O939*Contagem!$W$16,IF(I939="T",O939*Contagem!$W$18,""))))</f>
        <v/>
      </c>
      <c r="Q939" s="49"/>
    </row>
    <row r="940" customFormat="false" ht="12" hidden="false" customHeight="true" outlineLevel="0" collapsed="false">
      <c r="A940" s="40" t="n">
        <f aca="false">IF(H940="",IF(C940="",A939,A939+1),A939)</f>
        <v>62</v>
      </c>
      <c r="B940" s="41" t="str">
        <f aca="false">IF(A940=A939,"",CONCATENATE("F",A940))</f>
        <v/>
      </c>
      <c r="C940" s="42"/>
      <c r="D940" s="2"/>
      <c r="E940" s="2"/>
      <c r="F940" s="2"/>
      <c r="G940" s="2"/>
      <c r="H940" s="44"/>
      <c r="I940" s="50"/>
      <c r="J940" s="44"/>
      <c r="K940" s="44"/>
      <c r="L940" s="44" t="str">
        <f aca="false">CONCATENATE(H940,M940)</f>
        <v/>
      </c>
      <c r="M940" s="45" t="str">
        <f aca="false">IF(OR(ISBLANK(J940),ISBLANK(K940)),IF(OR(H940="ALI",H940="AIE"),"L",IF(ISBLANK(H940),"","A")),IF(H940="EE",IF(K940&gt;=3,IF(J940&gt;=5,"H","A"),IF(K940&gt;=2,IF(J940&gt;=16,"H",IF(J940&lt;=4,"L","A")),IF(J940&lt;=15,"L","A"))),IF(OR(H940="SE",H940="CE"),IF(K940&gt;=4,IF(J940&gt;=6,"H","A"),IF(K940&gt;=2,IF(J940&gt;=20,"H",IF(J940&lt;=5,"L","A")),IF(J940&lt;=19,"L","A"))),IF(OR(H940="ALI",H940="AIE"),IF(K940&gt;=6,IF(J940&gt;=20,"H","A"),IF(K940&gt;=2,IF(J940&gt;=51,"H",IF(J940&lt;=19,"L","A")),IF(J940&lt;=50,"L","A")))))))</f>
        <v/>
      </c>
      <c r="N940" s="46" t="str">
        <f aca="false">IF(M940="L","Baixa",IF(M940="A","Média",IF(M940="","","Alta")))</f>
        <v/>
      </c>
      <c r="O940" s="47" t="str">
        <f aca="false">IF(ISBLANK(H940),"",IF(H940="ALI",IF(M940="L",7,IF(M940="A",10,15)),IF(H940="AIE",IF(M940="L",5,IF(M940="A",7,10)),IF(H940="SE",IF(M940="L",4,IF(M940="A",5,7)),IF(OR(H940="EE",H940="CE"),IF(M940="L",3,IF(M940="A",4,6)))))))</f>
        <v/>
      </c>
      <c r="P940" s="48" t="str">
        <f aca="false">IF(I940="I",O940*Contagem!$W$15,IF(I940="E",O940*Contagem!$W$17,IF(I940="A",O940*Contagem!$W$16,IF(I940="T",O940*Contagem!$W$18,""))))</f>
        <v/>
      </c>
      <c r="Q940" s="49"/>
    </row>
    <row r="941" customFormat="false" ht="12" hidden="false" customHeight="true" outlineLevel="0" collapsed="false">
      <c r="A941" s="40" t="n">
        <f aca="false">IF(H941="",IF(C941="",A940,A940+1),A940)</f>
        <v>62</v>
      </c>
      <c r="B941" s="41" t="str">
        <f aca="false">IF(A941=A940,"",CONCATENATE("F",A941))</f>
        <v/>
      </c>
      <c r="C941" s="42"/>
      <c r="D941" s="2"/>
      <c r="E941" s="2"/>
      <c r="F941" s="2"/>
      <c r="G941" s="2"/>
      <c r="H941" s="44"/>
      <c r="I941" s="50"/>
      <c r="J941" s="44"/>
      <c r="K941" s="44"/>
      <c r="L941" s="44" t="str">
        <f aca="false">CONCATENATE(H941,M941)</f>
        <v/>
      </c>
      <c r="M941" s="45" t="str">
        <f aca="false">IF(OR(ISBLANK(J941),ISBLANK(K941)),IF(OR(H941="ALI",H941="AIE"),"L",IF(ISBLANK(H941),"","A")),IF(H941="EE",IF(K941&gt;=3,IF(J941&gt;=5,"H","A"),IF(K941&gt;=2,IF(J941&gt;=16,"H",IF(J941&lt;=4,"L","A")),IF(J941&lt;=15,"L","A"))),IF(OR(H941="SE",H941="CE"),IF(K941&gt;=4,IF(J941&gt;=6,"H","A"),IF(K941&gt;=2,IF(J941&gt;=20,"H",IF(J941&lt;=5,"L","A")),IF(J941&lt;=19,"L","A"))),IF(OR(H941="ALI",H941="AIE"),IF(K941&gt;=6,IF(J941&gt;=20,"H","A"),IF(K941&gt;=2,IF(J941&gt;=51,"H",IF(J941&lt;=19,"L","A")),IF(J941&lt;=50,"L","A")))))))</f>
        <v/>
      </c>
      <c r="N941" s="46" t="str">
        <f aca="false">IF(M941="L","Baixa",IF(M941="A","Média",IF(M941="","","Alta")))</f>
        <v/>
      </c>
      <c r="O941" s="47" t="str">
        <f aca="false">IF(ISBLANK(H941),"",IF(H941="ALI",IF(M941="L",7,IF(M941="A",10,15)),IF(H941="AIE",IF(M941="L",5,IF(M941="A",7,10)),IF(H941="SE",IF(M941="L",4,IF(M941="A",5,7)),IF(OR(H941="EE",H941="CE"),IF(M941="L",3,IF(M941="A",4,6)))))))</f>
        <v/>
      </c>
      <c r="P941" s="48" t="str">
        <f aca="false">IF(I941="I",O941*Contagem!$W$15,IF(I941="E",O941*Contagem!$W$17,IF(I941="A",O941*Contagem!$W$16,IF(I941="T",O941*Contagem!$W$18,""))))</f>
        <v/>
      </c>
      <c r="Q941" s="49"/>
    </row>
    <row r="942" customFormat="false" ht="12" hidden="false" customHeight="true" outlineLevel="0" collapsed="false">
      <c r="A942" s="40" t="n">
        <f aca="false">IF(H942="",IF(C942="",A941,A941+1),A941)</f>
        <v>62</v>
      </c>
      <c r="B942" s="41" t="str">
        <f aca="false">IF(A942=A941,"",CONCATENATE("F",A942))</f>
        <v/>
      </c>
      <c r="C942" s="42"/>
      <c r="D942" s="2"/>
      <c r="E942" s="2"/>
      <c r="F942" s="2"/>
      <c r="G942" s="2"/>
      <c r="H942" s="44"/>
      <c r="I942" s="50"/>
      <c r="J942" s="44"/>
      <c r="K942" s="44"/>
      <c r="L942" s="44" t="str">
        <f aca="false">CONCATENATE(H942,M942)</f>
        <v/>
      </c>
      <c r="M942" s="45" t="str">
        <f aca="false">IF(OR(ISBLANK(J942),ISBLANK(K942)),IF(OR(H942="ALI",H942="AIE"),"L",IF(ISBLANK(H942),"","A")),IF(H942="EE",IF(K942&gt;=3,IF(J942&gt;=5,"H","A"),IF(K942&gt;=2,IF(J942&gt;=16,"H",IF(J942&lt;=4,"L","A")),IF(J942&lt;=15,"L","A"))),IF(OR(H942="SE",H942="CE"),IF(K942&gt;=4,IF(J942&gt;=6,"H","A"),IF(K942&gt;=2,IF(J942&gt;=20,"H",IF(J942&lt;=5,"L","A")),IF(J942&lt;=19,"L","A"))),IF(OR(H942="ALI",H942="AIE"),IF(K942&gt;=6,IF(J942&gt;=20,"H","A"),IF(K942&gt;=2,IF(J942&gt;=51,"H",IF(J942&lt;=19,"L","A")),IF(J942&lt;=50,"L","A")))))))</f>
        <v/>
      </c>
      <c r="N942" s="46" t="str">
        <f aca="false">IF(M942="L","Baixa",IF(M942="A","Média",IF(M942="","","Alta")))</f>
        <v/>
      </c>
      <c r="O942" s="47" t="str">
        <f aca="false">IF(ISBLANK(H942),"",IF(H942="ALI",IF(M942="L",7,IF(M942="A",10,15)),IF(H942="AIE",IF(M942="L",5,IF(M942="A",7,10)),IF(H942="SE",IF(M942="L",4,IF(M942="A",5,7)),IF(OR(H942="EE",H942="CE"),IF(M942="L",3,IF(M942="A",4,6)))))))</f>
        <v/>
      </c>
      <c r="P942" s="48" t="str">
        <f aca="false">IF(I942="I",O942*Contagem!$W$15,IF(I942="E",O942*Contagem!$W$17,IF(I942="A",O942*Contagem!$W$16,IF(I942="T",O942*Contagem!$W$18,""))))</f>
        <v/>
      </c>
      <c r="Q942" s="49"/>
    </row>
    <row r="943" customFormat="false" ht="12" hidden="false" customHeight="true" outlineLevel="0" collapsed="false">
      <c r="A943" s="40" t="n">
        <f aca="false">IF(H943="",IF(C943="",A942,A942+1),A942)</f>
        <v>62</v>
      </c>
      <c r="B943" s="41" t="str">
        <f aca="false">IF(A943=A942,"",CONCATENATE("F",A943))</f>
        <v/>
      </c>
      <c r="C943" s="42"/>
      <c r="D943" s="2"/>
      <c r="E943" s="2"/>
      <c r="F943" s="2"/>
      <c r="G943" s="2"/>
      <c r="H943" s="44"/>
      <c r="I943" s="50"/>
      <c r="J943" s="44"/>
      <c r="K943" s="44"/>
      <c r="L943" s="44" t="str">
        <f aca="false">CONCATENATE(H943,M943)</f>
        <v/>
      </c>
      <c r="M943" s="45" t="str">
        <f aca="false">IF(OR(ISBLANK(J943),ISBLANK(K943)),IF(OR(H943="ALI",H943="AIE"),"L",IF(ISBLANK(H943),"","A")),IF(H943="EE",IF(K943&gt;=3,IF(J943&gt;=5,"H","A"),IF(K943&gt;=2,IF(J943&gt;=16,"H",IF(J943&lt;=4,"L","A")),IF(J943&lt;=15,"L","A"))),IF(OR(H943="SE",H943="CE"),IF(K943&gt;=4,IF(J943&gt;=6,"H","A"),IF(K943&gt;=2,IF(J943&gt;=20,"H",IF(J943&lt;=5,"L","A")),IF(J943&lt;=19,"L","A"))),IF(OR(H943="ALI",H943="AIE"),IF(K943&gt;=6,IF(J943&gt;=20,"H","A"),IF(K943&gt;=2,IF(J943&gt;=51,"H",IF(J943&lt;=19,"L","A")),IF(J943&lt;=50,"L","A")))))))</f>
        <v/>
      </c>
      <c r="N943" s="46" t="str">
        <f aca="false">IF(M943="L","Baixa",IF(M943="A","Média",IF(M943="","","Alta")))</f>
        <v/>
      </c>
      <c r="O943" s="47" t="str">
        <f aca="false">IF(ISBLANK(H943),"",IF(H943="ALI",IF(M943="L",7,IF(M943="A",10,15)),IF(H943="AIE",IF(M943="L",5,IF(M943="A",7,10)),IF(H943="SE",IF(M943="L",4,IF(M943="A",5,7)),IF(OR(H943="EE",H943="CE"),IF(M943="L",3,IF(M943="A",4,6)))))))</f>
        <v/>
      </c>
      <c r="P943" s="48" t="str">
        <f aca="false">IF(I943="I",O943*Contagem!$W$15,IF(I943="E",O943*Contagem!$W$17,IF(I943="A",O943*Contagem!$W$16,IF(I943="T",O943*Contagem!$W$18,""))))</f>
        <v/>
      </c>
      <c r="Q943" s="49"/>
    </row>
    <row r="944" customFormat="false" ht="12" hidden="false" customHeight="true" outlineLevel="0" collapsed="false">
      <c r="A944" s="40" t="n">
        <f aca="false">IF(H944="",IF(C944="",A943,A943+1),A943)</f>
        <v>62</v>
      </c>
      <c r="B944" s="41" t="str">
        <f aca="false">IF(A944=A943,"",CONCATENATE("F",A944))</f>
        <v/>
      </c>
      <c r="C944" s="42"/>
      <c r="D944" s="2"/>
      <c r="E944" s="2"/>
      <c r="F944" s="2"/>
      <c r="G944" s="2"/>
      <c r="H944" s="44"/>
      <c r="I944" s="50"/>
      <c r="J944" s="44"/>
      <c r="K944" s="44"/>
      <c r="L944" s="44" t="str">
        <f aca="false">CONCATENATE(H944,M944)</f>
        <v/>
      </c>
      <c r="M944" s="45" t="str">
        <f aca="false">IF(OR(ISBLANK(J944),ISBLANK(K944)),IF(OR(H944="ALI",H944="AIE"),"L",IF(ISBLANK(H944),"","A")),IF(H944="EE",IF(K944&gt;=3,IF(J944&gt;=5,"H","A"),IF(K944&gt;=2,IF(J944&gt;=16,"H",IF(J944&lt;=4,"L","A")),IF(J944&lt;=15,"L","A"))),IF(OR(H944="SE",H944="CE"),IF(K944&gt;=4,IF(J944&gt;=6,"H","A"),IF(K944&gt;=2,IF(J944&gt;=20,"H",IF(J944&lt;=5,"L","A")),IF(J944&lt;=19,"L","A"))),IF(OR(H944="ALI",H944="AIE"),IF(K944&gt;=6,IF(J944&gt;=20,"H","A"),IF(K944&gt;=2,IF(J944&gt;=51,"H",IF(J944&lt;=19,"L","A")),IF(J944&lt;=50,"L","A")))))))</f>
        <v/>
      </c>
      <c r="N944" s="46" t="str">
        <f aca="false">IF(M944="L","Baixa",IF(M944="A","Média",IF(M944="","","Alta")))</f>
        <v/>
      </c>
      <c r="O944" s="47" t="str">
        <f aca="false">IF(ISBLANK(H944),"",IF(H944="ALI",IF(M944="L",7,IF(M944="A",10,15)),IF(H944="AIE",IF(M944="L",5,IF(M944="A",7,10)),IF(H944="SE",IF(M944="L",4,IF(M944="A",5,7)),IF(OR(H944="EE",H944="CE"),IF(M944="L",3,IF(M944="A",4,6)))))))</f>
        <v/>
      </c>
      <c r="P944" s="48" t="str">
        <f aca="false">IF(I944="I",O944*Contagem!$W$15,IF(I944="E",O944*Contagem!$W$17,IF(I944="A",O944*Contagem!$W$16,IF(I944="T",O944*Contagem!$W$18,""))))</f>
        <v/>
      </c>
      <c r="Q944" s="49"/>
    </row>
    <row r="945" customFormat="false" ht="12" hidden="false" customHeight="true" outlineLevel="0" collapsed="false">
      <c r="A945" s="40" t="n">
        <f aca="false">IF(H945="",IF(C945="",A944,A944+1),A944)</f>
        <v>62</v>
      </c>
      <c r="B945" s="41" t="str">
        <f aca="false">IF(A945=A944,"",CONCATENATE("F",A945))</f>
        <v/>
      </c>
      <c r="C945" s="42"/>
      <c r="D945" s="2"/>
      <c r="E945" s="2"/>
      <c r="F945" s="2"/>
      <c r="G945" s="2"/>
      <c r="H945" s="44"/>
      <c r="I945" s="50"/>
      <c r="J945" s="44"/>
      <c r="K945" s="44"/>
      <c r="L945" s="44" t="str">
        <f aca="false">CONCATENATE(H945,M945)</f>
        <v/>
      </c>
      <c r="M945" s="45" t="str">
        <f aca="false">IF(OR(ISBLANK(J945),ISBLANK(K945)),IF(OR(H945="ALI",H945="AIE"),"L",IF(ISBLANK(H945),"","A")),IF(H945="EE",IF(K945&gt;=3,IF(J945&gt;=5,"H","A"),IF(K945&gt;=2,IF(J945&gt;=16,"H",IF(J945&lt;=4,"L","A")),IF(J945&lt;=15,"L","A"))),IF(OR(H945="SE",H945="CE"),IF(K945&gt;=4,IF(J945&gt;=6,"H","A"),IF(K945&gt;=2,IF(J945&gt;=20,"H",IF(J945&lt;=5,"L","A")),IF(J945&lt;=19,"L","A"))),IF(OR(H945="ALI",H945="AIE"),IF(K945&gt;=6,IF(J945&gt;=20,"H","A"),IF(K945&gt;=2,IF(J945&gt;=51,"H",IF(J945&lt;=19,"L","A")),IF(J945&lt;=50,"L","A")))))))</f>
        <v/>
      </c>
      <c r="N945" s="46" t="str">
        <f aca="false">IF(M945="L","Baixa",IF(M945="A","Média",IF(M945="","","Alta")))</f>
        <v/>
      </c>
      <c r="O945" s="47" t="str">
        <f aca="false">IF(ISBLANK(H945),"",IF(H945="ALI",IF(M945="L",7,IF(M945="A",10,15)),IF(H945="AIE",IF(M945="L",5,IF(M945="A",7,10)),IF(H945="SE",IF(M945="L",4,IF(M945="A",5,7)),IF(OR(H945="EE",H945="CE"),IF(M945="L",3,IF(M945="A",4,6)))))))</f>
        <v/>
      </c>
      <c r="P945" s="48" t="str">
        <f aca="false">IF(I945="I",O945*Contagem!$W$15,IF(I945="E",O945*Contagem!$W$17,IF(I945="A",O945*Contagem!$W$16,IF(I945="T",O945*Contagem!$W$18,""))))</f>
        <v/>
      </c>
      <c r="Q945" s="49"/>
    </row>
    <row r="946" customFormat="false" ht="12" hidden="false" customHeight="true" outlineLevel="0" collapsed="false">
      <c r="A946" s="40" t="n">
        <f aca="false">IF(H946="",IF(C946="",A945,A945+1),A945)</f>
        <v>62</v>
      </c>
      <c r="B946" s="41" t="str">
        <f aca="false">IF(A946=A945,"",CONCATENATE("F",A946))</f>
        <v/>
      </c>
      <c r="C946" s="42"/>
      <c r="D946" s="2"/>
      <c r="E946" s="2"/>
      <c r="F946" s="2"/>
      <c r="G946" s="2"/>
      <c r="H946" s="44"/>
      <c r="I946" s="50"/>
      <c r="J946" s="44"/>
      <c r="K946" s="44"/>
      <c r="L946" s="44" t="str">
        <f aca="false">CONCATENATE(H946,M946)</f>
        <v/>
      </c>
      <c r="M946" s="45" t="str">
        <f aca="false">IF(OR(ISBLANK(J946),ISBLANK(K946)),IF(OR(H946="ALI",H946="AIE"),"L",IF(ISBLANK(H946),"","A")),IF(H946="EE",IF(K946&gt;=3,IF(J946&gt;=5,"H","A"),IF(K946&gt;=2,IF(J946&gt;=16,"H",IF(J946&lt;=4,"L","A")),IF(J946&lt;=15,"L","A"))),IF(OR(H946="SE",H946="CE"),IF(K946&gt;=4,IF(J946&gt;=6,"H","A"),IF(K946&gt;=2,IF(J946&gt;=20,"H",IF(J946&lt;=5,"L","A")),IF(J946&lt;=19,"L","A"))),IF(OR(H946="ALI",H946="AIE"),IF(K946&gt;=6,IF(J946&gt;=20,"H","A"),IF(K946&gt;=2,IF(J946&gt;=51,"H",IF(J946&lt;=19,"L","A")),IF(J946&lt;=50,"L","A")))))))</f>
        <v/>
      </c>
      <c r="N946" s="46" t="str">
        <f aca="false">IF(M946="L","Baixa",IF(M946="A","Média",IF(M946="","","Alta")))</f>
        <v/>
      </c>
      <c r="O946" s="47" t="str">
        <f aca="false">IF(ISBLANK(H946),"",IF(H946="ALI",IF(M946="L",7,IF(M946="A",10,15)),IF(H946="AIE",IF(M946="L",5,IF(M946="A",7,10)),IF(H946="SE",IF(M946="L",4,IF(M946="A",5,7)),IF(OR(H946="EE",H946="CE"),IF(M946="L",3,IF(M946="A",4,6)))))))</f>
        <v/>
      </c>
      <c r="P946" s="48" t="str">
        <f aca="false">IF(I946="I",O946*Contagem!$W$15,IF(I946="E",O946*Contagem!$W$17,IF(I946="A",O946*Contagem!$W$16,IF(I946="T",O946*Contagem!$W$18,""))))</f>
        <v/>
      </c>
      <c r="Q946" s="49"/>
    </row>
    <row r="947" customFormat="false" ht="12" hidden="false" customHeight="true" outlineLevel="0" collapsed="false">
      <c r="A947" s="40" t="n">
        <f aca="false">IF(H947="",IF(C947="",A946,A946+1),A946)</f>
        <v>62</v>
      </c>
      <c r="B947" s="41" t="str">
        <f aca="false">IF(A947=A946,"",CONCATENATE("F",A947))</f>
        <v/>
      </c>
      <c r="C947" s="42"/>
      <c r="D947" s="2"/>
      <c r="E947" s="2"/>
      <c r="F947" s="2"/>
      <c r="G947" s="2"/>
      <c r="H947" s="44"/>
      <c r="I947" s="50"/>
      <c r="J947" s="44"/>
      <c r="K947" s="44"/>
      <c r="L947" s="44" t="str">
        <f aca="false">CONCATENATE(H947,M947)</f>
        <v/>
      </c>
      <c r="M947" s="45" t="str">
        <f aca="false">IF(OR(ISBLANK(J947),ISBLANK(K947)),IF(OR(H947="ALI",H947="AIE"),"L",IF(ISBLANK(H947),"","A")),IF(H947="EE",IF(K947&gt;=3,IF(J947&gt;=5,"H","A"),IF(K947&gt;=2,IF(J947&gt;=16,"H",IF(J947&lt;=4,"L","A")),IF(J947&lt;=15,"L","A"))),IF(OR(H947="SE",H947="CE"),IF(K947&gt;=4,IF(J947&gt;=6,"H","A"),IF(K947&gt;=2,IF(J947&gt;=20,"H",IF(J947&lt;=5,"L","A")),IF(J947&lt;=19,"L","A"))),IF(OR(H947="ALI",H947="AIE"),IF(K947&gt;=6,IF(J947&gt;=20,"H","A"),IF(K947&gt;=2,IF(J947&gt;=51,"H",IF(J947&lt;=19,"L","A")),IF(J947&lt;=50,"L","A")))))))</f>
        <v/>
      </c>
      <c r="N947" s="46" t="str">
        <f aca="false">IF(M947="L","Baixa",IF(M947="A","Média",IF(M947="","","Alta")))</f>
        <v/>
      </c>
      <c r="O947" s="47" t="str">
        <f aca="false">IF(ISBLANK(H947),"",IF(H947="ALI",IF(M947="L",7,IF(M947="A",10,15)),IF(H947="AIE",IF(M947="L",5,IF(M947="A",7,10)),IF(H947="SE",IF(M947="L",4,IF(M947="A",5,7)),IF(OR(H947="EE",H947="CE"),IF(M947="L",3,IF(M947="A",4,6)))))))</f>
        <v/>
      </c>
      <c r="P947" s="48" t="str">
        <f aca="false">IF(I947="I",O947*Contagem!$W$15,IF(I947="E",O947*Contagem!$W$17,IF(I947="A",O947*Contagem!$W$16,IF(I947="T",O947*Contagem!$W$18,""))))</f>
        <v/>
      </c>
      <c r="Q947" s="49"/>
    </row>
    <row r="948" customFormat="false" ht="12" hidden="false" customHeight="true" outlineLevel="0" collapsed="false">
      <c r="A948" s="40" t="n">
        <f aca="false">IF(H948="",IF(C948="",A947,A947+1),A947)</f>
        <v>62</v>
      </c>
      <c r="B948" s="41" t="str">
        <f aca="false">IF(A948=A947,"",CONCATENATE("F",A948))</f>
        <v/>
      </c>
      <c r="C948" s="42"/>
      <c r="D948" s="2"/>
      <c r="E948" s="2"/>
      <c r="F948" s="2"/>
      <c r="G948" s="2"/>
      <c r="H948" s="44"/>
      <c r="I948" s="50"/>
      <c r="J948" s="44"/>
      <c r="K948" s="44"/>
      <c r="L948" s="44" t="str">
        <f aca="false">CONCATENATE(H948,M948)</f>
        <v/>
      </c>
      <c r="M948" s="45" t="str">
        <f aca="false">IF(OR(ISBLANK(J948),ISBLANK(K948)),IF(OR(H948="ALI",H948="AIE"),"L",IF(ISBLANK(H948),"","A")),IF(H948="EE",IF(K948&gt;=3,IF(J948&gt;=5,"H","A"),IF(K948&gt;=2,IF(J948&gt;=16,"H",IF(J948&lt;=4,"L","A")),IF(J948&lt;=15,"L","A"))),IF(OR(H948="SE",H948="CE"),IF(K948&gt;=4,IF(J948&gt;=6,"H","A"),IF(K948&gt;=2,IF(J948&gt;=20,"H",IF(J948&lt;=5,"L","A")),IF(J948&lt;=19,"L","A"))),IF(OR(H948="ALI",H948="AIE"),IF(K948&gt;=6,IF(J948&gt;=20,"H","A"),IF(K948&gt;=2,IF(J948&gt;=51,"H",IF(J948&lt;=19,"L","A")),IF(J948&lt;=50,"L","A")))))))</f>
        <v/>
      </c>
      <c r="N948" s="46" t="str">
        <f aca="false">IF(M948="L","Baixa",IF(M948="A","Média",IF(M948="","","Alta")))</f>
        <v/>
      </c>
      <c r="O948" s="47" t="str">
        <f aca="false">IF(ISBLANK(H948),"",IF(H948="ALI",IF(M948="L",7,IF(M948="A",10,15)),IF(H948="AIE",IF(M948="L",5,IF(M948="A",7,10)),IF(H948="SE",IF(M948="L",4,IF(M948="A",5,7)),IF(OR(H948="EE",H948="CE"),IF(M948="L",3,IF(M948="A",4,6)))))))</f>
        <v/>
      </c>
      <c r="P948" s="48" t="str">
        <f aca="false">IF(I948="I",O948*Contagem!$W$15,IF(I948="E",O948*Contagem!$W$17,IF(I948="A",O948*Contagem!$W$16,IF(I948="T",O948*Contagem!$W$18,""))))</f>
        <v/>
      </c>
      <c r="Q948" s="49"/>
    </row>
    <row r="949" customFormat="false" ht="12" hidden="false" customHeight="true" outlineLevel="0" collapsed="false">
      <c r="A949" s="40" t="n">
        <f aca="false">IF(H949="",IF(C949="",A948,A948+1),A948)</f>
        <v>62</v>
      </c>
      <c r="B949" s="41" t="str">
        <f aca="false">IF(A949=A948,"",CONCATENATE("F",A949))</f>
        <v/>
      </c>
      <c r="C949" s="42"/>
      <c r="D949" s="2"/>
      <c r="E949" s="2"/>
      <c r="F949" s="2"/>
      <c r="G949" s="2"/>
      <c r="H949" s="44"/>
      <c r="I949" s="50"/>
      <c r="J949" s="44"/>
      <c r="K949" s="44"/>
      <c r="L949" s="44" t="str">
        <f aca="false">CONCATENATE(H949,M949)</f>
        <v/>
      </c>
      <c r="M949" s="45" t="str">
        <f aca="false">IF(OR(ISBLANK(J949),ISBLANK(K949)),IF(OR(H949="ALI",H949="AIE"),"L",IF(ISBLANK(H949),"","A")),IF(H949="EE",IF(K949&gt;=3,IF(J949&gt;=5,"H","A"),IF(K949&gt;=2,IF(J949&gt;=16,"H",IF(J949&lt;=4,"L","A")),IF(J949&lt;=15,"L","A"))),IF(OR(H949="SE",H949="CE"),IF(K949&gt;=4,IF(J949&gt;=6,"H","A"),IF(K949&gt;=2,IF(J949&gt;=20,"H",IF(J949&lt;=5,"L","A")),IF(J949&lt;=19,"L","A"))),IF(OR(H949="ALI",H949="AIE"),IF(K949&gt;=6,IF(J949&gt;=20,"H","A"),IF(K949&gt;=2,IF(J949&gt;=51,"H",IF(J949&lt;=19,"L","A")),IF(J949&lt;=50,"L","A")))))))</f>
        <v/>
      </c>
      <c r="N949" s="46" t="str">
        <f aca="false">IF(M949="L","Baixa",IF(M949="A","Média",IF(M949="","","Alta")))</f>
        <v/>
      </c>
      <c r="O949" s="47" t="str">
        <f aca="false">IF(ISBLANK(H949),"",IF(H949="ALI",IF(M949="L",7,IF(M949="A",10,15)),IF(H949="AIE",IF(M949="L",5,IF(M949="A",7,10)),IF(H949="SE",IF(M949="L",4,IF(M949="A",5,7)),IF(OR(H949="EE",H949="CE"),IF(M949="L",3,IF(M949="A",4,6)))))))</f>
        <v/>
      </c>
      <c r="P949" s="48" t="str">
        <f aca="false">IF(I949="I",O949*Contagem!$W$15,IF(I949="E",O949*Contagem!$W$17,IF(I949="A",O949*Contagem!$W$16,IF(I949="T",O949*Contagem!$W$18,""))))</f>
        <v/>
      </c>
      <c r="Q949" s="49"/>
    </row>
    <row r="950" customFormat="false" ht="12" hidden="false" customHeight="true" outlineLevel="0" collapsed="false">
      <c r="A950" s="40" t="n">
        <f aca="false">IF(H950="",IF(C950="",A949,A949+1),A949)</f>
        <v>62</v>
      </c>
      <c r="B950" s="41" t="str">
        <f aca="false">IF(A950=A949,"",CONCATENATE("F",A950))</f>
        <v/>
      </c>
      <c r="C950" s="42"/>
      <c r="D950" s="2"/>
      <c r="E950" s="2"/>
      <c r="F950" s="2"/>
      <c r="G950" s="2"/>
      <c r="H950" s="44"/>
      <c r="I950" s="50"/>
      <c r="J950" s="44"/>
      <c r="K950" s="44"/>
      <c r="L950" s="44" t="str">
        <f aca="false">CONCATENATE(H950,M950)</f>
        <v/>
      </c>
      <c r="M950" s="45" t="str">
        <f aca="false">IF(OR(ISBLANK(J950),ISBLANK(K950)),IF(OR(H950="ALI",H950="AIE"),"L",IF(ISBLANK(H950),"","A")),IF(H950="EE",IF(K950&gt;=3,IF(J950&gt;=5,"H","A"),IF(K950&gt;=2,IF(J950&gt;=16,"H",IF(J950&lt;=4,"L","A")),IF(J950&lt;=15,"L","A"))),IF(OR(H950="SE",H950="CE"),IF(K950&gt;=4,IF(J950&gt;=6,"H","A"),IF(K950&gt;=2,IF(J950&gt;=20,"H",IF(J950&lt;=5,"L","A")),IF(J950&lt;=19,"L","A"))),IF(OR(H950="ALI",H950="AIE"),IF(K950&gt;=6,IF(J950&gt;=20,"H","A"),IF(K950&gt;=2,IF(J950&gt;=51,"H",IF(J950&lt;=19,"L","A")),IF(J950&lt;=50,"L","A")))))))</f>
        <v/>
      </c>
      <c r="N950" s="46" t="str">
        <f aca="false">IF(M950="L","Baixa",IF(M950="A","Média",IF(M950="","","Alta")))</f>
        <v/>
      </c>
      <c r="O950" s="47" t="str">
        <f aca="false">IF(ISBLANK(H950),"",IF(H950="ALI",IF(M950="L",7,IF(M950="A",10,15)),IF(H950="AIE",IF(M950="L",5,IF(M950="A",7,10)),IF(H950="SE",IF(M950="L",4,IF(M950="A",5,7)),IF(OR(H950="EE",H950="CE"),IF(M950="L",3,IF(M950="A",4,6)))))))</f>
        <v/>
      </c>
      <c r="P950" s="48" t="str">
        <f aca="false">IF(I950="I",O950*Contagem!$W$15,IF(I950="E",O950*Contagem!$W$17,IF(I950="A",O950*Contagem!$W$16,IF(I950="T",O950*Contagem!$W$18,""))))</f>
        <v/>
      </c>
      <c r="Q950" s="49"/>
    </row>
    <row r="951" customFormat="false" ht="12" hidden="false" customHeight="true" outlineLevel="0" collapsed="false">
      <c r="A951" s="40" t="n">
        <f aca="false">IF(H951="",IF(C951="",A950,A950+1),A950)</f>
        <v>62</v>
      </c>
      <c r="B951" s="41" t="str">
        <f aca="false">IF(A951=A950,"",CONCATENATE("F",A951))</f>
        <v/>
      </c>
      <c r="C951" s="42"/>
      <c r="D951" s="2"/>
      <c r="E951" s="2"/>
      <c r="F951" s="2"/>
      <c r="G951" s="2"/>
      <c r="H951" s="44"/>
      <c r="I951" s="50"/>
      <c r="J951" s="44"/>
      <c r="K951" s="44"/>
      <c r="L951" s="44" t="str">
        <f aca="false">CONCATENATE(H951,M951)</f>
        <v/>
      </c>
      <c r="M951" s="45" t="str">
        <f aca="false">IF(OR(ISBLANK(J951),ISBLANK(K951)),IF(OR(H951="ALI",H951="AIE"),"L",IF(ISBLANK(H951),"","A")),IF(H951="EE",IF(K951&gt;=3,IF(J951&gt;=5,"H","A"),IF(K951&gt;=2,IF(J951&gt;=16,"H",IF(J951&lt;=4,"L","A")),IF(J951&lt;=15,"L","A"))),IF(OR(H951="SE",H951="CE"),IF(K951&gt;=4,IF(J951&gt;=6,"H","A"),IF(K951&gt;=2,IF(J951&gt;=20,"H",IF(J951&lt;=5,"L","A")),IF(J951&lt;=19,"L","A"))),IF(OR(H951="ALI",H951="AIE"),IF(K951&gt;=6,IF(J951&gt;=20,"H","A"),IF(K951&gt;=2,IF(J951&gt;=51,"H",IF(J951&lt;=19,"L","A")),IF(J951&lt;=50,"L","A")))))))</f>
        <v/>
      </c>
      <c r="N951" s="46" t="str">
        <f aca="false">IF(M951="L","Baixa",IF(M951="A","Média",IF(M951="","","Alta")))</f>
        <v/>
      </c>
      <c r="O951" s="47" t="str">
        <f aca="false">IF(ISBLANK(H951),"",IF(H951="ALI",IF(M951="L",7,IF(M951="A",10,15)),IF(H951="AIE",IF(M951="L",5,IF(M951="A",7,10)),IF(H951="SE",IF(M951="L",4,IF(M951="A",5,7)),IF(OR(H951="EE",H951="CE"),IF(M951="L",3,IF(M951="A",4,6)))))))</f>
        <v/>
      </c>
      <c r="P951" s="48" t="str">
        <f aca="false">IF(I951="I",O951*Contagem!$W$15,IF(I951="E",O951*Contagem!$W$17,IF(I951="A",O951*Contagem!$W$16,IF(I951="T",O951*Contagem!$W$18,""))))</f>
        <v/>
      </c>
      <c r="Q951" s="49"/>
    </row>
    <row r="952" customFormat="false" ht="12" hidden="false" customHeight="true" outlineLevel="0" collapsed="false">
      <c r="A952" s="40" t="n">
        <f aca="false">IF(H952="",IF(C952="",A951,A951+1),A951)</f>
        <v>62</v>
      </c>
      <c r="B952" s="41" t="str">
        <f aca="false">IF(A952=A951,"",CONCATENATE("F",A952))</f>
        <v/>
      </c>
      <c r="C952" s="42"/>
      <c r="D952" s="2"/>
      <c r="E952" s="2"/>
      <c r="F952" s="2"/>
      <c r="G952" s="2"/>
      <c r="H952" s="44"/>
      <c r="I952" s="50"/>
      <c r="J952" s="44"/>
      <c r="K952" s="44"/>
      <c r="L952" s="44" t="str">
        <f aca="false">CONCATENATE(H952,M952)</f>
        <v/>
      </c>
      <c r="M952" s="45" t="str">
        <f aca="false">IF(OR(ISBLANK(J952),ISBLANK(K952)),IF(OR(H952="ALI",H952="AIE"),"L",IF(ISBLANK(H952),"","A")),IF(H952="EE",IF(K952&gt;=3,IF(J952&gt;=5,"H","A"),IF(K952&gt;=2,IF(J952&gt;=16,"H",IF(J952&lt;=4,"L","A")),IF(J952&lt;=15,"L","A"))),IF(OR(H952="SE",H952="CE"),IF(K952&gt;=4,IF(J952&gt;=6,"H","A"),IF(K952&gt;=2,IF(J952&gt;=20,"H",IF(J952&lt;=5,"L","A")),IF(J952&lt;=19,"L","A"))),IF(OR(H952="ALI",H952="AIE"),IF(K952&gt;=6,IF(J952&gt;=20,"H","A"),IF(K952&gt;=2,IF(J952&gt;=51,"H",IF(J952&lt;=19,"L","A")),IF(J952&lt;=50,"L","A")))))))</f>
        <v/>
      </c>
      <c r="N952" s="46" t="str">
        <f aca="false">IF(M952="L","Baixa",IF(M952="A","Média",IF(M952="","","Alta")))</f>
        <v/>
      </c>
      <c r="O952" s="47" t="str">
        <f aca="false">IF(ISBLANK(H952),"",IF(H952="ALI",IF(M952="L",7,IF(M952="A",10,15)),IF(H952="AIE",IF(M952="L",5,IF(M952="A",7,10)),IF(H952="SE",IF(M952="L",4,IF(M952="A",5,7)),IF(OR(H952="EE",H952="CE"),IF(M952="L",3,IF(M952="A",4,6)))))))</f>
        <v/>
      </c>
      <c r="P952" s="48" t="str">
        <f aca="false">IF(I952="I",O952*Contagem!$W$15,IF(I952="E",O952*Contagem!$W$17,IF(I952="A",O952*Contagem!$W$16,IF(I952="T",O952*Contagem!$W$18,""))))</f>
        <v/>
      </c>
      <c r="Q952" s="49"/>
    </row>
    <row r="953" customFormat="false" ht="12" hidden="false" customHeight="true" outlineLevel="0" collapsed="false">
      <c r="A953" s="40" t="n">
        <f aca="false">IF(H953="",IF(C953="",A952,A952+1),A952)</f>
        <v>62</v>
      </c>
      <c r="B953" s="41" t="str">
        <f aca="false">IF(A953=A952,"",CONCATENATE("F",A953))</f>
        <v/>
      </c>
      <c r="C953" s="42"/>
      <c r="D953" s="2"/>
      <c r="E953" s="2"/>
      <c r="F953" s="2"/>
      <c r="G953" s="2"/>
      <c r="H953" s="44"/>
      <c r="I953" s="50"/>
      <c r="J953" s="44"/>
      <c r="K953" s="44"/>
      <c r="L953" s="44" t="str">
        <f aca="false">CONCATENATE(H953,M953)</f>
        <v/>
      </c>
      <c r="M953" s="45" t="str">
        <f aca="false">IF(OR(ISBLANK(J953),ISBLANK(K953)),IF(OR(H953="ALI",H953="AIE"),"L",IF(ISBLANK(H953),"","A")),IF(H953="EE",IF(K953&gt;=3,IF(J953&gt;=5,"H","A"),IF(K953&gt;=2,IF(J953&gt;=16,"H",IF(J953&lt;=4,"L","A")),IF(J953&lt;=15,"L","A"))),IF(OR(H953="SE",H953="CE"),IF(K953&gt;=4,IF(J953&gt;=6,"H","A"),IF(K953&gt;=2,IF(J953&gt;=20,"H",IF(J953&lt;=5,"L","A")),IF(J953&lt;=19,"L","A"))),IF(OR(H953="ALI",H953="AIE"),IF(K953&gt;=6,IF(J953&gt;=20,"H","A"),IF(K953&gt;=2,IF(J953&gt;=51,"H",IF(J953&lt;=19,"L","A")),IF(J953&lt;=50,"L","A")))))))</f>
        <v/>
      </c>
      <c r="N953" s="46" t="str">
        <f aca="false">IF(M953="L","Baixa",IF(M953="A","Média",IF(M953="","","Alta")))</f>
        <v/>
      </c>
      <c r="O953" s="47" t="str">
        <f aca="false">IF(ISBLANK(H953),"",IF(H953="ALI",IF(M953="L",7,IF(M953="A",10,15)),IF(H953="AIE",IF(M953="L",5,IF(M953="A",7,10)),IF(H953="SE",IF(M953="L",4,IF(M953="A",5,7)),IF(OR(H953="EE",H953="CE"),IF(M953="L",3,IF(M953="A",4,6)))))))</f>
        <v/>
      </c>
      <c r="P953" s="48" t="str">
        <f aca="false">IF(I953="I",O953*Contagem!$W$15,IF(I953="E",O953*Contagem!$W$17,IF(I953="A",O953*Contagem!$W$16,IF(I953="T",O953*Contagem!$W$18,""))))</f>
        <v/>
      </c>
      <c r="Q953" s="49"/>
    </row>
    <row r="954" customFormat="false" ht="12" hidden="false" customHeight="true" outlineLevel="0" collapsed="false">
      <c r="A954" s="40" t="n">
        <f aca="false">IF(H954="",IF(C954="",A953,A953+1),A953)</f>
        <v>62</v>
      </c>
      <c r="B954" s="41" t="str">
        <f aca="false">IF(A954=A953,"",CONCATENATE("F",A954))</f>
        <v/>
      </c>
      <c r="C954" s="42"/>
      <c r="D954" s="2"/>
      <c r="E954" s="2"/>
      <c r="F954" s="2"/>
      <c r="G954" s="2"/>
      <c r="H954" s="44"/>
      <c r="I954" s="50"/>
      <c r="J954" s="44"/>
      <c r="K954" s="44"/>
      <c r="L954" s="44" t="str">
        <f aca="false">CONCATENATE(H954,M954)</f>
        <v/>
      </c>
      <c r="M954" s="45" t="str">
        <f aca="false">IF(OR(ISBLANK(J954),ISBLANK(K954)),IF(OR(H954="ALI",H954="AIE"),"L",IF(ISBLANK(H954),"","A")),IF(H954="EE",IF(K954&gt;=3,IF(J954&gt;=5,"H","A"),IF(K954&gt;=2,IF(J954&gt;=16,"H",IF(J954&lt;=4,"L","A")),IF(J954&lt;=15,"L","A"))),IF(OR(H954="SE",H954="CE"),IF(K954&gt;=4,IF(J954&gt;=6,"H","A"),IF(K954&gt;=2,IF(J954&gt;=20,"H",IF(J954&lt;=5,"L","A")),IF(J954&lt;=19,"L","A"))),IF(OR(H954="ALI",H954="AIE"),IF(K954&gt;=6,IF(J954&gt;=20,"H","A"),IF(K954&gt;=2,IF(J954&gt;=51,"H",IF(J954&lt;=19,"L","A")),IF(J954&lt;=50,"L","A")))))))</f>
        <v/>
      </c>
      <c r="N954" s="46" t="str">
        <f aca="false">IF(M954="L","Baixa",IF(M954="A","Média",IF(M954="","","Alta")))</f>
        <v/>
      </c>
      <c r="O954" s="47" t="str">
        <f aca="false">IF(ISBLANK(H954),"",IF(H954="ALI",IF(M954="L",7,IF(M954="A",10,15)),IF(H954="AIE",IF(M954="L",5,IF(M954="A",7,10)),IF(H954="SE",IF(M954="L",4,IF(M954="A",5,7)),IF(OR(H954="EE",H954="CE"),IF(M954="L",3,IF(M954="A",4,6)))))))</f>
        <v/>
      </c>
      <c r="P954" s="48" t="str">
        <f aca="false">IF(I954="I",O954*Contagem!$W$15,IF(I954="E",O954*Contagem!$W$17,IF(I954="A",O954*Contagem!$W$16,IF(I954="T",O954*Contagem!$W$18,""))))</f>
        <v/>
      </c>
      <c r="Q954" s="49"/>
    </row>
    <row r="955" customFormat="false" ht="12" hidden="false" customHeight="true" outlineLevel="0" collapsed="false">
      <c r="A955" s="40" t="n">
        <f aca="false">IF(H955="",IF(C955="",A954,A954+1),A954)</f>
        <v>62</v>
      </c>
      <c r="B955" s="41" t="str">
        <f aca="false">IF(A955=A954,"",CONCATENATE("F",A955))</f>
        <v/>
      </c>
      <c r="C955" s="42"/>
      <c r="D955" s="2"/>
      <c r="E955" s="2"/>
      <c r="F955" s="2"/>
      <c r="G955" s="2"/>
      <c r="H955" s="44"/>
      <c r="I955" s="50"/>
      <c r="J955" s="44"/>
      <c r="K955" s="44"/>
      <c r="L955" s="44" t="str">
        <f aca="false">CONCATENATE(H955,M955)</f>
        <v/>
      </c>
      <c r="M955" s="45" t="str">
        <f aca="false">IF(OR(ISBLANK(J955),ISBLANK(K955)),IF(OR(H955="ALI",H955="AIE"),"L",IF(ISBLANK(H955),"","A")),IF(H955="EE",IF(K955&gt;=3,IF(J955&gt;=5,"H","A"),IF(K955&gt;=2,IF(J955&gt;=16,"H",IF(J955&lt;=4,"L","A")),IF(J955&lt;=15,"L","A"))),IF(OR(H955="SE",H955="CE"),IF(K955&gt;=4,IF(J955&gt;=6,"H","A"),IF(K955&gt;=2,IF(J955&gt;=20,"H",IF(J955&lt;=5,"L","A")),IF(J955&lt;=19,"L","A"))),IF(OR(H955="ALI",H955="AIE"),IF(K955&gt;=6,IF(J955&gt;=20,"H","A"),IF(K955&gt;=2,IF(J955&gt;=51,"H",IF(J955&lt;=19,"L","A")),IF(J955&lt;=50,"L","A")))))))</f>
        <v/>
      </c>
      <c r="N955" s="46" t="str">
        <f aca="false">IF(M955="L","Baixa",IF(M955="A","Média",IF(M955="","","Alta")))</f>
        <v/>
      </c>
      <c r="O955" s="47" t="str">
        <f aca="false">IF(ISBLANK(H955),"",IF(H955="ALI",IF(M955="L",7,IF(M955="A",10,15)),IF(H955="AIE",IF(M955="L",5,IF(M955="A",7,10)),IF(H955="SE",IF(M955="L",4,IF(M955="A",5,7)),IF(OR(H955="EE",H955="CE"),IF(M955="L",3,IF(M955="A",4,6)))))))</f>
        <v/>
      </c>
      <c r="P955" s="48" t="str">
        <f aca="false">IF(I955="I",O955*Contagem!$W$15,IF(I955="E",O955*Contagem!$W$17,IF(I955="A",O955*Contagem!$W$16,IF(I955="T",O955*Contagem!$W$18,""))))</f>
        <v/>
      </c>
      <c r="Q955" s="49"/>
    </row>
    <row r="956" customFormat="false" ht="12" hidden="false" customHeight="true" outlineLevel="0" collapsed="false">
      <c r="A956" s="40" t="n">
        <f aca="false">IF(H956="",IF(C956="",A955,A955+1),A955)</f>
        <v>62</v>
      </c>
      <c r="B956" s="41" t="str">
        <f aca="false">IF(A956=A955,"",CONCATENATE("F",A956))</f>
        <v/>
      </c>
      <c r="C956" s="42"/>
      <c r="D956" s="2"/>
      <c r="E956" s="2"/>
      <c r="F956" s="2"/>
      <c r="G956" s="2"/>
      <c r="H956" s="44"/>
      <c r="I956" s="50"/>
      <c r="J956" s="44"/>
      <c r="K956" s="44"/>
      <c r="L956" s="44" t="str">
        <f aca="false">CONCATENATE(H956,M956)</f>
        <v/>
      </c>
      <c r="M956" s="45" t="str">
        <f aca="false">IF(OR(ISBLANK(J956),ISBLANK(K956)),IF(OR(H956="ALI",H956="AIE"),"L",IF(ISBLANK(H956),"","A")),IF(H956="EE",IF(K956&gt;=3,IF(J956&gt;=5,"H","A"),IF(K956&gt;=2,IF(J956&gt;=16,"H",IF(J956&lt;=4,"L","A")),IF(J956&lt;=15,"L","A"))),IF(OR(H956="SE",H956="CE"),IF(K956&gt;=4,IF(J956&gt;=6,"H","A"),IF(K956&gt;=2,IF(J956&gt;=20,"H",IF(J956&lt;=5,"L","A")),IF(J956&lt;=19,"L","A"))),IF(OR(H956="ALI",H956="AIE"),IF(K956&gt;=6,IF(J956&gt;=20,"H","A"),IF(K956&gt;=2,IF(J956&gt;=51,"H",IF(J956&lt;=19,"L","A")),IF(J956&lt;=50,"L","A")))))))</f>
        <v/>
      </c>
      <c r="N956" s="46" t="str">
        <f aca="false">IF(M956="L","Baixa",IF(M956="A","Média",IF(M956="","","Alta")))</f>
        <v/>
      </c>
      <c r="O956" s="47" t="str">
        <f aca="false">IF(ISBLANK(H956),"",IF(H956="ALI",IF(M956="L",7,IF(M956="A",10,15)),IF(H956="AIE",IF(M956="L",5,IF(M956="A",7,10)),IF(H956="SE",IF(M956="L",4,IF(M956="A",5,7)),IF(OR(H956="EE",H956="CE"),IF(M956="L",3,IF(M956="A",4,6)))))))</f>
        <v/>
      </c>
      <c r="P956" s="48" t="str">
        <f aca="false">IF(I956="I",O956*Contagem!$W$15,IF(I956="E",O956*Contagem!$W$17,IF(I956="A",O956*Contagem!$W$16,IF(I956="T",O956*Contagem!$W$18,""))))</f>
        <v/>
      </c>
      <c r="Q956" s="49"/>
    </row>
    <row r="957" customFormat="false" ht="12" hidden="false" customHeight="true" outlineLevel="0" collapsed="false">
      <c r="A957" s="40" t="n">
        <f aca="false">IF(H957="",IF(C957="",A956,A956+1),A956)</f>
        <v>62</v>
      </c>
      <c r="B957" s="41" t="str">
        <f aca="false">IF(A957=A956,"",CONCATENATE("F",A957))</f>
        <v/>
      </c>
      <c r="C957" s="42"/>
      <c r="D957" s="2"/>
      <c r="E957" s="2"/>
      <c r="F957" s="2"/>
      <c r="G957" s="2"/>
      <c r="H957" s="44"/>
      <c r="I957" s="50"/>
      <c r="J957" s="44"/>
      <c r="K957" s="44"/>
      <c r="L957" s="44" t="str">
        <f aca="false">CONCATENATE(H957,M957)</f>
        <v/>
      </c>
      <c r="M957" s="45" t="str">
        <f aca="false">IF(OR(ISBLANK(J957),ISBLANK(K957)),IF(OR(H957="ALI",H957="AIE"),"L",IF(ISBLANK(H957),"","A")),IF(H957="EE",IF(K957&gt;=3,IF(J957&gt;=5,"H","A"),IF(K957&gt;=2,IF(J957&gt;=16,"H",IF(J957&lt;=4,"L","A")),IF(J957&lt;=15,"L","A"))),IF(OR(H957="SE",H957="CE"),IF(K957&gt;=4,IF(J957&gt;=6,"H","A"),IF(K957&gt;=2,IF(J957&gt;=20,"H",IF(J957&lt;=5,"L","A")),IF(J957&lt;=19,"L","A"))),IF(OR(H957="ALI",H957="AIE"),IF(K957&gt;=6,IF(J957&gt;=20,"H","A"),IF(K957&gt;=2,IF(J957&gt;=51,"H",IF(J957&lt;=19,"L","A")),IF(J957&lt;=50,"L","A")))))))</f>
        <v/>
      </c>
      <c r="N957" s="46" t="str">
        <f aca="false">IF(M957="L","Baixa",IF(M957="A","Média",IF(M957="","","Alta")))</f>
        <v/>
      </c>
      <c r="O957" s="47" t="str">
        <f aca="false">IF(ISBLANK(H957),"",IF(H957="ALI",IF(M957="L",7,IF(M957="A",10,15)),IF(H957="AIE",IF(M957="L",5,IF(M957="A",7,10)),IF(H957="SE",IF(M957="L",4,IF(M957="A",5,7)),IF(OR(H957="EE",H957="CE"),IF(M957="L",3,IF(M957="A",4,6)))))))</f>
        <v/>
      </c>
      <c r="P957" s="48" t="str">
        <f aca="false">IF(I957="I",O957*Contagem!$W$15,IF(I957="E",O957*Contagem!$W$17,IF(I957="A",O957*Contagem!$W$16,IF(I957="T",O957*Contagem!$W$18,""))))</f>
        <v/>
      </c>
      <c r="Q957" s="49"/>
    </row>
    <row r="958" customFormat="false" ht="12" hidden="false" customHeight="true" outlineLevel="0" collapsed="false">
      <c r="A958" s="40" t="n">
        <f aca="false">IF(H958="",IF(C958="",A957,A957+1),A957)</f>
        <v>62</v>
      </c>
      <c r="B958" s="41" t="str">
        <f aca="false">IF(A958=A957,"",CONCATENATE("F",A958))</f>
        <v/>
      </c>
      <c r="C958" s="42"/>
      <c r="D958" s="2"/>
      <c r="E958" s="2"/>
      <c r="F958" s="2"/>
      <c r="G958" s="2"/>
      <c r="H958" s="44"/>
      <c r="I958" s="50"/>
      <c r="J958" s="44"/>
      <c r="K958" s="44"/>
      <c r="L958" s="44" t="str">
        <f aca="false">CONCATENATE(H958,M958)</f>
        <v/>
      </c>
      <c r="M958" s="45" t="str">
        <f aca="false">IF(OR(ISBLANK(J958),ISBLANK(K958)),IF(OR(H958="ALI",H958="AIE"),"L",IF(ISBLANK(H958),"","A")),IF(H958="EE",IF(K958&gt;=3,IF(J958&gt;=5,"H","A"),IF(K958&gt;=2,IF(J958&gt;=16,"H",IF(J958&lt;=4,"L","A")),IF(J958&lt;=15,"L","A"))),IF(OR(H958="SE",H958="CE"),IF(K958&gt;=4,IF(J958&gt;=6,"H","A"),IF(K958&gt;=2,IF(J958&gt;=20,"H",IF(J958&lt;=5,"L","A")),IF(J958&lt;=19,"L","A"))),IF(OR(H958="ALI",H958="AIE"),IF(K958&gt;=6,IF(J958&gt;=20,"H","A"),IF(K958&gt;=2,IF(J958&gt;=51,"H",IF(J958&lt;=19,"L","A")),IF(J958&lt;=50,"L","A")))))))</f>
        <v/>
      </c>
      <c r="N958" s="46" t="str">
        <f aca="false">IF(M958="L","Baixa",IF(M958="A","Média",IF(M958="","","Alta")))</f>
        <v/>
      </c>
      <c r="O958" s="47" t="str">
        <f aca="false">IF(ISBLANK(H958),"",IF(H958="ALI",IF(M958="L",7,IF(M958="A",10,15)),IF(H958="AIE",IF(M958="L",5,IF(M958="A",7,10)),IF(H958="SE",IF(M958="L",4,IF(M958="A",5,7)),IF(OR(H958="EE",H958="CE"),IF(M958="L",3,IF(M958="A",4,6)))))))</f>
        <v/>
      </c>
      <c r="P958" s="48" t="str">
        <f aca="false">IF(I958="I",O958*Contagem!$W$15,IF(I958="E",O958*Contagem!$W$17,IF(I958="A",O958*Contagem!$W$16,IF(I958="T",O958*Contagem!$W$18,""))))</f>
        <v/>
      </c>
      <c r="Q958" s="49"/>
    </row>
    <row r="959" customFormat="false" ht="12" hidden="false" customHeight="true" outlineLevel="0" collapsed="false">
      <c r="A959" s="40" t="n">
        <f aca="false">IF(H959="",IF(C959="",A958,A958+1),A958)</f>
        <v>62</v>
      </c>
      <c r="B959" s="41" t="str">
        <f aca="false">IF(A959=A958,"",CONCATENATE("F",A959))</f>
        <v/>
      </c>
      <c r="C959" s="42"/>
      <c r="D959" s="2"/>
      <c r="E959" s="2"/>
      <c r="F959" s="2"/>
      <c r="G959" s="2"/>
      <c r="H959" s="44"/>
      <c r="I959" s="50"/>
      <c r="J959" s="44"/>
      <c r="K959" s="44"/>
      <c r="L959" s="44" t="str">
        <f aca="false">CONCATENATE(H959,M959)</f>
        <v/>
      </c>
      <c r="M959" s="45" t="str">
        <f aca="false">IF(OR(ISBLANK(J959),ISBLANK(K959)),IF(OR(H959="ALI",H959="AIE"),"L",IF(ISBLANK(H959),"","A")),IF(H959="EE",IF(K959&gt;=3,IF(J959&gt;=5,"H","A"),IF(K959&gt;=2,IF(J959&gt;=16,"H",IF(J959&lt;=4,"L","A")),IF(J959&lt;=15,"L","A"))),IF(OR(H959="SE",H959="CE"),IF(K959&gt;=4,IF(J959&gt;=6,"H","A"),IF(K959&gt;=2,IF(J959&gt;=20,"H",IF(J959&lt;=5,"L","A")),IF(J959&lt;=19,"L","A"))),IF(OR(H959="ALI",H959="AIE"),IF(K959&gt;=6,IF(J959&gt;=20,"H","A"),IF(K959&gt;=2,IF(J959&gt;=51,"H",IF(J959&lt;=19,"L","A")),IF(J959&lt;=50,"L","A")))))))</f>
        <v/>
      </c>
      <c r="N959" s="46" t="str">
        <f aca="false">IF(M959="L","Baixa",IF(M959="A","Média",IF(M959="","","Alta")))</f>
        <v/>
      </c>
      <c r="O959" s="47" t="str">
        <f aca="false">IF(ISBLANK(H959),"",IF(H959="ALI",IF(M959="L",7,IF(M959="A",10,15)),IF(H959="AIE",IF(M959="L",5,IF(M959="A",7,10)),IF(H959="SE",IF(M959="L",4,IF(M959="A",5,7)),IF(OR(H959="EE",H959="CE"),IF(M959="L",3,IF(M959="A",4,6)))))))</f>
        <v/>
      </c>
      <c r="P959" s="48" t="str">
        <f aca="false">IF(I959="I",O959*Contagem!$W$15,IF(I959="E",O959*Contagem!$W$17,IF(I959="A",O959*Contagem!$W$16,IF(I959="T",O959*Contagem!$W$18,""))))</f>
        <v/>
      </c>
      <c r="Q959" s="49"/>
    </row>
    <row r="960" customFormat="false" ht="12" hidden="false" customHeight="true" outlineLevel="0" collapsed="false">
      <c r="A960" s="40" t="n">
        <f aca="false">IF(H960="",IF(C960="",A959,A959+1),A959)</f>
        <v>62</v>
      </c>
      <c r="B960" s="41" t="str">
        <f aca="false">IF(A960=A959,"",CONCATENATE("F",A960))</f>
        <v/>
      </c>
      <c r="C960" s="42"/>
      <c r="D960" s="2"/>
      <c r="E960" s="2"/>
      <c r="F960" s="2"/>
      <c r="G960" s="2"/>
      <c r="H960" s="44"/>
      <c r="I960" s="50"/>
      <c r="J960" s="44"/>
      <c r="K960" s="44"/>
      <c r="L960" s="44" t="str">
        <f aca="false">CONCATENATE(H960,M960)</f>
        <v/>
      </c>
      <c r="M960" s="45" t="str">
        <f aca="false">IF(OR(ISBLANK(J960),ISBLANK(K960)),IF(OR(H960="ALI",H960="AIE"),"L",IF(ISBLANK(H960),"","A")),IF(H960="EE",IF(K960&gt;=3,IF(J960&gt;=5,"H","A"),IF(K960&gt;=2,IF(J960&gt;=16,"H",IF(J960&lt;=4,"L","A")),IF(J960&lt;=15,"L","A"))),IF(OR(H960="SE",H960="CE"),IF(K960&gt;=4,IF(J960&gt;=6,"H","A"),IF(K960&gt;=2,IF(J960&gt;=20,"H",IF(J960&lt;=5,"L","A")),IF(J960&lt;=19,"L","A"))),IF(OR(H960="ALI",H960="AIE"),IF(K960&gt;=6,IF(J960&gt;=20,"H","A"),IF(K960&gt;=2,IF(J960&gt;=51,"H",IF(J960&lt;=19,"L","A")),IF(J960&lt;=50,"L","A")))))))</f>
        <v/>
      </c>
      <c r="N960" s="46" t="str">
        <f aca="false">IF(M960="L","Baixa",IF(M960="A","Média",IF(M960="","","Alta")))</f>
        <v/>
      </c>
      <c r="O960" s="47" t="str">
        <f aca="false">IF(ISBLANK(H960),"",IF(H960="ALI",IF(M960="L",7,IF(M960="A",10,15)),IF(H960="AIE",IF(M960="L",5,IF(M960="A",7,10)),IF(H960="SE",IF(M960="L",4,IF(M960="A",5,7)),IF(OR(H960="EE",H960="CE"),IF(M960="L",3,IF(M960="A",4,6)))))))</f>
        <v/>
      </c>
      <c r="P960" s="48" t="str">
        <f aca="false">IF(I960="I",O960*Contagem!$W$15,IF(I960="E",O960*Contagem!$W$17,IF(I960="A",O960*Contagem!$W$16,IF(I960="T",O960*Contagem!$W$18,""))))</f>
        <v/>
      </c>
      <c r="Q960" s="49"/>
    </row>
    <row r="961" customFormat="false" ht="12" hidden="false" customHeight="true" outlineLevel="0" collapsed="false">
      <c r="A961" s="40" t="n">
        <f aca="false">IF(H961="",IF(C961="",A960,A960+1),A960)</f>
        <v>62</v>
      </c>
      <c r="B961" s="41" t="str">
        <f aca="false">IF(A961=A960,"",CONCATENATE("F",A961))</f>
        <v/>
      </c>
      <c r="C961" s="42"/>
      <c r="D961" s="2"/>
      <c r="E961" s="2"/>
      <c r="F961" s="2"/>
      <c r="G961" s="2"/>
      <c r="H961" s="44"/>
      <c r="I961" s="50"/>
      <c r="J961" s="44"/>
      <c r="K961" s="44"/>
      <c r="L961" s="44" t="str">
        <f aca="false">CONCATENATE(H961,M961)</f>
        <v/>
      </c>
      <c r="M961" s="45" t="str">
        <f aca="false">IF(OR(ISBLANK(J961),ISBLANK(K961)),IF(OR(H961="ALI",H961="AIE"),"L",IF(ISBLANK(H961),"","A")),IF(H961="EE",IF(K961&gt;=3,IF(J961&gt;=5,"H","A"),IF(K961&gt;=2,IF(J961&gt;=16,"H",IF(J961&lt;=4,"L","A")),IF(J961&lt;=15,"L","A"))),IF(OR(H961="SE",H961="CE"),IF(K961&gt;=4,IF(J961&gt;=6,"H","A"),IF(K961&gt;=2,IF(J961&gt;=20,"H",IF(J961&lt;=5,"L","A")),IF(J961&lt;=19,"L","A"))),IF(OR(H961="ALI",H961="AIE"),IF(K961&gt;=6,IF(J961&gt;=20,"H","A"),IF(K961&gt;=2,IF(J961&gt;=51,"H",IF(J961&lt;=19,"L","A")),IF(J961&lt;=50,"L","A")))))))</f>
        <v/>
      </c>
      <c r="N961" s="46" t="str">
        <f aca="false">IF(M961="L","Baixa",IF(M961="A","Média",IF(M961="","","Alta")))</f>
        <v/>
      </c>
      <c r="O961" s="47" t="str">
        <f aca="false">IF(ISBLANK(H961),"",IF(H961="ALI",IF(M961="L",7,IF(M961="A",10,15)),IF(H961="AIE",IF(M961="L",5,IF(M961="A",7,10)),IF(H961="SE",IF(M961="L",4,IF(M961="A",5,7)),IF(OR(H961="EE",H961="CE"),IF(M961="L",3,IF(M961="A",4,6)))))))</f>
        <v/>
      </c>
      <c r="P961" s="48" t="str">
        <f aca="false">IF(I961="I",O961*Contagem!$W$15,IF(I961="E",O961*Contagem!$W$17,IF(I961="A",O961*Contagem!$W$16,IF(I961="T",O961*Contagem!$W$18,""))))</f>
        <v/>
      </c>
      <c r="Q961" s="49"/>
    </row>
    <row r="962" customFormat="false" ht="12" hidden="false" customHeight="true" outlineLevel="0" collapsed="false">
      <c r="A962" s="40" t="n">
        <f aca="false">IF(H962="",IF(C962="",A961,A961+1),A961)</f>
        <v>62</v>
      </c>
      <c r="B962" s="41" t="str">
        <f aca="false">IF(A962=A961,"",CONCATENATE("F",A962))</f>
        <v/>
      </c>
      <c r="C962" s="42"/>
      <c r="D962" s="2"/>
      <c r="E962" s="2"/>
      <c r="F962" s="2"/>
      <c r="G962" s="2"/>
      <c r="H962" s="44"/>
      <c r="I962" s="50"/>
      <c r="J962" s="44"/>
      <c r="K962" s="44"/>
      <c r="L962" s="44" t="str">
        <f aca="false">CONCATENATE(H962,M962)</f>
        <v/>
      </c>
      <c r="M962" s="45" t="str">
        <f aca="false">IF(OR(ISBLANK(J962),ISBLANK(K962)),IF(OR(H962="ALI",H962="AIE"),"L",IF(ISBLANK(H962),"","A")),IF(H962="EE",IF(K962&gt;=3,IF(J962&gt;=5,"H","A"),IF(K962&gt;=2,IF(J962&gt;=16,"H",IF(J962&lt;=4,"L","A")),IF(J962&lt;=15,"L","A"))),IF(OR(H962="SE",H962="CE"),IF(K962&gt;=4,IF(J962&gt;=6,"H","A"),IF(K962&gt;=2,IF(J962&gt;=20,"H",IF(J962&lt;=5,"L","A")),IF(J962&lt;=19,"L","A"))),IF(OR(H962="ALI",H962="AIE"),IF(K962&gt;=6,IF(J962&gt;=20,"H","A"),IF(K962&gt;=2,IF(J962&gt;=51,"H",IF(J962&lt;=19,"L","A")),IF(J962&lt;=50,"L","A")))))))</f>
        <v/>
      </c>
      <c r="N962" s="46" t="str">
        <f aca="false">IF(M962="L","Baixa",IF(M962="A","Média",IF(M962="","","Alta")))</f>
        <v/>
      </c>
      <c r="O962" s="47" t="str">
        <f aca="false">IF(ISBLANK(H962),"",IF(H962="ALI",IF(M962="L",7,IF(M962="A",10,15)),IF(H962="AIE",IF(M962="L",5,IF(M962="A",7,10)),IF(H962="SE",IF(M962="L",4,IF(M962="A",5,7)),IF(OR(H962="EE",H962="CE"),IF(M962="L",3,IF(M962="A",4,6)))))))</f>
        <v/>
      </c>
      <c r="P962" s="48" t="str">
        <f aca="false">IF(I962="I",O962*Contagem!$W$15,IF(I962="E",O962*Contagem!$W$17,IF(I962="A",O962*Contagem!$W$16,IF(I962="T",O962*Contagem!$W$18,""))))</f>
        <v/>
      </c>
      <c r="Q962" s="49"/>
    </row>
    <row r="963" customFormat="false" ht="12" hidden="false" customHeight="true" outlineLevel="0" collapsed="false">
      <c r="A963" s="40" t="n">
        <f aca="false">IF(H963="",IF(C963="",A962,A962+1),A962)</f>
        <v>62</v>
      </c>
      <c r="B963" s="41" t="str">
        <f aca="false">IF(A963=A962,"",CONCATENATE("F",A963))</f>
        <v/>
      </c>
      <c r="C963" s="42"/>
      <c r="D963" s="2"/>
      <c r="E963" s="2"/>
      <c r="F963" s="2"/>
      <c r="G963" s="2"/>
      <c r="H963" s="44"/>
      <c r="I963" s="50"/>
      <c r="J963" s="44"/>
      <c r="K963" s="44"/>
      <c r="L963" s="44" t="str">
        <f aca="false">CONCATENATE(H963,M963)</f>
        <v/>
      </c>
      <c r="M963" s="45" t="str">
        <f aca="false">IF(OR(ISBLANK(J963),ISBLANK(K963)),IF(OR(H963="ALI",H963="AIE"),"L",IF(ISBLANK(H963),"","A")),IF(H963="EE",IF(K963&gt;=3,IF(J963&gt;=5,"H","A"),IF(K963&gt;=2,IF(J963&gt;=16,"H",IF(J963&lt;=4,"L","A")),IF(J963&lt;=15,"L","A"))),IF(OR(H963="SE",H963="CE"),IF(K963&gt;=4,IF(J963&gt;=6,"H","A"),IF(K963&gt;=2,IF(J963&gt;=20,"H",IF(J963&lt;=5,"L","A")),IF(J963&lt;=19,"L","A"))),IF(OR(H963="ALI",H963="AIE"),IF(K963&gt;=6,IF(J963&gt;=20,"H","A"),IF(K963&gt;=2,IF(J963&gt;=51,"H",IF(J963&lt;=19,"L","A")),IF(J963&lt;=50,"L","A")))))))</f>
        <v/>
      </c>
      <c r="N963" s="46" t="str">
        <f aca="false">IF(M963="L","Baixa",IF(M963="A","Média",IF(M963="","","Alta")))</f>
        <v/>
      </c>
      <c r="O963" s="47" t="str">
        <f aca="false">IF(ISBLANK(H963),"",IF(H963="ALI",IF(M963="L",7,IF(M963="A",10,15)),IF(H963="AIE",IF(M963="L",5,IF(M963="A",7,10)),IF(H963="SE",IF(M963="L",4,IF(M963="A",5,7)),IF(OR(H963="EE",H963="CE"),IF(M963="L",3,IF(M963="A",4,6)))))))</f>
        <v/>
      </c>
      <c r="P963" s="48" t="str">
        <f aca="false">IF(I963="I",O963*Contagem!$W$15,IF(I963="E",O963*Contagem!$W$17,IF(I963="A",O963*Contagem!$W$16,IF(I963="T",O963*Contagem!$W$18,""))))</f>
        <v/>
      </c>
      <c r="Q963" s="49"/>
    </row>
    <row r="964" customFormat="false" ht="12" hidden="false" customHeight="true" outlineLevel="0" collapsed="false">
      <c r="A964" s="40" t="n">
        <f aca="false">IF(H964="",IF(C964="",A963,A963+1),A963)</f>
        <v>62</v>
      </c>
      <c r="B964" s="41" t="str">
        <f aca="false">IF(A964=A963,"",CONCATENATE("F",A964))</f>
        <v/>
      </c>
      <c r="C964" s="42"/>
      <c r="D964" s="2"/>
      <c r="E964" s="2"/>
      <c r="F964" s="2"/>
      <c r="G964" s="2"/>
      <c r="H964" s="44"/>
      <c r="I964" s="50"/>
      <c r="J964" s="44"/>
      <c r="K964" s="44"/>
      <c r="L964" s="44" t="str">
        <f aca="false">CONCATENATE(H964,M964)</f>
        <v/>
      </c>
      <c r="M964" s="45" t="str">
        <f aca="false">IF(OR(ISBLANK(J964),ISBLANK(K964)),IF(OR(H964="ALI",H964="AIE"),"L",IF(ISBLANK(H964),"","A")),IF(H964="EE",IF(K964&gt;=3,IF(J964&gt;=5,"H","A"),IF(K964&gt;=2,IF(J964&gt;=16,"H",IF(J964&lt;=4,"L","A")),IF(J964&lt;=15,"L","A"))),IF(OR(H964="SE",H964="CE"),IF(K964&gt;=4,IF(J964&gt;=6,"H","A"),IF(K964&gt;=2,IF(J964&gt;=20,"H",IF(J964&lt;=5,"L","A")),IF(J964&lt;=19,"L","A"))),IF(OR(H964="ALI",H964="AIE"),IF(K964&gt;=6,IF(J964&gt;=20,"H","A"),IF(K964&gt;=2,IF(J964&gt;=51,"H",IF(J964&lt;=19,"L","A")),IF(J964&lt;=50,"L","A")))))))</f>
        <v/>
      </c>
      <c r="N964" s="46" t="str">
        <f aca="false">IF(M964="L","Baixa",IF(M964="A","Média",IF(M964="","","Alta")))</f>
        <v/>
      </c>
      <c r="O964" s="47" t="str">
        <f aca="false">IF(ISBLANK(H964),"",IF(H964="ALI",IF(M964="L",7,IF(M964="A",10,15)),IF(H964="AIE",IF(M964="L",5,IF(M964="A",7,10)),IF(H964="SE",IF(M964="L",4,IF(M964="A",5,7)),IF(OR(H964="EE",H964="CE"),IF(M964="L",3,IF(M964="A",4,6)))))))</f>
        <v/>
      </c>
      <c r="P964" s="48" t="str">
        <f aca="false">IF(I964="I",O964*Contagem!$W$15,IF(I964="E",O964*Contagem!$W$17,IF(I964="A",O964*Contagem!$W$16,IF(I964="T",O964*Contagem!$W$18,""))))</f>
        <v/>
      </c>
      <c r="Q964" s="49"/>
    </row>
    <row r="965" customFormat="false" ht="12" hidden="false" customHeight="true" outlineLevel="0" collapsed="false">
      <c r="A965" s="40" t="n">
        <f aca="false">IF(H965="",IF(C965="",A964,A964+1),A964)</f>
        <v>62</v>
      </c>
      <c r="B965" s="41" t="str">
        <f aca="false">IF(A965=A964,"",CONCATENATE("F",A965))</f>
        <v/>
      </c>
      <c r="C965" s="42"/>
      <c r="D965" s="2"/>
      <c r="E965" s="2"/>
      <c r="F965" s="2"/>
      <c r="G965" s="2"/>
      <c r="H965" s="44"/>
      <c r="I965" s="50"/>
      <c r="J965" s="44"/>
      <c r="K965" s="44"/>
      <c r="L965" s="44" t="str">
        <f aca="false">CONCATENATE(H965,M965)</f>
        <v/>
      </c>
      <c r="M965" s="45" t="str">
        <f aca="false">IF(OR(ISBLANK(J965),ISBLANK(K965)),IF(OR(H965="ALI",H965="AIE"),"L",IF(ISBLANK(H965),"","A")),IF(H965="EE",IF(K965&gt;=3,IF(J965&gt;=5,"H","A"),IF(K965&gt;=2,IF(J965&gt;=16,"H",IF(J965&lt;=4,"L","A")),IF(J965&lt;=15,"L","A"))),IF(OR(H965="SE",H965="CE"),IF(K965&gt;=4,IF(J965&gt;=6,"H","A"),IF(K965&gt;=2,IF(J965&gt;=20,"H",IF(J965&lt;=5,"L","A")),IF(J965&lt;=19,"L","A"))),IF(OR(H965="ALI",H965="AIE"),IF(K965&gt;=6,IF(J965&gt;=20,"H","A"),IF(K965&gt;=2,IF(J965&gt;=51,"H",IF(J965&lt;=19,"L","A")),IF(J965&lt;=50,"L","A")))))))</f>
        <v/>
      </c>
      <c r="N965" s="46" t="str">
        <f aca="false">IF(M965="L","Baixa",IF(M965="A","Média",IF(M965="","","Alta")))</f>
        <v/>
      </c>
      <c r="O965" s="47" t="str">
        <f aca="false">IF(ISBLANK(H965),"",IF(H965="ALI",IF(M965="L",7,IF(M965="A",10,15)),IF(H965="AIE",IF(M965="L",5,IF(M965="A",7,10)),IF(H965="SE",IF(M965="L",4,IF(M965="A",5,7)),IF(OR(H965="EE",H965="CE"),IF(M965="L",3,IF(M965="A",4,6)))))))</f>
        <v/>
      </c>
      <c r="P965" s="48" t="str">
        <f aca="false">IF(I965="I",O965*Contagem!$W$15,IF(I965="E",O965*Contagem!$W$17,IF(I965="A",O965*Contagem!$W$16,IF(I965="T",O965*Contagem!$W$18,""))))</f>
        <v/>
      </c>
      <c r="Q965" s="49"/>
    </row>
    <row r="966" customFormat="false" ht="12" hidden="false" customHeight="true" outlineLevel="0" collapsed="false">
      <c r="A966" s="40" t="n">
        <f aca="false">IF(H966="",IF(C966="",A965,A965+1),A965)</f>
        <v>62</v>
      </c>
      <c r="B966" s="41" t="str">
        <f aca="false">IF(A966=A965,"",CONCATENATE("F",A966))</f>
        <v/>
      </c>
      <c r="C966" s="42"/>
      <c r="D966" s="2"/>
      <c r="E966" s="2"/>
      <c r="F966" s="2"/>
      <c r="G966" s="2"/>
      <c r="H966" s="44"/>
      <c r="I966" s="50"/>
      <c r="J966" s="44"/>
      <c r="K966" s="44"/>
      <c r="L966" s="44" t="str">
        <f aca="false">CONCATENATE(H966,M966)</f>
        <v/>
      </c>
      <c r="M966" s="45" t="str">
        <f aca="false">IF(OR(ISBLANK(J966),ISBLANK(K966)),IF(OR(H966="ALI",H966="AIE"),"L",IF(ISBLANK(H966),"","A")),IF(H966="EE",IF(K966&gt;=3,IF(J966&gt;=5,"H","A"),IF(K966&gt;=2,IF(J966&gt;=16,"H",IF(J966&lt;=4,"L","A")),IF(J966&lt;=15,"L","A"))),IF(OR(H966="SE",H966="CE"),IF(K966&gt;=4,IF(J966&gt;=6,"H","A"),IF(K966&gt;=2,IF(J966&gt;=20,"H",IF(J966&lt;=5,"L","A")),IF(J966&lt;=19,"L","A"))),IF(OR(H966="ALI",H966="AIE"),IF(K966&gt;=6,IF(J966&gt;=20,"H","A"),IF(K966&gt;=2,IF(J966&gt;=51,"H",IF(J966&lt;=19,"L","A")),IF(J966&lt;=50,"L","A")))))))</f>
        <v/>
      </c>
      <c r="N966" s="46" t="str">
        <f aca="false">IF(M966="L","Baixa",IF(M966="A","Média",IF(M966="","","Alta")))</f>
        <v/>
      </c>
      <c r="O966" s="47" t="str">
        <f aca="false">IF(ISBLANK(H966),"",IF(H966="ALI",IF(M966="L",7,IF(M966="A",10,15)),IF(H966="AIE",IF(M966="L",5,IF(M966="A",7,10)),IF(H966="SE",IF(M966="L",4,IF(M966="A",5,7)),IF(OR(H966="EE",H966="CE"),IF(M966="L",3,IF(M966="A",4,6)))))))</f>
        <v/>
      </c>
      <c r="P966" s="48" t="str">
        <f aca="false">IF(I966="I",O966*Contagem!$W$15,IF(I966="E",O966*Contagem!$W$17,IF(I966="A",O966*Contagem!$W$16,IF(I966="T",O966*Contagem!$W$18,""))))</f>
        <v/>
      </c>
      <c r="Q966" s="49"/>
    </row>
    <row r="967" customFormat="false" ht="12" hidden="false" customHeight="true" outlineLevel="0" collapsed="false">
      <c r="A967" s="40" t="n">
        <f aca="false">IF(H967="",IF(C967="",A966,A966+1),A966)</f>
        <v>62</v>
      </c>
      <c r="B967" s="41" t="str">
        <f aca="false">IF(A967=A966,"",CONCATENATE("F",A967))</f>
        <v/>
      </c>
      <c r="C967" s="42"/>
      <c r="D967" s="2"/>
      <c r="E967" s="2"/>
      <c r="F967" s="2"/>
      <c r="G967" s="2"/>
      <c r="H967" s="44"/>
      <c r="I967" s="50"/>
      <c r="J967" s="44"/>
      <c r="K967" s="44"/>
      <c r="L967" s="44" t="str">
        <f aca="false">CONCATENATE(H967,M967)</f>
        <v/>
      </c>
      <c r="M967" s="45" t="str">
        <f aca="false">IF(OR(ISBLANK(J967),ISBLANK(K967)),IF(OR(H967="ALI",H967="AIE"),"L",IF(ISBLANK(H967),"","A")),IF(H967="EE",IF(K967&gt;=3,IF(J967&gt;=5,"H","A"),IF(K967&gt;=2,IF(J967&gt;=16,"H",IF(J967&lt;=4,"L","A")),IF(J967&lt;=15,"L","A"))),IF(OR(H967="SE",H967="CE"),IF(K967&gt;=4,IF(J967&gt;=6,"H","A"),IF(K967&gt;=2,IF(J967&gt;=20,"H",IF(J967&lt;=5,"L","A")),IF(J967&lt;=19,"L","A"))),IF(OR(H967="ALI",H967="AIE"),IF(K967&gt;=6,IF(J967&gt;=20,"H","A"),IF(K967&gt;=2,IF(J967&gt;=51,"H",IF(J967&lt;=19,"L","A")),IF(J967&lt;=50,"L","A")))))))</f>
        <v/>
      </c>
      <c r="N967" s="46" t="str">
        <f aca="false">IF(M967="L","Baixa",IF(M967="A","Média",IF(M967="","","Alta")))</f>
        <v/>
      </c>
      <c r="O967" s="47" t="str">
        <f aca="false">IF(ISBLANK(H967),"",IF(H967="ALI",IF(M967="L",7,IF(M967="A",10,15)),IF(H967="AIE",IF(M967="L",5,IF(M967="A",7,10)),IF(H967="SE",IF(M967="L",4,IF(M967="A",5,7)),IF(OR(H967="EE",H967="CE"),IF(M967="L",3,IF(M967="A",4,6)))))))</f>
        <v/>
      </c>
      <c r="P967" s="48" t="str">
        <f aca="false">IF(I967="I",O967*Contagem!$W$15,IF(I967="E",O967*Contagem!$W$17,IF(I967="A",O967*Contagem!$W$16,IF(I967="T",O967*Contagem!$W$18,""))))</f>
        <v/>
      </c>
      <c r="Q967" s="49"/>
    </row>
    <row r="968" customFormat="false" ht="12" hidden="false" customHeight="true" outlineLevel="0" collapsed="false">
      <c r="A968" s="40" t="n">
        <f aca="false">IF(H968="",IF(C968="",A967,A967+1),A967)</f>
        <v>62</v>
      </c>
      <c r="B968" s="41" t="str">
        <f aca="false">IF(A968=A967,"",CONCATENATE("F",A968))</f>
        <v/>
      </c>
      <c r="C968" s="42"/>
      <c r="D968" s="2"/>
      <c r="E968" s="2"/>
      <c r="F968" s="2"/>
      <c r="G968" s="2"/>
      <c r="H968" s="44"/>
      <c r="I968" s="50"/>
      <c r="J968" s="44"/>
      <c r="K968" s="44"/>
      <c r="L968" s="44" t="str">
        <f aca="false">CONCATENATE(H968,M968)</f>
        <v/>
      </c>
      <c r="M968" s="45" t="str">
        <f aca="false">IF(OR(ISBLANK(J968),ISBLANK(K968)),IF(OR(H968="ALI",H968="AIE"),"L",IF(ISBLANK(H968),"","A")),IF(H968="EE",IF(K968&gt;=3,IF(J968&gt;=5,"H","A"),IF(K968&gt;=2,IF(J968&gt;=16,"H",IF(J968&lt;=4,"L","A")),IF(J968&lt;=15,"L","A"))),IF(OR(H968="SE",H968="CE"),IF(K968&gt;=4,IF(J968&gt;=6,"H","A"),IF(K968&gt;=2,IF(J968&gt;=20,"H",IF(J968&lt;=5,"L","A")),IF(J968&lt;=19,"L","A"))),IF(OR(H968="ALI",H968="AIE"),IF(K968&gt;=6,IF(J968&gt;=20,"H","A"),IF(K968&gt;=2,IF(J968&gt;=51,"H",IF(J968&lt;=19,"L","A")),IF(J968&lt;=50,"L","A")))))))</f>
        <v/>
      </c>
      <c r="N968" s="46" t="str">
        <f aca="false">IF(M968="L","Baixa",IF(M968="A","Média",IF(M968="","","Alta")))</f>
        <v/>
      </c>
      <c r="O968" s="47" t="str">
        <f aca="false">IF(ISBLANK(H968),"",IF(H968="ALI",IF(M968="L",7,IF(M968="A",10,15)),IF(H968="AIE",IF(M968="L",5,IF(M968="A",7,10)),IF(H968="SE",IF(M968="L",4,IF(M968="A",5,7)),IF(OR(H968="EE",H968="CE"),IF(M968="L",3,IF(M968="A",4,6)))))))</f>
        <v/>
      </c>
      <c r="P968" s="48" t="str">
        <f aca="false">IF(I968="I",O968*Contagem!$W$15,IF(I968="E",O968*Contagem!$W$17,IF(I968="A",O968*Contagem!$W$16,IF(I968="T",O968*Contagem!$W$18,""))))</f>
        <v/>
      </c>
      <c r="Q968" s="49"/>
    </row>
    <row r="969" customFormat="false" ht="12" hidden="false" customHeight="true" outlineLevel="0" collapsed="false">
      <c r="A969" s="40" t="n">
        <f aca="false">IF(H969="",IF(C969="",A968,A968+1),A968)</f>
        <v>62</v>
      </c>
      <c r="B969" s="41" t="str">
        <f aca="false">IF(A969=A968,"",CONCATENATE("F",A969))</f>
        <v/>
      </c>
      <c r="C969" s="42"/>
      <c r="D969" s="2"/>
      <c r="E969" s="2"/>
      <c r="F969" s="2"/>
      <c r="G969" s="2"/>
      <c r="H969" s="44"/>
      <c r="I969" s="50"/>
      <c r="J969" s="44"/>
      <c r="K969" s="44"/>
      <c r="L969" s="44" t="str">
        <f aca="false">CONCATENATE(H969,M969)</f>
        <v/>
      </c>
      <c r="M969" s="45" t="str">
        <f aca="false">IF(OR(ISBLANK(J969),ISBLANK(K969)),IF(OR(H969="ALI",H969="AIE"),"L",IF(ISBLANK(H969),"","A")),IF(H969="EE",IF(K969&gt;=3,IF(J969&gt;=5,"H","A"),IF(K969&gt;=2,IF(J969&gt;=16,"H",IF(J969&lt;=4,"L","A")),IF(J969&lt;=15,"L","A"))),IF(OR(H969="SE",H969="CE"),IF(K969&gt;=4,IF(J969&gt;=6,"H","A"),IF(K969&gt;=2,IF(J969&gt;=20,"H",IF(J969&lt;=5,"L","A")),IF(J969&lt;=19,"L","A"))),IF(OR(H969="ALI",H969="AIE"),IF(K969&gt;=6,IF(J969&gt;=20,"H","A"),IF(K969&gt;=2,IF(J969&gt;=51,"H",IF(J969&lt;=19,"L","A")),IF(J969&lt;=50,"L","A")))))))</f>
        <v/>
      </c>
      <c r="N969" s="46" t="str">
        <f aca="false">IF(M969="L","Baixa",IF(M969="A","Média",IF(M969="","","Alta")))</f>
        <v/>
      </c>
      <c r="O969" s="47" t="str">
        <f aca="false">IF(ISBLANK(H969),"",IF(H969="ALI",IF(M969="L",7,IF(M969="A",10,15)),IF(H969="AIE",IF(M969="L",5,IF(M969="A",7,10)),IF(H969="SE",IF(M969="L",4,IF(M969="A",5,7)),IF(OR(H969="EE",H969="CE"),IF(M969="L",3,IF(M969="A",4,6)))))))</f>
        <v/>
      </c>
      <c r="P969" s="48" t="str">
        <f aca="false">IF(I969="I",O969*Contagem!$W$15,IF(I969="E",O969*Contagem!$W$17,IF(I969="A",O969*Contagem!$W$16,IF(I969="T",O969*Contagem!$W$18,""))))</f>
        <v/>
      </c>
      <c r="Q969" s="49"/>
    </row>
    <row r="970" customFormat="false" ht="12" hidden="false" customHeight="true" outlineLevel="0" collapsed="false">
      <c r="A970" s="40" t="n">
        <f aca="false">IF(H970="",IF(C970="",A969,A969+1),A969)</f>
        <v>62</v>
      </c>
      <c r="B970" s="41" t="str">
        <f aca="false">IF(A970=A969,"",CONCATENATE("F",A970))</f>
        <v/>
      </c>
      <c r="C970" s="42"/>
      <c r="D970" s="2"/>
      <c r="E970" s="2"/>
      <c r="F970" s="2"/>
      <c r="G970" s="2"/>
      <c r="H970" s="44"/>
      <c r="I970" s="50"/>
      <c r="J970" s="44"/>
      <c r="K970" s="44"/>
      <c r="L970" s="44" t="str">
        <f aca="false">CONCATENATE(H970,M970)</f>
        <v/>
      </c>
      <c r="M970" s="45" t="str">
        <f aca="false">IF(OR(ISBLANK(J970),ISBLANK(K970)),IF(OR(H970="ALI",H970="AIE"),"L",IF(ISBLANK(H970),"","A")),IF(H970="EE",IF(K970&gt;=3,IF(J970&gt;=5,"H","A"),IF(K970&gt;=2,IF(J970&gt;=16,"H",IF(J970&lt;=4,"L","A")),IF(J970&lt;=15,"L","A"))),IF(OR(H970="SE",H970="CE"),IF(K970&gt;=4,IF(J970&gt;=6,"H","A"),IF(K970&gt;=2,IF(J970&gt;=20,"H",IF(J970&lt;=5,"L","A")),IF(J970&lt;=19,"L","A"))),IF(OR(H970="ALI",H970="AIE"),IF(K970&gt;=6,IF(J970&gt;=20,"H","A"),IF(K970&gt;=2,IF(J970&gt;=51,"H",IF(J970&lt;=19,"L","A")),IF(J970&lt;=50,"L","A")))))))</f>
        <v/>
      </c>
      <c r="N970" s="46" t="str">
        <f aca="false">IF(M970="L","Baixa",IF(M970="A","Média",IF(M970="","","Alta")))</f>
        <v/>
      </c>
      <c r="O970" s="47" t="str">
        <f aca="false">IF(ISBLANK(H970),"",IF(H970="ALI",IF(M970="L",7,IF(M970="A",10,15)),IF(H970="AIE",IF(M970="L",5,IF(M970="A",7,10)),IF(H970="SE",IF(M970="L",4,IF(M970="A",5,7)),IF(OR(H970="EE",H970="CE"),IF(M970="L",3,IF(M970="A",4,6)))))))</f>
        <v/>
      </c>
      <c r="P970" s="48" t="str">
        <f aca="false">IF(I970="I",O970*Contagem!$W$15,IF(I970="E",O970*Contagem!$W$17,IF(I970="A",O970*Contagem!$W$16,IF(I970="T",O970*Contagem!$W$18,""))))</f>
        <v/>
      </c>
      <c r="Q970" s="49"/>
    </row>
    <row r="971" customFormat="false" ht="12" hidden="false" customHeight="true" outlineLevel="0" collapsed="false">
      <c r="A971" s="40" t="n">
        <f aca="false">IF(H971="",IF(C971="",A970,A970+1),A970)</f>
        <v>62</v>
      </c>
      <c r="B971" s="41" t="str">
        <f aca="false">IF(A971=A970,"",CONCATENATE("F",A971))</f>
        <v/>
      </c>
      <c r="C971" s="42"/>
      <c r="D971" s="2"/>
      <c r="E971" s="2"/>
      <c r="F971" s="2"/>
      <c r="G971" s="2"/>
      <c r="H971" s="44"/>
      <c r="I971" s="50"/>
      <c r="J971" s="44"/>
      <c r="K971" s="44"/>
      <c r="L971" s="44" t="str">
        <f aca="false">CONCATENATE(H971,M971)</f>
        <v/>
      </c>
      <c r="M971" s="45" t="str">
        <f aca="false">IF(OR(ISBLANK(J971),ISBLANK(K971)),IF(OR(H971="ALI",H971="AIE"),"L",IF(ISBLANK(H971),"","A")),IF(H971="EE",IF(K971&gt;=3,IF(J971&gt;=5,"H","A"),IF(K971&gt;=2,IF(J971&gt;=16,"H",IF(J971&lt;=4,"L","A")),IF(J971&lt;=15,"L","A"))),IF(OR(H971="SE",H971="CE"),IF(K971&gt;=4,IF(J971&gt;=6,"H","A"),IF(K971&gt;=2,IF(J971&gt;=20,"H",IF(J971&lt;=5,"L","A")),IF(J971&lt;=19,"L","A"))),IF(OR(H971="ALI",H971="AIE"),IF(K971&gt;=6,IF(J971&gt;=20,"H","A"),IF(K971&gt;=2,IF(J971&gt;=51,"H",IF(J971&lt;=19,"L","A")),IF(J971&lt;=50,"L","A")))))))</f>
        <v/>
      </c>
      <c r="N971" s="46" t="str">
        <f aca="false">IF(M971="L","Baixa",IF(M971="A","Média",IF(M971="","","Alta")))</f>
        <v/>
      </c>
      <c r="O971" s="47" t="str">
        <f aca="false">IF(ISBLANK(H971),"",IF(H971="ALI",IF(M971="L",7,IF(M971="A",10,15)),IF(H971="AIE",IF(M971="L",5,IF(M971="A",7,10)),IF(H971="SE",IF(M971="L",4,IF(M971="A",5,7)),IF(OR(H971="EE",H971="CE"),IF(M971="L",3,IF(M971="A",4,6)))))))</f>
        <v/>
      </c>
      <c r="P971" s="48" t="str">
        <f aca="false">IF(I971="I",O971*Contagem!$W$15,IF(I971="E",O971*Contagem!$W$17,IF(I971="A",O971*Contagem!$W$16,IF(I971="T",O971*Contagem!$W$18,""))))</f>
        <v/>
      </c>
      <c r="Q971" s="49"/>
    </row>
    <row r="972" customFormat="false" ht="12" hidden="false" customHeight="true" outlineLevel="0" collapsed="false">
      <c r="A972" s="40" t="n">
        <f aca="false">IF(H972="",IF(C972="",A971,A971+1),A971)</f>
        <v>62</v>
      </c>
      <c r="B972" s="41" t="str">
        <f aca="false">IF(A972=A971,"",CONCATENATE("F",A972))</f>
        <v/>
      </c>
      <c r="C972" s="42"/>
      <c r="D972" s="2"/>
      <c r="E972" s="2"/>
      <c r="F972" s="2"/>
      <c r="G972" s="2"/>
      <c r="H972" s="44"/>
      <c r="I972" s="50"/>
      <c r="J972" s="44"/>
      <c r="K972" s="44"/>
      <c r="L972" s="44" t="str">
        <f aca="false">CONCATENATE(H972,M972)</f>
        <v/>
      </c>
      <c r="M972" s="45" t="str">
        <f aca="false">IF(OR(ISBLANK(J972),ISBLANK(K972)),IF(OR(H972="ALI",H972="AIE"),"L",IF(ISBLANK(H972),"","A")),IF(H972="EE",IF(K972&gt;=3,IF(J972&gt;=5,"H","A"),IF(K972&gt;=2,IF(J972&gt;=16,"H",IF(J972&lt;=4,"L","A")),IF(J972&lt;=15,"L","A"))),IF(OR(H972="SE",H972="CE"),IF(K972&gt;=4,IF(J972&gt;=6,"H","A"),IF(K972&gt;=2,IF(J972&gt;=20,"H",IF(J972&lt;=5,"L","A")),IF(J972&lt;=19,"L","A"))),IF(OR(H972="ALI",H972="AIE"),IF(K972&gt;=6,IF(J972&gt;=20,"H","A"),IF(K972&gt;=2,IF(J972&gt;=51,"H",IF(J972&lt;=19,"L","A")),IF(J972&lt;=50,"L","A")))))))</f>
        <v/>
      </c>
      <c r="N972" s="46" t="str">
        <f aca="false">IF(M972="L","Baixa",IF(M972="A","Média",IF(M972="","","Alta")))</f>
        <v/>
      </c>
      <c r="O972" s="47" t="str">
        <f aca="false">IF(ISBLANK(H972),"",IF(H972="ALI",IF(M972="L",7,IF(M972="A",10,15)),IF(H972="AIE",IF(M972="L",5,IF(M972="A",7,10)),IF(H972="SE",IF(M972="L",4,IF(M972="A",5,7)),IF(OR(H972="EE",H972="CE"),IF(M972="L",3,IF(M972="A",4,6)))))))</f>
        <v/>
      </c>
      <c r="P972" s="48" t="str">
        <f aca="false">IF(I972="I",O972*Contagem!$W$15,IF(I972="E",O972*Contagem!$W$17,IF(I972="A",O972*Contagem!$W$16,IF(I972="T",O972*Contagem!$W$18,""))))</f>
        <v/>
      </c>
      <c r="Q972" s="49"/>
    </row>
    <row r="973" customFormat="false" ht="12" hidden="false" customHeight="true" outlineLevel="0" collapsed="false">
      <c r="A973" s="40" t="n">
        <f aca="false">IF(H973="",IF(C973="",A972,A972+1),A972)</f>
        <v>62</v>
      </c>
      <c r="B973" s="41" t="str">
        <f aca="false">IF(A973=A972,"",CONCATENATE("F",A973))</f>
        <v/>
      </c>
      <c r="C973" s="42"/>
      <c r="D973" s="2"/>
      <c r="E973" s="2"/>
      <c r="F973" s="2"/>
      <c r="G973" s="2"/>
      <c r="H973" s="44"/>
      <c r="I973" s="50"/>
      <c r="J973" s="44"/>
      <c r="K973" s="44"/>
      <c r="L973" s="44" t="str">
        <f aca="false">CONCATENATE(H973,M973)</f>
        <v/>
      </c>
      <c r="M973" s="45" t="str">
        <f aca="false">IF(OR(ISBLANK(J973),ISBLANK(K973)),IF(OR(H973="ALI",H973="AIE"),"L",IF(ISBLANK(H973),"","A")),IF(H973="EE",IF(K973&gt;=3,IF(J973&gt;=5,"H","A"),IF(K973&gt;=2,IF(J973&gt;=16,"H",IF(J973&lt;=4,"L","A")),IF(J973&lt;=15,"L","A"))),IF(OR(H973="SE",H973="CE"),IF(K973&gt;=4,IF(J973&gt;=6,"H","A"),IF(K973&gt;=2,IF(J973&gt;=20,"H",IF(J973&lt;=5,"L","A")),IF(J973&lt;=19,"L","A"))),IF(OR(H973="ALI",H973="AIE"),IF(K973&gt;=6,IF(J973&gt;=20,"H","A"),IF(K973&gt;=2,IF(J973&gt;=51,"H",IF(J973&lt;=19,"L","A")),IF(J973&lt;=50,"L","A")))))))</f>
        <v/>
      </c>
      <c r="N973" s="46" t="str">
        <f aca="false">IF(M973="L","Baixa",IF(M973="A","Média",IF(M973="","","Alta")))</f>
        <v/>
      </c>
      <c r="O973" s="47" t="str">
        <f aca="false">IF(ISBLANK(H973),"",IF(H973="ALI",IF(M973="L",7,IF(M973="A",10,15)),IF(H973="AIE",IF(M973="L",5,IF(M973="A",7,10)),IF(H973="SE",IF(M973="L",4,IF(M973="A",5,7)),IF(OR(H973="EE",H973="CE"),IF(M973="L",3,IF(M973="A",4,6)))))))</f>
        <v/>
      </c>
      <c r="P973" s="48" t="str">
        <f aca="false">IF(I973="I",O973*Contagem!$W$15,IF(I973="E",O973*Contagem!$W$17,IF(I973="A",O973*Contagem!$W$16,IF(I973="T",O973*Contagem!$W$18,""))))</f>
        <v/>
      </c>
      <c r="Q973" s="49"/>
    </row>
    <row r="974" customFormat="false" ht="12" hidden="false" customHeight="true" outlineLevel="0" collapsed="false">
      <c r="A974" s="40" t="n">
        <f aca="false">IF(H974="",IF(C974="",A973,A973+1),A973)</f>
        <v>62</v>
      </c>
      <c r="B974" s="41" t="str">
        <f aca="false">IF(A974=A973,"",CONCATENATE("F",A974))</f>
        <v/>
      </c>
      <c r="C974" s="42"/>
      <c r="D974" s="2"/>
      <c r="E974" s="2"/>
      <c r="F974" s="2"/>
      <c r="G974" s="2"/>
      <c r="H974" s="44"/>
      <c r="I974" s="50"/>
      <c r="J974" s="44"/>
      <c r="K974" s="44"/>
      <c r="L974" s="44" t="str">
        <f aca="false">CONCATENATE(H974,M974)</f>
        <v/>
      </c>
      <c r="M974" s="45" t="str">
        <f aca="false">IF(OR(ISBLANK(J974),ISBLANK(K974)),IF(OR(H974="ALI",H974="AIE"),"L",IF(ISBLANK(H974),"","A")),IF(H974="EE",IF(K974&gt;=3,IF(J974&gt;=5,"H","A"),IF(K974&gt;=2,IF(J974&gt;=16,"H",IF(J974&lt;=4,"L","A")),IF(J974&lt;=15,"L","A"))),IF(OR(H974="SE",H974="CE"),IF(K974&gt;=4,IF(J974&gt;=6,"H","A"),IF(K974&gt;=2,IF(J974&gt;=20,"H",IF(J974&lt;=5,"L","A")),IF(J974&lt;=19,"L","A"))),IF(OR(H974="ALI",H974="AIE"),IF(K974&gt;=6,IF(J974&gt;=20,"H","A"),IF(K974&gt;=2,IF(J974&gt;=51,"H",IF(J974&lt;=19,"L","A")),IF(J974&lt;=50,"L","A")))))))</f>
        <v/>
      </c>
      <c r="N974" s="46" t="str">
        <f aca="false">IF(M974="L","Baixa",IF(M974="A","Média",IF(M974="","","Alta")))</f>
        <v/>
      </c>
      <c r="O974" s="47" t="str">
        <f aca="false">IF(ISBLANK(H974),"",IF(H974="ALI",IF(M974="L",7,IF(M974="A",10,15)),IF(H974="AIE",IF(M974="L",5,IF(M974="A",7,10)),IF(H974="SE",IF(M974="L",4,IF(M974="A",5,7)),IF(OR(H974="EE",H974="CE"),IF(M974="L",3,IF(M974="A",4,6)))))))</f>
        <v/>
      </c>
      <c r="P974" s="48" t="str">
        <f aca="false">IF(I974="I",O974*Contagem!$W$15,IF(I974="E",O974*Contagem!$W$17,IF(I974="A",O974*Contagem!$W$16,IF(I974="T",O974*Contagem!$W$18,""))))</f>
        <v/>
      </c>
      <c r="Q974" s="49"/>
    </row>
    <row r="975" customFormat="false" ht="12" hidden="false" customHeight="true" outlineLevel="0" collapsed="false">
      <c r="A975" s="40" t="n">
        <f aca="false">IF(H975="",IF(C975="",A974,A974+1),A974)</f>
        <v>62</v>
      </c>
      <c r="B975" s="41" t="str">
        <f aca="false">IF(A975=A974,"",CONCATENATE("F",A975))</f>
        <v/>
      </c>
      <c r="C975" s="42"/>
      <c r="D975" s="2"/>
      <c r="E975" s="2"/>
      <c r="F975" s="2"/>
      <c r="G975" s="2"/>
      <c r="H975" s="44"/>
      <c r="I975" s="50"/>
      <c r="J975" s="44"/>
      <c r="K975" s="44"/>
      <c r="L975" s="44" t="str">
        <f aca="false">CONCATENATE(H975,M975)</f>
        <v/>
      </c>
      <c r="M975" s="45" t="str">
        <f aca="false">IF(OR(ISBLANK(J975),ISBLANK(K975)),IF(OR(H975="ALI",H975="AIE"),"L",IF(ISBLANK(H975),"","A")),IF(H975="EE",IF(K975&gt;=3,IF(J975&gt;=5,"H","A"),IF(K975&gt;=2,IF(J975&gt;=16,"H",IF(J975&lt;=4,"L","A")),IF(J975&lt;=15,"L","A"))),IF(OR(H975="SE",H975="CE"),IF(K975&gt;=4,IF(J975&gt;=6,"H","A"),IF(K975&gt;=2,IF(J975&gt;=20,"H",IF(J975&lt;=5,"L","A")),IF(J975&lt;=19,"L","A"))),IF(OR(H975="ALI",H975="AIE"),IF(K975&gt;=6,IF(J975&gt;=20,"H","A"),IF(K975&gt;=2,IF(J975&gt;=51,"H",IF(J975&lt;=19,"L","A")),IF(J975&lt;=50,"L","A")))))))</f>
        <v/>
      </c>
      <c r="N975" s="46" t="str">
        <f aca="false">IF(M975="L","Baixa",IF(M975="A","Média",IF(M975="","","Alta")))</f>
        <v/>
      </c>
      <c r="O975" s="47" t="str">
        <f aca="false">IF(ISBLANK(H975),"",IF(H975="ALI",IF(M975="L",7,IF(M975="A",10,15)),IF(H975="AIE",IF(M975="L",5,IF(M975="A",7,10)),IF(H975="SE",IF(M975="L",4,IF(M975="A",5,7)),IF(OR(H975="EE",H975="CE"),IF(M975="L",3,IF(M975="A",4,6)))))))</f>
        <v/>
      </c>
      <c r="P975" s="48" t="str">
        <f aca="false">IF(I975="I",O975*Contagem!$W$15,IF(I975="E",O975*Contagem!$W$17,IF(I975="A",O975*Contagem!$W$16,IF(I975="T",O975*Contagem!$W$18,""))))</f>
        <v/>
      </c>
      <c r="Q975" s="49"/>
    </row>
    <row r="976" customFormat="false" ht="12" hidden="false" customHeight="true" outlineLevel="0" collapsed="false">
      <c r="A976" s="40" t="n">
        <f aca="false">IF(H976="",IF(C976="",A975,A975+1),A975)</f>
        <v>62</v>
      </c>
      <c r="B976" s="41" t="str">
        <f aca="false">IF(A976=A975,"",CONCATENATE("F",A976))</f>
        <v/>
      </c>
      <c r="C976" s="42"/>
      <c r="D976" s="2"/>
      <c r="E976" s="2"/>
      <c r="F976" s="2"/>
      <c r="G976" s="2"/>
      <c r="H976" s="44"/>
      <c r="I976" s="50"/>
      <c r="J976" s="44"/>
      <c r="K976" s="44"/>
      <c r="L976" s="44" t="str">
        <f aca="false">CONCATENATE(H976,M976)</f>
        <v/>
      </c>
      <c r="M976" s="45" t="str">
        <f aca="false">IF(OR(ISBLANK(J976),ISBLANK(K976)),IF(OR(H976="ALI",H976="AIE"),"L",IF(ISBLANK(H976),"","A")),IF(H976="EE",IF(K976&gt;=3,IF(J976&gt;=5,"H","A"),IF(K976&gt;=2,IF(J976&gt;=16,"H",IF(J976&lt;=4,"L","A")),IF(J976&lt;=15,"L","A"))),IF(OR(H976="SE",H976="CE"),IF(K976&gt;=4,IF(J976&gt;=6,"H","A"),IF(K976&gt;=2,IF(J976&gt;=20,"H",IF(J976&lt;=5,"L","A")),IF(J976&lt;=19,"L","A"))),IF(OR(H976="ALI",H976="AIE"),IF(K976&gt;=6,IF(J976&gt;=20,"H","A"),IF(K976&gt;=2,IF(J976&gt;=51,"H",IF(J976&lt;=19,"L","A")),IF(J976&lt;=50,"L","A")))))))</f>
        <v/>
      </c>
      <c r="N976" s="46" t="str">
        <f aca="false">IF(M976="L","Baixa",IF(M976="A","Média",IF(M976="","","Alta")))</f>
        <v/>
      </c>
      <c r="O976" s="47" t="str">
        <f aca="false">IF(ISBLANK(H976),"",IF(H976="ALI",IF(M976="L",7,IF(M976="A",10,15)),IF(H976="AIE",IF(M976="L",5,IF(M976="A",7,10)),IF(H976="SE",IF(M976="L",4,IF(M976="A",5,7)),IF(OR(H976="EE",H976="CE"),IF(M976="L",3,IF(M976="A",4,6)))))))</f>
        <v/>
      </c>
      <c r="P976" s="48" t="str">
        <f aca="false">IF(I976="I",O976*Contagem!$W$15,IF(I976="E",O976*Contagem!$W$17,IF(I976="A",O976*Contagem!$W$16,IF(I976="T",O976*Contagem!$W$18,""))))</f>
        <v/>
      </c>
      <c r="Q976" s="49"/>
    </row>
    <row r="977" customFormat="false" ht="12" hidden="false" customHeight="true" outlineLevel="0" collapsed="false">
      <c r="A977" s="40" t="n">
        <f aca="false">IF(H977="",IF(C977="",A976,A976+1),A976)</f>
        <v>62</v>
      </c>
      <c r="B977" s="41" t="str">
        <f aca="false">IF(A977=A976,"",CONCATENATE("F",A977))</f>
        <v/>
      </c>
      <c r="C977" s="42"/>
      <c r="D977" s="2"/>
      <c r="E977" s="2"/>
      <c r="F977" s="2"/>
      <c r="G977" s="2"/>
      <c r="H977" s="44"/>
      <c r="I977" s="50"/>
      <c r="J977" s="44"/>
      <c r="K977" s="44"/>
      <c r="L977" s="44" t="str">
        <f aca="false">CONCATENATE(H977,M977)</f>
        <v/>
      </c>
      <c r="M977" s="45" t="str">
        <f aca="false">IF(OR(ISBLANK(J977),ISBLANK(K977)),IF(OR(H977="ALI",H977="AIE"),"L",IF(ISBLANK(H977),"","A")),IF(H977="EE",IF(K977&gt;=3,IF(J977&gt;=5,"H","A"),IF(K977&gt;=2,IF(J977&gt;=16,"H",IF(J977&lt;=4,"L","A")),IF(J977&lt;=15,"L","A"))),IF(OR(H977="SE",H977="CE"),IF(K977&gt;=4,IF(J977&gt;=6,"H","A"),IF(K977&gt;=2,IF(J977&gt;=20,"H",IF(J977&lt;=5,"L","A")),IF(J977&lt;=19,"L","A"))),IF(OR(H977="ALI",H977="AIE"),IF(K977&gt;=6,IF(J977&gt;=20,"H","A"),IF(K977&gt;=2,IF(J977&gt;=51,"H",IF(J977&lt;=19,"L","A")),IF(J977&lt;=50,"L","A")))))))</f>
        <v/>
      </c>
      <c r="N977" s="46" t="str">
        <f aca="false">IF(M977="L","Baixa",IF(M977="A","Média",IF(M977="","","Alta")))</f>
        <v/>
      </c>
      <c r="O977" s="47" t="str">
        <f aca="false">IF(ISBLANK(H977),"",IF(H977="ALI",IF(M977="L",7,IF(M977="A",10,15)),IF(H977="AIE",IF(M977="L",5,IF(M977="A",7,10)),IF(H977="SE",IF(M977="L",4,IF(M977="A",5,7)),IF(OR(H977="EE",H977="CE"),IF(M977="L",3,IF(M977="A",4,6)))))))</f>
        <v/>
      </c>
      <c r="P977" s="48" t="str">
        <f aca="false">IF(I977="I",O977*Contagem!$W$15,IF(I977="E",O977*Contagem!$W$17,IF(I977="A",O977*Contagem!$W$16,IF(I977="T",O977*Contagem!$W$18,""))))</f>
        <v/>
      </c>
      <c r="Q977" s="49"/>
    </row>
    <row r="978" customFormat="false" ht="12" hidden="false" customHeight="true" outlineLevel="0" collapsed="false">
      <c r="A978" s="40" t="n">
        <f aca="false">IF(H978="",IF(C978="",A977,A977+1),A977)</f>
        <v>62</v>
      </c>
      <c r="B978" s="41" t="str">
        <f aca="false">IF(A978=A977,"",CONCATENATE("F",A978))</f>
        <v/>
      </c>
      <c r="C978" s="42"/>
      <c r="D978" s="2"/>
      <c r="E978" s="2"/>
      <c r="F978" s="2"/>
      <c r="G978" s="2"/>
      <c r="H978" s="44"/>
      <c r="I978" s="50"/>
      <c r="J978" s="44"/>
      <c r="K978" s="44"/>
      <c r="L978" s="44" t="str">
        <f aca="false">CONCATENATE(H978,M978)</f>
        <v/>
      </c>
      <c r="M978" s="45" t="str">
        <f aca="false">IF(OR(ISBLANK(J978),ISBLANK(K978)),IF(OR(H978="ALI",H978="AIE"),"L",IF(ISBLANK(H978),"","A")),IF(H978="EE",IF(K978&gt;=3,IF(J978&gt;=5,"H","A"),IF(K978&gt;=2,IF(J978&gt;=16,"H",IF(J978&lt;=4,"L","A")),IF(J978&lt;=15,"L","A"))),IF(OR(H978="SE",H978="CE"),IF(K978&gt;=4,IF(J978&gt;=6,"H","A"),IF(K978&gt;=2,IF(J978&gt;=20,"H",IF(J978&lt;=5,"L","A")),IF(J978&lt;=19,"L","A"))),IF(OR(H978="ALI",H978="AIE"),IF(K978&gt;=6,IF(J978&gt;=20,"H","A"),IF(K978&gt;=2,IF(J978&gt;=51,"H",IF(J978&lt;=19,"L","A")),IF(J978&lt;=50,"L","A")))))))</f>
        <v/>
      </c>
      <c r="N978" s="46" t="str">
        <f aca="false">IF(M978="L","Baixa",IF(M978="A","Média",IF(M978="","","Alta")))</f>
        <v/>
      </c>
      <c r="O978" s="47" t="str">
        <f aca="false">IF(ISBLANK(H978),"",IF(H978="ALI",IF(M978="L",7,IF(M978="A",10,15)),IF(H978="AIE",IF(M978="L",5,IF(M978="A",7,10)),IF(H978="SE",IF(M978="L",4,IF(M978="A",5,7)),IF(OR(H978="EE",H978="CE"),IF(M978="L",3,IF(M978="A",4,6)))))))</f>
        <v/>
      </c>
      <c r="P978" s="48" t="str">
        <f aca="false">IF(I978="I",O978*Contagem!$W$15,IF(I978="E",O978*Contagem!$W$17,IF(I978="A",O978*Contagem!$W$16,IF(I978="T",O978*Contagem!$W$18,""))))</f>
        <v/>
      </c>
      <c r="Q978" s="49"/>
    </row>
    <row r="979" customFormat="false" ht="12" hidden="false" customHeight="true" outlineLevel="0" collapsed="false">
      <c r="A979" s="40" t="n">
        <f aca="false">IF(H979="",IF(C979="",A978,A978+1),A978)</f>
        <v>62</v>
      </c>
      <c r="B979" s="41" t="str">
        <f aca="false">IF(A979=A978,"",CONCATENATE("F",A979))</f>
        <v/>
      </c>
      <c r="C979" s="42"/>
      <c r="D979" s="2"/>
      <c r="E979" s="2"/>
      <c r="F979" s="2"/>
      <c r="G979" s="2"/>
      <c r="H979" s="44"/>
      <c r="I979" s="50"/>
      <c r="J979" s="44"/>
      <c r="K979" s="44"/>
      <c r="L979" s="44" t="str">
        <f aca="false">CONCATENATE(H979,M979)</f>
        <v/>
      </c>
      <c r="M979" s="45" t="str">
        <f aca="false">IF(OR(ISBLANK(J979),ISBLANK(K979)),IF(OR(H979="ALI",H979="AIE"),"L",IF(ISBLANK(H979),"","A")),IF(H979="EE",IF(K979&gt;=3,IF(J979&gt;=5,"H","A"),IF(K979&gt;=2,IF(J979&gt;=16,"H",IF(J979&lt;=4,"L","A")),IF(J979&lt;=15,"L","A"))),IF(OR(H979="SE",H979="CE"),IF(K979&gt;=4,IF(J979&gt;=6,"H","A"),IF(K979&gt;=2,IF(J979&gt;=20,"H",IF(J979&lt;=5,"L","A")),IF(J979&lt;=19,"L","A"))),IF(OR(H979="ALI",H979="AIE"),IF(K979&gt;=6,IF(J979&gt;=20,"H","A"),IF(K979&gt;=2,IF(J979&gt;=51,"H",IF(J979&lt;=19,"L","A")),IF(J979&lt;=50,"L","A")))))))</f>
        <v/>
      </c>
      <c r="N979" s="46" t="str">
        <f aca="false">IF(M979="L","Baixa",IF(M979="A","Média",IF(M979="","","Alta")))</f>
        <v/>
      </c>
      <c r="O979" s="47" t="str">
        <f aca="false">IF(ISBLANK(H979),"",IF(H979="ALI",IF(M979="L",7,IF(M979="A",10,15)),IF(H979="AIE",IF(M979="L",5,IF(M979="A",7,10)),IF(H979="SE",IF(M979="L",4,IF(M979="A",5,7)),IF(OR(H979="EE",H979="CE"),IF(M979="L",3,IF(M979="A",4,6)))))))</f>
        <v/>
      </c>
      <c r="P979" s="48" t="str">
        <f aca="false">IF(I979="I",O979*Contagem!$W$15,IF(I979="E",O979*Contagem!$W$17,IF(I979="A",O979*Contagem!$W$16,IF(I979="T",O979*Contagem!$W$18,""))))</f>
        <v/>
      </c>
      <c r="Q979" s="49"/>
    </row>
    <row r="980" customFormat="false" ht="12" hidden="false" customHeight="true" outlineLevel="0" collapsed="false">
      <c r="A980" s="40" t="n">
        <f aca="false">IF(H980="",IF(C980="",A979,A979+1),A979)</f>
        <v>62</v>
      </c>
      <c r="B980" s="41" t="str">
        <f aca="false">IF(A980=A979,"",CONCATENATE("F",A980))</f>
        <v/>
      </c>
      <c r="C980" s="42"/>
      <c r="D980" s="2"/>
      <c r="E980" s="2"/>
      <c r="F980" s="2"/>
      <c r="G980" s="2"/>
      <c r="H980" s="44"/>
      <c r="I980" s="50"/>
      <c r="J980" s="44"/>
      <c r="K980" s="44"/>
      <c r="L980" s="44" t="str">
        <f aca="false">CONCATENATE(H980,M980)</f>
        <v/>
      </c>
      <c r="M980" s="45" t="str">
        <f aca="false">IF(OR(ISBLANK(J980),ISBLANK(K980)),IF(OR(H980="ALI",H980="AIE"),"L",IF(ISBLANK(H980),"","A")),IF(H980="EE",IF(K980&gt;=3,IF(J980&gt;=5,"H","A"),IF(K980&gt;=2,IF(J980&gt;=16,"H",IF(J980&lt;=4,"L","A")),IF(J980&lt;=15,"L","A"))),IF(OR(H980="SE",H980="CE"),IF(K980&gt;=4,IF(J980&gt;=6,"H","A"),IF(K980&gt;=2,IF(J980&gt;=20,"H",IF(J980&lt;=5,"L","A")),IF(J980&lt;=19,"L","A"))),IF(OR(H980="ALI",H980="AIE"),IF(K980&gt;=6,IF(J980&gt;=20,"H","A"),IF(K980&gt;=2,IF(J980&gt;=51,"H",IF(J980&lt;=19,"L","A")),IF(J980&lt;=50,"L","A")))))))</f>
        <v/>
      </c>
      <c r="N980" s="46" t="str">
        <f aca="false">IF(M980="L","Baixa",IF(M980="A","Média",IF(M980="","","Alta")))</f>
        <v/>
      </c>
      <c r="O980" s="47" t="str">
        <f aca="false">IF(ISBLANK(H980),"",IF(H980="ALI",IF(M980="L",7,IF(M980="A",10,15)),IF(H980="AIE",IF(M980="L",5,IF(M980="A",7,10)),IF(H980="SE",IF(M980="L",4,IF(M980="A",5,7)),IF(OR(H980="EE",H980="CE"),IF(M980="L",3,IF(M980="A",4,6)))))))</f>
        <v/>
      </c>
      <c r="P980" s="48" t="str">
        <f aca="false">IF(I980="I",O980*Contagem!$W$15,IF(I980="E",O980*Contagem!$W$17,IF(I980="A",O980*Contagem!$W$16,IF(I980="T",O980*Contagem!$W$18,""))))</f>
        <v/>
      </c>
      <c r="Q980" s="49"/>
    </row>
    <row r="981" customFormat="false" ht="12" hidden="false" customHeight="true" outlineLevel="0" collapsed="false">
      <c r="A981" s="40" t="n">
        <f aca="false">IF(H981="",IF(C981="",A980,A980+1),A980)</f>
        <v>62</v>
      </c>
      <c r="B981" s="41" t="str">
        <f aca="false">IF(A981=A980,"",CONCATENATE("F",A981))</f>
        <v/>
      </c>
      <c r="C981" s="42"/>
      <c r="D981" s="2"/>
      <c r="E981" s="2"/>
      <c r="F981" s="2"/>
      <c r="G981" s="2"/>
      <c r="H981" s="44"/>
      <c r="I981" s="50"/>
      <c r="J981" s="44"/>
      <c r="K981" s="44"/>
      <c r="L981" s="44" t="str">
        <f aca="false">CONCATENATE(H981,M981)</f>
        <v/>
      </c>
      <c r="M981" s="45" t="str">
        <f aca="false">IF(OR(ISBLANK(J981),ISBLANK(K981)),IF(OR(H981="ALI",H981="AIE"),"L",IF(ISBLANK(H981),"","A")),IF(H981="EE",IF(K981&gt;=3,IF(J981&gt;=5,"H","A"),IF(K981&gt;=2,IF(J981&gt;=16,"H",IF(J981&lt;=4,"L","A")),IF(J981&lt;=15,"L","A"))),IF(OR(H981="SE",H981="CE"),IF(K981&gt;=4,IF(J981&gt;=6,"H","A"),IF(K981&gt;=2,IF(J981&gt;=20,"H",IF(J981&lt;=5,"L","A")),IF(J981&lt;=19,"L","A"))),IF(OR(H981="ALI",H981="AIE"),IF(K981&gt;=6,IF(J981&gt;=20,"H","A"),IF(K981&gt;=2,IF(J981&gt;=51,"H",IF(J981&lt;=19,"L","A")),IF(J981&lt;=50,"L","A")))))))</f>
        <v/>
      </c>
      <c r="N981" s="46" t="str">
        <f aca="false">IF(M981="L","Baixa",IF(M981="A","Média",IF(M981="","","Alta")))</f>
        <v/>
      </c>
      <c r="O981" s="47" t="str">
        <f aca="false">IF(ISBLANK(H981),"",IF(H981="ALI",IF(M981="L",7,IF(M981="A",10,15)),IF(H981="AIE",IF(M981="L",5,IF(M981="A",7,10)),IF(H981="SE",IF(M981="L",4,IF(M981="A",5,7)),IF(OR(H981="EE",H981="CE"),IF(M981="L",3,IF(M981="A",4,6)))))))</f>
        <v/>
      </c>
      <c r="P981" s="48" t="str">
        <f aca="false">IF(I981="I",O981*Contagem!$W$15,IF(I981="E",O981*Contagem!$W$17,IF(I981="A",O981*Contagem!$W$16,IF(I981="T",O981*Contagem!$W$18,""))))</f>
        <v/>
      </c>
      <c r="Q981" s="49"/>
    </row>
    <row r="982" customFormat="false" ht="12" hidden="false" customHeight="true" outlineLevel="0" collapsed="false">
      <c r="A982" s="40" t="n">
        <f aca="false">IF(H982="",IF(C982="",A981,A981+1),A981)</f>
        <v>62</v>
      </c>
      <c r="B982" s="41" t="str">
        <f aca="false">IF(A982=A981,"",CONCATENATE("F",A982))</f>
        <v/>
      </c>
      <c r="C982" s="42"/>
      <c r="D982" s="2"/>
      <c r="E982" s="2"/>
      <c r="F982" s="2"/>
      <c r="G982" s="2"/>
      <c r="H982" s="44"/>
      <c r="I982" s="50"/>
      <c r="J982" s="44"/>
      <c r="K982" s="44"/>
      <c r="L982" s="44" t="str">
        <f aca="false">CONCATENATE(H982,M982)</f>
        <v/>
      </c>
      <c r="M982" s="45" t="str">
        <f aca="false">IF(OR(ISBLANK(J982),ISBLANK(K982)),IF(OR(H982="ALI",H982="AIE"),"L",IF(ISBLANK(H982),"","A")),IF(H982="EE",IF(K982&gt;=3,IF(J982&gt;=5,"H","A"),IF(K982&gt;=2,IF(J982&gt;=16,"H",IF(J982&lt;=4,"L","A")),IF(J982&lt;=15,"L","A"))),IF(OR(H982="SE",H982="CE"),IF(K982&gt;=4,IF(J982&gt;=6,"H","A"),IF(K982&gt;=2,IF(J982&gt;=20,"H",IF(J982&lt;=5,"L","A")),IF(J982&lt;=19,"L","A"))),IF(OR(H982="ALI",H982="AIE"),IF(K982&gt;=6,IF(J982&gt;=20,"H","A"),IF(K982&gt;=2,IF(J982&gt;=51,"H",IF(J982&lt;=19,"L","A")),IF(J982&lt;=50,"L","A")))))))</f>
        <v/>
      </c>
      <c r="N982" s="46" t="str">
        <f aca="false">IF(M982="L","Baixa",IF(M982="A","Média",IF(M982="","","Alta")))</f>
        <v/>
      </c>
      <c r="O982" s="47" t="str">
        <f aca="false">IF(ISBLANK(H982),"",IF(H982="ALI",IF(M982="L",7,IF(M982="A",10,15)),IF(H982="AIE",IF(M982="L",5,IF(M982="A",7,10)),IF(H982="SE",IF(M982="L",4,IF(M982="A",5,7)),IF(OR(H982="EE",H982="CE"),IF(M982="L",3,IF(M982="A",4,6)))))))</f>
        <v/>
      </c>
      <c r="P982" s="48" t="str">
        <f aca="false">IF(I982="I",O982*Contagem!$W$15,IF(I982="E",O982*Contagem!$W$17,IF(I982="A",O982*Contagem!$W$16,IF(I982="T",O982*Contagem!$W$18,""))))</f>
        <v/>
      </c>
      <c r="Q982" s="49"/>
    </row>
    <row r="983" customFormat="false" ht="12" hidden="false" customHeight="true" outlineLevel="0" collapsed="false">
      <c r="A983" s="40" t="n">
        <f aca="false">IF(H983="",IF(C983="",A982,A982+1),A982)</f>
        <v>62</v>
      </c>
      <c r="B983" s="41" t="str">
        <f aca="false">IF(A983=A982,"",CONCATENATE("F",A983))</f>
        <v/>
      </c>
      <c r="C983" s="42"/>
      <c r="D983" s="2"/>
      <c r="E983" s="2"/>
      <c r="F983" s="2"/>
      <c r="G983" s="2"/>
      <c r="H983" s="44"/>
      <c r="I983" s="50"/>
      <c r="J983" s="44"/>
      <c r="K983" s="44"/>
      <c r="L983" s="44" t="str">
        <f aca="false">CONCATENATE(H983,M983)</f>
        <v/>
      </c>
      <c r="M983" s="45" t="str">
        <f aca="false">IF(OR(ISBLANK(J983),ISBLANK(K983)),IF(OR(H983="ALI",H983="AIE"),"L",IF(ISBLANK(H983),"","A")),IF(H983="EE",IF(K983&gt;=3,IF(J983&gt;=5,"H","A"),IF(K983&gt;=2,IF(J983&gt;=16,"H",IF(J983&lt;=4,"L","A")),IF(J983&lt;=15,"L","A"))),IF(OR(H983="SE",H983="CE"),IF(K983&gt;=4,IF(J983&gt;=6,"H","A"),IF(K983&gt;=2,IF(J983&gt;=20,"H",IF(J983&lt;=5,"L","A")),IF(J983&lt;=19,"L","A"))),IF(OR(H983="ALI",H983="AIE"),IF(K983&gt;=6,IF(J983&gt;=20,"H","A"),IF(K983&gt;=2,IF(J983&gt;=51,"H",IF(J983&lt;=19,"L","A")),IF(J983&lt;=50,"L","A")))))))</f>
        <v/>
      </c>
      <c r="N983" s="46" t="str">
        <f aca="false">IF(M983="L","Baixa",IF(M983="A","Média",IF(M983="","","Alta")))</f>
        <v/>
      </c>
      <c r="O983" s="47" t="str">
        <f aca="false">IF(ISBLANK(H983),"",IF(H983="ALI",IF(M983="L",7,IF(M983="A",10,15)),IF(H983="AIE",IF(M983="L",5,IF(M983="A",7,10)),IF(H983="SE",IF(M983="L",4,IF(M983="A",5,7)),IF(OR(H983="EE",H983="CE"),IF(M983="L",3,IF(M983="A",4,6)))))))</f>
        <v/>
      </c>
      <c r="P983" s="48" t="str">
        <f aca="false">IF(I983="I",O983*Contagem!$W$15,IF(I983="E",O983*Contagem!$W$17,IF(I983="A",O983*Contagem!$W$16,IF(I983="T",O983*Contagem!$W$18,""))))</f>
        <v/>
      </c>
      <c r="Q983" s="49"/>
    </row>
    <row r="984" customFormat="false" ht="12" hidden="false" customHeight="true" outlineLevel="0" collapsed="false">
      <c r="A984" s="40" t="n">
        <f aca="false">IF(H984="",IF(C984="",A983,A983+1),A983)</f>
        <v>62</v>
      </c>
      <c r="B984" s="41" t="str">
        <f aca="false">IF(A984=A983,"",CONCATENATE("F",A984))</f>
        <v/>
      </c>
      <c r="C984" s="42"/>
      <c r="D984" s="2"/>
      <c r="E984" s="2"/>
      <c r="F984" s="2"/>
      <c r="G984" s="2"/>
      <c r="H984" s="44"/>
      <c r="I984" s="50"/>
      <c r="J984" s="44"/>
      <c r="K984" s="44"/>
      <c r="L984" s="44" t="str">
        <f aca="false">CONCATENATE(H984,M984)</f>
        <v/>
      </c>
      <c r="M984" s="45" t="str">
        <f aca="false">IF(OR(ISBLANK(J984),ISBLANK(K984)),IF(OR(H984="ALI",H984="AIE"),"L",IF(ISBLANK(H984),"","A")),IF(H984="EE",IF(K984&gt;=3,IF(J984&gt;=5,"H","A"),IF(K984&gt;=2,IF(J984&gt;=16,"H",IF(J984&lt;=4,"L","A")),IF(J984&lt;=15,"L","A"))),IF(OR(H984="SE",H984="CE"),IF(K984&gt;=4,IF(J984&gt;=6,"H","A"),IF(K984&gt;=2,IF(J984&gt;=20,"H",IF(J984&lt;=5,"L","A")),IF(J984&lt;=19,"L","A"))),IF(OR(H984="ALI",H984="AIE"),IF(K984&gt;=6,IF(J984&gt;=20,"H","A"),IF(K984&gt;=2,IF(J984&gt;=51,"H",IF(J984&lt;=19,"L","A")),IF(J984&lt;=50,"L","A")))))))</f>
        <v/>
      </c>
      <c r="N984" s="46" t="str">
        <f aca="false">IF(M984="L","Baixa",IF(M984="A","Média",IF(M984="","","Alta")))</f>
        <v/>
      </c>
      <c r="O984" s="47" t="str">
        <f aca="false">IF(ISBLANK(H984),"",IF(H984="ALI",IF(M984="L",7,IF(M984="A",10,15)),IF(H984="AIE",IF(M984="L",5,IF(M984="A",7,10)),IF(H984="SE",IF(M984="L",4,IF(M984="A",5,7)),IF(OR(H984="EE",H984="CE"),IF(M984="L",3,IF(M984="A",4,6)))))))</f>
        <v/>
      </c>
      <c r="P984" s="48" t="str">
        <f aca="false">IF(I984="I",O984*Contagem!$W$15,IF(I984="E",O984*Contagem!$W$17,IF(I984="A",O984*Contagem!$W$16,IF(I984="T",O984*Contagem!$W$18,""))))</f>
        <v/>
      </c>
      <c r="Q984" s="49"/>
    </row>
    <row r="985" customFormat="false" ht="12" hidden="false" customHeight="true" outlineLevel="0" collapsed="false">
      <c r="A985" s="40" t="n">
        <f aca="false">IF(H985="",IF(C985="",A984,A984+1),A984)</f>
        <v>62</v>
      </c>
      <c r="B985" s="41" t="str">
        <f aca="false">IF(A985=A984,"",CONCATENATE("F",A985))</f>
        <v/>
      </c>
      <c r="C985" s="42"/>
      <c r="D985" s="2"/>
      <c r="E985" s="2"/>
      <c r="F985" s="2"/>
      <c r="G985" s="2"/>
      <c r="H985" s="44"/>
      <c r="I985" s="50"/>
      <c r="J985" s="44"/>
      <c r="K985" s="44"/>
      <c r="L985" s="44" t="str">
        <f aca="false">CONCATENATE(H985,M985)</f>
        <v/>
      </c>
      <c r="M985" s="45" t="str">
        <f aca="false">IF(OR(ISBLANK(J985),ISBLANK(K985)),IF(OR(H985="ALI",H985="AIE"),"L",IF(ISBLANK(H985),"","A")),IF(H985="EE",IF(K985&gt;=3,IF(J985&gt;=5,"H","A"),IF(K985&gt;=2,IF(J985&gt;=16,"H",IF(J985&lt;=4,"L","A")),IF(J985&lt;=15,"L","A"))),IF(OR(H985="SE",H985="CE"),IF(K985&gt;=4,IF(J985&gt;=6,"H","A"),IF(K985&gt;=2,IF(J985&gt;=20,"H",IF(J985&lt;=5,"L","A")),IF(J985&lt;=19,"L","A"))),IF(OR(H985="ALI",H985="AIE"),IF(K985&gt;=6,IF(J985&gt;=20,"H","A"),IF(K985&gt;=2,IF(J985&gt;=51,"H",IF(J985&lt;=19,"L","A")),IF(J985&lt;=50,"L","A")))))))</f>
        <v/>
      </c>
      <c r="N985" s="46" t="str">
        <f aca="false">IF(M985="L","Baixa",IF(M985="A","Média",IF(M985="","","Alta")))</f>
        <v/>
      </c>
      <c r="O985" s="47" t="str">
        <f aca="false">IF(ISBLANK(H985),"",IF(H985="ALI",IF(M985="L",7,IF(M985="A",10,15)),IF(H985="AIE",IF(M985="L",5,IF(M985="A",7,10)),IF(H985="SE",IF(M985="L",4,IF(M985="A",5,7)),IF(OR(H985="EE",H985="CE"),IF(M985="L",3,IF(M985="A",4,6)))))))</f>
        <v/>
      </c>
      <c r="P985" s="48" t="str">
        <f aca="false">IF(I985="I",O985*Contagem!$W$15,IF(I985="E",O985*Contagem!$W$17,IF(I985="A",O985*Contagem!$W$16,IF(I985="T",O985*Contagem!$W$18,""))))</f>
        <v/>
      </c>
      <c r="Q985" s="49"/>
    </row>
    <row r="986" customFormat="false" ht="12" hidden="false" customHeight="true" outlineLevel="0" collapsed="false">
      <c r="A986" s="40" t="n">
        <f aca="false">IF(H986="",IF(C986="",A985,A985+1),A985)</f>
        <v>62</v>
      </c>
      <c r="B986" s="41" t="str">
        <f aca="false">IF(A986=A985,"",CONCATENATE("F",A986))</f>
        <v/>
      </c>
      <c r="C986" s="42"/>
      <c r="D986" s="2"/>
      <c r="E986" s="2"/>
      <c r="F986" s="2"/>
      <c r="G986" s="2"/>
      <c r="H986" s="44"/>
      <c r="I986" s="50"/>
      <c r="J986" s="44"/>
      <c r="K986" s="44"/>
      <c r="L986" s="44" t="str">
        <f aca="false">CONCATENATE(H986,M986)</f>
        <v/>
      </c>
      <c r="M986" s="45" t="str">
        <f aca="false">IF(OR(ISBLANK(J986),ISBLANK(K986)),IF(OR(H986="ALI",H986="AIE"),"L",IF(ISBLANK(H986),"","A")),IF(H986="EE",IF(K986&gt;=3,IF(J986&gt;=5,"H","A"),IF(K986&gt;=2,IF(J986&gt;=16,"H",IF(J986&lt;=4,"L","A")),IF(J986&lt;=15,"L","A"))),IF(OR(H986="SE",H986="CE"),IF(K986&gt;=4,IF(J986&gt;=6,"H","A"),IF(K986&gt;=2,IF(J986&gt;=20,"H",IF(J986&lt;=5,"L","A")),IF(J986&lt;=19,"L","A"))),IF(OR(H986="ALI",H986="AIE"),IF(K986&gt;=6,IF(J986&gt;=20,"H","A"),IF(K986&gt;=2,IF(J986&gt;=51,"H",IF(J986&lt;=19,"L","A")),IF(J986&lt;=50,"L","A")))))))</f>
        <v/>
      </c>
      <c r="N986" s="46" t="str">
        <f aca="false">IF(M986="L","Baixa",IF(M986="A","Média",IF(M986="","","Alta")))</f>
        <v/>
      </c>
      <c r="O986" s="47" t="str">
        <f aca="false">IF(ISBLANK(H986),"",IF(H986="ALI",IF(M986="L",7,IF(M986="A",10,15)),IF(H986="AIE",IF(M986="L",5,IF(M986="A",7,10)),IF(H986="SE",IF(M986="L",4,IF(M986="A",5,7)),IF(OR(H986="EE",H986="CE"),IF(M986="L",3,IF(M986="A",4,6)))))))</f>
        <v/>
      </c>
      <c r="P986" s="48" t="str">
        <f aca="false">IF(I986="I",O986*Contagem!$W$15,IF(I986="E",O986*Contagem!$W$17,IF(I986="A",O986*Contagem!$W$16,IF(I986="T",O986*Contagem!$W$18,""))))</f>
        <v/>
      </c>
      <c r="Q986" s="49"/>
    </row>
    <row r="987" customFormat="false" ht="12" hidden="false" customHeight="true" outlineLevel="0" collapsed="false">
      <c r="A987" s="40" t="n">
        <f aca="false">IF(H987="",IF(C987="",A986,A986+1),A986)</f>
        <v>62</v>
      </c>
      <c r="B987" s="41" t="str">
        <f aca="false">IF(A987=A986,"",CONCATENATE("F",A987))</f>
        <v/>
      </c>
      <c r="C987" s="42"/>
      <c r="D987" s="2"/>
      <c r="E987" s="2"/>
      <c r="F987" s="2"/>
      <c r="G987" s="2"/>
      <c r="H987" s="44"/>
      <c r="I987" s="50"/>
      <c r="J987" s="44"/>
      <c r="K987" s="44"/>
      <c r="L987" s="44" t="str">
        <f aca="false">CONCATENATE(H987,M987)</f>
        <v/>
      </c>
      <c r="M987" s="45" t="str">
        <f aca="false">IF(OR(ISBLANK(J987),ISBLANK(K987)),IF(OR(H987="ALI",H987="AIE"),"L",IF(ISBLANK(H987),"","A")),IF(H987="EE",IF(K987&gt;=3,IF(J987&gt;=5,"H","A"),IF(K987&gt;=2,IF(J987&gt;=16,"H",IF(J987&lt;=4,"L","A")),IF(J987&lt;=15,"L","A"))),IF(OR(H987="SE",H987="CE"),IF(K987&gt;=4,IF(J987&gt;=6,"H","A"),IF(K987&gt;=2,IF(J987&gt;=20,"H",IF(J987&lt;=5,"L","A")),IF(J987&lt;=19,"L","A"))),IF(OR(H987="ALI",H987="AIE"),IF(K987&gt;=6,IF(J987&gt;=20,"H","A"),IF(K987&gt;=2,IF(J987&gt;=51,"H",IF(J987&lt;=19,"L","A")),IF(J987&lt;=50,"L","A")))))))</f>
        <v/>
      </c>
      <c r="N987" s="46" t="str">
        <f aca="false">IF(M987="L","Baixa",IF(M987="A","Média",IF(M987="","","Alta")))</f>
        <v/>
      </c>
      <c r="O987" s="47" t="str">
        <f aca="false">IF(ISBLANK(H987),"",IF(H987="ALI",IF(M987="L",7,IF(M987="A",10,15)),IF(H987="AIE",IF(M987="L",5,IF(M987="A",7,10)),IF(H987="SE",IF(M987="L",4,IF(M987="A",5,7)),IF(OR(H987="EE",H987="CE"),IF(M987="L",3,IF(M987="A",4,6)))))))</f>
        <v/>
      </c>
      <c r="P987" s="48" t="str">
        <f aca="false">IF(I987="I",O987*Contagem!$W$15,IF(I987="E",O987*Contagem!$W$17,IF(I987="A",O987*Contagem!$W$16,IF(I987="T",O987*Contagem!$W$18,""))))</f>
        <v/>
      </c>
      <c r="Q987" s="49"/>
    </row>
    <row r="988" customFormat="false" ht="12" hidden="false" customHeight="true" outlineLevel="0" collapsed="false">
      <c r="A988" s="40" t="n">
        <f aca="false">IF(H988="",IF(C988="",A987,A987+1),A987)</f>
        <v>62</v>
      </c>
      <c r="B988" s="41" t="str">
        <f aca="false">IF(A988=A987,"",CONCATENATE("F",A988))</f>
        <v/>
      </c>
      <c r="C988" s="42"/>
      <c r="D988" s="2"/>
      <c r="E988" s="2"/>
      <c r="F988" s="2"/>
      <c r="G988" s="2"/>
      <c r="H988" s="44"/>
      <c r="I988" s="50"/>
      <c r="J988" s="44"/>
      <c r="K988" s="44"/>
      <c r="L988" s="44" t="str">
        <f aca="false">CONCATENATE(H988,M988)</f>
        <v/>
      </c>
      <c r="M988" s="45" t="str">
        <f aca="false">IF(OR(ISBLANK(J988),ISBLANK(K988)),IF(OR(H988="ALI",H988="AIE"),"L",IF(ISBLANK(H988),"","A")),IF(H988="EE",IF(K988&gt;=3,IF(J988&gt;=5,"H","A"),IF(K988&gt;=2,IF(J988&gt;=16,"H",IF(J988&lt;=4,"L","A")),IF(J988&lt;=15,"L","A"))),IF(OR(H988="SE",H988="CE"),IF(K988&gt;=4,IF(J988&gt;=6,"H","A"),IF(K988&gt;=2,IF(J988&gt;=20,"H",IF(J988&lt;=5,"L","A")),IF(J988&lt;=19,"L","A"))),IF(OR(H988="ALI",H988="AIE"),IF(K988&gt;=6,IF(J988&gt;=20,"H","A"),IF(K988&gt;=2,IF(J988&gt;=51,"H",IF(J988&lt;=19,"L","A")),IF(J988&lt;=50,"L","A")))))))</f>
        <v/>
      </c>
      <c r="N988" s="46" t="str">
        <f aca="false">IF(M988="L","Baixa",IF(M988="A","Média",IF(M988="","","Alta")))</f>
        <v/>
      </c>
      <c r="O988" s="47" t="str">
        <f aca="false">IF(ISBLANK(H988),"",IF(H988="ALI",IF(M988="L",7,IF(M988="A",10,15)),IF(H988="AIE",IF(M988="L",5,IF(M988="A",7,10)),IF(H988="SE",IF(M988="L",4,IF(M988="A",5,7)),IF(OR(H988="EE",H988="CE"),IF(M988="L",3,IF(M988="A",4,6)))))))</f>
        <v/>
      </c>
      <c r="P988" s="48" t="str">
        <f aca="false">IF(I988="I",O988*Contagem!$W$15,IF(I988="E",O988*Contagem!$W$17,IF(I988="A",O988*Contagem!$W$16,IF(I988="T",O988*Contagem!$W$18,""))))</f>
        <v/>
      </c>
      <c r="Q988" s="49"/>
    </row>
    <row r="989" customFormat="false" ht="12" hidden="false" customHeight="true" outlineLevel="0" collapsed="false">
      <c r="A989" s="40" t="n">
        <f aca="false">IF(H989="",IF(C989="",A988,A988+1),A988)</f>
        <v>62</v>
      </c>
      <c r="B989" s="41" t="str">
        <f aca="false">IF(A989=A988,"",CONCATENATE("F",A989))</f>
        <v/>
      </c>
      <c r="C989" s="42"/>
      <c r="D989" s="2"/>
      <c r="E989" s="2"/>
      <c r="F989" s="2"/>
      <c r="G989" s="2"/>
      <c r="H989" s="44"/>
      <c r="I989" s="50"/>
      <c r="J989" s="44"/>
      <c r="K989" s="44"/>
      <c r="L989" s="44" t="str">
        <f aca="false">CONCATENATE(H989,M989)</f>
        <v/>
      </c>
      <c r="M989" s="45" t="str">
        <f aca="false">IF(OR(ISBLANK(J989),ISBLANK(K989)),IF(OR(H989="ALI",H989="AIE"),"L",IF(ISBLANK(H989),"","A")),IF(H989="EE",IF(K989&gt;=3,IF(J989&gt;=5,"H","A"),IF(K989&gt;=2,IF(J989&gt;=16,"H",IF(J989&lt;=4,"L","A")),IF(J989&lt;=15,"L","A"))),IF(OR(H989="SE",H989="CE"),IF(K989&gt;=4,IF(J989&gt;=6,"H","A"),IF(K989&gt;=2,IF(J989&gt;=20,"H",IF(J989&lt;=5,"L","A")),IF(J989&lt;=19,"L","A"))),IF(OR(H989="ALI",H989="AIE"),IF(K989&gt;=6,IF(J989&gt;=20,"H","A"),IF(K989&gt;=2,IF(J989&gt;=51,"H",IF(J989&lt;=19,"L","A")),IF(J989&lt;=50,"L","A")))))))</f>
        <v/>
      </c>
      <c r="N989" s="46" t="str">
        <f aca="false">IF(M989="L","Baixa",IF(M989="A","Média",IF(M989="","","Alta")))</f>
        <v/>
      </c>
      <c r="O989" s="47" t="str">
        <f aca="false">IF(ISBLANK(H989),"",IF(H989="ALI",IF(M989="L",7,IF(M989="A",10,15)),IF(H989="AIE",IF(M989="L",5,IF(M989="A",7,10)),IF(H989="SE",IF(M989="L",4,IF(M989="A",5,7)),IF(OR(H989="EE",H989="CE"),IF(M989="L",3,IF(M989="A",4,6)))))))</f>
        <v/>
      </c>
      <c r="P989" s="48" t="str">
        <f aca="false">IF(I989="I",O989*Contagem!$W$15,IF(I989="E",O989*Contagem!$W$17,IF(I989="A",O989*Contagem!$W$16,IF(I989="T",O989*Contagem!$W$18,""))))</f>
        <v/>
      </c>
      <c r="Q989" s="49"/>
    </row>
    <row r="990" customFormat="false" ht="12" hidden="false" customHeight="true" outlineLevel="0" collapsed="false">
      <c r="A990" s="40" t="n">
        <f aca="false">IF(H990="",IF(C990="",A989,A989+1),A989)</f>
        <v>62</v>
      </c>
      <c r="B990" s="41" t="str">
        <f aca="false">IF(A990=A989,"",CONCATENATE("F",A990))</f>
        <v/>
      </c>
      <c r="C990" s="42"/>
      <c r="D990" s="2"/>
      <c r="E990" s="2"/>
      <c r="F990" s="2"/>
      <c r="G990" s="2"/>
      <c r="H990" s="44"/>
      <c r="I990" s="50"/>
      <c r="J990" s="44"/>
      <c r="K990" s="44"/>
      <c r="L990" s="44" t="str">
        <f aca="false">CONCATENATE(H990,M990)</f>
        <v/>
      </c>
      <c r="M990" s="45" t="str">
        <f aca="false">IF(OR(ISBLANK(J990),ISBLANK(K990)),IF(OR(H990="ALI",H990="AIE"),"L",IF(ISBLANK(H990),"","A")),IF(H990="EE",IF(K990&gt;=3,IF(J990&gt;=5,"H","A"),IF(K990&gt;=2,IF(J990&gt;=16,"H",IF(J990&lt;=4,"L","A")),IF(J990&lt;=15,"L","A"))),IF(OR(H990="SE",H990="CE"),IF(K990&gt;=4,IF(J990&gt;=6,"H","A"),IF(K990&gt;=2,IF(J990&gt;=20,"H",IF(J990&lt;=5,"L","A")),IF(J990&lt;=19,"L","A"))),IF(OR(H990="ALI",H990="AIE"),IF(K990&gt;=6,IF(J990&gt;=20,"H","A"),IF(K990&gt;=2,IF(J990&gt;=51,"H",IF(J990&lt;=19,"L","A")),IF(J990&lt;=50,"L","A")))))))</f>
        <v/>
      </c>
      <c r="N990" s="46" t="str">
        <f aca="false">IF(M990="L","Baixa",IF(M990="A","Média",IF(M990="","","Alta")))</f>
        <v/>
      </c>
      <c r="O990" s="47" t="str">
        <f aca="false">IF(ISBLANK(H990),"",IF(H990="ALI",IF(M990="L",7,IF(M990="A",10,15)),IF(H990="AIE",IF(M990="L",5,IF(M990="A",7,10)),IF(H990="SE",IF(M990="L",4,IF(M990="A",5,7)),IF(OR(H990="EE",H990="CE"),IF(M990="L",3,IF(M990="A",4,6)))))))</f>
        <v/>
      </c>
      <c r="P990" s="48" t="str">
        <f aca="false">IF(I990="I",O990*Contagem!$W$15,IF(I990="E",O990*Contagem!$W$17,IF(I990="A",O990*Contagem!$W$16,IF(I990="T",O990*Contagem!$W$18,""))))</f>
        <v/>
      </c>
      <c r="Q990" s="49"/>
    </row>
    <row r="991" customFormat="false" ht="12" hidden="false" customHeight="true" outlineLevel="0" collapsed="false">
      <c r="A991" s="40" t="n">
        <f aca="false">IF(H991="",IF(C991="",A990,A990+1),A990)</f>
        <v>62</v>
      </c>
      <c r="B991" s="41" t="str">
        <f aca="false">IF(A991=A990,"",CONCATENATE("F",A991))</f>
        <v/>
      </c>
      <c r="C991" s="42"/>
      <c r="D991" s="2"/>
      <c r="E991" s="2"/>
      <c r="F991" s="2"/>
      <c r="G991" s="2"/>
      <c r="H991" s="44"/>
      <c r="I991" s="50"/>
      <c r="J991" s="44"/>
      <c r="K991" s="44"/>
      <c r="L991" s="44" t="str">
        <f aca="false">CONCATENATE(H991,M991)</f>
        <v/>
      </c>
      <c r="M991" s="45" t="str">
        <f aca="false">IF(OR(ISBLANK(J991),ISBLANK(K991)),IF(OR(H991="ALI",H991="AIE"),"L",IF(ISBLANK(H991),"","A")),IF(H991="EE",IF(K991&gt;=3,IF(J991&gt;=5,"H","A"),IF(K991&gt;=2,IF(J991&gt;=16,"H",IF(J991&lt;=4,"L","A")),IF(J991&lt;=15,"L","A"))),IF(OR(H991="SE",H991="CE"),IF(K991&gt;=4,IF(J991&gt;=6,"H","A"),IF(K991&gt;=2,IF(J991&gt;=20,"H",IF(J991&lt;=5,"L","A")),IF(J991&lt;=19,"L","A"))),IF(OR(H991="ALI",H991="AIE"),IF(K991&gt;=6,IF(J991&gt;=20,"H","A"),IF(K991&gt;=2,IF(J991&gt;=51,"H",IF(J991&lt;=19,"L","A")),IF(J991&lt;=50,"L","A")))))))</f>
        <v/>
      </c>
      <c r="N991" s="46" t="str">
        <f aca="false">IF(M991="L","Baixa",IF(M991="A","Média",IF(M991="","","Alta")))</f>
        <v/>
      </c>
      <c r="O991" s="47" t="str">
        <f aca="false">IF(ISBLANK(H991),"",IF(H991="ALI",IF(M991="L",7,IF(M991="A",10,15)),IF(H991="AIE",IF(M991="L",5,IF(M991="A",7,10)),IF(H991="SE",IF(M991="L",4,IF(M991="A",5,7)),IF(OR(H991="EE",H991="CE"),IF(M991="L",3,IF(M991="A",4,6)))))))</f>
        <v/>
      </c>
      <c r="P991" s="48" t="str">
        <f aca="false">IF(I991="I",O991*Contagem!$W$15,IF(I991="E",O991*Contagem!$W$17,IF(I991="A",O991*Contagem!$W$16,IF(I991="T",O991*Contagem!$W$18,""))))</f>
        <v/>
      </c>
      <c r="Q991" s="49"/>
    </row>
    <row r="992" customFormat="false" ht="12" hidden="false" customHeight="true" outlineLevel="0" collapsed="false">
      <c r="A992" s="40" t="n">
        <f aca="false">IF(H992="",IF(C992="",A991,A991+1),A991)</f>
        <v>62</v>
      </c>
      <c r="B992" s="41" t="str">
        <f aca="false">IF(A992=A991,"",CONCATENATE("F",A992))</f>
        <v/>
      </c>
      <c r="C992" s="42"/>
      <c r="D992" s="2"/>
      <c r="E992" s="2"/>
      <c r="F992" s="2"/>
      <c r="G992" s="2"/>
      <c r="H992" s="44"/>
      <c r="I992" s="50"/>
      <c r="J992" s="44"/>
      <c r="K992" s="44"/>
      <c r="L992" s="44" t="str">
        <f aca="false">CONCATENATE(H992,M992)</f>
        <v/>
      </c>
      <c r="M992" s="45" t="str">
        <f aca="false">IF(OR(ISBLANK(J992),ISBLANK(K992)),IF(OR(H992="ALI",H992="AIE"),"L",IF(ISBLANK(H992),"","A")),IF(H992="EE",IF(K992&gt;=3,IF(J992&gt;=5,"H","A"),IF(K992&gt;=2,IF(J992&gt;=16,"H",IF(J992&lt;=4,"L","A")),IF(J992&lt;=15,"L","A"))),IF(OR(H992="SE",H992="CE"),IF(K992&gt;=4,IF(J992&gt;=6,"H","A"),IF(K992&gt;=2,IF(J992&gt;=20,"H",IF(J992&lt;=5,"L","A")),IF(J992&lt;=19,"L","A"))),IF(OR(H992="ALI",H992="AIE"),IF(K992&gt;=6,IF(J992&gt;=20,"H","A"),IF(K992&gt;=2,IF(J992&gt;=51,"H",IF(J992&lt;=19,"L","A")),IF(J992&lt;=50,"L","A")))))))</f>
        <v/>
      </c>
      <c r="N992" s="46" t="str">
        <f aca="false">IF(M992="L","Baixa",IF(M992="A","Média",IF(M992="","","Alta")))</f>
        <v/>
      </c>
      <c r="O992" s="47" t="str">
        <f aca="false">IF(ISBLANK(H992),"",IF(H992="ALI",IF(M992="L",7,IF(M992="A",10,15)),IF(H992="AIE",IF(M992="L",5,IF(M992="A",7,10)),IF(H992="SE",IF(M992="L",4,IF(M992="A",5,7)),IF(OR(H992="EE",H992="CE"),IF(M992="L",3,IF(M992="A",4,6)))))))</f>
        <v/>
      </c>
      <c r="P992" s="48" t="str">
        <f aca="false">IF(I992="I",O992*Contagem!$W$15,IF(I992="E",O992*Contagem!$W$17,IF(I992="A",O992*Contagem!$W$16,IF(I992="T",O992*Contagem!$W$18,""))))</f>
        <v/>
      </c>
      <c r="Q992" s="49"/>
    </row>
    <row r="993" customFormat="false" ht="12" hidden="false" customHeight="true" outlineLevel="0" collapsed="false">
      <c r="A993" s="40" t="n">
        <f aca="false">IF(H993="",IF(C993="",A992,A992+1),A992)</f>
        <v>62</v>
      </c>
      <c r="B993" s="41" t="str">
        <f aca="false">IF(A993=A992,"",CONCATENATE("F",A993))</f>
        <v/>
      </c>
      <c r="C993" s="42"/>
      <c r="D993" s="2"/>
      <c r="E993" s="2"/>
      <c r="F993" s="2"/>
      <c r="G993" s="2"/>
      <c r="H993" s="44"/>
      <c r="I993" s="50"/>
      <c r="J993" s="44"/>
      <c r="K993" s="44"/>
      <c r="L993" s="44" t="str">
        <f aca="false">CONCATENATE(H993,M993)</f>
        <v/>
      </c>
      <c r="M993" s="45" t="str">
        <f aca="false">IF(OR(ISBLANK(J993),ISBLANK(K993)),IF(OR(H993="ALI",H993="AIE"),"L",IF(ISBLANK(H993),"","A")),IF(H993="EE",IF(K993&gt;=3,IF(J993&gt;=5,"H","A"),IF(K993&gt;=2,IF(J993&gt;=16,"H",IF(J993&lt;=4,"L","A")),IF(J993&lt;=15,"L","A"))),IF(OR(H993="SE",H993="CE"),IF(K993&gt;=4,IF(J993&gt;=6,"H","A"),IF(K993&gt;=2,IF(J993&gt;=20,"H",IF(J993&lt;=5,"L","A")),IF(J993&lt;=19,"L","A"))),IF(OR(H993="ALI",H993="AIE"),IF(K993&gt;=6,IF(J993&gt;=20,"H","A"),IF(K993&gt;=2,IF(J993&gt;=51,"H",IF(J993&lt;=19,"L","A")),IF(J993&lt;=50,"L","A")))))))</f>
        <v/>
      </c>
      <c r="N993" s="46" t="str">
        <f aca="false">IF(M993="L","Baixa",IF(M993="A","Média",IF(M993="","","Alta")))</f>
        <v/>
      </c>
      <c r="O993" s="47" t="str">
        <f aca="false">IF(ISBLANK(H993),"",IF(H993="ALI",IF(M993="L",7,IF(M993="A",10,15)),IF(H993="AIE",IF(M993="L",5,IF(M993="A",7,10)),IF(H993="SE",IF(M993="L",4,IF(M993="A",5,7)),IF(OR(H993="EE",H993="CE"),IF(M993="L",3,IF(M993="A",4,6)))))))</f>
        <v/>
      </c>
      <c r="P993" s="48" t="str">
        <f aca="false">IF(I993="I",O993*Contagem!$W$15,IF(I993="E",O993*Contagem!$W$17,IF(I993="A",O993*Contagem!$W$16,IF(I993="T",O993*Contagem!$W$18,""))))</f>
        <v/>
      </c>
      <c r="Q993" s="49"/>
    </row>
    <row r="994" customFormat="false" ht="12" hidden="false" customHeight="true" outlineLevel="0" collapsed="false">
      <c r="A994" s="40" t="n">
        <f aca="false">IF(H994="",IF(C994="",A993,A993+1),A993)</f>
        <v>62</v>
      </c>
      <c r="B994" s="41" t="str">
        <f aca="false">IF(A994=A993,"",CONCATENATE("F",A994))</f>
        <v/>
      </c>
      <c r="C994" s="42"/>
      <c r="D994" s="2"/>
      <c r="E994" s="2"/>
      <c r="F994" s="2"/>
      <c r="G994" s="2"/>
      <c r="H994" s="44"/>
      <c r="I994" s="50"/>
      <c r="J994" s="44"/>
      <c r="K994" s="44"/>
      <c r="L994" s="44" t="str">
        <f aca="false">CONCATENATE(H994,M994)</f>
        <v/>
      </c>
      <c r="M994" s="45" t="str">
        <f aca="false">IF(OR(ISBLANK(J994),ISBLANK(K994)),IF(OR(H994="ALI",H994="AIE"),"L",IF(ISBLANK(H994),"","A")),IF(H994="EE",IF(K994&gt;=3,IF(J994&gt;=5,"H","A"),IF(K994&gt;=2,IF(J994&gt;=16,"H",IF(J994&lt;=4,"L","A")),IF(J994&lt;=15,"L","A"))),IF(OR(H994="SE",H994="CE"),IF(K994&gt;=4,IF(J994&gt;=6,"H","A"),IF(K994&gt;=2,IF(J994&gt;=20,"H",IF(J994&lt;=5,"L","A")),IF(J994&lt;=19,"L","A"))),IF(OR(H994="ALI",H994="AIE"),IF(K994&gt;=6,IF(J994&gt;=20,"H","A"),IF(K994&gt;=2,IF(J994&gt;=51,"H",IF(J994&lt;=19,"L","A")),IF(J994&lt;=50,"L","A")))))))</f>
        <v/>
      </c>
      <c r="N994" s="46" t="str">
        <f aca="false">IF(M994="L","Baixa",IF(M994="A","Média",IF(M994="","","Alta")))</f>
        <v/>
      </c>
      <c r="O994" s="47" t="str">
        <f aca="false">IF(ISBLANK(H994),"",IF(H994="ALI",IF(M994="L",7,IF(M994="A",10,15)),IF(H994="AIE",IF(M994="L",5,IF(M994="A",7,10)),IF(H994="SE",IF(M994="L",4,IF(M994="A",5,7)),IF(OR(H994="EE",H994="CE"),IF(M994="L",3,IF(M994="A",4,6)))))))</f>
        <v/>
      </c>
      <c r="P994" s="48" t="str">
        <f aca="false">IF(I994="I",O994*Contagem!$W$15,IF(I994="E",O994*Contagem!$W$17,IF(I994="A",O994*Contagem!$W$16,IF(I994="T",O994*Contagem!$W$18,""))))</f>
        <v/>
      </c>
      <c r="Q994" s="49"/>
    </row>
    <row r="995" customFormat="false" ht="12" hidden="false" customHeight="true" outlineLevel="0" collapsed="false">
      <c r="A995" s="40" t="n">
        <f aca="false">IF(H995="",IF(C995="",A994,A994+1),A994)</f>
        <v>62</v>
      </c>
      <c r="B995" s="41" t="str">
        <f aca="false">IF(A995=A994,"",CONCATENATE("F",A995))</f>
        <v/>
      </c>
      <c r="C995" s="42"/>
      <c r="D995" s="2"/>
      <c r="E995" s="2"/>
      <c r="F995" s="2"/>
      <c r="G995" s="2"/>
      <c r="H995" s="44"/>
      <c r="I995" s="50"/>
      <c r="J995" s="44"/>
      <c r="K995" s="44"/>
      <c r="L995" s="44" t="str">
        <f aca="false">CONCATENATE(H995,M995)</f>
        <v/>
      </c>
      <c r="M995" s="45" t="str">
        <f aca="false">IF(OR(ISBLANK(J995),ISBLANK(K995)),IF(OR(H995="ALI",H995="AIE"),"L",IF(ISBLANK(H995),"","A")),IF(H995="EE",IF(K995&gt;=3,IF(J995&gt;=5,"H","A"),IF(K995&gt;=2,IF(J995&gt;=16,"H",IF(J995&lt;=4,"L","A")),IF(J995&lt;=15,"L","A"))),IF(OR(H995="SE",H995="CE"),IF(K995&gt;=4,IF(J995&gt;=6,"H","A"),IF(K995&gt;=2,IF(J995&gt;=20,"H",IF(J995&lt;=5,"L","A")),IF(J995&lt;=19,"L","A"))),IF(OR(H995="ALI",H995="AIE"),IF(K995&gt;=6,IF(J995&gt;=20,"H","A"),IF(K995&gt;=2,IF(J995&gt;=51,"H",IF(J995&lt;=19,"L","A")),IF(J995&lt;=50,"L","A")))))))</f>
        <v/>
      </c>
      <c r="N995" s="46" t="str">
        <f aca="false">IF(M995="L","Baixa",IF(M995="A","Média",IF(M995="","","Alta")))</f>
        <v/>
      </c>
      <c r="O995" s="47" t="str">
        <f aca="false">IF(ISBLANK(H995),"",IF(H995="ALI",IF(M995="L",7,IF(M995="A",10,15)),IF(H995="AIE",IF(M995="L",5,IF(M995="A",7,10)),IF(H995="SE",IF(M995="L",4,IF(M995="A",5,7)),IF(OR(H995="EE",H995="CE"),IF(M995="L",3,IF(M995="A",4,6)))))))</f>
        <v/>
      </c>
      <c r="P995" s="48" t="str">
        <f aca="false">IF(I995="I",O995*Contagem!$W$15,IF(I995="E",O995*Contagem!$W$17,IF(I995="A",O995*Contagem!$W$16,IF(I995="T",O995*Contagem!$W$18,""))))</f>
        <v/>
      </c>
      <c r="Q995" s="49"/>
    </row>
    <row r="996" customFormat="false" ht="12" hidden="false" customHeight="true" outlineLevel="0" collapsed="false">
      <c r="A996" s="40" t="n">
        <f aca="false">IF(H996="",IF(C996="",A995,A995+1),A995)</f>
        <v>62</v>
      </c>
      <c r="B996" s="41" t="str">
        <f aca="false">IF(A996=A995,"",CONCATENATE("F",A996))</f>
        <v/>
      </c>
      <c r="C996" s="42"/>
      <c r="D996" s="2"/>
      <c r="E996" s="2"/>
      <c r="F996" s="2"/>
      <c r="G996" s="2"/>
      <c r="H996" s="44"/>
      <c r="I996" s="50"/>
      <c r="J996" s="44"/>
      <c r="K996" s="44"/>
      <c r="L996" s="44" t="str">
        <f aca="false">CONCATENATE(H996,M996)</f>
        <v/>
      </c>
      <c r="M996" s="45" t="str">
        <f aca="false">IF(OR(ISBLANK(J996),ISBLANK(K996)),IF(OR(H996="ALI",H996="AIE"),"L",IF(ISBLANK(H996),"","A")),IF(H996="EE",IF(K996&gt;=3,IF(J996&gt;=5,"H","A"),IF(K996&gt;=2,IF(J996&gt;=16,"H",IF(J996&lt;=4,"L","A")),IF(J996&lt;=15,"L","A"))),IF(OR(H996="SE",H996="CE"),IF(K996&gt;=4,IF(J996&gt;=6,"H","A"),IF(K996&gt;=2,IF(J996&gt;=20,"H",IF(J996&lt;=5,"L","A")),IF(J996&lt;=19,"L","A"))),IF(OR(H996="ALI",H996="AIE"),IF(K996&gt;=6,IF(J996&gt;=20,"H","A"),IF(K996&gt;=2,IF(J996&gt;=51,"H",IF(J996&lt;=19,"L","A")),IF(J996&lt;=50,"L","A")))))))</f>
        <v/>
      </c>
      <c r="N996" s="46" t="str">
        <f aca="false">IF(M996="L","Baixa",IF(M996="A","Média",IF(M996="","","Alta")))</f>
        <v/>
      </c>
      <c r="O996" s="47" t="str">
        <f aca="false">IF(ISBLANK(H996),"",IF(H996="ALI",IF(M996="L",7,IF(M996="A",10,15)),IF(H996="AIE",IF(M996="L",5,IF(M996="A",7,10)),IF(H996="SE",IF(M996="L",4,IF(M996="A",5,7)),IF(OR(H996="EE",H996="CE"),IF(M996="L",3,IF(M996="A",4,6)))))))</f>
        <v/>
      </c>
      <c r="P996" s="48" t="str">
        <f aca="false">IF(I996="I",O996*Contagem!$W$15,IF(I996="E",O996*Contagem!$W$17,IF(I996="A",O996*Contagem!$W$16,IF(I996="T",O996*Contagem!$W$18,""))))</f>
        <v/>
      </c>
      <c r="Q996" s="49"/>
    </row>
    <row r="997" customFormat="false" ht="12" hidden="false" customHeight="true" outlineLevel="0" collapsed="false">
      <c r="A997" s="40" t="n">
        <f aca="false">IF(H997="",IF(C997="",A996,A996+1),A996)</f>
        <v>62</v>
      </c>
      <c r="B997" s="41" t="str">
        <f aca="false">IF(A997=A996,"",CONCATENATE("F",A997))</f>
        <v/>
      </c>
      <c r="C997" s="42"/>
      <c r="D997" s="2"/>
      <c r="E997" s="2"/>
      <c r="F997" s="2"/>
      <c r="G997" s="2"/>
      <c r="H997" s="44"/>
      <c r="I997" s="50"/>
      <c r="J997" s="44"/>
      <c r="K997" s="44"/>
      <c r="L997" s="44" t="str">
        <f aca="false">CONCATENATE(H997,M997)</f>
        <v/>
      </c>
      <c r="M997" s="45" t="str">
        <f aca="false">IF(OR(ISBLANK(J997),ISBLANK(K997)),IF(OR(H997="ALI",H997="AIE"),"L",IF(ISBLANK(H997),"","A")),IF(H997="EE",IF(K997&gt;=3,IF(J997&gt;=5,"H","A"),IF(K997&gt;=2,IF(J997&gt;=16,"H",IF(J997&lt;=4,"L","A")),IF(J997&lt;=15,"L","A"))),IF(OR(H997="SE",H997="CE"),IF(K997&gt;=4,IF(J997&gt;=6,"H","A"),IF(K997&gt;=2,IF(J997&gt;=20,"H",IF(J997&lt;=5,"L","A")),IF(J997&lt;=19,"L","A"))),IF(OR(H997="ALI",H997="AIE"),IF(K997&gt;=6,IF(J997&gt;=20,"H","A"),IF(K997&gt;=2,IF(J997&gt;=51,"H",IF(J997&lt;=19,"L","A")),IF(J997&lt;=50,"L","A")))))))</f>
        <v/>
      </c>
      <c r="N997" s="46" t="str">
        <f aca="false">IF(M997="L","Baixa",IF(M997="A","Média",IF(M997="","","Alta")))</f>
        <v/>
      </c>
      <c r="O997" s="47" t="str">
        <f aca="false">IF(ISBLANK(H997),"",IF(H997="ALI",IF(M997="L",7,IF(M997="A",10,15)),IF(H997="AIE",IF(M997="L",5,IF(M997="A",7,10)),IF(H997="SE",IF(M997="L",4,IF(M997="A",5,7)),IF(OR(H997="EE",H997="CE"),IF(M997="L",3,IF(M997="A",4,6)))))))</f>
        <v/>
      </c>
      <c r="P997" s="48" t="str">
        <f aca="false">IF(I997="I",O997*Contagem!$W$15,IF(I997="E",O997*Contagem!$W$17,IF(I997="A",O997*Contagem!$W$16,IF(I997="T",O997*Contagem!$W$18,""))))</f>
        <v/>
      </c>
      <c r="Q997" s="49"/>
    </row>
    <row r="998" customFormat="false" ht="12" hidden="false" customHeight="true" outlineLevel="0" collapsed="false">
      <c r="A998" s="40" t="n">
        <f aca="false">IF(H998="",IF(C998="",A997,A997+1),A997)</f>
        <v>62</v>
      </c>
      <c r="B998" s="41" t="str">
        <f aca="false">IF(A998=A997,"",CONCATENATE("F",A998))</f>
        <v/>
      </c>
      <c r="C998" s="42"/>
      <c r="D998" s="2"/>
      <c r="E998" s="2"/>
      <c r="F998" s="2"/>
      <c r="G998" s="2"/>
      <c r="H998" s="44"/>
      <c r="I998" s="50"/>
      <c r="J998" s="44"/>
      <c r="K998" s="44"/>
      <c r="L998" s="44" t="str">
        <f aca="false">CONCATENATE(H998,M998)</f>
        <v/>
      </c>
      <c r="M998" s="45" t="str">
        <f aca="false">IF(OR(ISBLANK(J998),ISBLANK(K998)),IF(OR(H998="ALI",H998="AIE"),"L",IF(ISBLANK(H998),"","A")),IF(H998="EE",IF(K998&gt;=3,IF(J998&gt;=5,"H","A"),IF(K998&gt;=2,IF(J998&gt;=16,"H",IF(J998&lt;=4,"L","A")),IF(J998&lt;=15,"L","A"))),IF(OR(H998="SE",H998="CE"),IF(K998&gt;=4,IF(J998&gt;=6,"H","A"),IF(K998&gt;=2,IF(J998&gt;=20,"H",IF(J998&lt;=5,"L","A")),IF(J998&lt;=19,"L","A"))),IF(OR(H998="ALI",H998="AIE"),IF(K998&gt;=6,IF(J998&gt;=20,"H","A"),IF(K998&gt;=2,IF(J998&gt;=51,"H",IF(J998&lt;=19,"L","A")),IF(J998&lt;=50,"L","A")))))))</f>
        <v/>
      </c>
      <c r="N998" s="46" t="str">
        <f aca="false">IF(M998="L","Baixa",IF(M998="A","Média",IF(M998="","","Alta")))</f>
        <v/>
      </c>
      <c r="O998" s="47" t="str">
        <f aca="false">IF(ISBLANK(H998),"",IF(H998="ALI",IF(M998="L",7,IF(M998="A",10,15)),IF(H998="AIE",IF(M998="L",5,IF(M998="A",7,10)),IF(H998="SE",IF(M998="L",4,IF(M998="A",5,7)),IF(OR(H998="EE",H998="CE"),IF(M998="L",3,IF(M998="A",4,6)))))))</f>
        <v/>
      </c>
      <c r="P998" s="48" t="str">
        <f aca="false">IF(I998="I",O998*Contagem!$W$15,IF(I998="E",O998*Contagem!$W$17,IF(I998="A",O998*Contagem!$W$16,IF(I998="T",O998*Contagem!$W$18,""))))</f>
        <v/>
      </c>
      <c r="Q998" s="49"/>
    </row>
    <row r="999" customFormat="false" ht="12" hidden="false" customHeight="true" outlineLevel="0" collapsed="false">
      <c r="A999" s="40" t="n">
        <f aca="false">IF(H999="",IF(C999="",A998,A998+1),A998)</f>
        <v>62</v>
      </c>
      <c r="B999" s="41" t="str">
        <f aca="false">IF(A999=A998,"",CONCATENATE("F",A999))</f>
        <v/>
      </c>
      <c r="C999" s="42"/>
      <c r="D999" s="2"/>
      <c r="E999" s="2"/>
      <c r="F999" s="2"/>
      <c r="G999" s="2"/>
      <c r="H999" s="44"/>
      <c r="I999" s="50"/>
      <c r="J999" s="44"/>
      <c r="K999" s="44"/>
      <c r="L999" s="44" t="str">
        <f aca="false">CONCATENATE(H999,M999)</f>
        <v/>
      </c>
      <c r="M999" s="45" t="str">
        <f aca="false">IF(OR(ISBLANK(J999),ISBLANK(K999)),IF(OR(H999="ALI",H999="AIE"),"L",IF(ISBLANK(H999),"","A")),IF(H999="EE",IF(K999&gt;=3,IF(J999&gt;=5,"H","A"),IF(K999&gt;=2,IF(J999&gt;=16,"H",IF(J999&lt;=4,"L","A")),IF(J999&lt;=15,"L","A"))),IF(OR(H999="SE",H999="CE"),IF(K999&gt;=4,IF(J999&gt;=6,"H","A"),IF(K999&gt;=2,IF(J999&gt;=20,"H",IF(J999&lt;=5,"L","A")),IF(J999&lt;=19,"L","A"))),IF(OR(H999="ALI",H999="AIE"),IF(K999&gt;=6,IF(J999&gt;=20,"H","A"),IF(K999&gt;=2,IF(J999&gt;=51,"H",IF(J999&lt;=19,"L","A")),IF(J999&lt;=50,"L","A")))))))</f>
        <v/>
      </c>
      <c r="N999" s="46" t="str">
        <f aca="false">IF(M999="L","Baixa",IF(M999="A","Média",IF(M999="","","Alta")))</f>
        <v/>
      </c>
      <c r="O999" s="47" t="str">
        <f aca="false">IF(ISBLANK(H999),"",IF(H999="ALI",IF(M999="L",7,IF(M999="A",10,15)),IF(H999="AIE",IF(M999="L",5,IF(M999="A",7,10)),IF(H999="SE",IF(M999="L",4,IF(M999="A",5,7)),IF(OR(H999="EE",H999="CE"),IF(M999="L",3,IF(M999="A",4,6)))))))</f>
        <v/>
      </c>
      <c r="P999" s="48" t="str">
        <f aca="false">IF(I999="I",O999*Contagem!$W$15,IF(I999="E",O999*Contagem!$W$17,IF(I999="A",O999*Contagem!$W$16,IF(I999="T",O999*Contagem!$W$18,""))))</f>
        <v/>
      </c>
      <c r="Q999" s="49"/>
    </row>
    <row r="1000" customFormat="false" ht="12" hidden="false" customHeight="true" outlineLevel="0" collapsed="false">
      <c r="A1000" s="40" t="n">
        <f aca="false">IF(H1000="",IF(C1000="",A999,A999+1),A999)</f>
        <v>62</v>
      </c>
      <c r="B1000" s="41" t="str">
        <f aca="false">IF(A1000=A999,"",CONCATENATE("F",A1000))</f>
        <v/>
      </c>
      <c r="C1000" s="42"/>
      <c r="D1000" s="2"/>
      <c r="E1000" s="2"/>
      <c r="F1000" s="2"/>
      <c r="G1000" s="2"/>
      <c r="H1000" s="44"/>
      <c r="I1000" s="50"/>
      <c r="J1000" s="44"/>
      <c r="K1000" s="44"/>
      <c r="L1000" s="44" t="str">
        <f aca="false">CONCATENATE(H1000,M1000)</f>
        <v/>
      </c>
      <c r="M1000" s="45" t="str">
        <f aca="false">IF(OR(ISBLANK(J1000),ISBLANK(K1000)),IF(OR(H1000="ALI",H1000="AIE"),"L",IF(ISBLANK(H1000),"","A")),IF(H1000="EE",IF(K1000&gt;=3,IF(J1000&gt;=5,"H","A"),IF(K1000&gt;=2,IF(J1000&gt;=16,"H",IF(J1000&lt;=4,"L","A")),IF(J1000&lt;=15,"L","A"))),IF(OR(H1000="SE",H1000="CE"),IF(K1000&gt;=4,IF(J1000&gt;=6,"H","A"),IF(K1000&gt;=2,IF(J1000&gt;=20,"H",IF(J1000&lt;=5,"L","A")),IF(J1000&lt;=19,"L","A"))),IF(OR(H1000="ALI",H1000="AIE"),IF(K1000&gt;=6,IF(J1000&gt;=20,"H","A"),IF(K1000&gt;=2,IF(J1000&gt;=51,"H",IF(J1000&lt;=19,"L","A")),IF(J1000&lt;=50,"L","A")))))))</f>
        <v/>
      </c>
      <c r="N1000" s="46" t="str">
        <f aca="false">IF(M1000="L","Baixa",IF(M1000="A","Média",IF(M1000="","","Alta")))</f>
        <v/>
      </c>
      <c r="O1000" s="47" t="str">
        <f aca="false">IF(ISBLANK(H1000),"",IF(H1000="ALI",IF(M1000="L",7,IF(M1000="A",10,15)),IF(H1000="AIE",IF(M1000="L",5,IF(M1000="A",7,10)),IF(H1000="SE",IF(M1000="L",4,IF(M1000="A",5,7)),IF(OR(H1000="EE",H1000="CE"),IF(M1000="L",3,IF(M1000="A",4,6)))))))</f>
        <v/>
      </c>
      <c r="P1000" s="48" t="str">
        <f aca="false">IF(I1000="I",O1000*Contagem!$W$15,IF(I1000="E",O1000*Contagem!$W$17,IF(I1000="A",O1000*Contagem!$W$16,IF(I1000="T",O1000*Contagem!$W$18,""))))</f>
        <v/>
      </c>
      <c r="Q1000" s="49"/>
    </row>
  </sheetData>
  <mergeCells count="847">
    <mergeCell ref="B4:Q6"/>
    <mergeCell ref="B7:G7"/>
    <mergeCell ref="H7:Q7"/>
    <mergeCell ref="B8:C8"/>
    <mergeCell ref="D8:E8"/>
    <mergeCell ref="K8:Q8"/>
    <mergeCell ref="B9:G9"/>
    <mergeCell ref="H9:Q9"/>
    <mergeCell ref="B10:F10"/>
    <mergeCell ref="G10:H10"/>
    <mergeCell ref="I10:N10"/>
    <mergeCell ref="O10:P10"/>
    <mergeCell ref="C11:G11"/>
    <mergeCell ref="C12:G12"/>
    <mergeCell ref="C13:G13"/>
    <mergeCell ref="C14:G14"/>
    <mergeCell ref="C15:G15"/>
    <mergeCell ref="C16:G16"/>
    <mergeCell ref="C17:G17"/>
    <mergeCell ref="C18:G18"/>
    <mergeCell ref="C19:G19"/>
    <mergeCell ref="C20:G20"/>
    <mergeCell ref="C21:G21"/>
    <mergeCell ref="C22:G22"/>
    <mergeCell ref="C23:G23"/>
    <mergeCell ref="C24:G24"/>
    <mergeCell ref="C25:G25"/>
    <mergeCell ref="C26:G26"/>
    <mergeCell ref="C27:G27"/>
    <mergeCell ref="C28:G28"/>
    <mergeCell ref="C29:G29"/>
    <mergeCell ref="C30:G30"/>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 ref="C45:G45"/>
    <mergeCell ref="C46:G46"/>
    <mergeCell ref="C47:G47"/>
    <mergeCell ref="C48:G48"/>
    <mergeCell ref="C49:G49"/>
    <mergeCell ref="C50:G50"/>
    <mergeCell ref="C51:G51"/>
    <mergeCell ref="C52:G52"/>
    <mergeCell ref="C53:G53"/>
    <mergeCell ref="C54:G54"/>
    <mergeCell ref="C55:G55"/>
    <mergeCell ref="C56:G56"/>
    <mergeCell ref="C57:G57"/>
    <mergeCell ref="C58:G58"/>
    <mergeCell ref="C59:G59"/>
    <mergeCell ref="C60:G60"/>
    <mergeCell ref="C61:G61"/>
    <mergeCell ref="C62:G62"/>
    <mergeCell ref="C63:G63"/>
    <mergeCell ref="C64:G64"/>
    <mergeCell ref="C65:G65"/>
    <mergeCell ref="C66:G66"/>
    <mergeCell ref="C67:G67"/>
    <mergeCell ref="C68:G68"/>
    <mergeCell ref="C69:G69"/>
    <mergeCell ref="C70:G70"/>
    <mergeCell ref="C71:G71"/>
    <mergeCell ref="C72:G72"/>
    <mergeCell ref="C73:G73"/>
    <mergeCell ref="C74:G74"/>
    <mergeCell ref="C75:G75"/>
    <mergeCell ref="C76:G76"/>
    <mergeCell ref="C77:G77"/>
    <mergeCell ref="C78:G78"/>
    <mergeCell ref="C79:G79"/>
    <mergeCell ref="C80:G80"/>
    <mergeCell ref="C81:G81"/>
    <mergeCell ref="C82:G82"/>
    <mergeCell ref="C83:G83"/>
    <mergeCell ref="C84:G84"/>
    <mergeCell ref="C85:G85"/>
    <mergeCell ref="C86:G86"/>
    <mergeCell ref="C87:G87"/>
    <mergeCell ref="C88:G88"/>
    <mergeCell ref="C89:G89"/>
    <mergeCell ref="C90:G90"/>
    <mergeCell ref="C91:G91"/>
    <mergeCell ref="C92:G92"/>
    <mergeCell ref="C93:G93"/>
    <mergeCell ref="C94:G94"/>
    <mergeCell ref="C95:G95"/>
    <mergeCell ref="C96:G96"/>
    <mergeCell ref="C97:G97"/>
    <mergeCell ref="C98:G98"/>
    <mergeCell ref="C99:G99"/>
    <mergeCell ref="C100:G100"/>
    <mergeCell ref="C101:G101"/>
    <mergeCell ref="C102:G102"/>
    <mergeCell ref="C103:G103"/>
    <mergeCell ref="C104:G104"/>
    <mergeCell ref="C105:G105"/>
    <mergeCell ref="C106:G106"/>
    <mergeCell ref="C107:G107"/>
    <mergeCell ref="C108:G108"/>
    <mergeCell ref="C109:G109"/>
    <mergeCell ref="C110:G110"/>
    <mergeCell ref="C111:G111"/>
    <mergeCell ref="C112:G112"/>
    <mergeCell ref="C113:G113"/>
    <mergeCell ref="C114:G114"/>
    <mergeCell ref="C115:G115"/>
    <mergeCell ref="C116:G116"/>
    <mergeCell ref="C117:G117"/>
    <mergeCell ref="C118:G118"/>
    <mergeCell ref="C119:G119"/>
    <mergeCell ref="C120:G120"/>
    <mergeCell ref="C121:G121"/>
    <mergeCell ref="C122:G122"/>
    <mergeCell ref="C123:G123"/>
    <mergeCell ref="C124:G124"/>
    <mergeCell ref="C125:G125"/>
    <mergeCell ref="C126:G126"/>
    <mergeCell ref="C127:G127"/>
    <mergeCell ref="C128:G128"/>
    <mergeCell ref="C129:G129"/>
    <mergeCell ref="C130:G130"/>
    <mergeCell ref="C131:G131"/>
    <mergeCell ref="C132:G132"/>
    <mergeCell ref="C133:G133"/>
    <mergeCell ref="C134:G134"/>
    <mergeCell ref="C135:G135"/>
    <mergeCell ref="C136:G136"/>
    <mergeCell ref="C137:G137"/>
    <mergeCell ref="C138:G138"/>
    <mergeCell ref="C139:G139"/>
    <mergeCell ref="C140:G140"/>
    <mergeCell ref="C141:G141"/>
    <mergeCell ref="C142:G142"/>
    <mergeCell ref="C143:G143"/>
    <mergeCell ref="C144:G144"/>
    <mergeCell ref="C145:G145"/>
    <mergeCell ref="C146:G146"/>
    <mergeCell ref="C147:G147"/>
    <mergeCell ref="C148:G148"/>
    <mergeCell ref="C149:G149"/>
    <mergeCell ref="C150:G150"/>
    <mergeCell ref="C151:G151"/>
    <mergeCell ref="C152:G152"/>
    <mergeCell ref="C153:G153"/>
    <mergeCell ref="C154:G154"/>
    <mergeCell ref="C155:G155"/>
    <mergeCell ref="C156:G156"/>
    <mergeCell ref="C157:G157"/>
    <mergeCell ref="C158:G158"/>
    <mergeCell ref="C159:G159"/>
    <mergeCell ref="C160:G160"/>
    <mergeCell ref="C161:G161"/>
    <mergeCell ref="C162:G162"/>
    <mergeCell ref="C163:G163"/>
    <mergeCell ref="C164:G164"/>
    <mergeCell ref="C165:G165"/>
    <mergeCell ref="C166:G166"/>
    <mergeCell ref="C167:G167"/>
    <mergeCell ref="C168:G168"/>
    <mergeCell ref="C169:G169"/>
    <mergeCell ref="C170:G170"/>
    <mergeCell ref="C171:G171"/>
    <mergeCell ref="C172:G172"/>
    <mergeCell ref="C173:G173"/>
    <mergeCell ref="C174:G174"/>
    <mergeCell ref="C175:G175"/>
    <mergeCell ref="C176:G176"/>
    <mergeCell ref="C177:G177"/>
    <mergeCell ref="C178:G178"/>
    <mergeCell ref="C179:G179"/>
    <mergeCell ref="C180:G180"/>
    <mergeCell ref="C181:G181"/>
    <mergeCell ref="C182:G182"/>
    <mergeCell ref="C183:G183"/>
    <mergeCell ref="C184:G184"/>
    <mergeCell ref="C185:G185"/>
    <mergeCell ref="C186:G186"/>
    <mergeCell ref="C187:G187"/>
    <mergeCell ref="C188:G188"/>
    <mergeCell ref="C189:G189"/>
    <mergeCell ref="C190:G190"/>
    <mergeCell ref="C191:G191"/>
    <mergeCell ref="C192:G192"/>
    <mergeCell ref="C193:G193"/>
    <mergeCell ref="C194:G194"/>
    <mergeCell ref="C195:G195"/>
    <mergeCell ref="C196:G196"/>
    <mergeCell ref="C197:G197"/>
    <mergeCell ref="C198:G198"/>
    <mergeCell ref="C199:G199"/>
    <mergeCell ref="C200:G200"/>
    <mergeCell ref="C201:G201"/>
    <mergeCell ref="C202:G202"/>
    <mergeCell ref="C203:G203"/>
    <mergeCell ref="C204:G204"/>
    <mergeCell ref="C205:G205"/>
    <mergeCell ref="C206:G206"/>
    <mergeCell ref="C207:G207"/>
    <mergeCell ref="C208:G208"/>
    <mergeCell ref="C209:G209"/>
    <mergeCell ref="C210:G210"/>
    <mergeCell ref="C211:G211"/>
    <mergeCell ref="C212:G212"/>
    <mergeCell ref="C213:G213"/>
    <mergeCell ref="C214:G214"/>
    <mergeCell ref="C215:G215"/>
    <mergeCell ref="C216:G216"/>
    <mergeCell ref="C217:G217"/>
    <mergeCell ref="C218:G218"/>
    <mergeCell ref="C219:G219"/>
    <mergeCell ref="C220:G220"/>
    <mergeCell ref="C221:G221"/>
    <mergeCell ref="C222:G222"/>
    <mergeCell ref="C223:G223"/>
    <mergeCell ref="C224:G224"/>
    <mergeCell ref="C225:G225"/>
    <mergeCell ref="C226:G226"/>
    <mergeCell ref="C227:G227"/>
    <mergeCell ref="C228:G228"/>
    <mergeCell ref="C229:G229"/>
    <mergeCell ref="C230:G230"/>
    <mergeCell ref="C231:G231"/>
    <mergeCell ref="C232:G232"/>
    <mergeCell ref="C233:G233"/>
    <mergeCell ref="C234:G234"/>
    <mergeCell ref="C235:G235"/>
    <mergeCell ref="C236:G236"/>
    <mergeCell ref="C237:G237"/>
    <mergeCell ref="C238:G238"/>
    <mergeCell ref="C239:G239"/>
    <mergeCell ref="C240:G240"/>
    <mergeCell ref="C241:G241"/>
    <mergeCell ref="C242:G242"/>
    <mergeCell ref="C243:G243"/>
    <mergeCell ref="C244:G244"/>
    <mergeCell ref="C245:G245"/>
    <mergeCell ref="C246:G246"/>
    <mergeCell ref="C247:G247"/>
    <mergeCell ref="C248:G248"/>
    <mergeCell ref="C249:G249"/>
    <mergeCell ref="C250:G250"/>
    <mergeCell ref="C251:G251"/>
    <mergeCell ref="C252:G252"/>
    <mergeCell ref="C253:G253"/>
    <mergeCell ref="C254:G254"/>
    <mergeCell ref="C255:G255"/>
    <mergeCell ref="C256:G256"/>
    <mergeCell ref="C257:G257"/>
    <mergeCell ref="C258:G258"/>
    <mergeCell ref="C259:G259"/>
    <mergeCell ref="C260:G260"/>
    <mergeCell ref="C261:G261"/>
    <mergeCell ref="C262:G262"/>
    <mergeCell ref="C263:G263"/>
    <mergeCell ref="C264:G264"/>
    <mergeCell ref="C265:G265"/>
    <mergeCell ref="C266:G266"/>
    <mergeCell ref="C267:G267"/>
    <mergeCell ref="C268:G268"/>
    <mergeCell ref="C269:G269"/>
    <mergeCell ref="C270:G270"/>
    <mergeCell ref="C271:G271"/>
    <mergeCell ref="C272:G272"/>
    <mergeCell ref="C273:G273"/>
    <mergeCell ref="C274:G274"/>
    <mergeCell ref="C275:G275"/>
    <mergeCell ref="C276:G276"/>
    <mergeCell ref="C277:G277"/>
    <mergeCell ref="C278:G278"/>
    <mergeCell ref="C279:G279"/>
    <mergeCell ref="C280:G280"/>
    <mergeCell ref="C281:G281"/>
    <mergeCell ref="C282:G282"/>
    <mergeCell ref="C283:G283"/>
    <mergeCell ref="C284:G284"/>
    <mergeCell ref="C285:G285"/>
    <mergeCell ref="C286:G286"/>
    <mergeCell ref="C287:G287"/>
    <mergeCell ref="C288:G288"/>
    <mergeCell ref="C289:G289"/>
    <mergeCell ref="C290:G290"/>
    <mergeCell ref="C291:G291"/>
    <mergeCell ref="C292:G292"/>
    <mergeCell ref="C293:G293"/>
    <mergeCell ref="C294:G294"/>
    <mergeCell ref="C295:G295"/>
    <mergeCell ref="C296:G296"/>
    <mergeCell ref="C297:G297"/>
    <mergeCell ref="C298:G298"/>
    <mergeCell ref="C299:G299"/>
    <mergeCell ref="C300:G300"/>
    <mergeCell ref="C301:G301"/>
    <mergeCell ref="C302:G302"/>
    <mergeCell ref="C303:G303"/>
    <mergeCell ref="C304:G304"/>
    <mergeCell ref="C305:G305"/>
    <mergeCell ref="C306:G306"/>
    <mergeCell ref="C307:G307"/>
    <mergeCell ref="C308:G308"/>
    <mergeCell ref="C309:G309"/>
    <mergeCell ref="C310:G310"/>
    <mergeCell ref="C311:G311"/>
    <mergeCell ref="C312:G312"/>
    <mergeCell ref="C313:G313"/>
    <mergeCell ref="C314:G314"/>
    <mergeCell ref="C315:G315"/>
    <mergeCell ref="C316:G316"/>
    <mergeCell ref="C317:G317"/>
    <mergeCell ref="C318:G318"/>
    <mergeCell ref="C319:G319"/>
    <mergeCell ref="C320:G320"/>
    <mergeCell ref="C321:G321"/>
    <mergeCell ref="C322:G322"/>
    <mergeCell ref="C323:G323"/>
    <mergeCell ref="C324:G324"/>
    <mergeCell ref="C325:G325"/>
    <mergeCell ref="C326:G326"/>
    <mergeCell ref="C327:G327"/>
    <mergeCell ref="C328:G328"/>
    <mergeCell ref="C329:G329"/>
    <mergeCell ref="C330:G330"/>
    <mergeCell ref="C331:G331"/>
    <mergeCell ref="C332:G332"/>
    <mergeCell ref="C333:G333"/>
    <mergeCell ref="C334:G334"/>
    <mergeCell ref="C335:G335"/>
    <mergeCell ref="C336:G336"/>
    <mergeCell ref="C337:G337"/>
    <mergeCell ref="C338:G338"/>
    <mergeCell ref="C339:G339"/>
    <mergeCell ref="C340:G340"/>
    <mergeCell ref="C341:G341"/>
    <mergeCell ref="C342:G342"/>
    <mergeCell ref="C343:G343"/>
    <mergeCell ref="C344:G344"/>
    <mergeCell ref="C345:G345"/>
    <mergeCell ref="C346:G346"/>
    <mergeCell ref="C347:G347"/>
    <mergeCell ref="C348:G348"/>
    <mergeCell ref="C349:G349"/>
    <mergeCell ref="C350:G350"/>
    <mergeCell ref="C351:G351"/>
    <mergeCell ref="C352:G352"/>
    <mergeCell ref="C353:G353"/>
    <mergeCell ref="C354:G354"/>
    <mergeCell ref="C355:G355"/>
    <mergeCell ref="C356:G356"/>
    <mergeCell ref="C357:G357"/>
    <mergeCell ref="C358:G358"/>
    <mergeCell ref="C359:G359"/>
    <mergeCell ref="C360:G360"/>
    <mergeCell ref="C361:G361"/>
    <mergeCell ref="C362:G362"/>
    <mergeCell ref="C363:G363"/>
    <mergeCell ref="C364:G364"/>
    <mergeCell ref="C365:G365"/>
    <mergeCell ref="C366:G366"/>
    <mergeCell ref="C367:G367"/>
    <mergeCell ref="C368:G368"/>
    <mergeCell ref="C369:G369"/>
    <mergeCell ref="C370:G370"/>
    <mergeCell ref="C371:G371"/>
    <mergeCell ref="C372:G372"/>
    <mergeCell ref="C373:G373"/>
    <mergeCell ref="C374:G374"/>
    <mergeCell ref="C375:G375"/>
    <mergeCell ref="C376:G376"/>
    <mergeCell ref="C377:G377"/>
    <mergeCell ref="C378:G378"/>
    <mergeCell ref="C379:G379"/>
    <mergeCell ref="C380:G380"/>
    <mergeCell ref="C381:G381"/>
    <mergeCell ref="C382:G382"/>
    <mergeCell ref="C383:G383"/>
    <mergeCell ref="C384:G384"/>
    <mergeCell ref="C385:G385"/>
    <mergeCell ref="C386:G386"/>
    <mergeCell ref="C387:G387"/>
    <mergeCell ref="C388:G388"/>
    <mergeCell ref="C389:G389"/>
    <mergeCell ref="C390:G390"/>
    <mergeCell ref="C391:G391"/>
    <mergeCell ref="C392:G392"/>
    <mergeCell ref="C393:G393"/>
    <mergeCell ref="C394:G394"/>
    <mergeCell ref="C395:G395"/>
    <mergeCell ref="C396:G396"/>
    <mergeCell ref="C397:G397"/>
    <mergeCell ref="C398:G398"/>
    <mergeCell ref="C399:G399"/>
    <mergeCell ref="C400:G400"/>
    <mergeCell ref="C401:G401"/>
    <mergeCell ref="C402:G402"/>
    <mergeCell ref="C403:G403"/>
    <mergeCell ref="C404:G404"/>
    <mergeCell ref="C405:G405"/>
    <mergeCell ref="C406:G406"/>
    <mergeCell ref="C407:G407"/>
    <mergeCell ref="C408:G408"/>
    <mergeCell ref="C409:G409"/>
    <mergeCell ref="C410:G410"/>
    <mergeCell ref="C411:G411"/>
    <mergeCell ref="C412:G412"/>
    <mergeCell ref="C413:G413"/>
    <mergeCell ref="C414:G414"/>
    <mergeCell ref="C415:G415"/>
    <mergeCell ref="C416:G416"/>
    <mergeCell ref="C417:G417"/>
    <mergeCell ref="C418:G418"/>
    <mergeCell ref="C419:G419"/>
    <mergeCell ref="C420:G420"/>
    <mergeCell ref="C421:G421"/>
    <mergeCell ref="C422:G422"/>
    <mergeCell ref="C423:G423"/>
    <mergeCell ref="C424:G424"/>
    <mergeCell ref="C425:G425"/>
    <mergeCell ref="C426:G426"/>
    <mergeCell ref="C427:G427"/>
    <mergeCell ref="C428:G428"/>
    <mergeCell ref="C429:G429"/>
    <mergeCell ref="C430:G430"/>
    <mergeCell ref="C431:G431"/>
    <mergeCell ref="C432:G432"/>
    <mergeCell ref="C433:G433"/>
    <mergeCell ref="C434:G434"/>
    <mergeCell ref="C435:G435"/>
    <mergeCell ref="C436:G436"/>
    <mergeCell ref="C437:G437"/>
    <mergeCell ref="C438:G438"/>
    <mergeCell ref="C439:G439"/>
    <mergeCell ref="C440:G440"/>
    <mergeCell ref="C441:G441"/>
    <mergeCell ref="C442:G442"/>
    <mergeCell ref="C443:G443"/>
    <mergeCell ref="C444:G444"/>
    <mergeCell ref="C445:G445"/>
    <mergeCell ref="C446:G446"/>
    <mergeCell ref="C447:G447"/>
    <mergeCell ref="C448:G448"/>
    <mergeCell ref="C449:G449"/>
    <mergeCell ref="C450:G450"/>
    <mergeCell ref="C451:G451"/>
    <mergeCell ref="C452:G452"/>
    <mergeCell ref="C453:G453"/>
    <mergeCell ref="C454:G454"/>
    <mergeCell ref="C455:G455"/>
    <mergeCell ref="C456:G456"/>
    <mergeCell ref="C457:G457"/>
    <mergeCell ref="C458:G458"/>
    <mergeCell ref="C459:G459"/>
    <mergeCell ref="C460:G460"/>
    <mergeCell ref="C461:G461"/>
    <mergeCell ref="C462:G462"/>
    <mergeCell ref="C463:G463"/>
    <mergeCell ref="C464:G464"/>
    <mergeCell ref="C465:G465"/>
    <mergeCell ref="C466:G466"/>
    <mergeCell ref="C467:G467"/>
    <mergeCell ref="C468:G468"/>
    <mergeCell ref="C469:G469"/>
    <mergeCell ref="C470:G470"/>
    <mergeCell ref="C471:G471"/>
    <mergeCell ref="C472:G472"/>
    <mergeCell ref="C473:G473"/>
    <mergeCell ref="C474:G474"/>
    <mergeCell ref="C475:G475"/>
    <mergeCell ref="C476:G476"/>
    <mergeCell ref="C477:G477"/>
    <mergeCell ref="C478:G478"/>
    <mergeCell ref="C479:G479"/>
    <mergeCell ref="C480:G480"/>
    <mergeCell ref="C481:G481"/>
    <mergeCell ref="C482:G482"/>
    <mergeCell ref="C483:G483"/>
    <mergeCell ref="C484:G484"/>
    <mergeCell ref="C485:G485"/>
    <mergeCell ref="C486:G486"/>
    <mergeCell ref="C487:G487"/>
    <mergeCell ref="C488:G488"/>
    <mergeCell ref="C489:G489"/>
    <mergeCell ref="C490:G490"/>
    <mergeCell ref="C491:G491"/>
    <mergeCell ref="C492:G492"/>
    <mergeCell ref="C493:G493"/>
    <mergeCell ref="C494:G494"/>
    <mergeCell ref="C495:G495"/>
    <mergeCell ref="C496:G496"/>
    <mergeCell ref="C497:G497"/>
    <mergeCell ref="C498:G498"/>
    <mergeCell ref="C499:G499"/>
    <mergeCell ref="C500:G500"/>
    <mergeCell ref="C501:G501"/>
    <mergeCell ref="C502:G502"/>
    <mergeCell ref="C503:G503"/>
    <mergeCell ref="C504:G504"/>
    <mergeCell ref="C505:G505"/>
    <mergeCell ref="C506:G506"/>
    <mergeCell ref="C507:G507"/>
    <mergeCell ref="C508:G508"/>
    <mergeCell ref="C509:G509"/>
    <mergeCell ref="C510:G510"/>
    <mergeCell ref="C511:G511"/>
    <mergeCell ref="C512:G512"/>
    <mergeCell ref="C513:G513"/>
    <mergeCell ref="C514:G514"/>
    <mergeCell ref="C515:G515"/>
    <mergeCell ref="C516:G516"/>
    <mergeCell ref="C517:G517"/>
    <mergeCell ref="C518:G518"/>
    <mergeCell ref="C519:G519"/>
    <mergeCell ref="C520:G520"/>
    <mergeCell ref="C521:G521"/>
    <mergeCell ref="C522:G522"/>
    <mergeCell ref="C523:G523"/>
    <mergeCell ref="C524:G524"/>
    <mergeCell ref="C525:G525"/>
    <mergeCell ref="C526:G526"/>
    <mergeCell ref="C527:G527"/>
    <mergeCell ref="C528:G528"/>
    <mergeCell ref="C529:G529"/>
    <mergeCell ref="C530:G530"/>
    <mergeCell ref="C531:G531"/>
    <mergeCell ref="C532:G532"/>
    <mergeCell ref="C533:G533"/>
    <mergeCell ref="C534:G534"/>
    <mergeCell ref="C535:G535"/>
    <mergeCell ref="C536:G536"/>
    <mergeCell ref="C537:G537"/>
    <mergeCell ref="C538:G538"/>
    <mergeCell ref="C539:G539"/>
    <mergeCell ref="C540:G540"/>
    <mergeCell ref="C541:G541"/>
    <mergeCell ref="C542:G542"/>
    <mergeCell ref="C543:G543"/>
    <mergeCell ref="C544:G544"/>
    <mergeCell ref="C545:G545"/>
    <mergeCell ref="C546:G546"/>
    <mergeCell ref="C547:G547"/>
    <mergeCell ref="C548:G548"/>
    <mergeCell ref="C549:G549"/>
    <mergeCell ref="C550:G550"/>
    <mergeCell ref="C551:G551"/>
    <mergeCell ref="C552:G552"/>
    <mergeCell ref="C553:G553"/>
    <mergeCell ref="C554:G554"/>
    <mergeCell ref="C555:G555"/>
    <mergeCell ref="C556:G556"/>
    <mergeCell ref="C557:G557"/>
    <mergeCell ref="C558:G558"/>
    <mergeCell ref="C559:G559"/>
    <mergeCell ref="C560:G560"/>
    <mergeCell ref="C561:G561"/>
    <mergeCell ref="C562:G562"/>
    <mergeCell ref="C563:G563"/>
    <mergeCell ref="C564:G564"/>
    <mergeCell ref="C565:G565"/>
    <mergeCell ref="C566:G566"/>
    <mergeCell ref="C567:G567"/>
    <mergeCell ref="C568:G568"/>
    <mergeCell ref="C569:G569"/>
    <mergeCell ref="C570:G570"/>
    <mergeCell ref="C571:G571"/>
    <mergeCell ref="C572:G572"/>
    <mergeCell ref="C573:G573"/>
    <mergeCell ref="C574:G574"/>
    <mergeCell ref="C575:G575"/>
    <mergeCell ref="C576:G576"/>
    <mergeCell ref="C577:G577"/>
    <mergeCell ref="C578:G578"/>
    <mergeCell ref="C579:G579"/>
    <mergeCell ref="C580:G580"/>
    <mergeCell ref="C581:G581"/>
    <mergeCell ref="C582:G582"/>
    <mergeCell ref="C583:G583"/>
    <mergeCell ref="C584:G584"/>
    <mergeCell ref="C585:G585"/>
    <mergeCell ref="C586:G586"/>
    <mergeCell ref="C587:G587"/>
    <mergeCell ref="C588:G588"/>
    <mergeCell ref="C589:G589"/>
    <mergeCell ref="C590:G590"/>
    <mergeCell ref="C591:G591"/>
    <mergeCell ref="C592:G592"/>
    <mergeCell ref="C593:G593"/>
    <mergeCell ref="C594:G594"/>
    <mergeCell ref="C595:G595"/>
    <mergeCell ref="C596:G596"/>
    <mergeCell ref="C597:G597"/>
    <mergeCell ref="C598:G598"/>
    <mergeCell ref="C599:G599"/>
    <mergeCell ref="C600:G600"/>
    <mergeCell ref="C601:G601"/>
    <mergeCell ref="C602:G602"/>
    <mergeCell ref="C603:G603"/>
    <mergeCell ref="C604:G604"/>
    <mergeCell ref="C605:G605"/>
    <mergeCell ref="C606:G606"/>
    <mergeCell ref="C607:G607"/>
    <mergeCell ref="C608:G608"/>
    <mergeCell ref="C609:G609"/>
    <mergeCell ref="C610:G610"/>
    <mergeCell ref="C611:G611"/>
    <mergeCell ref="C612:G612"/>
    <mergeCell ref="C613:G613"/>
    <mergeCell ref="C614:G614"/>
    <mergeCell ref="C615:G615"/>
    <mergeCell ref="C616:G616"/>
    <mergeCell ref="C617:G617"/>
    <mergeCell ref="C618:G618"/>
    <mergeCell ref="C619:G619"/>
    <mergeCell ref="C620:G620"/>
    <mergeCell ref="C621:G621"/>
    <mergeCell ref="C622:G622"/>
    <mergeCell ref="C623:G623"/>
    <mergeCell ref="C624:G624"/>
    <mergeCell ref="C625:G625"/>
    <mergeCell ref="C626:G626"/>
    <mergeCell ref="C627:G627"/>
    <mergeCell ref="C628:G628"/>
    <mergeCell ref="C629:G629"/>
    <mergeCell ref="C630:G630"/>
    <mergeCell ref="C631:G631"/>
    <mergeCell ref="C632:G632"/>
    <mergeCell ref="C633:G633"/>
    <mergeCell ref="C634:G634"/>
    <mergeCell ref="C635:G635"/>
    <mergeCell ref="C636:G636"/>
    <mergeCell ref="C637:G637"/>
    <mergeCell ref="C638:G638"/>
    <mergeCell ref="C639:G639"/>
    <mergeCell ref="C640:G640"/>
    <mergeCell ref="C641:G641"/>
    <mergeCell ref="C642:G642"/>
    <mergeCell ref="C643:G643"/>
    <mergeCell ref="C644:G644"/>
    <mergeCell ref="C645:G645"/>
    <mergeCell ref="C646:G646"/>
    <mergeCell ref="C647:G647"/>
    <mergeCell ref="C648:G648"/>
    <mergeCell ref="C649:G649"/>
    <mergeCell ref="C650:G650"/>
    <mergeCell ref="C651:G651"/>
    <mergeCell ref="C652:G652"/>
    <mergeCell ref="C653:G653"/>
    <mergeCell ref="C654:G654"/>
    <mergeCell ref="C655:G655"/>
    <mergeCell ref="C656:G656"/>
    <mergeCell ref="C657:G657"/>
    <mergeCell ref="C658:G658"/>
    <mergeCell ref="C659:G659"/>
    <mergeCell ref="C660:G660"/>
    <mergeCell ref="C661:G661"/>
    <mergeCell ref="C662:G662"/>
    <mergeCell ref="C663:G663"/>
    <mergeCell ref="C664:G664"/>
    <mergeCell ref="C665:G665"/>
    <mergeCell ref="C666:G666"/>
    <mergeCell ref="C667:G667"/>
    <mergeCell ref="C668:G668"/>
    <mergeCell ref="C669:G669"/>
    <mergeCell ref="C670:G670"/>
    <mergeCell ref="C671:G671"/>
    <mergeCell ref="C672:G672"/>
    <mergeCell ref="C673:G673"/>
    <mergeCell ref="C674:G674"/>
    <mergeCell ref="C675:G675"/>
    <mergeCell ref="C676:G676"/>
    <mergeCell ref="C677:G677"/>
    <mergeCell ref="C678:G678"/>
    <mergeCell ref="C679:G679"/>
    <mergeCell ref="C680:G680"/>
    <mergeCell ref="C681:G681"/>
    <mergeCell ref="C682:G682"/>
    <mergeCell ref="C683:G683"/>
    <mergeCell ref="C684:G684"/>
    <mergeCell ref="C685:G685"/>
    <mergeCell ref="C686:G686"/>
    <mergeCell ref="C687:G687"/>
    <mergeCell ref="C688:G688"/>
    <mergeCell ref="C689:G689"/>
    <mergeCell ref="C690:G690"/>
    <mergeCell ref="C691:G691"/>
    <mergeCell ref="C692:G692"/>
    <mergeCell ref="C693:G693"/>
    <mergeCell ref="C694:G694"/>
    <mergeCell ref="C695:G695"/>
    <mergeCell ref="C696:G696"/>
    <mergeCell ref="C697:G697"/>
    <mergeCell ref="C698:G698"/>
    <mergeCell ref="C699:G699"/>
    <mergeCell ref="C700:G700"/>
    <mergeCell ref="C701:G701"/>
    <mergeCell ref="C702:G702"/>
    <mergeCell ref="C703:G703"/>
    <mergeCell ref="C704:G704"/>
    <mergeCell ref="C705:G705"/>
    <mergeCell ref="C706:G706"/>
    <mergeCell ref="C707:G707"/>
    <mergeCell ref="C708:G708"/>
    <mergeCell ref="C709:G709"/>
    <mergeCell ref="C710:G710"/>
    <mergeCell ref="C711:G711"/>
    <mergeCell ref="C712:G712"/>
    <mergeCell ref="C713:G713"/>
    <mergeCell ref="C714:G714"/>
    <mergeCell ref="C715:G715"/>
    <mergeCell ref="C716:G716"/>
    <mergeCell ref="C717:G717"/>
    <mergeCell ref="C718:G718"/>
    <mergeCell ref="C719:G719"/>
    <mergeCell ref="C720:G720"/>
    <mergeCell ref="C721:G721"/>
    <mergeCell ref="C722:G722"/>
    <mergeCell ref="C723:G723"/>
    <mergeCell ref="C724:G724"/>
    <mergeCell ref="C725:G725"/>
    <mergeCell ref="C726:G726"/>
    <mergeCell ref="C727:G727"/>
    <mergeCell ref="C728:G728"/>
    <mergeCell ref="C729:G729"/>
    <mergeCell ref="C730:G730"/>
    <mergeCell ref="C731:G731"/>
    <mergeCell ref="C732:G732"/>
    <mergeCell ref="C733:G733"/>
    <mergeCell ref="C734:G734"/>
    <mergeCell ref="C735:G735"/>
    <mergeCell ref="C736:G736"/>
    <mergeCell ref="C737:G737"/>
    <mergeCell ref="C738:G738"/>
    <mergeCell ref="C739:G739"/>
    <mergeCell ref="C740:G740"/>
    <mergeCell ref="C741:G741"/>
    <mergeCell ref="C742:G742"/>
    <mergeCell ref="C743:G743"/>
    <mergeCell ref="C744:G744"/>
    <mergeCell ref="C745:G745"/>
    <mergeCell ref="C746:G746"/>
    <mergeCell ref="C747:G747"/>
    <mergeCell ref="C748:G748"/>
    <mergeCell ref="C749:G749"/>
    <mergeCell ref="C750:G750"/>
    <mergeCell ref="C751:G751"/>
    <mergeCell ref="C752:G752"/>
    <mergeCell ref="C753:G753"/>
    <mergeCell ref="C754:G754"/>
    <mergeCell ref="C755:G755"/>
    <mergeCell ref="C756:G756"/>
    <mergeCell ref="C757:G757"/>
    <mergeCell ref="C758:G758"/>
    <mergeCell ref="C759:G759"/>
    <mergeCell ref="C760:G760"/>
    <mergeCell ref="C761:G761"/>
    <mergeCell ref="C762:G762"/>
    <mergeCell ref="C763:G763"/>
    <mergeCell ref="C764:G764"/>
    <mergeCell ref="C765:G765"/>
    <mergeCell ref="C766:G766"/>
    <mergeCell ref="C767:G767"/>
    <mergeCell ref="C768:G768"/>
    <mergeCell ref="C769:G769"/>
    <mergeCell ref="C770:G770"/>
    <mergeCell ref="C771:G771"/>
    <mergeCell ref="C772:G772"/>
    <mergeCell ref="C773:G773"/>
    <mergeCell ref="C774:G774"/>
    <mergeCell ref="C775:G775"/>
    <mergeCell ref="C776:G776"/>
    <mergeCell ref="C777:G777"/>
    <mergeCell ref="C778:G778"/>
    <mergeCell ref="C779:G779"/>
    <mergeCell ref="C780:G780"/>
    <mergeCell ref="C781:G781"/>
    <mergeCell ref="C782:G782"/>
    <mergeCell ref="C783:G783"/>
    <mergeCell ref="C784:G784"/>
    <mergeCell ref="C785:G785"/>
    <mergeCell ref="C786:G786"/>
    <mergeCell ref="C787:G787"/>
    <mergeCell ref="C788:G788"/>
    <mergeCell ref="C789:G789"/>
    <mergeCell ref="C790:G790"/>
    <mergeCell ref="C791:G791"/>
    <mergeCell ref="C792:G792"/>
    <mergeCell ref="C793:G793"/>
    <mergeCell ref="C794:G794"/>
    <mergeCell ref="C795:G795"/>
    <mergeCell ref="C796:G796"/>
    <mergeCell ref="C797:G797"/>
    <mergeCell ref="C798:G798"/>
    <mergeCell ref="C799:G799"/>
    <mergeCell ref="C800:G800"/>
    <mergeCell ref="C801:G801"/>
    <mergeCell ref="C802:G802"/>
    <mergeCell ref="C803:G803"/>
    <mergeCell ref="C804:G804"/>
    <mergeCell ref="C805:G805"/>
    <mergeCell ref="C806:G806"/>
    <mergeCell ref="C807:G807"/>
    <mergeCell ref="C808:G808"/>
    <mergeCell ref="C809:G809"/>
    <mergeCell ref="C810:G810"/>
    <mergeCell ref="C811:G811"/>
    <mergeCell ref="C812:G812"/>
    <mergeCell ref="C813:G813"/>
    <mergeCell ref="C814:G814"/>
    <mergeCell ref="C815:G815"/>
    <mergeCell ref="C816:G816"/>
    <mergeCell ref="C817:G817"/>
    <mergeCell ref="C818:G818"/>
    <mergeCell ref="C819:G819"/>
    <mergeCell ref="C820:G820"/>
    <mergeCell ref="C821:G821"/>
    <mergeCell ref="C822:G822"/>
    <mergeCell ref="C823:G823"/>
    <mergeCell ref="C824:G824"/>
    <mergeCell ref="C825:G825"/>
    <mergeCell ref="C826:G826"/>
    <mergeCell ref="C827:G827"/>
    <mergeCell ref="C828:G828"/>
    <mergeCell ref="C829:G829"/>
    <mergeCell ref="C830:G830"/>
    <mergeCell ref="C831:G831"/>
    <mergeCell ref="C832:G832"/>
    <mergeCell ref="C833:G833"/>
    <mergeCell ref="C834:G834"/>
    <mergeCell ref="C835:G835"/>
    <mergeCell ref="C836:G836"/>
    <mergeCell ref="C837:G837"/>
    <mergeCell ref="C838:G838"/>
    <mergeCell ref="C839:G839"/>
    <mergeCell ref="C840:G840"/>
    <mergeCell ref="C841:G841"/>
    <mergeCell ref="C842:G842"/>
    <mergeCell ref="C843:G843"/>
    <mergeCell ref="C844:G844"/>
    <mergeCell ref="C845:G845"/>
  </mergeCells>
  <conditionalFormatting sqref="I12:I1000">
    <cfRule type="cellIs" priority="2" operator="equal" aboveAverage="0" equalAverage="0" bottom="0" percent="0" rank="0" text="" dxfId="0">
      <formula>"I"</formula>
    </cfRule>
    <cfRule type="cellIs" priority="3" operator="equal" aboveAverage="0" equalAverage="0" bottom="0" percent="0" rank="0" text="" dxfId="1">
      <formula>"A"</formula>
    </cfRule>
    <cfRule type="cellIs" priority="4" operator="equal" aboveAverage="0" equalAverage="0" bottom="0" percent="0" rank="0" text="" dxfId="2">
      <formula>"E"</formula>
    </cfRule>
  </conditionalFormatting>
  <printOptions headings="false" gridLines="false" gridLinesSet="true" horizontalCentered="false" verticalCentered="false"/>
  <pageMargins left="0.708333333333333" right="0.708333333333333" top="0.747916666666667" bottom="0.747916666666667" header="0.511811023622047" footer="0"/>
  <pageSetup paperSize="9" scale="100" fitToWidth="1" fitToHeight="0" pageOrder="downThenOver" orientation="landscape" blackAndWhite="false" draft="false" cellComments="none" horizontalDpi="300" verticalDpi="300" copies="1"/>
  <headerFooter differentFirst="false" differentOddEven="false">
    <oddHeader/>
    <oddFooter>&amp;R&amp;P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0" width="2.86"/>
    <col collapsed="false" customWidth="true" hidden="false" outlineLevel="0" max="2" min="2" style="0" width="8.29"/>
    <col collapsed="false" customWidth="true" hidden="false" outlineLevel="0" max="3" min="3" style="0" width="10.72"/>
    <col collapsed="false" customWidth="true" hidden="false" outlineLevel="0" max="4" min="4" style="0" width="2.28"/>
    <col collapsed="false" customWidth="true" hidden="false" outlineLevel="0" max="5" min="5" style="0" width="7.71"/>
    <col collapsed="false" customWidth="true" hidden="false" outlineLevel="0" max="6" min="6" style="0" width="5"/>
    <col collapsed="false" customWidth="true" hidden="false" outlineLevel="0" max="7" min="7" style="0" width="10.72"/>
    <col collapsed="false" customWidth="true" hidden="false" outlineLevel="0" max="8" min="8" style="0" width="4.72"/>
    <col collapsed="false" customWidth="true" hidden="false" outlineLevel="0" max="9" min="9" style="0" width="6.71"/>
    <col collapsed="false" customWidth="true" hidden="false" outlineLevel="0" max="10" min="10" style="0" width="4.72"/>
    <col collapsed="false" customWidth="true" hidden="false" outlineLevel="0" max="11" min="11" style="0" width="9.86"/>
    <col collapsed="false" customWidth="true" hidden="false" outlineLevel="0" max="12" min="12" style="0" width="9.71"/>
    <col collapsed="false" customWidth="true" hidden="false" outlineLevel="0" max="15" min="13" style="0" width="9.14"/>
  </cols>
  <sheetData>
    <row r="1" customFormat="false" ht="13.5" hidden="false" customHeight="true" outlineLevel="0" collapsed="false">
      <c r="A1" s="19"/>
      <c r="B1" s="19"/>
      <c r="C1" s="1" t="s">
        <v>0</v>
      </c>
      <c r="D1" s="19"/>
      <c r="E1" s="19"/>
      <c r="F1" s="19"/>
      <c r="G1" s="19"/>
      <c r="H1" s="19"/>
      <c r="I1" s="19"/>
      <c r="J1" s="19"/>
      <c r="K1" s="19"/>
      <c r="L1" s="19"/>
      <c r="M1" s="19"/>
      <c r="N1" s="19"/>
      <c r="O1" s="19"/>
    </row>
    <row r="2" customFormat="false" ht="13.5" hidden="false" customHeight="true" outlineLevel="0" collapsed="false">
      <c r="A2" s="19"/>
      <c r="B2" s="19"/>
      <c r="C2" s="1" t="s">
        <v>1</v>
      </c>
      <c r="D2" s="19"/>
      <c r="E2" s="19"/>
      <c r="F2" s="19"/>
      <c r="G2" s="19"/>
      <c r="H2" s="19"/>
      <c r="I2" s="19"/>
      <c r="J2" s="19"/>
      <c r="K2" s="19"/>
      <c r="L2" s="19"/>
      <c r="M2" s="19"/>
      <c r="N2" s="19"/>
      <c r="O2" s="19"/>
    </row>
    <row r="3" customFormat="false" ht="12.75" hidden="false" customHeight="true" outlineLevel="0" collapsed="false">
      <c r="A3" s="19"/>
      <c r="B3" s="19"/>
      <c r="C3" s="3" t="s">
        <v>2</v>
      </c>
      <c r="D3" s="19"/>
      <c r="E3" s="19"/>
      <c r="F3" s="19"/>
      <c r="G3" s="19"/>
      <c r="H3" s="19"/>
      <c r="I3" s="19"/>
      <c r="J3" s="19"/>
      <c r="K3" s="19"/>
      <c r="L3" s="19"/>
      <c r="M3" s="19"/>
      <c r="N3" s="19"/>
      <c r="O3" s="19"/>
    </row>
    <row r="4" customFormat="false" ht="7.5" hidden="false" customHeight="true" outlineLevel="0" collapsed="false">
      <c r="A4" s="4" t="s">
        <v>781</v>
      </c>
      <c r="B4" s="4"/>
      <c r="C4" s="4"/>
      <c r="D4" s="4"/>
      <c r="E4" s="4"/>
      <c r="F4" s="4"/>
      <c r="G4" s="4"/>
      <c r="H4" s="4"/>
      <c r="I4" s="4"/>
      <c r="J4" s="4"/>
      <c r="K4" s="4"/>
      <c r="L4" s="4"/>
      <c r="M4" s="19"/>
      <c r="N4" s="19"/>
      <c r="O4" s="19"/>
    </row>
    <row r="5" customFormat="false" ht="7.5" hidden="false" customHeight="true" outlineLevel="0" collapsed="false">
      <c r="A5" s="4"/>
      <c r="B5" s="4"/>
      <c r="C5" s="4"/>
      <c r="D5" s="4"/>
      <c r="E5" s="4"/>
      <c r="F5" s="4"/>
      <c r="G5" s="4"/>
      <c r="H5" s="4"/>
      <c r="I5" s="4"/>
      <c r="J5" s="4"/>
      <c r="K5" s="4"/>
      <c r="L5" s="4"/>
      <c r="M5" s="19"/>
      <c r="N5" s="19"/>
      <c r="O5" s="19"/>
    </row>
    <row r="6" customFormat="false" ht="7.5" hidden="false" customHeight="true" outlineLevel="0" collapsed="false">
      <c r="A6" s="4"/>
      <c r="B6" s="4"/>
      <c r="C6" s="4"/>
      <c r="D6" s="4"/>
      <c r="E6" s="4"/>
      <c r="F6" s="4"/>
      <c r="G6" s="4"/>
      <c r="H6" s="4"/>
      <c r="I6" s="4"/>
      <c r="J6" s="4"/>
      <c r="K6" s="4"/>
      <c r="L6" s="4"/>
      <c r="M6" s="19"/>
      <c r="N6" s="19"/>
      <c r="O6" s="19"/>
    </row>
    <row r="7" customFormat="false" ht="12" hidden="false" customHeight="true" outlineLevel="0" collapsed="false">
      <c r="A7" s="51" t="str">
        <f aca="false">Contagem!A8&amp;" : "&amp;Contagem!F8</f>
        <v>Aplicação : Viabiliza — Sistema de Licenciamento Eletrônico da SEDUR</v>
      </c>
      <c r="B7" s="51"/>
      <c r="C7" s="51"/>
      <c r="D7" s="51"/>
      <c r="E7" s="51"/>
      <c r="F7" s="52" t="str">
        <f aca="false">Contagem!A9&amp;" : "&amp;Contagem!F9</f>
        <v>Projeto : Contagem IFPUG - Projeto de Desenvolvimento (recontagem a partir do código)</v>
      </c>
      <c r="G7" s="52"/>
      <c r="H7" s="52"/>
      <c r="I7" s="52"/>
      <c r="J7" s="52"/>
      <c r="K7" s="52"/>
      <c r="L7" s="52"/>
      <c r="M7" s="19"/>
      <c r="N7" s="19"/>
      <c r="O7" s="19"/>
    </row>
    <row r="8" customFormat="false" ht="12" hidden="false" customHeight="true" outlineLevel="0" collapsed="false">
      <c r="A8" s="51" t="s">
        <v>40</v>
      </c>
      <c r="B8" s="51"/>
      <c r="C8" s="53" t="str">
        <f aca="false">Contagem!F10</f>
        <v>DV-SILE-004</v>
      </c>
      <c r="D8" s="53" t="s">
        <v>41</v>
      </c>
      <c r="E8" s="53"/>
      <c r="F8" s="54" t="str">
        <f aca="false">Contagem!N10</f>
        <v>2.0</v>
      </c>
      <c r="G8" s="54"/>
      <c r="H8" s="55"/>
      <c r="I8" s="55"/>
      <c r="J8" s="55"/>
      <c r="K8" s="55"/>
      <c r="L8" s="56"/>
      <c r="M8" s="19"/>
      <c r="N8" s="19"/>
      <c r="O8" s="19"/>
    </row>
    <row r="9" customFormat="false" ht="12" hidden="false" customHeight="true" outlineLevel="0" collapsed="false">
      <c r="A9" s="51" t="str">
        <f aca="false">Contagem!A11&amp;" : "&amp;Contagem!F11</f>
        <v>Responsável : Equipe de Análise — Sudoeste Informática</v>
      </c>
      <c r="B9" s="51"/>
      <c r="C9" s="51"/>
      <c r="D9" s="51"/>
      <c r="E9" s="51"/>
      <c r="F9" s="52" t="str">
        <f aca="false">Contagem!A12&amp;" : "&amp;Contagem!F12</f>
        <v>Revisor : Filipe Falcão</v>
      </c>
      <c r="G9" s="52"/>
      <c r="H9" s="52"/>
      <c r="I9" s="52"/>
      <c r="J9" s="52"/>
      <c r="K9" s="52"/>
      <c r="L9" s="52"/>
      <c r="M9" s="19"/>
      <c r="N9" s="19"/>
      <c r="O9" s="19"/>
    </row>
    <row r="10" customFormat="false" ht="12" hidden="false" customHeight="true" outlineLevel="0" collapsed="false">
      <c r="A10" s="57" t="str">
        <f aca="false">Contagem!A7&amp;" : "&amp;Contagem!F7</f>
        <v>Empresa : Sudoeste Informática</v>
      </c>
      <c r="B10" s="58"/>
      <c r="C10" s="58"/>
      <c r="D10" s="59"/>
      <c r="E10" s="59"/>
      <c r="F10" s="60" t="str">
        <f aca="false">Contagem!R7&amp;" = "&amp;VALUE(Contagem!T7)</f>
        <v>R$/PF = 700</v>
      </c>
      <c r="G10" s="60"/>
      <c r="H10" s="60" t="str">
        <f aca="false">" Custo= "&amp;DOLLAR(Contagem!Y7)</f>
        <v> Custo= R$ 1.081.500,00</v>
      </c>
      <c r="I10" s="60"/>
      <c r="J10" s="60"/>
      <c r="K10" s="61" t="str">
        <f aca="false">"PF  = "&amp;VALUE(Contagem!Y8)</f>
        <v>PF  = 1545</v>
      </c>
      <c r="L10" s="61"/>
      <c r="M10" s="19"/>
      <c r="N10" s="19"/>
      <c r="O10" s="19"/>
    </row>
    <row r="11" customFormat="false" ht="12" hidden="false" customHeight="true" outlineLevel="0" collapsed="false">
      <c r="A11" s="62" t="s">
        <v>782</v>
      </c>
      <c r="B11" s="62"/>
      <c r="C11" s="63" t="s">
        <v>783</v>
      </c>
      <c r="D11" s="63"/>
      <c r="E11" s="63"/>
      <c r="F11" s="63"/>
      <c r="G11" s="64" t="s">
        <v>784</v>
      </c>
      <c r="H11" s="64"/>
      <c r="I11" s="65" t="s">
        <v>785</v>
      </c>
      <c r="J11" s="65"/>
      <c r="K11" s="66"/>
      <c r="L11" s="66"/>
      <c r="M11" s="19"/>
      <c r="N11" s="19"/>
      <c r="O11" s="19"/>
    </row>
    <row r="12" customFormat="false" ht="12" hidden="false" customHeight="true" outlineLevel="0" collapsed="false">
      <c r="A12" s="62"/>
      <c r="B12" s="62"/>
      <c r="C12" s="63"/>
      <c r="D12" s="63"/>
      <c r="E12" s="63"/>
      <c r="F12" s="63"/>
      <c r="G12" s="64"/>
      <c r="H12" s="64"/>
      <c r="I12" s="64"/>
      <c r="J12" s="65"/>
      <c r="K12" s="66"/>
      <c r="L12" s="66"/>
      <c r="M12" s="19"/>
      <c r="N12" s="19"/>
      <c r="O12" s="19"/>
    </row>
    <row r="13" customFormat="false" ht="12" hidden="false" customHeight="true" outlineLevel="0" collapsed="false">
      <c r="A13" s="67"/>
      <c r="B13" s="68"/>
      <c r="C13" s="68"/>
      <c r="D13" s="68"/>
      <c r="E13" s="68"/>
      <c r="F13" s="68"/>
      <c r="G13" s="68"/>
      <c r="H13" s="68"/>
      <c r="I13" s="68"/>
      <c r="J13" s="68"/>
      <c r="K13" s="68"/>
      <c r="L13" s="69"/>
      <c r="M13" s="19"/>
      <c r="N13" s="19"/>
      <c r="O13" s="19"/>
    </row>
    <row r="14" customFormat="false" ht="12" hidden="false" customHeight="true" outlineLevel="0" collapsed="false">
      <c r="A14" s="70"/>
      <c r="B14" s="19" t="s">
        <v>62</v>
      </c>
      <c r="C14" s="71" t="n">
        <f aca="false">COUNTIF(CF,"EEL")</f>
        <v>105</v>
      </c>
      <c r="D14" s="19"/>
      <c r="E14" s="72" t="s">
        <v>786</v>
      </c>
      <c r="F14" s="72" t="s">
        <v>787</v>
      </c>
      <c r="G14" s="71" t="n">
        <f aca="false">C14*3</f>
        <v>315</v>
      </c>
      <c r="H14" s="19"/>
      <c r="I14" s="73"/>
      <c r="J14" s="19"/>
      <c r="K14" s="19"/>
      <c r="L14" s="74"/>
      <c r="M14" s="19"/>
      <c r="N14" s="19"/>
      <c r="O14" s="19"/>
    </row>
    <row r="15" customFormat="false" ht="12" hidden="false" customHeight="true" outlineLevel="0" collapsed="false">
      <c r="A15" s="70"/>
      <c r="B15" s="19"/>
      <c r="C15" s="71" t="n">
        <f aca="false">COUNTIF(CF,"EEA")</f>
        <v>18</v>
      </c>
      <c r="D15" s="19"/>
      <c r="E15" s="72" t="s">
        <v>788</v>
      </c>
      <c r="F15" s="72" t="s">
        <v>789</v>
      </c>
      <c r="G15" s="71" t="n">
        <f aca="false">C15*4</f>
        <v>72</v>
      </c>
      <c r="H15" s="19"/>
      <c r="I15" s="73"/>
      <c r="J15" s="19"/>
      <c r="K15" s="19"/>
      <c r="L15" s="74"/>
      <c r="M15" s="19"/>
      <c r="N15" s="19"/>
      <c r="O15" s="19"/>
    </row>
    <row r="16" customFormat="false" ht="12" hidden="false" customHeight="true" outlineLevel="0" collapsed="false">
      <c r="A16" s="70"/>
      <c r="B16" s="19"/>
      <c r="C16" s="71" t="n">
        <f aca="false">COUNTIF(CF,"EEH")</f>
        <v>23</v>
      </c>
      <c r="D16" s="19"/>
      <c r="E16" s="72" t="s">
        <v>790</v>
      </c>
      <c r="F16" s="72" t="s">
        <v>791</v>
      </c>
      <c r="G16" s="71" t="n">
        <f aca="false">C16*6</f>
        <v>138</v>
      </c>
      <c r="H16" s="19"/>
      <c r="I16" s="73"/>
      <c r="J16" s="19"/>
      <c r="K16" s="19"/>
      <c r="L16" s="75"/>
      <c r="M16" s="19"/>
      <c r="N16" s="19"/>
      <c r="O16" s="19"/>
    </row>
    <row r="17" customFormat="false" ht="6.75" hidden="false" customHeight="true" outlineLevel="0" collapsed="false">
      <c r="A17" s="70"/>
      <c r="B17" s="19"/>
      <c r="C17" s="68"/>
      <c r="D17" s="19"/>
      <c r="E17" s="19"/>
      <c r="F17" s="19"/>
      <c r="G17" s="68"/>
      <c r="H17" s="19"/>
      <c r="I17" s="19"/>
      <c r="J17" s="19"/>
      <c r="K17" s="19"/>
      <c r="L17" s="74"/>
      <c r="M17" s="19"/>
      <c r="N17" s="19"/>
      <c r="O17" s="19"/>
    </row>
    <row r="18" customFormat="false" ht="12" hidden="false" customHeight="true" outlineLevel="0" collapsed="false">
      <c r="A18" s="70"/>
      <c r="B18" s="76" t="s">
        <v>792</v>
      </c>
      <c r="C18" s="71" t="n">
        <f aca="false">SUM(C14:C16)</f>
        <v>146</v>
      </c>
      <c r="D18" s="19"/>
      <c r="E18" s="19"/>
      <c r="F18" s="76" t="s">
        <v>792</v>
      </c>
      <c r="G18" s="71" t="n">
        <f aca="false">SUM(G14:G16)</f>
        <v>525</v>
      </c>
      <c r="H18" s="19"/>
      <c r="I18" s="77" t="n">
        <f aca="false">IF($G$49&lt;&gt;0,G18/$G$49,"")</f>
        <v>0.339805825242718</v>
      </c>
      <c r="J18" s="19"/>
      <c r="K18" s="19"/>
      <c r="L18" s="74"/>
      <c r="M18" s="19"/>
      <c r="N18" s="19"/>
      <c r="O18" s="78"/>
    </row>
    <row r="19" customFormat="false" ht="6" hidden="false" customHeight="true" outlineLevel="0" collapsed="false">
      <c r="A19" s="79"/>
      <c r="B19" s="71"/>
      <c r="C19" s="71"/>
      <c r="D19" s="71"/>
      <c r="E19" s="71"/>
      <c r="F19" s="71"/>
      <c r="G19" s="71"/>
      <c r="H19" s="71"/>
      <c r="I19" s="71"/>
      <c r="J19" s="71"/>
      <c r="K19" s="71"/>
      <c r="L19" s="80"/>
      <c r="M19" s="19"/>
      <c r="N19" s="19"/>
      <c r="O19" s="19"/>
    </row>
    <row r="20" customFormat="false" ht="12" hidden="false" customHeight="true" outlineLevel="0" collapsed="false">
      <c r="A20" s="70"/>
      <c r="B20" s="19"/>
      <c r="C20" s="19"/>
      <c r="D20" s="19"/>
      <c r="E20" s="19"/>
      <c r="F20" s="19"/>
      <c r="G20" s="19"/>
      <c r="H20" s="19"/>
      <c r="I20" s="19"/>
      <c r="J20" s="19"/>
      <c r="K20" s="19"/>
      <c r="L20" s="74"/>
      <c r="M20" s="19"/>
      <c r="N20" s="19"/>
      <c r="O20" s="19"/>
    </row>
    <row r="21" customFormat="false" ht="12" hidden="false" customHeight="true" outlineLevel="0" collapsed="false">
      <c r="A21" s="70"/>
      <c r="B21" s="19" t="s">
        <v>99</v>
      </c>
      <c r="C21" s="71" t="n">
        <f aca="false">COUNTIF(CF,"SEL")</f>
        <v>2</v>
      </c>
      <c r="D21" s="19"/>
      <c r="E21" s="72" t="s">
        <v>786</v>
      </c>
      <c r="F21" s="72" t="s">
        <v>789</v>
      </c>
      <c r="G21" s="71" t="n">
        <f aca="false">C21*4</f>
        <v>8</v>
      </c>
      <c r="H21" s="19"/>
      <c r="I21" s="19"/>
      <c r="J21" s="19"/>
      <c r="K21" s="19"/>
      <c r="L21" s="74"/>
      <c r="M21" s="19"/>
      <c r="N21" s="19"/>
      <c r="O21" s="19"/>
    </row>
    <row r="22" customFormat="false" ht="12" hidden="false" customHeight="true" outlineLevel="0" collapsed="false">
      <c r="A22" s="70"/>
      <c r="B22" s="19"/>
      <c r="C22" s="71" t="n">
        <f aca="false">COUNTIF(CF,"SEA")</f>
        <v>25</v>
      </c>
      <c r="D22" s="19"/>
      <c r="E22" s="72" t="s">
        <v>788</v>
      </c>
      <c r="F22" s="72" t="s">
        <v>793</v>
      </c>
      <c r="G22" s="71" t="n">
        <f aca="false">C22*5</f>
        <v>125</v>
      </c>
      <c r="H22" s="19"/>
      <c r="I22" s="19"/>
      <c r="J22" s="19"/>
      <c r="K22" s="19"/>
      <c r="L22" s="74"/>
      <c r="M22" s="19"/>
      <c r="N22" s="19"/>
      <c r="O22" s="19"/>
    </row>
    <row r="23" customFormat="false" ht="12" hidden="false" customHeight="true" outlineLevel="0" collapsed="false">
      <c r="A23" s="70"/>
      <c r="B23" s="19"/>
      <c r="C23" s="71" t="n">
        <f aca="false">COUNTIF(CF,"SEH")</f>
        <v>21</v>
      </c>
      <c r="D23" s="19"/>
      <c r="E23" s="72" t="s">
        <v>790</v>
      </c>
      <c r="F23" s="72" t="s">
        <v>794</v>
      </c>
      <c r="G23" s="71" t="n">
        <f aca="false">C23*7</f>
        <v>147</v>
      </c>
      <c r="H23" s="19"/>
      <c r="I23" s="19"/>
      <c r="J23" s="19"/>
      <c r="K23" s="19"/>
      <c r="L23" s="75"/>
      <c r="M23" s="19"/>
      <c r="N23" s="19"/>
      <c r="O23" s="19"/>
    </row>
    <row r="24" customFormat="false" ht="6.75" hidden="false" customHeight="true" outlineLevel="0" collapsed="false">
      <c r="A24" s="70"/>
      <c r="B24" s="19"/>
      <c r="C24" s="68"/>
      <c r="D24" s="19"/>
      <c r="E24" s="19"/>
      <c r="F24" s="19"/>
      <c r="G24" s="68"/>
      <c r="H24" s="19"/>
      <c r="I24" s="19"/>
      <c r="J24" s="19"/>
      <c r="K24" s="19"/>
      <c r="L24" s="74"/>
      <c r="M24" s="19"/>
      <c r="N24" s="19"/>
      <c r="O24" s="19"/>
    </row>
    <row r="25" customFormat="false" ht="12" hidden="false" customHeight="true" outlineLevel="0" collapsed="false">
      <c r="A25" s="70"/>
      <c r="B25" s="76" t="s">
        <v>792</v>
      </c>
      <c r="C25" s="71" t="n">
        <f aca="false">SUM(C21:C23)</f>
        <v>48</v>
      </c>
      <c r="D25" s="19"/>
      <c r="E25" s="19"/>
      <c r="F25" s="76" t="s">
        <v>792</v>
      </c>
      <c r="G25" s="71" t="n">
        <f aca="false">SUM(G21:G23)</f>
        <v>280</v>
      </c>
      <c r="H25" s="19"/>
      <c r="I25" s="81" t="n">
        <f aca="false">IF($G$49&lt;&gt;0,G25/$G$49,"")</f>
        <v>0.181229773462783</v>
      </c>
      <c r="J25" s="19"/>
      <c r="K25" s="19"/>
      <c r="L25" s="74"/>
      <c r="M25" s="19"/>
      <c r="N25" s="19"/>
      <c r="O25" s="19"/>
    </row>
    <row r="26" customFormat="false" ht="6" hidden="false" customHeight="true" outlineLevel="0" collapsed="false">
      <c r="A26" s="79"/>
      <c r="B26" s="71"/>
      <c r="C26" s="71"/>
      <c r="D26" s="71"/>
      <c r="E26" s="71"/>
      <c r="F26" s="71"/>
      <c r="G26" s="71"/>
      <c r="H26" s="71"/>
      <c r="I26" s="71"/>
      <c r="J26" s="71"/>
      <c r="K26" s="71"/>
      <c r="L26" s="80"/>
      <c r="M26" s="19"/>
      <c r="N26" s="19"/>
      <c r="O26" s="19"/>
    </row>
    <row r="27" customFormat="false" ht="12" hidden="false" customHeight="true" outlineLevel="0" collapsed="false">
      <c r="A27" s="67"/>
      <c r="B27" s="68"/>
      <c r="C27" s="19"/>
      <c r="D27" s="68"/>
      <c r="E27" s="68"/>
      <c r="F27" s="68"/>
      <c r="G27" s="19"/>
      <c r="H27" s="68"/>
      <c r="I27" s="68"/>
      <c r="J27" s="68"/>
      <c r="K27" s="68"/>
      <c r="L27" s="69"/>
      <c r="M27" s="19"/>
      <c r="N27" s="19"/>
      <c r="O27" s="19"/>
    </row>
    <row r="28" customFormat="false" ht="12" hidden="false" customHeight="true" outlineLevel="0" collapsed="false">
      <c r="A28" s="70"/>
      <c r="B28" s="19" t="s">
        <v>80</v>
      </c>
      <c r="C28" s="71" t="n">
        <f aca="false">COUNTIF(CF,"CEL")</f>
        <v>35</v>
      </c>
      <c r="D28" s="19"/>
      <c r="E28" s="72" t="s">
        <v>786</v>
      </c>
      <c r="F28" s="72" t="s">
        <v>787</v>
      </c>
      <c r="G28" s="71" t="n">
        <f aca="false">C28*3</f>
        <v>105</v>
      </c>
      <c r="H28" s="19"/>
      <c r="I28" s="19"/>
      <c r="J28" s="19"/>
      <c r="K28" s="19"/>
      <c r="L28" s="74"/>
      <c r="M28" s="19"/>
      <c r="N28" s="19"/>
      <c r="O28" s="19"/>
    </row>
    <row r="29" customFormat="false" ht="12" hidden="false" customHeight="true" outlineLevel="0" collapsed="false">
      <c r="A29" s="70"/>
      <c r="B29" s="19"/>
      <c r="C29" s="71" t="n">
        <f aca="false">COUNTIF(CF,"CEA")</f>
        <v>26</v>
      </c>
      <c r="D29" s="19"/>
      <c r="E29" s="72" t="s">
        <v>788</v>
      </c>
      <c r="F29" s="72" t="s">
        <v>789</v>
      </c>
      <c r="G29" s="71" t="n">
        <f aca="false">C29*4</f>
        <v>104</v>
      </c>
      <c r="H29" s="19"/>
      <c r="I29" s="19"/>
      <c r="J29" s="19"/>
      <c r="K29" s="19"/>
      <c r="L29" s="74"/>
      <c r="M29" s="19"/>
      <c r="N29" s="19"/>
      <c r="O29" s="19"/>
    </row>
    <row r="30" customFormat="false" ht="12" hidden="false" customHeight="true" outlineLevel="0" collapsed="false">
      <c r="A30" s="70"/>
      <c r="B30" s="19"/>
      <c r="C30" s="71" t="n">
        <f aca="false">COUNTIF(CF,"CEH")</f>
        <v>18</v>
      </c>
      <c r="D30" s="19"/>
      <c r="E30" s="72" t="s">
        <v>790</v>
      </c>
      <c r="F30" s="72" t="s">
        <v>791</v>
      </c>
      <c r="G30" s="71" t="n">
        <f aca="false">C30*6</f>
        <v>108</v>
      </c>
      <c r="H30" s="19"/>
      <c r="I30" s="19"/>
      <c r="J30" s="19"/>
      <c r="K30" s="19"/>
      <c r="L30" s="75"/>
      <c r="M30" s="19"/>
      <c r="N30" s="19"/>
      <c r="O30" s="19"/>
    </row>
    <row r="31" customFormat="false" ht="6.75" hidden="false" customHeight="true" outlineLevel="0" collapsed="false">
      <c r="A31" s="70"/>
      <c r="B31" s="19"/>
      <c r="C31" s="68"/>
      <c r="D31" s="19"/>
      <c r="E31" s="19"/>
      <c r="F31" s="19"/>
      <c r="G31" s="68"/>
      <c r="H31" s="19"/>
      <c r="I31" s="19"/>
      <c r="J31" s="19"/>
      <c r="K31" s="19"/>
      <c r="L31" s="74"/>
      <c r="M31" s="19"/>
      <c r="N31" s="19"/>
      <c r="O31" s="19"/>
    </row>
    <row r="32" customFormat="false" ht="12" hidden="false" customHeight="true" outlineLevel="0" collapsed="false">
      <c r="A32" s="70"/>
      <c r="B32" s="76" t="s">
        <v>792</v>
      </c>
      <c r="C32" s="71" t="n">
        <f aca="false">SUM(C28:C30)</f>
        <v>79</v>
      </c>
      <c r="D32" s="19"/>
      <c r="E32" s="19"/>
      <c r="F32" s="76" t="s">
        <v>792</v>
      </c>
      <c r="G32" s="71" t="n">
        <f aca="false">SUM(G28:G30)</f>
        <v>317</v>
      </c>
      <c r="H32" s="19"/>
      <c r="I32" s="82" t="n">
        <f aca="false">IF($G$49&lt;&gt;0,G32/$G$49,"")</f>
        <v>0.205177993527508</v>
      </c>
      <c r="J32" s="19"/>
      <c r="K32" s="19"/>
      <c r="L32" s="74"/>
      <c r="M32" s="19"/>
      <c r="N32" s="19"/>
      <c r="O32" s="19"/>
    </row>
    <row r="33" customFormat="false" ht="6" hidden="false" customHeight="true" outlineLevel="0" collapsed="false">
      <c r="A33" s="79"/>
      <c r="B33" s="71"/>
      <c r="C33" s="71"/>
      <c r="D33" s="71"/>
      <c r="E33" s="71"/>
      <c r="F33" s="71"/>
      <c r="G33" s="71"/>
      <c r="H33" s="71"/>
      <c r="I33" s="71"/>
      <c r="J33" s="71"/>
      <c r="K33" s="71"/>
      <c r="L33" s="80"/>
      <c r="M33" s="19"/>
      <c r="N33" s="19"/>
      <c r="O33" s="19"/>
    </row>
    <row r="34" customFormat="false" ht="12" hidden="false" customHeight="true" outlineLevel="0" collapsed="false">
      <c r="A34" s="67"/>
      <c r="B34" s="68"/>
      <c r="C34" s="19"/>
      <c r="D34" s="68"/>
      <c r="E34" s="68"/>
      <c r="F34" s="68"/>
      <c r="G34" s="19"/>
      <c r="H34" s="68"/>
      <c r="I34" s="68"/>
      <c r="J34" s="68"/>
      <c r="K34" s="68"/>
      <c r="L34" s="69"/>
      <c r="M34" s="19"/>
      <c r="N34" s="19"/>
      <c r="O34" s="19"/>
    </row>
    <row r="35" customFormat="false" ht="12" hidden="false" customHeight="true" outlineLevel="0" collapsed="false">
      <c r="A35" s="70"/>
      <c r="B35" s="19" t="s">
        <v>55</v>
      </c>
      <c r="C35" s="71" t="n">
        <f aca="false">COUNTIF(CF,"ALIL")</f>
        <v>44</v>
      </c>
      <c r="D35" s="19"/>
      <c r="E35" s="19" t="s">
        <v>786</v>
      </c>
      <c r="F35" s="19" t="s">
        <v>794</v>
      </c>
      <c r="G35" s="71" t="n">
        <f aca="false">C35*7</f>
        <v>308</v>
      </c>
      <c r="H35" s="19"/>
      <c r="I35" s="19"/>
      <c r="J35" s="19"/>
      <c r="K35" s="19"/>
      <c r="L35" s="74"/>
      <c r="M35" s="19"/>
      <c r="N35" s="19"/>
      <c r="O35" s="19"/>
    </row>
    <row r="36" customFormat="false" ht="12" hidden="false" customHeight="true" outlineLevel="0" collapsed="false">
      <c r="A36" s="70"/>
      <c r="B36" s="19"/>
      <c r="C36" s="71" t="n">
        <f aca="false">COUNTIF(CF,"ALIA")</f>
        <v>4</v>
      </c>
      <c r="D36" s="19"/>
      <c r="E36" s="19" t="s">
        <v>788</v>
      </c>
      <c r="F36" s="19" t="s">
        <v>795</v>
      </c>
      <c r="G36" s="71" t="n">
        <f aca="false">C36*10</f>
        <v>40</v>
      </c>
      <c r="H36" s="19"/>
      <c r="I36" s="19"/>
      <c r="J36" s="19"/>
      <c r="K36" s="19"/>
      <c r="L36" s="74"/>
      <c r="M36" s="19"/>
      <c r="N36" s="19"/>
      <c r="O36" s="19"/>
    </row>
    <row r="37" customFormat="false" ht="12" hidden="false" customHeight="true" outlineLevel="0" collapsed="false">
      <c r="A37" s="70"/>
      <c r="B37" s="19"/>
      <c r="C37" s="71" t="n">
        <f aca="false">COUNTIF(CF,"ALIH")</f>
        <v>3</v>
      </c>
      <c r="D37" s="19"/>
      <c r="E37" s="19" t="s">
        <v>790</v>
      </c>
      <c r="F37" s="19" t="s">
        <v>796</v>
      </c>
      <c r="G37" s="71" t="n">
        <f aca="false">C37*15</f>
        <v>45</v>
      </c>
      <c r="H37" s="19"/>
      <c r="I37" s="19"/>
      <c r="J37" s="19"/>
      <c r="K37" s="19"/>
      <c r="L37" s="75"/>
      <c r="M37" s="19"/>
      <c r="N37" s="19"/>
      <c r="O37" s="19"/>
    </row>
    <row r="38" customFormat="false" ht="6.75" hidden="false" customHeight="true" outlineLevel="0" collapsed="false">
      <c r="A38" s="70"/>
      <c r="B38" s="19"/>
      <c r="C38" s="68"/>
      <c r="D38" s="19"/>
      <c r="E38" s="19"/>
      <c r="F38" s="19"/>
      <c r="G38" s="68"/>
      <c r="H38" s="19"/>
      <c r="I38" s="19"/>
      <c r="J38" s="19"/>
      <c r="K38" s="19"/>
      <c r="L38" s="74"/>
      <c r="M38" s="19"/>
      <c r="N38" s="19"/>
      <c r="O38" s="19"/>
    </row>
    <row r="39" customFormat="false" ht="12" hidden="false" customHeight="true" outlineLevel="0" collapsed="false">
      <c r="A39" s="70"/>
      <c r="B39" s="76" t="s">
        <v>792</v>
      </c>
      <c r="C39" s="71" t="n">
        <f aca="false">SUM(C35:C37)</f>
        <v>51</v>
      </c>
      <c r="D39" s="19"/>
      <c r="E39" s="19"/>
      <c r="F39" s="76" t="s">
        <v>792</v>
      </c>
      <c r="G39" s="71" t="n">
        <f aca="false">SUM(G35:G37)</f>
        <v>393</v>
      </c>
      <c r="H39" s="19"/>
      <c r="I39" s="83" t="n">
        <f aca="false">IF($G$49&lt;&gt;0,G39/$G$49,"")</f>
        <v>0.254368932038835</v>
      </c>
      <c r="J39" s="19"/>
      <c r="K39" s="19"/>
      <c r="L39" s="74"/>
      <c r="M39" s="19"/>
      <c r="N39" s="19"/>
      <c r="O39" s="19"/>
    </row>
    <row r="40" customFormat="false" ht="6" hidden="false" customHeight="true" outlineLevel="0" collapsed="false">
      <c r="A40" s="79"/>
      <c r="B40" s="71"/>
      <c r="C40" s="71"/>
      <c r="D40" s="71"/>
      <c r="E40" s="71"/>
      <c r="F40" s="71"/>
      <c r="G40" s="71"/>
      <c r="H40" s="71"/>
      <c r="I40" s="71"/>
      <c r="J40" s="71"/>
      <c r="K40" s="71"/>
      <c r="L40" s="80"/>
      <c r="M40" s="19"/>
      <c r="N40" s="19"/>
      <c r="O40" s="19"/>
    </row>
    <row r="41" customFormat="false" ht="12" hidden="false" customHeight="true" outlineLevel="0" collapsed="false">
      <c r="A41" s="67"/>
      <c r="B41" s="68"/>
      <c r="C41" s="19"/>
      <c r="D41" s="68"/>
      <c r="E41" s="68"/>
      <c r="F41" s="68"/>
      <c r="G41" s="19"/>
      <c r="H41" s="68"/>
      <c r="I41" s="68"/>
      <c r="J41" s="68"/>
      <c r="K41" s="68"/>
      <c r="L41" s="69"/>
      <c r="M41" s="19"/>
      <c r="N41" s="19"/>
      <c r="O41" s="19"/>
    </row>
    <row r="42" customFormat="false" ht="12" hidden="false" customHeight="true" outlineLevel="0" collapsed="false">
      <c r="A42" s="70"/>
      <c r="B42" s="19" t="s">
        <v>59</v>
      </c>
      <c r="C42" s="71" t="n">
        <f aca="false">COUNTIF(CF,"AIEL")</f>
        <v>6</v>
      </c>
      <c r="D42" s="19"/>
      <c r="E42" s="19" t="s">
        <v>786</v>
      </c>
      <c r="F42" s="19" t="s">
        <v>793</v>
      </c>
      <c r="G42" s="71" t="n">
        <f aca="false">C42*5</f>
        <v>30</v>
      </c>
      <c r="H42" s="19"/>
      <c r="I42" s="19"/>
      <c r="J42" s="19"/>
      <c r="K42" s="19"/>
      <c r="L42" s="74"/>
      <c r="M42" s="19"/>
      <c r="N42" s="19"/>
      <c r="O42" s="19"/>
    </row>
    <row r="43" customFormat="false" ht="12" hidden="false" customHeight="true" outlineLevel="0" collapsed="false">
      <c r="A43" s="70"/>
      <c r="B43" s="19"/>
      <c r="C43" s="71" t="n">
        <f aca="false">COUNTIF(CF,"AIEA")</f>
        <v>0</v>
      </c>
      <c r="D43" s="19"/>
      <c r="E43" s="19" t="s">
        <v>788</v>
      </c>
      <c r="F43" s="19" t="s">
        <v>794</v>
      </c>
      <c r="G43" s="71" t="n">
        <f aca="false">C43*7</f>
        <v>0</v>
      </c>
      <c r="H43" s="19"/>
      <c r="I43" s="19"/>
      <c r="J43" s="19"/>
      <c r="K43" s="19"/>
      <c r="L43" s="74"/>
      <c r="M43" s="19"/>
      <c r="N43" s="19"/>
      <c r="O43" s="19"/>
    </row>
    <row r="44" customFormat="false" ht="12" hidden="false" customHeight="true" outlineLevel="0" collapsed="false">
      <c r="A44" s="70"/>
      <c r="B44" s="19"/>
      <c r="C44" s="71" t="n">
        <f aca="false">COUNTIF(CF,"AIEH")</f>
        <v>0</v>
      </c>
      <c r="D44" s="19"/>
      <c r="E44" s="19" t="s">
        <v>790</v>
      </c>
      <c r="F44" s="19" t="s">
        <v>795</v>
      </c>
      <c r="G44" s="71" t="n">
        <f aca="false">C44*10</f>
        <v>0</v>
      </c>
      <c r="H44" s="19"/>
      <c r="I44" s="19"/>
      <c r="J44" s="19"/>
      <c r="K44" s="19"/>
      <c r="L44" s="75"/>
      <c r="M44" s="19"/>
      <c r="N44" s="19"/>
      <c r="O44" s="19"/>
    </row>
    <row r="45" customFormat="false" ht="6.75" hidden="false" customHeight="true" outlineLevel="0" collapsed="false">
      <c r="A45" s="70"/>
      <c r="B45" s="19"/>
      <c r="C45" s="68"/>
      <c r="D45" s="19"/>
      <c r="E45" s="19"/>
      <c r="F45" s="19"/>
      <c r="G45" s="68"/>
      <c r="H45" s="19"/>
      <c r="I45" s="19"/>
      <c r="J45" s="19"/>
      <c r="K45" s="19"/>
      <c r="L45" s="74"/>
      <c r="M45" s="19"/>
      <c r="N45" s="19"/>
      <c r="O45" s="19"/>
    </row>
    <row r="46" customFormat="false" ht="12" hidden="false" customHeight="true" outlineLevel="0" collapsed="false">
      <c r="A46" s="70"/>
      <c r="B46" s="76" t="s">
        <v>792</v>
      </c>
      <c r="C46" s="71" t="n">
        <f aca="false">SUM(C42:C44)</f>
        <v>6</v>
      </c>
      <c r="D46" s="19"/>
      <c r="E46" s="19"/>
      <c r="F46" s="76" t="s">
        <v>792</v>
      </c>
      <c r="G46" s="71" t="n">
        <f aca="false">SUM(G42:G44)</f>
        <v>30</v>
      </c>
      <c r="H46" s="19"/>
      <c r="I46" s="84" t="n">
        <f aca="false">IF($G$49&lt;&gt;0,G46/$G$49,"")</f>
        <v>0.0194174757281553</v>
      </c>
      <c r="J46" s="19"/>
      <c r="K46" s="19"/>
      <c r="L46" s="74"/>
      <c r="M46" s="19"/>
      <c r="N46" s="19"/>
      <c r="O46" s="19"/>
    </row>
    <row r="47" customFormat="false" ht="6" hidden="false" customHeight="true" outlineLevel="0" collapsed="false">
      <c r="A47" s="79"/>
      <c r="B47" s="71"/>
      <c r="C47" s="71"/>
      <c r="D47" s="71"/>
      <c r="E47" s="71"/>
      <c r="F47" s="71"/>
      <c r="G47" s="71"/>
      <c r="H47" s="71"/>
      <c r="I47" s="71"/>
      <c r="J47" s="71"/>
      <c r="K47" s="71"/>
      <c r="L47" s="80"/>
      <c r="M47" s="19"/>
      <c r="N47" s="19"/>
      <c r="O47" s="19"/>
    </row>
    <row r="48" customFormat="false" ht="12" hidden="false" customHeight="true" outlineLevel="0" collapsed="false">
      <c r="A48" s="70"/>
      <c r="B48" s="19"/>
      <c r="C48" s="19"/>
      <c r="D48" s="19"/>
      <c r="E48" s="19"/>
      <c r="F48" s="19"/>
      <c r="G48" s="19"/>
      <c r="H48" s="19"/>
      <c r="I48" s="19"/>
      <c r="J48" s="19"/>
      <c r="K48" s="19"/>
      <c r="L48" s="74"/>
      <c r="M48" s="19"/>
      <c r="N48" s="19"/>
      <c r="O48" s="19"/>
    </row>
    <row r="49" customFormat="false" ht="12" hidden="false" customHeight="true" outlineLevel="0" collapsed="false">
      <c r="A49" s="70"/>
      <c r="B49" s="19" t="s">
        <v>797</v>
      </c>
      <c r="C49" s="19"/>
      <c r="D49" s="19"/>
      <c r="E49" s="19"/>
      <c r="F49" s="19"/>
      <c r="G49" s="71" t="n">
        <f aca="false">SUM(G18+G25+G32+G39+G46)</f>
        <v>1545</v>
      </c>
      <c r="H49" s="19"/>
      <c r="I49" s="19"/>
      <c r="J49" s="19"/>
      <c r="K49" s="19"/>
      <c r="L49" s="74"/>
      <c r="M49" s="19"/>
      <c r="N49" s="19"/>
      <c r="O49" s="19"/>
    </row>
    <row r="50" customFormat="false" ht="12" hidden="false" customHeight="true" outlineLevel="0" collapsed="false">
      <c r="A50" s="70"/>
      <c r="B50" s="19" t="s">
        <v>798</v>
      </c>
      <c r="C50" s="19"/>
      <c r="D50" s="19"/>
      <c r="E50" s="19"/>
      <c r="F50" s="19"/>
      <c r="G50" s="71" t="n">
        <f aca="false">(C14+C15+C16)*4+(C21+C22+C23)*5+(C28+C29+C30)*4+(C35+C36+C37)*7+(C42+C43+C44)*5</f>
        <v>1527</v>
      </c>
      <c r="H50" s="19"/>
      <c r="I50" s="19"/>
      <c r="J50" s="19"/>
      <c r="K50" s="19"/>
      <c r="L50" s="74"/>
      <c r="M50" s="19"/>
      <c r="N50" s="19"/>
      <c r="O50" s="19"/>
    </row>
    <row r="51" customFormat="false" ht="12" hidden="false" customHeight="true" outlineLevel="0" collapsed="false">
      <c r="A51" s="70"/>
      <c r="B51" s="19" t="s">
        <v>799</v>
      </c>
      <c r="C51" s="19"/>
      <c r="D51" s="19"/>
      <c r="E51" s="19"/>
      <c r="F51" s="19"/>
      <c r="G51" s="71" t="n">
        <f aca="false">(C35+C36+C37)*35+(C42+C43+C44)*15</f>
        <v>1875</v>
      </c>
      <c r="H51" s="19"/>
      <c r="I51" s="19"/>
      <c r="J51" s="19"/>
      <c r="K51" s="19"/>
      <c r="L51" s="74"/>
      <c r="M51" s="19"/>
      <c r="N51" s="19"/>
      <c r="O51" s="19"/>
    </row>
    <row r="52" customFormat="false" ht="12" hidden="false" customHeight="true" outlineLevel="0" collapsed="false">
      <c r="A52" s="70"/>
      <c r="B52" s="19"/>
      <c r="C52" s="19"/>
      <c r="D52" s="19"/>
      <c r="E52" s="19"/>
      <c r="F52" s="19"/>
      <c r="G52" s="19"/>
      <c r="H52" s="19"/>
      <c r="I52" s="19"/>
      <c r="J52" s="19"/>
      <c r="K52" s="19"/>
      <c r="L52" s="74"/>
      <c r="M52" s="19"/>
      <c r="N52" s="19"/>
      <c r="O52" s="19"/>
    </row>
    <row r="53" customFormat="false" ht="12" hidden="false" customHeight="true" outlineLevel="0" collapsed="false">
      <c r="A53" s="70"/>
      <c r="B53" s="19"/>
      <c r="C53" s="19"/>
      <c r="D53" s="19"/>
      <c r="E53" s="19"/>
      <c r="F53" s="19"/>
      <c r="G53" s="19"/>
      <c r="H53" s="19"/>
      <c r="I53" s="19"/>
      <c r="J53" s="19"/>
      <c r="K53" s="19"/>
      <c r="L53" s="74"/>
      <c r="M53" s="19"/>
      <c r="N53" s="19"/>
      <c r="O53" s="19"/>
    </row>
    <row r="54" customFormat="false" ht="12" hidden="false" customHeight="true" outlineLevel="0" collapsed="false">
      <c r="A54" s="70"/>
      <c r="B54" s="19"/>
      <c r="C54" s="19"/>
      <c r="D54" s="19"/>
      <c r="E54" s="19"/>
      <c r="F54" s="19"/>
      <c r="G54" s="19"/>
      <c r="H54" s="19"/>
      <c r="I54" s="19"/>
      <c r="J54" s="19"/>
      <c r="K54" s="19"/>
      <c r="L54" s="74"/>
      <c r="M54" s="19"/>
      <c r="N54" s="19"/>
      <c r="O54" s="19"/>
    </row>
    <row r="55" customFormat="false" ht="12" hidden="false" customHeight="true" outlineLevel="0" collapsed="false">
      <c r="A55" s="70"/>
      <c r="B55" s="19" t="s">
        <v>800</v>
      </c>
      <c r="C55" s="19"/>
      <c r="D55" s="19"/>
      <c r="E55" s="19"/>
      <c r="F55" s="19"/>
      <c r="G55" s="19"/>
      <c r="H55" s="19"/>
      <c r="I55" s="19"/>
      <c r="J55" s="19"/>
      <c r="K55" s="19"/>
      <c r="L55" s="74"/>
      <c r="M55" s="19"/>
      <c r="N55" s="19"/>
      <c r="O55" s="19"/>
    </row>
    <row r="56" customFormat="false" ht="12" hidden="false" customHeight="true" outlineLevel="0" collapsed="false">
      <c r="A56" s="70"/>
      <c r="B56" s="19"/>
      <c r="C56" s="19"/>
      <c r="D56" s="19"/>
      <c r="E56" s="85" t="s">
        <v>801</v>
      </c>
      <c r="F56" s="85" t="s">
        <v>802</v>
      </c>
      <c r="G56" s="85" t="s">
        <v>803</v>
      </c>
      <c r="H56" s="19"/>
      <c r="I56" s="19"/>
      <c r="J56" s="19"/>
      <c r="K56" s="19"/>
      <c r="L56" s="74"/>
      <c r="M56" s="19"/>
      <c r="N56" s="19"/>
      <c r="O56" s="19"/>
    </row>
    <row r="57" customFormat="false" ht="12" hidden="false" customHeight="true" outlineLevel="0" collapsed="false">
      <c r="A57" s="70"/>
      <c r="B57" s="86" t="s">
        <v>804</v>
      </c>
      <c r="C57" s="86"/>
      <c r="D57" s="86"/>
      <c r="E57" s="87" t="n">
        <f aca="false">SUMIF(Funções!$I$12:$I$845,"I",Funções!$O$12:$O$845)</f>
        <v>1545</v>
      </c>
      <c r="F57" s="87" t="n">
        <f aca="false">Contagem!W15</f>
        <v>1</v>
      </c>
      <c r="G57" s="87" t="n">
        <f aca="false">F57*E57</f>
        <v>1545</v>
      </c>
      <c r="H57" s="88"/>
      <c r="I57" s="88"/>
      <c r="J57" s="88"/>
      <c r="K57" s="2"/>
      <c r="L57" s="74"/>
      <c r="M57" s="19"/>
      <c r="N57" s="19"/>
      <c r="O57" s="19"/>
    </row>
    <row r="58" customFormat="false" ht="12" hidden="false" customHeight="true" outlineLevel="0" collapsed="false">
      <c r="A58" s="70"/>
      <c r="B58" s="86" t="s">
        <v>805</v>
      </c>
      <c r="C58" s="86"/>
      <c r="D58" s="86"/>
      <c r="E58" s="87" t="n">
        <f aca="false">SUMIF(Funções!$I$12:$I$845,"A",Funções!$O$12:$O$845)</f>
        <v>0</v>
      </c>
      <c r="F58" s="87" t="n">
        <f aca="false">Contagem!W16</f>
        <v>0.8</v>
      </c>
      <c r="G58" s="87" t="n">
        <f aca="false">F58*E58</f>
        <v>0</v>
      </c>
      <c r="H58" s="88"/>
      <c r="I58" s="88"/>
      <c r="J58" s="88"/>
      <c r="K58" s="22" t="s">
        <v>806</v>
      </c>
      <c r="L58" s="74"/>
      <c r="M58" s="19"/>
      <c r="N58" s="19"/>
      <c r="O58" s="19"/>
    </row>
    <row r="59" customFormat="false" ht="12" hidden="false" customHeight="true" outlineLevel="0" collapsed="false">
      <c r="A59" s="70"/>
      <c r="B59" s="86" t="s">
        <v>807</v>
      </c>
      <c r="C59" s="86"/>
      <c r="D59" s="86"/>
      <c r="E59" s="87" t="n">
        <f aca="false">SUMIF(Funções!$I$12:$I$845,"E",Funções!$O$12:$O$845)</f>
        <v>0</v>
      </c>
      <c r="F59" s="87" t="n">
        <f aca="false">Contagem!W17</f>
        <v>1</v>
      </c>
      <c r="G59" s="87" t="n">
        <f aca="false">F59*E59</f>
        <v>0</v>
      </c>
      <c r="H59" s="88"/>
      <c r="I59" s="88"/>
      <c r="J59" s="88"/>
      <c r="K59" s="89" t="n">
        <f aca="false">Contagem!Y8</f>
        <v>1545</v>
      </c>
      <c r="L59" s="74"/>
      <c r="M59" s="19"/>
      <c r="N59" s="19"/>
      <c r="O59" s="19"/>
    </row>
    <row r="60" customFormat="false" ht="12" hidden="false" customHeight="true" outlineLevel="0" collapsed="false">
      <c r="A60" s="70"/>
      <c r="B60" s="86" t="s">
        <v>808</v>
      </c>
      <c r="C60" s="86"/>
      <c r="D60" s="86"/>
      <c r="E60" s="87" t="n">
        <f aca="false">SUMIF(Funções!$I$12:$I$845,"C",Funções!$O$12:$O$845)</f>
        <v>0</v>
      </c>
      <c r="F60" s="87" t="n">
        <f aca="false">Contagem!W18</f>
        <v>1</v>
      </c>
      <c r="G60" s="87" t="n">
        <f aca="false">F60*E60</f>
        <v>0</v>
      </c>
      <c r="H60" s="88"/>
      <c r="I60" s="88"/>
      <c r="J60" s="88"/>
      <c r="K60" s="19"/>
      <c r="L60" s="74"/>
      <c r="M60" s="19"/>
      <c r="N60" s="19"/>
      <c r="O60" s="19"/>
    </row>
    <row r="61" customFormat="false" ht="12" hidden="false" customHeight="true" outlineLevel="0" collapsed="false">
      <c r="A61" s="19"/>
      <c r="B61" s="19"/>
      <c r="C61" s="19"/>
      <c r="D61" s="19"/>
      <c r="E61" s="19"/>
      <c r="F61" s="19"/>
      <c r="G61" s="19"/>
      <c r="H61" s="19"/>
      <c r="I61" s="19"/>
      <c r="J61" s="19"/>
      <c r="K61" s="19"/>
      <c r="L61" s="19"/>
      <c r="M61" s="19"/>
      <c r="N61" s="19"/>
      <c r="O61" s="19"/>
    </row>
    <row r="62" customFormat="false" ht="12" hidden="false" customHeight="true" outlineLevel="0" collapsed="false">
      <c r="A62" s="19"/>
      <c r="B62" s="19"/>
      <c r="C62" s="19"/>
      <c r="D62" s="19"/>
      <c r="E62" s="19"/>
      <c r="F62" s="19"/>
      <c r="G62" s="19"/>
      <c r="H62" s="19"/>
      <c r="I62" s="19"/>
      <c r="J62" s="19"/>
      <c r="K62" s="19"/>
      <c r="L62" s="19"/>
      <c r="M62" s="19"/>
      <c r="N62" s="19"/>
      <c r="O62" s="19"/>
    </row>
    <row r="63" customFormat="false" ht="12" hidden="false" customHeight="true" outlineLevel="0" collapsed="false">
      <c r="A63" s="19"/>
      <c r="B63" s="19"/>
      <c r="C63" s="19"/>
      <c r="D63" s="19"/>
      <c r="E63" s="19"/>
      <c r="F63" s="19"/>
      <c r="G63" s="19"/>
      <c r="H63" s="19"/>
      <c r="I63" s="19"/>
      <c r="J63" s="19"/>
      <c r="K63" s="19"/>
      <c r="L63" s="19"/>
      <c r="M63" s="19"/>
      <c r="N63" s="19"/>
      <c r="O63" s="19"/>
    </row>
    <row r="64" customFormat="false" ht="12" hidden="false" customHeight="true" outlineLevel="0" collapsed="false">
      <c r="A64" s="19"/>
      <c r="B64" s="19"/>
      <c r="C64" s="19"/>
      <c r="D64" s="19"/>
      <c r="E64" s="19"/>
      <c r="F64" s="19"/>
      <c r="G64" s="19"/>
      <c r="H64" s="19"/>
      <c r="I64" s="19"/>
      <c r="J64" s="19"/>
      <c r="K64" s="19"/>
      <c r="L64" s="19"/>
      <c r="M64" s="19"/>
      <c r="N64" s="19"/>
      <c r="O64" s="19"/>
    </row>
    <row r="65" customFormat="false" ht="12" hidden="false" customHeight="true" outlineLevel="0" collapsed="false">
      <c r="A65" s="19"/>
      <c r="B65" s="19"/>
      <c r="C65" s="19"/>
      <c r="D65" s="19"/>
      <c r="E65" s="19"/>
      <c r="F65" s="19"/>
      <c r="G65" s="19"/>
      <c r="H65" s="19"/>
      <c r="I65" s="19"/>
      <c r="J65" s="19"/>
      <c r="K65" s="19"/>
      <c r="L65" s="19"/>
      <c r="M65" s="19"/>
      <c r="N65" s="19"/>
      <c r="O65" s="19"/>
    </row>
    <row r="66" customFormat="false" ht="12" hidden="false" customHeight="true" outlineLevel="0" collapsed="false">
      <c r="A66" s="19"/>
      <c r="B66" s="19"/>
      <c r="C66" s="19"/>
      <c r="D66" s="19"/>
      <c r="E66" s="19"/>
      <c r="F66" s="19"/>
      <c r="G66" s="19"/>
      <c r="H66" s="19"/>
      <c r="I66" s="19"/>
      <c r="J66" s="19"/>
      <c r="K66" s="19"/>
      <c r="L66" s="19"/>
      <c r="M66" s="19"/>
      <c r="N66" s="19"/>
      <c r="O66" s="19"/>
    </row>
    <row r="67" customFormat="false" ht="12" hidden="false" customHeight="true" outlineLevel="0" collapsed="false">
      <c r="A67" s="19"/>
      <c r="B67" s="19"/>
      <c r="C67" s="19"/>
      <c r="D67" s="19"/>
      <c r="E67" s="19"/>
      <c r="F67" s="19"/>
      <c r="G67" s="19"/>
      <c r="H67" s="19"/>
      <c r="I67" s="19"/>
      <c r="J67" s="19"/>
      <c r="K67" s="19"/>
      <c r="L67" s="19"/>
      <c r="M67" s="19"/>
      <c r="N67" s="19"/>
      <c r="O67" s="19"/>
    </row>
    <row r="68" customFormat="false" ht="12" hidden="false" customHeight="true" outlineLevel="0" collapsed="false">
      <c r="A68" s="19"/>
      <c r="B68" s="19"/>
      <c r="C68" s="19"/>
      <c r="D68" s="19"/>
      <c r="E68" s="19"/>
      <c r="F68" s="19"/>
      <c r="G68" s="19"/>
      <c r="H68" s="19"/>
      <c r="I68" s="19"/>
      <c r="J68" s="19"/>
      <c r="K68" s="19"/>
      <c r="L68" s="19"/>
      <c r="M68" s="19"/>
      <c r="N68" s="19"/>
      <c r="O68" s="19"/>
    </row>
    <row r="69" customFormat="false" ht="12" hidden="false" customHeight="true" outlineLevel="0" collapsed="false">
      <c r="A69" s="19"/>
      <c r="B69" s="19"/>
      <c r="C69" s="19"/>
      <c r="D69" s="19"/>
      <c r="E69" s="19"/>
      <c r="F69" s="19"/>
      <c r="G69" s="19"/>
      <c r="H69" s="19"/>
      <c r="I69" s="19"/>
      <c r="J69" s="19"/>
      <c r="K69" s="19"/>
      <c r="L69" s="19"/>
      <c r="M69" s="19"/>
      <c r="N69" s="19"/>
      <c r="O69" s="19"/>
    </row>
    <row r="70" customFormat="false" ht="12" hidden="false" customHeight="true" outlineLevel="0" collapsed="false">
      <c r="A70" s="19"/>
      <c r="B70" s="19"/>
      <c r="C70" s="19"/>
      <c r="D70" s="19"/>
      <c r="E70" s="19"/>
      <c r="F70" s="19"/>
      <c r="G70" s="19"/>
      <c r="H70" s="19"/>
      <c r="I70" s="19"/>
      <c r="J70" s="19"/>
      <c r="K70" s="19"/>
      <c r="L70" s="19"/>
      <c r="M70" s="19"/>
      <c r="N70" s="19"/>
      <c r="O70" s="19"/>
    </row>
    <row r="71" customFormat="false" ht="12" hidden="false" customHeight="true" outlineLevel="0" collapsed="false">
      <c r="A71" s="19"/>
      <c r="B71" s="19"/>
      <c r="C71" s="19"/>
      <c r="D71" s="19"/>
      <c r="E71" s="19"/>
      <c r="F71" s="19"/>
      <c r="G71" s="19"/>
      <c r="H71" s="19"/>
      <c r="I71" s="19"/>
      <c r="J71" s="19"/>
      <c r="K71" s="19"/>
      <c r="L71" s="19"/>
      <c r="M71" s="19"/>
      <c r="N71" s="19"/>
      <c r="O71" s="19"/>
    </row>
    <row r="72" customFormat="false" ht="12" hidden="false" customHeight="true" outlineLevel="0" collapsed="false">
      <c r="A72" s="19"/>
      <c r="B72" s="19"/>
      <c r="C72" s="19"/>
      <c r="D72" s="19"/>
      <c r="E72" s="19"/>
      <c r="F72" s="19"/>
      <c r="G72" s="19"/>
      <c r="H72" s="19"/>
      <c r="I72" s="19"/>
      <c r="J72" s="19"/>
      <c r="K72" s="19"/>
      <c r="L72" s="19"/>
      <c r="M72" s="19"/>
      <c r="N72" s="19"/>
      <c r="O72" s="19"/>
    </row>
    <row r="73" customFormat="false" ht="12" hidden="false" customHeight="true" outlineLevel="0" collapsed="false">
      <c r="A73" s="19"/>
      <c r="B73" s="19"/>
      <c r="C73" s="19"/>
      <c r="D73" s="19"/>
      <c r="E73" s="19"/>
      <c r="F73" s="19"/>
      <c r="G73" s="19"/>
      <c r="H73" s="19"/>
      <c r="I73" s="19"/>
      <c r="J73" s="19"/>
      <c r="K73" s="19"/>
      <c r="L73" s="19"/>
      <c r="M73" s="19"/>
      <c r="N73" s="19"/>
      <c r="O73" s="19"/>
    </row>
    <row r="74" customFormat="false" ht="12" hidden="false" customHeight="true" outlineLevel="0" collapsed="false">
      <c r="A74" s="19"/>
      <c r="B74" s="19"/>
      <c r="C74" s="19"/>
      <c r="D74" s="19"/>
      <c r="E74" s="19"/>
      <c r="F74" s="19"/>
      <c r="G74" s="19"/>
      <c r="H74" s="19"/>
      <c r="I74" s="19"/>
      <c r="J74" s="19"/>
      <c r="K74" s="19"/>
      <c r="L74" s="19"/>
      <c r="M74" s="19"/>
      <c r="N74" s="19"/>
      <c r="O74" s="19"/>
    </row>
    <row r="75" customFormat="false" ht="12" hidden="false" customHeight="true" outlineLevel="0" collapsed="false">
      <c r="A75" s="19"/>
      <c r="B75" s="19"/>
      <c r="C75" s="19"/>
      <c r="D75" s="19"/>
      <c r="E75" s="19"/>
      <c r="F75" s="19"/>
      <c r="G75" s="19"/>
      <c r="H75" s="19"/>
      <c r="I75" s="19"/>
      <c r="J75" s="19"/>
      <c r="K75" s="19"/>
      <c r="L75" s="19"/>
      <c r="M75" s="19"/>
      <c r="N75" s="19"/>
      <c r="O75" s="19"/>
    </row>
    <row r="76" customFormat="false" ht="12" hidden="false" customHeight="true" outlineLevel="0" collapsed="false">
      <c r="A76" s="19"/>
      <c r="B76" s="19"/>
      <c r="C76" s="19"/>
      <c r="D76" s="19"/>
      <c r="E76" s="19"/>
      <c r="F76" s="19"/>
      <c r="G76" s="19"/>
      <c r="H76" s="19"/>
      <c r="I76" s="19"/>
      <c r="J76" s="19"/>
      <c r="K76" s="19"/>
      <c r="L76" s="19"/>
      <c r="M76" s="19"/>
      <c r="N76" s="19"/>
      <c r="O76" s="19"/>
    </row>
    <row r="77" customFormat="false" ht="12" hidden="false" customHeight="true" outlineLevel="0" collapsed="false">
      <c r="A77" s="19"/>
      <c r="B77" s="19"/>
      <c r="C77" s="19"/>
      <c r="D77" s="19"/>
      <c r="E77" s="19"/>
      <c r="F77" s="19"/>
      <c r="G77" s="19"/>
      <c r="H77" s="19"/>
      <c r="I77" s="19"/>
      <c r="J77" s="19"/>
      <c r="K77" s="19"/>
      <c r="L77" s="19"/>
      <c r="M77" s="19"/>
      <c r="N77" s="19"/>
      <c r="O77" s="19"/>
    </row>
    <row r="78" customFormat="false" ht="12" hidden="false" customHeight="true" outlineLevel="0" collapsed="false">
      <c r="A78" s="19"/>
      <c r="B78" s="19"/>
      <c r="C78" s="19"/>
      <c r="D78" s="19"/>
      <c r="E78" s="19"/>
      <c r="F78" s="19"/>
      <c r="G78" s="19"/>
      <c r="H78" s="19"/>
      <c r="I78" s="19"/>
      <c r="J78" s="19"/>
      <c r="K78" s="19"/>
      <c r="L78" s="19"/>
      <c r="M78" s="19"/>
      <c r="N78" s="19"/>
      <c r="O78" s="19"/>
    </row>
    <row r="79" customFormat="false" ht="12" hidden="false" customHeight="true" outlineLevel="0" collapsed="false">
      <c r="A79" s="19"/>
      <c r="B79" s="19"/>
      <c r="C79" s="19"/>
      <c r="D79" s="19"/>
      <c r="E79" s="19"/>
      <c r="F79" s="19"/>
      <c r="G79" s="19"/>
      <c r="H79" s="19"/>
      <c r="I79" s="19"/>
      <c r="J79" s="19"/>
      <c r="K79" s="19"/>
      <c r="L79" s="19"/>
      <c r="M79" s="19"/>
      <c r="N79" s="19"/>
      <c r="O79" s="19"/>
    </row>
    <row r="80" customFormat="false" ht="12" hidden="false" customHeight="true" outlineLevel="0" collapsed="false">
      <c r="A80" s="19"/>
      <c r="B80" s="19"/>
      <c r="C80" s="19"/>
      <c r="D80" s="19"/>
      <c r="E80" s="19"/>
      <c r="F80" s="19"/>
      <c r="G80" s="19"/>
      <c r="H80" s="19"/>
      <c r="I80" s="19"/>
      <c r="J80" s="19"/>
      <c r="K80" s="19"/>
      <c r="L80" s="19"/>
      <c r="M80" s="19"/>
      <c r="N80" s="19"/>
      <c r="O80" s="19"/>
    </row>
    <row r="81" customFormat="false" ht="12" hidden="false" customHeight="true" outlineLevel="0" collapsed="false">
      <c r="A81" s="19"/>
      <c r="B81" s="19"/>
      <c r="C81" s="19"/>
      <c r="D81" s="19"/>
      <c r="E81" s="19"/>
      <c r="F81" s="19"/>
      <c r="G81" s="19"/>
      <c r="H81" s="19"/>
      <c r="I81" s="19"/>
      <c r="J81" s="19"/>
      <c r="K81" s="19"/>
      <c r="L81" s="19"/>
      <c r="M81" s="19"/>
      <c r="N81" s="19"/>
      <c r="O81" s="19"/>
    </row>
    <row r="82" customFormat="false" ht="12" hidden="false" customHeight="true" outlineLevel="0" collapsed="false">
      <c r="A82" s="19"/>
      <c r="B82" s="19"/>
      <c r="C82" s="19"/>
      <c r="D82" s="19"/>
      <c r="E82" s="19"/>
      <c r="F82" s="19"/>
      <c r="G82" s="19"/>
      <c r="H82" s="19"/>
      <c r="I82" s="19"/>
      <c r="J82" s="19"/>
      <c r="K82" s="19"/>
      <c r="L82" s="19"/>
      <c r="M82" s="19"/>
      <c r="N82" s="19"/>
      <c r="O82" s="19"/>
    </row>
    <row r="83" customFormat="false" ht="12" hidden="false" customHeight="true" outlineLevel="0" collapsed="false">
      <c r="A83" s="19"/>
      <c r="B83" s="19"/>
      <c r="C83" s="19"/>
      <c r="D83" s="19"/>
      <c r="E83" s="19"/>
      <c r="F83" s="19"/>
      <c r="G83" s="19"/>
      <c r="H83" s="19"/>
      <c r="I83" s="19"/>
      <c r="J83" s="19"/>
      <c r="K83" s="19"/>
      <c r="L83" s="19"/>
      <c r="M83" s="19"/>
      <c r="N83" s="19"/>
      <c r="O83" s="19"/>
    </row>
    <row r="84" customFormat="false" ht="12" hidden="false" customHeight="true" outlineLevel="0" collapsed="false">
      <c r="A84" s="19"/>
      <c r="B84" s="19"/>
      <c r="C84" s="19"/>
      <c r="D84" s="19"/>
      <c r="E84" s="19"/>
      <c r="F84" s="19"/>
      <c r="G84" s="19"/>
      <c r="H84" s="19"/>
      <c r="I84" s="19"/>
      <c r="J84" s="19"/>
      <c r="K84" s="19"/>
      <c r="L84" s="19"/>
      <c r="M84" s="19"/>
      <c r="N84" s="19"/>
      <c r="O84" s="19"/>
    </row>
    <row r="85" customFormat="false" ht="12" hidden="false" customHeight="true" outlineLevel="0" collapsed="false">
      <c r="A85" s="19"/>
      <c r="B85" s="19"/>
      <c r="C85" s="19"/>
      <c r="D85" s="19"/>
      <c r="E85" s="19"/>
      <c r="F85" s="19"/>
      <c r="G85" s="19"/>
      <c r="H85" s="19"/>
      <c r="I85" s="19"/>
      <c r="J85" s="19"/>
      <c r="K85" s="19"/>
      <c r="L85" s="19"/>
      <c r="M85" s="19"/>
      <c r="N85" s="19"/>
      <c r="O85" s="19"/>
    </row>
    <row r="86" customFormat="false" ht="12" hidden="false" customHeight="true" outlineLevel="0" collapsed="false">
      <c r="A86" s="19"/>
      <c r="B86" s="19"/>
      <c r="C86" s="19"/>
      <c r="D86" s="19"/>
      <c r="E86" s="19"/>
      <c r="F86" s="19"/>
      <c r="G86" s="19"/>
      <c r="H86" s="19"/>
      <c r="I86" s="19"/>
      <c r="J86" s="19"/>
      <c r="K86" s="19"/>
      <c r="L86" s="19"/>
      <c r="M86" s="19"/>
      <c r="N86" s="19"/>
      <c r="O86" s="19"/>
    </row>
    <row r="87" customFormat="false" ht="12" hidden="false" customHeight="true" outlineLevel="0" collapsed="false">
      <c r="A87" s="19"/>
      <c r="B87" s="19"/>
      <c r="C87" s="19"/>
      <c r="D87" s="19"/>
      <c r="E87" s="19"/>
      <c r="F87" s="19"/>
      <c r="G87" s="19"/>
      <c r="H87" s="19"/>
      <c r="I87" s="19"/>
      <c r="J87" s="19"/>
      <c r="K87" s="19"/>
      <c r="L87" s="19"/>
      <c r="M87" s="19"/>
      <c r="N87" s="19"/>
      <c r="O87" s="19"/>
    </row>
    <row r="88" customFormat="false" ht="12" hidden="false" customHeight="true" outlineLevel="0" collapsed="false">
      <c r="A88" s="19"/>
      <c r="B88" s="19"/>
      <c r="C88" s="19"/>
      <c r="D88" s="19"/>
      <c r="E88" s="19"/>
      <c r="F88" s="19"/>
      <c r="G88" s="19"/>
      <c r="H88" s="19"/>
      <c r="I88" s="19"/>
      <c r="J88" s="19"/>
      <c r="K88" s="19"/>
      <c r="L88" s="19"/>
      <c r="M88" s="19"/>
      <c r="N88" s="19"/>
      <c r="O88" s="19"/>
    </row>
    <row r="89" customFormat="false" ht="12" hidden="false" customHeight="true" outlineLevel="0" collapsed="false">
      <c r="A89" s="19"/>
      <c r="B89" s="19"/>
      <c r="C89" s="19"/>
      <c r="D89" s="19"/>
      <c r="E89" s="19"/>
      <c r="F89" s="19"/>
      <c r="G89" s="19"/>
      <c r="H89" s="19"/>
      <c r="I89" s="19"/>
      <c r="J89" s="19"/>
      <c r="K89" s="19"/>
      <c r="L89" s="19"/>
      <c r="M89" s="19"/>
      <c r="N89" s="19"/>
      <c r="O89" s="19"/>
    </row>
    <row r="90" customFormat="false" ht="12" hidden="false" customHeight="true" outlineLevel="0" collapsed="false">
      <c r="A90" s="19"/>
      <c r="B90" s="19"/>
      <c r="C90" s="19"/>
      <c r="D90" s="19"/>
      <c r="E90" s="19"/>
      <c r="F90" s="19"/>
      <c r="G90" s="19"/>
      <c r="H90" s="19"/>
      <c r="I90" s="19"/>
      <c r="J90" s="19"/>
      <c r="K90" s="19"/>
      <c r="L90" s="19"/>
      <c r="M90" s="19"/>
      <c r="N90" s="19"/>
      <c r="O90" s="19"/>
    </row>
    <row r="91" customFormat="false" ht="12" hidden="false" customHeight="true" outlineLevel="0" collapsed="false">
      <c r="A91" s="19"/>
      <c r="B91" s="19"/>
      <c r="C91" s="19"/>
      <c r="D91" s="19"/>
      <c r="E91" s="19"/>
      <c r="F91" s="19"/>
      <c r="G91" s="19"/>
      <c r="H91" s="19"/>
      <c r="I91" s="19"/>
      <c r="J91" s="19"/>
      <c r="K91" s="19"/>
      <c r="L91" s="19"/>
      <c r="M91" s="19"/>
      <c r="N91" s="19"/>
      <c r="O91" s="19"/>
    </row>
    <row r="92" customFormat="false" ht="12" hidden="false" customHeight="true" outlineLevel="0" collapsed="false">
      <c r="A92" s="19"/>
      <c r="B92" s="19"/>
      <c r="C92" s="19"/>
      <c r="D92" s="19"/>
      <c r="E92" s="19"/>
      <c r="F92" s="19"/>
      <c r="G92" s="19"/>
      <c r="H92" s="19"/>
      <c r="I92" s="19"/>
      <c r="J92" s="19"/>
      <c r="K92" s="19"/>
      <c r="L92" s="19"/>
      <c r="M92" s="19"/>
      <c r="N92" s="19"/>
      <c r="O92" s="19"/>
    </row>
    <row r="93" customFormat="false" ht="12" hidden="false" customHeight="true" outlineLevel="0" collapsed="false">
      <c r="A93" s="19"/>
      <c r="B93" s="19"/>
      <c r="C93" s="19"/>
      <c r="D93" s="19"/>
      <c r="E93" s="19"/>
      <c r="F93" s="19"/>
      <c r="G93" s="19"/>
      <c r="H93" s="19"/>
      <c r="I93" s="19"/>
      <c r="J93" s="19"/>
      <c r="K93" s="19"/>
      <c r="L93" s="19"/>
      <c r="M93" s="19"/>
      <c r="N93" s="19"/>
      <c r="O93" s="19"/>
    </row>
    <row r="94" customFormat="false" ht="12" hidden="false" customHeight="true" outlineLevel="0" collapsed="false">
      <c r="A94" s="19"/>
      <c r="B94" s="19"/>
      <c r="C94" s="19"/>
      <c r="D94" s="19"/>
      <c r="E94" s="19"/>
      <c r="F94" s="19"/>
      <c r="G94" s="19"/>
      <c r="H94" s="19"/>
      <c r="I94" s="19"/>
      <c r="J94" s="19"/>
      <c r="K94" s="19"/>
      <c r="L94" s="19"/>
      <c r="M94" s="19"/>
      <c r="N94" s="19"/>
      <c r="O94" s="19"/>
    </row>
    <row r="95" customFormat="false" ht="12" hidden="false" customHeight="true" outlineLevel="0" collapsed="false">
      <c r="A95" s="19"/>
      <c r="B95" s="19"/>
      <c r="C95" s="19"/>
      <c r="D95" s="19"/>
      <c r="E95" s="19"/>
      <c r="F95" s="19"/>
      <c r="G95" s="19"/>
      <c r="H95" s="19"/>
      <c r="I95" s="19"/>
      <c r="J95" s="19"/>
      <c r="K95" s="19"/>
      <c r="L95" s="19"/>
      <c r="M95" s="19"/>
      <c r="N95" s="19"/>
      <c r="O95" s="19"/>
    </row>
    <row r="96" customFormat="false" ht="12" hidden="false" customHeight="true" outlineLevel="0" collapsed="false">
      <c r="A96" s="19"/>
      <c r="B96" s="19"/>
      <c r="C96" s="19"/>
      <c r="D96" s="19"/>
      <c r="E96" s="19"/>
      <c r="F96" s="19"/>
      <c r="G96" s="19"/>
      <c r="H96" s="19"/>
      <c r="I96" s="19"/>
      <c r="J96" s="19"/>
      <c r="K96" s="19"/>
      <c r="L96" s="19"/>
      <c r="M96" s="19"/>
      <c r="N96" s="19"/>
      <c r="O96" s="19"/>
    </row>
    <row r="97" customFormat="false" ht="12" hidden="false" customHeight="true" outlineLevel="0" collapsed="false">
      <c r="A97" s="19"/>
      <c r="B97" s="19"/>
      <c r="C97" s="19"/>
      <c r="D97" s="19"/>
      <c r="E97" s="19"/>
      <c r="F97" s="19"/>
      <c r="G97" s="19"/>
      <c r="H97" s="19"/>
      <c r="I97" s="19"/>
      <c r="J97" s="19"/>
      <c r="K97" s="19"/>
      <c r="L97" s="19"/>
      <c r="M97" s="19"/>
      <c r="N97" s="19"/>
      <c r="O97" s="19"/>
    </row>
    <row r="98" customFormat="false" ht="12" hidden="false" customHeight="true" outlineLevel="0" collapsed="false">
      <c r="A98" s="19"/>
      <c r="B98" s="19"/>
      <c r="C98" s="19"/>
      <c r="D98" s="19"/>
      <c r="E98" s="19"/>
      <c r="F98" s="19"/>
      <c r="G98" s="19"/>
      <c r="H98" s="19"/>
      <c r="I98" s="19"/>
      <c r="J98" s="19"/>
      <c r="K98" s="19"/>
      <c r="L98" s="19"/>
      <c r="M98" s="19"/>
      <c r="N98" s="19"/>
      <c r="O98" s="19"/>
    </row>
    <row r="99" customFormat="false" ht="12" hidden="false" customHeight="true" outlineLevel="0" collapsed="false">
      <c r="A99" s="19"/>
      <c r="B99" s="19"/>
      <c r="C99" s="19"/>
      <c r="D99" s="19"/>
      <c r="E99" s="19"/>
      <c r="F99" s="19"/>
      <c r="G99" s="19"/>
      <c r="H99" s="19"/>
      <c r="I99" s="19"/>
      <c r="J99" s="19"/>
      <c r="K99" s="19"/>
      <c r="L99" s="19"/>
      <c r="M99" s="19"/>
      <c r="N99" s="19"/>
      <c r="O99" s="19"/>
    </row>
    <row r="100" customFormat="false" ht="12" hidden="false" customHeight="true" outlineLevel="0" collapsed="false">
      <c r="A100" s="19"/>
      <c r="B100" s="19"/>
      <c r="C100" s="19"/>
      <c r="D100" s="19"/>
      <c r="E100" s="19"/>
      <c r="F100" s="19"/>
      <c r="G100" s="19"/>
      <c r="H100" s="19"/>
      <c r="I100" s="19"/>
      <c r="J100" s="19"/>
      <c r="K100" s="19"/>
      <c r="L100" s="19"/>
      <c r="M100" s="19"/>
      <c r="N100" s="19"/>
      <c r="O100" s="19"/>
    </row>
    <row r="101" customFormat="false" ht="15.75" hidden="false" customHeight="true" outlineLevel="0" collapsed="false">
      <c r="A101" s="2"/>
      <c r="B101" s="2"/>
      <c r="C101" s="2"/>
      <c r="D101" s="2"/>
      <c r="E101" s="2"/>
      <c r="F101" s="2"/>
      <c r="G101" s="2"/>
      <c r="H101" s="2"/>
      <c r="I101" s="2"/>
      <c r="J101" s="2"/>
      <c r="K101" s="2"/>
      <c r="L101" s="2"/>
      <c r="M101" s="2"/>
      <c r="N101" s="2"/>
      <c r="O101" s="2"/>
    </row>
    <row r="102" customFormat="false" ht="15.75" hidden="false" customHeight="true" outlineLevel="0" collapsed="false">
      <c r="A102" s="2"/>
      <c r="B102" s="2"/>
      <c r="C102" s="2"/>
      <c r="D102" s="2"/>
      <c r="E102" s="2"/>
      <c r="F102" s="2"/>
      <c r="G102" s="2"/>
      <c r="H102" s="2"/>
      <c r="I102" s="2"/>
      <c r="J102" s="2"/>
      <c r="K102" s="2"/>
      <c r="L102" s="2"/>
      <c r="M102" s="2"/>
      <c r="N102" s="2"/>
      <c r="O102" s="2"/>
    </row>
    <row r="103" customFormat="false" ht="15.75" hidden="false" customHeight="true" outlineLevel="0" collapsed="false">
      <c r="A103" s="2"/>
      <c r="B103" s="2"/>
      <c r="C103" s="2"/>
      <c r="D103" s="2"/>
      <c r="E103" s="2"/>
      <c r="F103" s="2"/>
      <c r="G103" s="2"/>
      <c r="H103" s="2"/>
      <c r="I103" s="2"/>
      <c r="J103" s="2"/>
      <c r="K103" s="2"/>
      <c r="L103" s="2"/>
      <c r="M103" s="2"/>
      <c r="N103" s="2"/>
      <c r="O103" s="2"/>
    </row>
    <row r="104" customFormat="false" ht="15.75" hidden="false" customHeight="true" outlineLevel="0" collapsed="false">
      <c r="A104" s="2"/>
      <c r="B104" s="2"/>
      <c r="C104" s="2"/>
      <c r="D104" s="2"/>
      <c r="E104" s="2"/>
      <c r="F104" s="2"/>
      <c r="G104" s="2"/>
      <c r="H104" s="2"/>
      <c r="I104" s="2"/>
      <c r="J104" s="2"/>
      <c r="K104" s="2"/>
      <c r="L104" s="2"/>
      <c r="M104" s="2"/>
      <c r="N104" s="2"/>
      <c r="O104" s="2"/>
    </row>
    <row r="105" customFormat="false" ht="15.75" hidden="false" customHeight="true" outlineLevel="0" collapsed="false">
      <c r="A105" s="2"/>
      <c r="B105" s="2"/>
      <c r="C105" s="2"/>
      <c r="D105" s="2"/>
      <c r="E105" s="2"/>
      <c r="F105" s="2"/>
      <c r="G105" s="2"/>
      <c r="H105" s="2"/>
      <c r="I105" s="2"/>
      <c r="J105" s="2"/>
      <c r="K105" s="2"/>
      <c r="L105" s="2"/>
      <c r="M105" s="2"/>
      <c r="N105" s="2"/>
      <c r="O105" s="2"/>
    </row>
    <row r="106" customFormat="false" ht="15.75" hidden="false" customHeight="true" outlineLevel="0" collapsed="false">
      <c r="A106" s="2"/>
      <c r="B106" s="2"/>
      <c r="C106" s="2"/>
      <c r="D106" s="2"/>
      <c r="E106" s="2"/>
      <c r="F106" s="2"/>
      <c r="G106" s="2"/>
      <c r="H106" s="2"/>
      <c r="I106" s="2"/>
      <c r="J106" s="2"/>
      <c r="K106" s="2"/>
      <c r="L106" s="2"/>
      <c r="M106" s="2"/>
      <c r="N106" s="2"/>
      <c r="O106" s="2"/>
    </row>
    <row r="107" customFormat="false" ht="15.75" hidden="false" customHeight="true" outlineLevel="0" collapsed="false">
      <c r="A107" s="2"/>
      <c r="B107" s="2"/>
      <c r="C107" s="2"/>
      <c r="D107" s="2"/>
      <c r="E107" s="2"/>
      <c r="F107" s="2"/>
      <c r="G107" s="2"/>
      <c r="H107" s="2"/>
      <c r="I107" s="2"/>
      <c r="J107" s="2"/>
      <c r="K107" s="2"/>
      <c r="L107" s="2"/>
      <c r="M107" s="2"/>
      <c r="N107" s="2"/>
      <c r="O107" s="2"/>
    </row>
    <row r="108" customFormat="false" ht="15.75" hidden="false" customHeight="true" outlineLevel="0" collapsed="false">
      <c r="A108" s="2"/>
      <c r="B108" s="2"/>
      <c r="C108" s="2"/>
      <c r="D108" s="2"/>
      <c r="E108" s="2"/>
      <c r="F108" s="2"/>
      <c r="G108" s="2"/>
      <c r="H108" s="2"/>
      <c r="I108" s="2"/>
      <c r="J108" s="2"/>
      <c r="K108" s="2"/>
      <c r="L108" s="2"/>
      <c r="M108" s="2"/>
      <c r="N108" s="2"/>
      <c r="O108" s="2"/>
    </row>
    <row r="109" customFormat="false" ht="15.75" hidden="false" customHeight="true" outlineLevel="0" collapsed="false">
      <c r="A109" s="2"/>
      <c r="B109" s="2"/>
      <c r="C109" s="2"/>
      <c r="D109" s="2"/>
      <c r="E109" s="2"/>
      <c r="F109" s="2"/>
      <c r="G109" s="2"/>
      <c r="H109" s="2"/>
      <c r="I109" s="2"/>
      <c r="J109" s="2"/>
      <c r="K109" s="2"/>
      <c r="L109" s="2"/>
      <c r="M109" s="2"/>
      <c r="N109" s="2"/>
      <c r="O109" s="2"/>
    </row>
    <row r="110" customFormat="false" ht="15.75" hidden="false" customHeight="true" outlineLevel="0" collapsed="false">
      <c r="A110" s="2"/>
      <c r="B110" s="2"/>
      <c r="C110" s="2"/>
      <c r="D110" s="2"/>
      <c r="E110" s="2"/>
      <c r="F110" s="2"/>
      <c r="G110" s="2"/>
      <c r="H110" s="2"/>
      <c r="I110" s="2"/>
      <c r="J110" s="2"/>
      <c r="K110" s="2"/>
      <c r="L110" s="2"/>
      <c r="M110" s="2"/>
      <c r="N110" s="2"/>
      <c r="O110" s="2"/>
    </row>
    <row r="111" customFormat="false" ht="15.75" hidden="false" customHeight="true" outlineLevel="0" collapsed="false">
      <c r="A111" s="2"/>
      <c r="B111" s="2"/>
      <c r="C111" s="2"/>
      <c r="D111" s="2"/>
      <c r="E111" s="2"/>
      <c r="F111" s="2"/>
      <c r="G111" s="2"/>
      <c r="H111" s="2"/>
      <c r="I111" s="2"/>
      <c r="J111" s="2"/>
      <c r="K111" s="2"/>
      <c r="L111" s="2"/>
      <c r="M111" s="2"/>
      <c r="N111" s="2"/>
      <c r="O111" s="2"/>
    </row>
    <row r="112" customFormat="false" ht="15.75" hidden="false" customHeight="true" outlineLevel="0" collapsed="false">
      <c r="A112" s="2"/>
      <c r="B112" s="2"/>
      <c r="C112" s="2"/>
      <c r="D112" s="2"/>
      <c r="E112" s="2"/>
      <c r="F112" s="2"/>
      <c r="G112" s="2"/>
      <c r="H112" s="2"/>
      <c r="I112" s="2"/>
      <c r="J112" s="2"/>
      <c r="K112" s="2"/>
      <c r="L112" s="2"/>
      <c r="M112" s="2"/>
      <c r="N112" s="2"/>
      <c r="O112" s="2"/>
    </row>
    <row r="113" customFormat="false" ht="15.75" hidden="false" customHeight="true" outlineLevel="0" collapsed="false">
      <c r="A113" s="2"/>
      <c r="B113" s="2"/>
      <c r="C113" s="2"/>
      <c r="D113" s="2"/>
      <c r="E113" s="2"/>
      <c r="F113" s="2"/>
      <c r="G113" s="2"/>
      <c r="H113" s="2"/>
      <c r="I113" s="2"/>
      <c r="J113" s="2"/>
      <c r="K113" s="2"/>
      <c r="L113" s="2"/>
      <c r="M113" s="2"/>
      <c r="N113" s="2"/>
      <c r="O113" s="2"/>
    </row>
    <row r="114" customFormat="false" ht="15.75" hidden="false" customHeight="true" outlineLevel="0" collapsed="false">
      <c r="A114" s="2"/>
      <c r="B114" s="2"/>
      <c r="C114" s="2"/>
      <c r="D114" s="2"/>
      <c r="E114" s="2"/>
      <c r="F114" s="2"/>
      <c r="G114" s="2"/>
      <c r="H114" s="2"/>
      <c r="I114" s="2"/>
      <c r="J114" s="2"/>
      <c r="K114" s="2"/>
      <c r="L114" s="2"/>
      <c r="M114" s="2"/>
      <c r="N114" s="2"/>
      <c r="O114" s="2"/>
    </row>
    <row r="115" customFormat="false" ht="15.75" hidden="false" customHeight="true" outlineLevel="0" collapsed="false">
      <c r="A115" s="2"/>
      <c r="B115" s="2"/>
      <c r="C115" s="2"/>
      <c r="D115" s="2"/>
      <c r="E115" s="2"/>
      <c r="F115" s="2"/>
      <c r="G115" s="2"/>
      <c r="H115" s="2"/>
      <c r="I115" s="2"/>
      <c r="J115" s="2"/>
      <c r="K115" s="2"/>
      <c r="L115" s="2"/>
      <c r="M115" s="2"/>
      <c r="N115" s="2"/>
      <c r="O115" s="2"/>
    </row>
    <row r="116" customFormat="false" ht="15.75" hidden="false" customHeight="true" outlineLevel="0" collapsed="false">
      <c r="A116" s="2"/>
      <c r="B116" s="2"/>
      <c r="C116" s="2"/>
      <c r="D116" s="2"/>
      <c r="E116" s="2"/>
      <c r="F116" s="2"/>
      <c r="G116" s="2"/>
      <c r="H116" s="2"/>
      <c r="I116" s="2"/>
      <c r="J116" s="2"/>
      <c r="K116" s="2"/>
      <c r="L116" s="2"/>
      <c r="M116" s="2"/>
      <c r="N116" s="2"/>
      <c r="O116" s="2"/>
    </row>
    <row r="117" customFormat="false" ht="15.75" hidden="false" customHeight="true" outlineLevel="0" collapsed="false">
      <c r="A117" s="2"/>
      <c r="B117" s="2"/>
      <c r="C117" s="2"/>
      <c r="D117" s="2"/>
      <c r="E117" s="2"/>
      <c r="F117" s="2"/>
      <c r="G117" s="2"/>
      <c r="H117" s="2"/>
      <c r="I117" s="2"/>
      <c r="J117" s="2"/>
      <c r="K117" s="2"/>
      <c r="L117" s="2"/>
      <c r="M117" s="2"/>
      <c r="N117" s="2"/>
      <c r="O117" s="2"/>
    </row>
    <row r="118" customFormat="false" ht="15.75" hidden="false" customHeight="true" outlineLevel="0" collapsed="false">
      <c r="A118" s="2"/>
      <c r="B118" s="2"/>
      <c r="C118" s="2"/>
      <c r="D118" s="2"/>
      <c r="E118" s="2"/>
      <c r="F118" s="2"/>
      <c r="G118" s="2"/>
      <c r="H118" s="2"/>
      <c r="I118" s="2"/>
      <c r="J118" s="2"/>
      <c r="K118" s="2"/>
      <c r="L118" s="2"/>
      <c r="M118" s="2"/>
      <c r="N118" s="2"/>
      <c r="O118" s="2"/>
    </row>
    <row r="119" customFormat="false" ht="15.75" hidden="false" customHeight="true" outlineLevel="0" collapsed="false">
      <c r="A119" s="2"/>
      <c r="B119" s="2"/>
      <c r="C119" s="2"/>
      <c r="D119" s="2"/>
      <c r="E119" s="2"/>
      <c r="F119" s="2"/>
      <c r="G119" s="2"/>
      <c r="H119" s="2"/>
      <c r="I119" s="2"/>
      <c r="J119" s="2"/>
      <c r="K119" s="2"/>
      <c r="L119" s="2"/>
      <c r="M119" s="2"/>
      <c r="N119" s="2"/>
      <c r="O119" s="2"/>
    </row>
    <row r="120" customFormat="false" ht="15.75" hidden="false" customHeight="true" outlineLevel="0" collapsed="false">
      <c r="A120" s="2"/>
      <c r="B120" s="2"/>
      <c r="C120" s="2"/>
      <c r="D120" s="2"/>
      <c r="E120" s="2"/>
      <c r="F120" s="2"/>
      <c r="G120" s="2"/>
      <c r="H120" s="2"/>
      <c r="I120" s="2"/>
      <c r="J120" s="2"/>
      <c r="K120" s="2"/>
      <c r="L120" s="2"/>
      <c r="M120" s="2"/>
      <c r="N120" s="2"/>
      <c r="O120" s="2"/>
    </row>
    <row r="121" customFormat="false" ht="15.75" hidden="false" customHeight="true" outlineLevel="0" collapsed="false">
      <c r="A121" s="2"/>
      <c r="B121" s="2"/>
      <c r="C121" s="2"/>
      <c r="D121" s="2"/>
      <c r="E121" s="2"/>
      <c r="F121" s="2"/>
      <c r="G121" s="2"/>
      <c r="H121" s="2"/>
      <c r="I121" s="2"/>
      <c r="J121" s="2"/>
      <c r="K121" s="2"/>
      <c r="L121" s="2"/>
      <c r="M121" s="2"/>
      <c r="N121" s="2"/>
      <c r="O121" s="2"/>
    </row>
    <row r="122" customFormat="false" ht="15.75" hidden="false" customHeight="true" outlineLevel="0" collapsed="false">
      <c r="A122" s="2"/>
      <c r="B122" s="2"/>
      <c r="C122" s="2"/>
      <c r="D122" s="2"/>
      <c r="E122" s="2"/>
      <c r="F122" s="2"/>
      <c r="G122" s="2"/>
      <c r="H122" s="2"/>
      <c r="I122" s="2"/>
      <c r="J122" s="2"/>
      <c r="K122" s="2"/>
      <c r="L122" s="2"/>
      <c r="M122" s="2"/>
      <c r="N122" s="2"/>
      <c r="O122" s="2"/>
    </row>
    <row r="123" customFormat="false" ht="15.75" hidden="false" customHeight="true" outlineLevel="0" collapsed="false">
      <c r="A123" s="2"/>
      <c r="B123" s="2"/>
      <c r="C123" s="2"/>
      <c r="D123" s="2"/>
      <c r="E123" s="2"/>
      <c r="F123" s="2"/>
      <c r="G123" s="2"/>
      <c r="H123" s="2"/>
      <c r="I123" s="2"/>
      <c r="J123" s="2"/>
      <c r="K123" s="2"/>
      <c r="L123" s="2"/>
      <c r="M123" s="2"/>
      <c r="N123" s="2"/>
      <c r="O123" s="2"/>
    </row>
    <row r="124" customFormat="false" ht="15.75" hidden="false" customHeight="true" outlineLevel="0" collapsed="false">
      <c r="A124" s="2"/>
      <c r="B124" s="2"/>
      <c r="C124" s="2"/>
      <c r="D124" s="2"/>
      <c r="E124" s="2"/>
      <c r="F124" s="2"/>
      <c r="G124" s="2"/>
      <c r="H124" s="2"/>
      <c r="I124" s="2"/>
      <c r="J124" s="2"/>
      <c r="K124" s="2"/>
      <c r="L124" s="2"/>
      <c r="M124" s="2"/>
      <c r="N124" s="2"/>
      <c r="O124" s="2"/>
    </row>
    <row r="125" customFormat="false" ht="15.75" hidden="false" customHeight="true" outlineLevel="0" collapsed="false">
      <c r="A125" s="2"/>
      <c r="B125" s="2"/>
      <c r="C125" s="2"/>
      <c r="D125" s="2"/>
      <c r="E125" s="2"/>
      <c r="F125" s="2"/>
      <c r="G125" s="2"/>
      <c r="H125" s="2"/>
      <c r="I125" s="2"/>
      <c r="J125" s="2"/>
      <c r="K125" s="2"/>
      <c r="L125" s="2"/>
      <c r="M125" s="2"/>
      <c r="N125" s="2"/>
      <c r="O125" s="2"/>
    </row>
    <row r="126" customFormat="false" ht="15.75" hidden="false" customHeight="true" outlineLevel="0" collapsed="false">
      <c r="A126" s="2"/>
      <c r="B126" s="2"/>
      <c r="C126" s="2"/>
      <c r="D126" s="2"/>
      <c r="E126" s="2"/>
      <c r="F126" s="2"/>
      <c r="G126" s="2"/>
      <c r="H126" s="2"/>
      <c r="I126" s="2"/>
      <c r="J126" s="2"/>
      <c r="K126" s="2"/>
      <c r="L126" s="2"/>
      <c r="M126" s="2"/>
      <c r="N126" s="2"/>
      <c r="O126" s="2"/>
    </row>
    <row r="127" customFormat="false" ht="15.75" hidden="false" customHeight="true" outlineLevel="0" collapsed="false">
      <c r="A127" s="2"/>
      <c r="B127" s="2"/>
      <c r="C127" s="2"/>
      <c r="D127" s="2"/>
      <c r="E127" s="2"/>
      <c r="F127" s="2"/>
      <c r="G127" s="2"/>
      <c r="H127" s="2"/>
      <c r="I127" s="2"/>
      <c r="J127" s="2"/>
      <c r="K127" s="2"/>
      <c r="L127" s="2"/>
      <c r="M127" s="2"/>
      <c r="N127" s="2"/>
      <c r="O127" s="2"/>
    </row>
    <row r="128" customFormat="false" ht="15.75" hidden="false" customHeight="true" outlineLevel="0" collapsed="false">
      <c r="A128" s="2"/>
      <c r="B128" s="2"/>
      <c r="C128" s="2"/>
      <c r="D128" s="2"/>
      <c r="E128" s="2"/>
      <c r="F128" s="2"/>
      <c r="G128" s="2"/>
      <c r="H128" s="2"/>
      <c r="I128" s="2"/>
      <c r="J128" s="2"/>
      <c r="K128" s="2"/>
      <c r="L128" s="2"/>
      <c r="M128" s="2"/>
      <c r="N128" s="2"/>
      <c r="O128" s="2"/>
    </row>
    <row r="129" customFormat="false" ht="15.75" hidden="false" customHeight="true" outlineLevel="0" collapsed="false">
      <c r="A129" s="2"/>
      <c r="B129" s="2"/>
      <c r="C129" s="2"/>
      <c r="D129" s="2"/>
      <c r="E129" s="2"/>
      <c r="F129" s="2"/>
      <c r="G129" s="2"/>
      <c r="H129" s="2"/>
      <c r="I129" s="2"/>
      <c r="J129" s="2"/>
      <c r="K129" s="2"/>
      <c r="L129" s="2"/>
      <c r="M129" s="2"/>
      <c r="N129" s="2"/>
      <c r="O129" s="2"/>
    </row>
    <row r="130" customFormat="false" ht="15.75" hidden="false" customHeight="true" outlineLevel="0" collapsed="false">
      <c r="A130" s="2"/>
      <c r="B130" s="2"/>
      <c r="C130" s="2"/>
      <c r="D130" s="2"/>
      <c r="E130" s="2"/>
      <c r="F130" s="2"/>
      <c r="G130" s="2"/>
      <c r="H130" s="2"/>
      <c r="I130" s="2"/>
      <c r="J130" s="2"/>
      <c r="K130" s="2"/>
      <c r="L130" s="2"/>
      <c r="M130" s="2"/>
      <c r="N130" s="2"/>
      <c r="O130" s="2"/>
    </row>
    <row r="131" customFormat="false" ht="15.75" hidden="false" customHeight="true" outlineLevel="0" collapsed="false">
      <c r="A131" s="2"/>
      <c r="B131" s="2"/>
      <c r="C131" s="2"/>
      <c r="D131" s="2"/>
      <c r="E131" s="2"/>
      <c r="F131" s="2"/>
      <c r="G131" s="2"/>
      <c r="H131" s="2"/>
      <c r="I131" s="2"/>
      <c r="J131" s="2"/>
      <c r="K131" s="2"/>
      <c r="L131" s="2"/>
      <c r="M131" s="2"/>
      <c r="N131" s="2"/>
      <c r="O131" s="2"/>
    </row>
    <row r="132" customFormat="false" ht="15.75" hidden="false" customHeight="true" outlineLevel="0" collapsed="false">
      <c r="A132" s="2"/>
      <c r="B132" s="2"/>
      <c r="C132" s="2"/>
      <c r="D132" s="2"/>
      <c r="E132" s="2"/>
      <c r="F132" s="2"/>
      <c r="G132" s="2"/>
      <c r="H132" s="2"/>
      <c r="I132" s="2"/>
      <c r="J132" s="2"/>
      <c r="K132" s="2"/>
      <c r="L132" s="2"/>
      <c r="M132" s="2"/>
      <c r="N132" s="2"/>
      <c r="O132" s="2"/>
    </row>
    <row r="133" customFormat="false" ht="15.75" hidden="false" customHeight="true" outlineLevel="0" collapsed="false">
      <c r="A133" s="2"/>
      <c r="B133" s="2"/>
      <c r="C133" s="2"/>
      <c r="D133" s="2"/>
      <c r="E133" s="2"/>
      <c r="F133" s="2"/>
      <c r="G133" s="2"/>
      <c r="H133" s="2"/>
      <c r="I133" s="2"/>
      <c r="J133" s="2"/>
      <c r="K133" s="2"/>
      <c r="L133" s="2"/>
      <c r="M133" s="2"/>
      <c r="N133" s="2"/>
      <c r="O133" s="2"/>
    </row>
    <row r="134" customFormat="false" ht="15.75" hidden="false" customHeight="true" outlineLevel="0" collapsed="false">
      <c r="A134" s="2"/>
      <c r="B134" s="2"/>
      <c r="C134" s="2"/>
      <c r="D134" s="2"/>
      <c r="E134" s="2"/>
      <c r="F134" s="2"/>
      <c r="G134" s="2"/>
      <c r="H134" s="2"/>
      <c r="I134" s="2"/>
      <c r="J134" s="2"/>
      <c r="K134" s="2"/>
      <c r="L134" s="2"/>
      <c r="M134" s="2"/>
      <c r="N134" s="2"/>
      <c r="O134" s="2"/>
    </row>
    <row r="135" customFormat="false" ht="15.75" hidden="false" customHeight="true" outlineLevel="0" collapsed="false">
      <c r="A135" s="2"/>
      <c r="B135" s="2"/>
      <c r="C135" s="2"/>
      <c r="D135" s="2"/>
      <c r="E135" s="2"/>
      <c r="F135" s="2"/>
      <c r="G135" s="2"/>
      <c r="H135" s="2"/>
      <c r="I135" s="2"/>
      <c r="J135" s="2"/>
      <c r="K135" s="2"/>
      <c r="L135" s="2"/>
      <c r="M135" s="2"/>
      <c r="N135" s="2"/>
      <c r="O135" s="2"/>
    </row>
    <row r="136" customFormat="false" ht="15.75" hidden="false" customHeight="true" outlineLevel="0" collapsed="false">
      <c r="A136" s="2"/>
      <c r="B136" s="2"/>
      <c r="C136" s="2"/>
      <c r="D136" s="2"/>
      <c r="E136" s="2"/>
      <c r="F136" s="2"/>
      <c r="G136" s="2"/>
      <c r="H136" s="2"/>
      <c r="I136" s="2"/>
      <c r="J136" s="2"/>
      <c r="K136" s="2"/>
      <c r="L136" s="2"/>
      <c r="M136" s="2"/>
      <c r="N136" s="2"/>
      <c r="O136" s="2"/>
    </row>
    <row r="137" customFormat="false" ht="15.75" hidden="false" customHeight="true" outlineLevel="0" collapsed="false">
      <c r="A137" s="2"/>
      <c r="B137" s="2"/>
      <c r="C137" s="2"/>
      <c r="D137" s="2"/>
      <c r="E137" s="2"/>
      <c r="F137" s="2"/>
      <c r="G137" s="2"/>
      <c r="H137" s="2"/>
      <c r="I137" s="2"/>
      <c r="J137" s="2"/>
      <c r="K137" s="2"/>
      <c r="L137" s="2"/>
      <c r="M137" s="2"/>
      <c r="N137" s="2"/>
      <c r="O137" s="2"/>
    </row>
    <row r="138" customFormat="false" ht="15.75" hidden="false" customHeight="true" outlineLevel="0" collapsed="false">
      <c r="A138" s="2"/>
      <c r="B138" s="2"/>
      <c r="C138" s="2"/>
      <c r="D138" s="2"/>
      <c r="E138" s="2"/>
      <c r="F138" s="2"/>
      <c r="G138" s="2"/>
      <c r="H138" s="2"/>
      <c r="I138" s="2"/>
      <c r="J138" s="2"/>
      <c r="K138" s="2"/>
      <c r="L138" s="2"/>
      <c r="M138" s="2"/>
      <c r="N138" s="2"/>
      <c r="O138" s="2"/>
    </row>
    <row r="139" customFormat="false" ht="15.75" hidden="false" customHeight="true" outlineLevel="0" collapsed="false">
      <c r="A139" s="2"/>
      <c r="B139" s="2"/>
      <c r="C139" s="2"/>
      <c r="D139" s="2"/>
      <c r="E139" s="2"/>
      <c r="F139" s="2"/>
      <c r="G139" s="2"/>
      <c r="H139" s="2"/>
      <c r="I139" s="2"/>
      <c r="J139" s="2"/>
      <c r="K139" s="2"/>
      <c r="L139" s="2"/>
      <c r="M139" s="2"/>
      <c r="N139" s="2"/>
      <c r="O139" s="2"/>
    </row>
    <row r="140" customFormat="false" ht="15.75" hidden="false" customHeight="true" outlineLevel="0" collapsed="false">
      <c r="A140" s="2"/>
      <c r="B140" s="2"/>
      <c r="C140" s="2"/>
      <c r="D140" s="2"/>
      <c r="E140" s="2"/>
      <c r="F140" s="2"/>
      <c r="G140" s="2"/>
      <c r="H140" s="2"/>
      <c r="I140" s="2"/>
      <c r="J140" s="2"/>
      <c r="K140" s="2"/>
      <c r="L140" s="2"/>
      <c r="M140" s="2"/>
      <c r="N140" s="2"/>
      <c r="O140" s="2"/>
    </row>
    <row r="141" customFormat="false" ht="15.75" hidden="false" customHeight="true" outlineLevel="0" collapsed="false">
      <c r="A141" s="2"/>
      <c r="B141" s="2"/>
      <c r="C141" s="2"/>
      <c r="D141" s="2"/>
      <c r="E141" s="2"/>
      <c r="F141" s="2"/>
      <c r="G141" s="2"/>
      <c r="H141" s="2"/>
      <c r="I141" s="2"/>
      <c r="J141" s="2"/>
      <c r="K141" s="2"/>
      <c r="L141" s="2"/>
      <c r="M141" s="2"/>
      <c r="N141" s="2"/>
      <c r="O141" s="2"/>
    </row>
    <row r="142" customFormat="false" ht="15.75" hidden="false" customHeight="true" outlineLevel="0" collapsed="false">
      <c r="A142" s="2"/>
      <c r="B142" s="2"/>
      <c r="C142" s="2"/>
      <c r="D142" s="2"/>
      <c r="E142" s="2"/>
      <c r="F142" s="2"/>
      <c r="G142" s="2"/>
      <c r="H142" s="2"/>
      <c r="I142" s="2"/>
      <c r="J142" s="2"/>
      <c r="K142" s="2"/>
      <c r="L142" s="2"/>
      <c r="M142" s="2"/>
      <c r="N142" s="2"/>
      <c r="O142" s="2"/>
    </row>
    <row r="143" customFormat="false" ht="15.75" hidden="false" customHeight="true" outlineLevel="0" collapsed="false">
      <c r="A143" s="2"/>
      <c r="B143" s="2"/>
      <c r="C143" s="2"/>
      <c r="D143" s="2"/>
      <c r="E143" s="2"/>
      <c r="F143" s="2"/>
      <c r="G143" s="2"/>
      <c r="H143" s="2"/>
      <c r="I143" s="2"/>
      <c r="J143" s="2"/>
      <c r="K143" s="2"/>
      <c r="L143" s="2"/>
      <c r="M143" s="2"/>
      <c r="N143" s="2"/>
      <c r="O143" s="2"/>
    </row>
    <row r="144" customFormat="false" ht="15.75" hidden="false" customHeight="true" outlineLevel="0" collapsed="false">
      <c r="A144" s="2"/>
      <c r="B144" s="2"/>
      <c r="C144" s="2"/>
      <c r="D144" s="2"/>
      <c r="E144" s="2"/>
      <c r="F144" s="2"/>
      <c r="G144" s="2"/>
      <c r="H144" s="2"/>
      <c r="I144" s="2"/>
      <c r="J144" s="2"/>
      <c r="K144" s="2"/>
      <c r="L144" s="2"/>
      <c r="M144" s="2"/>
      <c r="N144" s="2"/>
      <c r="O144" s="2"/>
    </row>
    <row r="145" customFormat="false" ht="15.75" hidden="false" customHeight="true" outlineLevel="0" collapsed="false">
      <c r="A145" s="2"/>
      <c r="B145" s="2"/>
      <c r="C145" s="2"/>
      <c r="D145" s="2"/>
      <c r="E145" s="2"/>
      <c r="F145" s="2"/>
      <c r="G145" s="2"/>
      <c r="H145" s="2"/>
      <c r="I145" s="2"/>
      <c r="J145" s="2"/>
      <c r="K145" s="2"/>
      <c r="L145" s="2"/>
      <c r="M145" s="2"/>
      <c r="N145" s="2"/>
      <c r="O145" s="2"/>
    </row>
    <row r="146" customFormat="false" ht="15.75" hidden="false" customHeight="true" outlineLevel="0" collapsed="false">
      <c r="A146" s="2"/>
      <c r="B146" s="2"/>
      <c r="C146" s="2"/>
      <c r="D146" s="2"/>
      <c r="E146" s="2"/>
      <c r="F146" s="2"/>
      <c r="G146" s="2"/>
      <c r="H146" s="2"/>
      <c r="I146" s="2"/>
      <c r="J146" s="2"/>
      <c r="K146" s="2"/>
      <c r="L146" s="2"/>
      <c r="M146" s="2"/>
      <c r="N146" s="2"/>
      <c r="O146" s="2"/>
    </row>
    <row r="147" customFormat="false" ht="15.75" hidden="false" customHeight="true" outlineLevel="0" collapsed="false">
      <c r="A147" s="2"/>
      <c r="B147" s="2"/>
      <c r="C147" s="2"/>
      <c r="D147" s="2"/>
      <c r="E147" s="2"/>
      <c r="F147" s="2"/>
      <c r="G147" s="2"/>
      <c r="H147" s="2"/>
      <c r="I147" s="2"/>
      <c r="J147" s="2"/>
      <c r="K147" s="2"/>
      <c r="L147" s="2"/>
      <c r="M147" s="2"/>
      <c r="N147" s="2"/>
      <c r="O147" s="2"/>
    </row>
    <row r="148" customFormat="false" ht="15.75" hidden="false" customHeight="true" outlineLevel="0" collapsed="false">
      <c r="A148" s="2"/>
      <c r="B148" s="2"/>
      <c r="C148" s="2"/>
      <c r="D148" s="2"/>
      <c r="E148" s="2"/>
      <c r="F148" s="2"/>
      <c r="G148" s="2"/>
      <c r="H148" s="2"/>
      <c r="I148" s="2"/>
      <c r="J148" s="2"/>
      <c r="K148" s="2"/>
      <c r="L148" s="2"/>
      <c r="M148" s="2"/>
      <c r="N148" s="2"/>
      <c r="O148" s="2"/>
    </row>
    <row r="149" customFormat="false" ht="15.75" hidden="false" customHeight="true" outlineLevel="0" collapsed="false">
      <c r="A149" s="2"/>
      <c r="B149" s="2"/>
      <c r="C149" s="2"/>
      <c r="D149" s="2"/>
      <c r="E149" s="2"/>
      <c r="F149" s="2"/>
      <c r="G149" s="2"/>
      <c r="H149" s="2"/>
      <c r="I149" s="2"/>
      <c r="J149" s="2"/>
      <c r="K149" s="2"/>
      <c r="L149" s="2"/>
      <c r="M149" s="2"/>
      <c r="N149" s="2"/>
      <c r="O149" s="2"/>
    </row>
    <row r="150" customFormat="false" ht="15.75" hidden="false" customHeight="true" outlineLevel="0" collapsed="false">
      <c r="A150" s="2"/>
      <c r="B150" s="2"/>
      <c r="C150" s="2"/>
      <c r="D150" s="2"/>
      <c r="E150" s="2"/>
      <c r="F150" s="2"/>
      <c r="G150" s="2"/>
      <c r="H150" s="2"/>
      <c r="I150" s="2"/>
      <c r="J150" s="2"/>
      <c r="K150" s="2"/>
      <c r="L150" s="2"/>
      <c r="M150" s="2"/>
      <c r="N150" s="2"/>
      <c r="O150" s="2"/>
    </row>
    <row r="151" customFormat="false" ht="15.75" hidden="false" customHeight="true" outlineLevel="0" collapsed="false">
      <c r="A151" s="2"/>
      <c r="B151" s="2"/>
      <c r="C151" s="2"/>
      <c r="D151" s="2"/>
      <c r="E151" s="2"/>
      <c r="F151" s="2"/>
      <c r="G151" s="2"/>
      <c r="H151" s="2"/>
      <c r="I151" s="2"/>
      <c r="J151" s="2"/>
      <c r="K151" s="2"/>
      <c r="L151" s="2"/>
      <c r="M151" s="2"/>
      <c r="N151" s="2"/>
      <c r="O151" s="2"/>
    </row>
    <row r="152" customFormat="false" ht="15.75" hidden="false" customHeight="true" outlineLevel="0" collapsed="false">
      <c r="A152" s="2"/>
      <c r="B152" s="2"/>
      <c r="C152" s="2"/>
      <c r="D152" s="2"/>
      <c r="E152" s="2"/>
      <c r="F152" s="2"/>
      <c r="G152" s="2"/>
      <c r="H152" s="2"/>
      <c r="I152" s="2"/>
      <c r="J152" s="2"/>
      <c r="K152" s="2"/>
      <c r="L152" s="2"/>
      <c r="M152" s="2"/>
      <c r="N152" s="2"/>
      <c r="O152" s="2"/>
    </row>
    <row r="153" customFormat="false" ht="15.75" hidden="false" customHeight="true" outlineLevel="0" collapsed="false">
      <c r="A153" s="2"/>
      <c r="B153" s="2"/>
      <c r="C153" s="2"/>
      <c r="D153" s="2"/>
      <c r="E153" s="2"/>
      <c r="F153" s="2"/>
      <c r="G153" s="2"/>
      <c r="H153" s="2"/>
      <c r="I153" s="2"/>
      <c r="J153" s="2"/>
      <c r="K153" s="2"/>
      <c r="L153" s="2"/>
      <c r="M153" s="2"/>
      <c r="N153" s="2"/>
      <c r="O153" s="2"/>
    </row>
    <row r="154" customFormat="false" ht="15.75" hidden="false" customHeight="true" outlineLevel="0" collapsed="false">
      <c r="A154" s="2"/>
      <c r="B154" s="2"/>
      <c r="C154" s="2"/>
      <c r="D154" s="2"/>
      <c r="E154" s="2"/>
      <c r="F154" s="2"/>
      <c r="G154" s="2"/>
      <c r="H154" s="2"/>
      <c r="I154" s="2"/>
      <c r="J154" s="2"/>
      <c r="K154" s="2"/>
      <c r="L154" s="2"/>
      <c r="M154" s="2"/>
      <c r="N154" s="2"/>
      <c r="O154" s="2"/>
    </row>
    <row r="155" customFormat="false" ht="15.75" hidden="false" customHeight="true" outlineLevel="0" collapsed="false">
      <c r="A155" s="2"/>
      <c r="B155" s="2"/>
      <c r="C155" s="2"/>
      <c r="D155" s="2"/>
      <c r="E155" s="2"/>
      <c r="F155" s="2"/>
      <c r="G155" s="2"/>
      <c r="H155" s="2"/>
      <c r="I155" s="2"/>
      <c r="J155" s="2"/>
      <c r="K155" s="2"/>
      <c r="L155" s="2"/>
      <c r="M155" s="2"/>
      <c r="N155" s="2"/>
      <c r="O155" s="2"/>
    </row>
    <row r="156" customFormat="false" ht="15.75" hidden="false" customHeight="true" outlineLevel="0" collapsed="false">
      <c r="A156" s="2"/>
      <c r="B156" s="2"/>
      <c r="C156" s="2"/>
      <c r="D156" s="2"/>
      <c r="E156" s="2"/>
      <c r="F156" s="2"/>
      <c r="G156" s="2"/>
      <c r="H156" s="2"/>
      <c r="I156" s="2"/>
      <c r="J156" s="2"/>
      <c r="K156" s="2"/>
      <c r="L156" s="2"/>
      <c r="M156" s="2"/>
      <c r="N156" s="2"/>
      <c r="O156" s="2"/>
    </row>
    <row r="157" customFormat="false" ht="15.75" hidden="false" customHeight="true" outlineLevel="0" collapsed="false">
      <c r="A157" s="2"/>
      <c r="B157" s="2"/>
      <c r="C157" s="2"/>
      <c r="D157" s="2"/>
      <c r="E157" s="2"/>
      <c r="F157" s="2"/>
      <c r="G157" s="2"/>
      <c r="H157" s="2"/>
      <c r="I157" s="2"/>
      <c r="J157" s="2"/>
      <c r="K157" s="2"/>
      <c r="L157" s="2"/>
      <c r="M157" s="2"/>
      <c r="N157" s="2"/>
      <c r="O157" s="2"/>
    </row>
    <row r="158" customFormat="false" ht="15.75" hidden="false" customHeight="true" outlineLevel="0" collapsed="false">
      <c r="A158" s="2"/>
      <c r="B158" s="2"/>
      <c r="C158" s="2"/>
      <c r="D158" s="2"/>
      <c r="E158" s="2"/>
      <c r="F158" s="2"/>
      <c r="G158" s="2"/>
      <c r="H158" s="2"/>
      <c r="I158" s="2"/>
      <c r="J158" s="2"/>
      <c r="K158" s="2"/>
      <c r="L158" s="2"/>
      <c r="M158" s="2"/>
      <c r="N158" s="2"/>
      <c r="O158" s="2"/>
    </row>
    <row r="159" customFormat="false" ht="15.75" hidden="false" customHeight="true" outlineLevel="0" collapsed="false">
      <c r="A159" s="2"/>
      <c r="B159" s="2"/>
      <c r="C159" s="2"/>
      <c r="D159" s="2"/>
      <c r="E159" s="2"/>
      <c r="F159" s="2"/>
      <c r="G159" s="2"/>
      <c r="H159" s="2"/>
      <c r="I159" s="2"/>
      <c r="J159" s="2"/>
      <c r="K159" s="2"/>
      <c r="L159" s="2"/>
      <c r="M159" s="2"/>
      <c r="N159" s="2"/>
      <c r="O159" s="2"/>
    </row>
    <row r="160" customFormat="false" ht="15.75" hidden="false" customHeight="true" outlineLevel="0" collapsed="false">
      <c r="A160" s="2"/>
      <c r="B160" s="2"/>
      <c r="C160" s="2"/>
      <c r="D160" s="2"/>
      <c r="E160" s="2"/>
      <c r="F160" s="2"/>
      <c r="G160" s="2"/>
      <c r="H160" s="2"/>
      <c r="I160" s="2"/>
      <c r="J160" s="2"/>
      <c r="K160" s="2"/>
      <c r="L160" s="2"/>
      <c r="M160" s="2"/>
      <c r="N160" s="2"/>
      <c r="O160" s="2"/>
    </row>
    <row r="161" customFormat="false" ht="15.75" hidden="false" customHeight="true" outlineLevel="0" collapsed="false">
      <c r="A161" s="2"/>
      <c r="B161" s="2"/>
      <c r="C161" s="2"/>
      <c r="D161" s="2"/>
      <c r="E161" s="2"/>
      <c r="F161" s="2"/>
      <c r="G161" s="2"/>
      <c r="H161" s="2"/>
      <c r="I161" s="2"/>
      <c r="J161" s="2"/>
      <c r="K161" s="2"/>
      <c r="L161" s="2"/>
      <c r="M161" s="2"/>
      <c r="N161" s="2"/>
      <c r="O161" s="2"/>
    </row>
    <row r="162" customFormat="false" ht="15.75" hidden="false" customHeight="true" outlineLevel="0" collapsed="false">
      <c r="A162" s="2"/>
      <c r="B162" s="2"/>
      <c r="C162" s="2"/>
      <c r="D162" s="2"/>
      <c r="E162" s="2"/>
      <c r="F162" s="2"/>
      <c r="G162" s="2"/>
      <c r="H162" s="2"/>
      <c r="I162" s="2"/>
      <c r="J162" s="2"/>
      <c r="K162" s="2"/>
      <c r="L162" s="2"/>
      <c r="M162" s="2"/>
      <c r="N162" s="2"/>
      <c r="O162" s="2"/>
    </row>
    <row r="163" customFormat="false" ht="15.75" hidden="false" customHeight="true" outlineLevel="0" collapsed="false">
      <c r="A163" s="2"/>
      <c r="B163" s="2"/>
      <c r="C163" s="2"/>
      <c r="D163" s="2"/>
      <c r="E163" s="2"/>
      <c r="F163" s="2"/>
      <c r="G163" s="2"/>
      <c r="H163" s="2"/>
      <c r="I163" s="2"/>
      <c r="J163" s="2"/>
      <c r="K163" s="2"/>
      <c r="L163" s="2"/>
      <c r="M163" s="2"/>
      <c r="N163" s="2"/>
      <c r="O163" s="2"/>
    </row>
    <row r="164" customFormat="false" ht="15.75" hidden="false" customHeight="true" outlineLevel="0" collapsed="false">
      <c r="A164" s="2"/>
      <c r="B164" s="2"/>
      <c r="C164" s="2"/>
      <c r="D164" s="2"/>
      <c r="E164" s="2"/>
      <c r="F164" s="2"/>
      <c r="G164" s="2"/>
      <c r="H164" s="2"/>
      <c r="I164" s="2"/>
      <c r="J164" s="2"/>
      <c r="K164" s="2"/>
      <c r="L164" s="2"/>
      <c r="M164" s="2"/>
      <c r="N164" s="2"/>
      <c r="O164" s="2"/>
    </row>
    <row r="165" customFormat="false" ht="15.75" hidden="false" customHeight="true" outlineLevel="0" collapsed="false">
      <c r="A165" s="2"/>
      <c r="B165" s="2"/>
      <c r="C165" s="2"/>
      <c r="D165" s="2"/>
      <c r="E165" s="2"/>
      <c r="F165" s="2"/>
      <c r="G165" s="2"/>
      <c r="H165" s="2"/>
      <c r="I165" s="2"/>
      <c r="J165" s="2"/>
      <c r="K165" s="2"/>
      <c r="L165" s="2"/>
      <c r="M165" s="2"/>
      <c r="N165" s="2"/>
      <c r="O165" s="2"/>
    </row>
    <row r="166" customFormat="false" ht="15.75" hidden="false" customHeight="true" outlineLevel="0" collapsed="false">
      <c r="A166" s="2"/>
      <c r="B166" s="2"/>
      <c r="C166" s="2"/>
      <c r="D166" s="2"/>
      <c r="E166" s="2"/>
      <c r="F166" s="2"/>
      <c r="G166" s="2"/>
      <c r="H166" s="2"/>
      <c r="I166" s="2"/>
      <c r="J166" s="2"/>
      <c r="K166" s="2"/>
      <c r="L166" s="2"/>
      <c r="M166" s="2"/>
      <c r="N166" s="2"/>
      <c r="O166" s="2"/>
    </row>
    <row r="167" customFormat="false" ht="15.75" hidden="false" customHeight="true" outlineLevel="0" collapsed="false">
      <c r="A167" s="2"/>
      <c r="B167" s="2"/>
      <c r="C167" s="2"/>
      <c r="D167" s="2"/>
      <c r="E167" s="2"/>
      <c r="F167" s="2"/>
      <c r="G167" s="2"/>
      <c r="H167" s="2"/>
      <c r="I167" s="2"/>
      <c r="J167" s="2"/>
      <c r="K167" s="2"/>
      <c r="L167" s="2"/>
      <c r="M167" s="2"/>
      <c r="N167" s="2"/>
      <c r="O167" s="2"/>
    </row>
    <row r="168" customFormat="false" ht="15.75" hidden="false" customHeight="true" outlineLevel="0" collapsed="false">
      <c r="A168" s="2"/>
      <c r="B168" s="2"/>
      <c r="C168" s="2"/>
      <c r="D168" s="2"/>
      <c r="E168" s="2"/>
      <c r="F168" s="2"/>
      <c r="G168" s="2"/>
      <c r="H168" s="2"/>
      <c r="I168" s="2"/>
      <c r="J168" s="2"/>
      <c r="K168" s="2"/>
      <c r="L168" s="2"/>
      <c r="M168" s="2"/>
      <c r="N168" s="2"/>
      <c r="O168" s="2"/>
    </row>
    <row r="169" customFormat="false" ht="15.75" hidden="false" customHeight="true" outlineLevel="0" collapsed="false">
      <c r="A169" s="2"/>
      <c r="B169" s="2"/>
      <c r="C169" s="2"/>
      <c r="D169" s="2"/>
      <c r="E169" s="2"/>
      <c r="F169" s="2"/>
      <c r="G169" s="2"/>
      <c r="H169" s="2"/>
      <c r="I169" s="2"/>
      <c r="J169" s="2"/>
      <c r="K169" s="2"/>
      <c r="L169" s="2"/>
      <c r="M169" s="2"/>
      <c r="N169" s="2"/>
      <c r="O169" s="2"/>
    </row>
    <row r="170" customFormat="false" ht="15.75" hidden="false" customHeight="true" outlineLevel="0" collapsed="false">
      <c r="A170" s="2"/>
      <c r="B170" s="2"/>
      <c r="C170" s="2"/>
      <c r="D170" s="2"/>
      <c r="E170" s="2"/>
      <c r="F170" s="2"/>
      <c r="G170" s="2"/>
      <c r="H170" s="2"/>
      <c r="I170" s="2"/>
      <c r="J170" s="2"/>
      <c r="K170" s="2"/>
      <c r="L170" s="2"/>
      <c r="M170" s="2"/>
      <c r="N170" s="2"/>
      <c r="O170" s="2"/>
    </row>
    <row r="171" customFormat="false" ht="15.75" hidden="false" customHeight="true" outlineLevel="0" collapsed="false">
      <c r="A171" s="2"/>
      <c r="B171" s="2"/>
      <c r="C171" s="2"/>
      <c r="D171" s="2"/>
      <c r="E171" s="2"/>
      <c r="F171" s="2"/>
      <c r="G171" s="2"/>
      <c r="H171" s="2"/>
      <c r="I171" s="2"/>
      <c r="J171" s="2"/>
      <c r="K171" s="2"/>
      <c r="L171" s="2"/>
      <c r="M171" s="2"/>
      <c r="N171" s="2"/>
      <c r="O171" s="2"/>
    </row>
    <row r="172" customFormat="false" ht="15.75" hidden="false" customHeight="true" outlineLevel="0" collapsed="false">
      <c r="A172" s="2"/>
      <c r="B172" s="2"/>
      <c r="C172" s="2"/>
      <c r="D172" s="2"/>
      <c r="E172" s="2"/>
      <c r="F172" s="2"/>
      <c r="G172" s="2"/>
      <c r="H172" s="2"/>
      <c r="I172" s="2"/>
      <c r="J172" s="2"/>
      <c r="K172" s="2"/>
      <c r="L172" s="2"/>
      <c r="M172" s="2"/>
      <c r="N172" s="2"/>
      <c r="O172" s="2"/>
    </row>
    <row r="173" customFormat="false" ht="15.75" hidden="false" customHeight="true" outlineLevel="0" collapsed="false">
      <c r="A173" s="2"/>
      <c r="B173" s="2"/>
      <c r="C173" s="2"/>
      <c r="D173" s="2"/>
      <c r="E173" s="2"/>
      <c r="F173" s="2"/>
      <c r="G173" s="2"/>
      <c r="H173" s="2"/>
      <c r="I173" s="2"/>
      <c r="J173" s="2"/>
      <c r="K173" s="2"/>
      <c r="L173" s="2"/>
      <c r="M173" s="2"/>
      <c r="N173" s="2"/>
      <c r="O173" s="2"/>
    </row>
    <row r="174" customFormat="false" ht="15.75" hidden="false" customHeight="true" outlineLevel="0" collapsed="false">
      <c r="A174" s="2"/>
      <c r="B174" s="2"/>
      <c r="C174" s="2"/>
      <c r="D174" s="2"/>
      <c r="E174" s="2"/>
      <c r="F174" s="2"/>
      <c r="G174" s="2"/>
      <c r="H174" s="2"/>
      <c r="I174" s="2"/>
      <c r="J174" s="2"/>
      <c r="K174" s="2"/>
      <c r="L174" s="2"/>
      <c r="M174" s="2"/>
      <c r="N174" s="2"/>
      <c r="O174" s="2"/>
    </row>
    <row r="175" customFormat="false" ht="15.75" hidden="false" customHeight="true" outlineLevel="0" collapsed="false">
      <c r="A175" s="2"/>
      <c r="B175" s="2"/>
      <c r="C175" s="2"/>
      <c r="D175" s="2"/>
      <c r="E175" s="2"/>
      <c r="F175" s="2"/>
      <c r="G175" s="2"/>
      <c r="H175" s="2"/>
      <c r="I175" s="2"/>
      <c r="J175" s="2"/>
      <c r="K175" s="2"/>
      <c r="L175" s="2"/>
      <c r="M175" s="2"/>
      <c r="N175" s="2"/>
      <c r="O175" s="2"/>
    </row>
    <row r="176" customFormat="false" ht="15.75" hidden="false" customHeight="true" outlineLevel="0" collapsed="false">
      <c r="A176" s="2"/>
      <c r="B176" s="2"/>
      <c r="C176" s="2"/>
      <c r="D176" s="2"/>
      <c r="E176" s="2"/>
      <c r="F176" s="2"/>
      <c r="G176" s="2"/>
      <c r="H176" s="2"/>
      <c r="I176" s="2"/>
      <c r="J176" s="2"/>
      <c r="K176" s="2"/>
      <c r="L176" s="2"/>
      <c r="M176" s="2"/>
      <c r="N176" s="2"/>
      <c r="O176" s="2"/>
    </row>
    <row r="177" customFormat="false" ht="15.75" hidden="false" customHeight="true" outlineLevel="0" collapsed="false">
      <c r="A177" s="2"/>
      <c r="B177" s="2"/>
      <c r="C177" s="2"/>
      <c r="D177" s="2"/>
      <c r="E177" s="2"/>
      <c r="F177" s="2"/>
      <c r="G177" s="2"/>
      <c r="H177" s="2"/>
      <c r="I177" s="2"/>
      <c r="J177" s="2"/>
      <c r="K177" s="2"/>
      <c r="L177" s="2"/>
      <c r="M177" s="2"/>
      <c r="N177" s="2"/>
      <c r="O177" s="2"/>
    </row>
    <row r="178" customFormat="false" ht="15.75" hidden="false" customHeight="true" outlineLevel="0" collapsed="false">
      <c r="A178" s="2"/>
      <c r="B178" s="2"/>
      <c r="C178" s="2"/>
      <c r="D178" s="2"/>
      <c r="E178" s="2"/>
      <c r="F178" s="2"/>
      <c r="G178" s="2"/>
      <c r="H178" s="2"/>
      <c r="I178" s="2"/>
      <c r="J178" s="2"/>
      <c r="K178" s="2"/>
      <c r="L178" s="2"/>
      <c r="M178" s="2"/>
      <c r="N178" s="2"/>
      <c r="O178" s="2"/>
    </row>
    <row r="179" customFormat="false" ht="15.75" hidden="false" customHeight="true" outlineLevel="0" collapsed="false">
      <c r="A179" s="2"/>
      <c r="B179" s="2"/>
      <c r="C179" s="2"/>
      <c r="D179" s="2"/>
      <c r="E179" s="2"/>
      <c r="F179" s="2"/>
      <c r="G179" s="2"/>
      <c r="H179" s="2"/>
      <c r="I179" s="2"/>
      <c r="J179" s="2"/>
      <c r="K179" s="2"/>
      <c r="L179" s="2"/>
      <c r="M179" s="2"/>
      <c r="N179" s="2"/>
      <c r="O179" s="2"/>
    </row>
    <row r="180" customFormat="false" ht="15.75" hidden="false" customHeight="true" outlineLevel="0" collapsed="false">
      <c r="A180" s="2"/>
      <c r="B180" s="2"/>
      <c r="C180" s="2"/>
      <c r="D180" s="2"/>
      <c r="E180" s="2"/>
      <c r="F180" s="2"/>
      <c r="G180" s="2"/>
      <c r="H180" s="2"/>
      <c r="I180" s="2"/>
      <c r="J180" s="2"/>
      <c r="K180" s="2"/>
      <c r="L180" s="2"/>
      <c r="M180" s="2"/>
      <c r="N180" s="2"/>
      <c r="O180" s="2"/>
    </row>
    <row r="181" customFormat="false" ht="15.75" hidden="false" customHeight="true" outlineLevel="0" collapsed="false">
      <c r="A181" s="2"/>
      <c r="B181" s="2"/>
      <c r="C181" s="2"/>
      <c r="D181" s="2"/>
      <c r="E181" s="2"/>
      <c r="F181" s="2"/>
      <c r="G181" s="2"/>
      <c r="H181" s="2"/>
      <c r="I181" s="2"/>
      <c r="J181" s="2"/>
      <c r="K181" s="2"/>
      <c r="L181" s="2"/>
      <c r="M181" s="2"/>
      <c r="N181" s="2"/>
      <c r="O181" s="2"/>
    </row>
    <row r="182" customFormat="false" ht="15.75" hidden="false" customHeight="true" outlineLevel="0" collapsed="false">
      <c r="A182" s="2"/>
      <c r="B182" s="2"/>
      <c r="C182" s="2"/>
      <c r="D182" s="2"/>
      <c r="E182" s="2"/>
      <c r="F182" s="2"/>
      <c r="G182" s="2"/>
      <c r="H182" s="2"/>
      <c r="I182" s="2"/>
      <c r="J182" s="2"/>
      <c r="K182" s="2"/>
      <c r="L182" s="2"/>
      <c r="M182" s="2"/>
      <c r="N182" s="2"/>
      <c r="O182" s="2"/>
    </row>
    <row r="183" customFormat="false" ht="15.75" hidden="false" customHeight="true" outlineLevel="0" collapsed="false">
      <c r="A183" s="2"/>
      <c r="B183" s="2"/>
      <c r="C183" s="2"/>
      <c r="D183" s="2"/>
      <c r="E183" s="2"/>
      <c r="F183" s="2"/>
      <c r="G183" s="2"/>
      <c r="H183" s="2"/>
      <c r="I183" s="2"/>
      <c r="J183" s="2"/>
      <c r="K183" s="2"/>
      <c r="L183" s="2"/>
      <c r="M183" s="2"/>
      <c r="N183" s="2"/>
      <c r="O183" s="2"/>
    </row>
    <row r="184" customFormat="false" ht="15.75" hidden="false" customHeight="true" outlineLevel="0" collapsed="false">
      <c r="A184" s="2"/>
      <c r="B184" s="2"/>
      <c r="C184" s="2"/>
      <c r="D184" s="2"/>
      <c r="E184" s="2"/>
      <c r="F184" s="2"/>
      <c r="G184" s="2"/>
      <c r="H184" s="2"/>
      <c r="I184" s="2"/>
      <c r="J184" s="2"/>
      <c r="K184" s="2"/>
      <c r="L184" s="2"/>
      <c r="M184" s="2"/>
      <c r="N184" s="2"/>
      <c r="O184" s="2"/>
    </row>
    <row r="185" customFormat="false" ht="15.75" hidden="false" customHeight="true" outlineLevel="0" collapsed="false">
      <c r="A185" s="2"/>
      <c r="B185" s="2"/>
      <c r="C185" s="2"/>
      <c r="D185" s="2"/>
      <c r="E185" s="2"/>
      <c r="F185" s="2"/>
      <c r="G185" s="2"/>
      <c r="H185" s="2"/>
      <c r="I185" s="2"/>
      <c r="J185" s="2"/>
      <c r="K185" s="2"/>
      <c r="L185" s="2"/>
      <c r="M185" s="2"/>
      <c r="N185" s="2"/>
      <c r="O185" s="2"/>
    </row>
    <row r="186" customFormat="false" ht="15.75" hidden="false" customHeight="true" outlineLevel="0" collapsed="false">
      <c r="A186" s="2"/>
      <c r="B186" s="2"/>
      <c r="C186" s="2"/>
      <c r="D186" s="2"/>
      <c r="E186" s="2"/>
      <c r="F186" s="2"/>
      <c r="G186" s="2"/>
      <c r="H186" s="2"/>
      <c r="I186" s="2"/>
      <c r="J186" s="2"/>
      <c r="K186" s="2"/>
      <c r="L186" s="2"/>
      <c r="M186" s="2"/>
      <c r="N186" s="2"/>
      <c r="O186" s="2"/>
    </row>
    <row r="187" customFormat="false" ht="15.75" hidden="false" customHeight="true" outlineLevel="0" collapsed="false">
      <c r="A187" s="2"/>
      <c r="B187" s="2"/>
      <c r="C187" s="2"/>
      <c r="D187" s="2"/>
      <c r="E187" s="2"/>
      <c r="F187" s="2"/>
      <c r="G187" s="2"/>
      <c r="H187" s="2"/>
      <c r="I187" s="2"/>
      <c r="J187" s="2"/>
      <c r="K187" s="2"/>
      <c r="L187" s="2"/>
      <c r="M187" s="2"/>
      <c r="N187" s="2"/>
      <c r="O187" s="2"/>
    </row>
    <row r="188" customFormat="false" ht="15.75" hidden="false" customHeight="true" outlineLevel="0" collapsed="false">
      <c r="A188" s="2"/>
      <c r="B188" s="2"/>
      <c r="C188" s="2"/>
      <c r="D188" s="2"/>
      <c r="E188" s="2"/>
      <c r="F188" s="2"/>
      <c r="G188" s="2"/>
      <c r="H188" s="2"/>
      <c r="I188" s="2"/>
      <c r="J188" s="2"/>
      <c r="K188" s="2"/>
      <c r="L188" s="2"/>
      <c r="M188" s="2"/>
      <c r="N188" s="2"/>
      <c r="O188" s="2"/>
    </row>
    <row r="189" customFormat="false" ht="15.75" hidden="false" customHeight="true" outlineLevel="0" collapsed="false">
      <c r="A189" s="2"/>
      <c r="B189" s="2"/>
      <c r="C189" s="2"/>
      <c r="D189" s="2"/>
      <c r="E189" s="2"/>
      <c r="F189" s="2"/>
      <c r="G189" s="2"/>
      <c r="H189" s="2"/>
      <c r="I189" s="2"/>
      <c r="J189" s="2"/>
      <c r="K189" s="2"/>
      <c r="L189" s="2"/>
      <c r="M189" s="2"/>
      <c r="N189" s="2"/>
      <c r="O189" s="2"/>
    </row>
    <row r="190" customFormat="false" ht="15.75" hidden="false" customHeight="true" outlineLevel="0" collapsed="false">
      <c r="A190" s="2"/>
      <c r="B190" s="2"/>
      <c r="C190" s="2"/>
      <c r="D190" s="2"/>
      <c r="E190" s="2"/>
      <c r="F190" s="2"/>
      <c r="G190" s="2"/>
      <c r="H190" s="2"/>
      <c r="I190" s="2"/>
      <c r="J190" s="2"/>
      <c r="K190" s="2"/>
      <c r="L190" s="2"/>
      <c r="M190" s="2"/>
      <c r="N190" s="2"/>
      <c r="O190" s="2"/>
    </row>
    <row r="191" customFormat="false" ht="15.75" hidden="false" customHeight="true" outlineLevel="0" collapsed="false">
      <c r="A191" s="2"/>
      <c r="B191" s="2"/>
      <c r="C191" s="2"/>
      <c r="D191" s="2"/>
      <c r="E191" s="2"/>
      <c r="F191" s="2"/>
      <c r="G191" s="2"/>
      <c r="H191" s="2"/>
      <c r="I191" s="2"/>
      <c r="J191" s="2"/>
      <c r="K191" s="2"/>
      <c r="L191" s="2"/>
      <c r="M191" s="2"/>
      <c r="N191" s="2"/>
      <c r="O191" s="2"/>
    </row>
    <row r="192" customFormat="false" ht="15.75" hidden="false" customHeight="true" outlineLevel="0" collapsed="false">
      <c r="A192" s="2"/>
      <c r="B192" s="2"/>
      <c r="C192" s="2"/>
      <c r="D192" s="2"/>
      <c r="E192" s="2"/>
      <c r="F192" s="2"/>
      <c r="G192" s="2"/>
      <c r="H192" s="2"/>
      <c r="I192" s="2"/>
      <c r="J192" s="2"/>
      <c r="K192" s="2"/>
      <c r="L192" s="2"/>
      <c r="M192" s="2"/>
      <c r="N192" s="2"/>
      <c r="O192" s="2"/>
    </row>
    <row r="193" customFormat="false" ht="15.75" hidden="false" customHeight="true" outlineLevel="0" collapsed="false">
      <c r="A193" s="2"/>
      <c r="B193" s="2"/>
      <c r="C193" s="2"/>
      <c r="D193" s="2"/>
      <c r="E193" s="2"/>
      <c r="F193" s="2"/>
      <c r="G193" s="2"/>
      <c r="H193" s="2"/>
      <c r="I193" s="2"/>
      <c r="J193" s="2"/>
      <c r="K193" s="2"/>
      <c r="L193" s="2"/>
      <c r="M193" s="2"/>
      <c r="N193" s="2"/>
      <c r="O193" s="2"/>
    </row>
    <row r="194" customFormat="false" ht="15.75" hidden="false" customHeight="true" outlineLevel="0" collapsed="false">
      <c r="A194" s="2"/>
      <c r="B194" s="2"/>
      <c r="C194" s="2"/>
      <c r="D194" s="2"/>
      <c r="E194" s="2"/>
      <c r="F194" s="2"/>
      <c r="G194" s="2"/>
      <c r="H194" s="2"/>
      <c r="I194" s="2"/>
      <c r="J194" s="2"/>
      <c r="K194" s="2"/>
      <c r="L194" s="2"/>
      <c r="M194" s="2"/>
      <c r="N194" s="2"/>
      <c r="O194" s="2"/>
    </row>
    <row r="195" customFormat="false" ht="15.75" hidden="false" customHeight="true" outlineLevel="0" collapsed="false">
      <c r="A195" s="2"/>
      <c r="B195" s="2"/>
      <c r="C195" s="2"/>
      <c r="D195" s="2"/>
      <c r="E195" s="2"/>
      <c r="F195" s="2"/>
      <c r="G195" s="2"/>
      <c r="H195" s="2"/>
      <c r="I195" s="2"/>
      <c r="J195" s="2"/>
      <c r="K195" s="2"/>
      <c r="L195" s="2"/>
      <c r="M195" s="2"/>
      <c r="N195" s="2"/>
      <c r="O195" s="2"/>
    </row>
    <row r="196" customFormat="false" ht="15.75" hidden="false" customHeight="true" outlineLevel="0" collapsed="false">
      <c r="A196" s="2"/>
      <c r="B196" s="2"/>
      <c r="C196" s="2"/>
      <c r="D196" s="2"/>
      <c r="E196" s="2"/>
      <c r="F196" s="2"/>
      <c r="G196" s="2"/>
      <c r="H196" s="2"/>
      <c r="I196" s="2"/>
      <c r="J196" s="2"/>
      <c r="K196" s="2"/>
      <c r="L196" s="2"/>
      <c r="M196" s="2"/>
      <c r="N196" s="2"/>
      <c r="O196" s="2"/>
    </row>
    <row r="197" customFormat="false" ht="15.75" hidden="false" customHeight="true" outlineLevel="0" collapsed="false">
      <c r="A197" s="2"/>
      <c r="B197" s="2"/>
      <c r="C197" s="2"/>
      <c r="D197" s="2"/>
      <c r="E197" s="2"/>
      <c r="F197" s="2"/>
      <c r="G197" s="2"/>
      <c r="H197" s="2"/>
      <c r="I197" s="2"/>
      <c r="J197" s="2"/>
      <c r="K197" s="2"/>
      <c r="L197" s="2"/>
      <c r="M197" s="2"/>
      <c r="N197" s="2"/>
      <c r="O197" s="2"/>
    </row>
    <row r="198" customFormat="false" ht="15.75" hidden="false" customHeight="true" outlineLevel="0" collapsed="false">
      <c r="A198" s="2"/>
      <c r="B198" s="2"/>
      <c r="C198" s="2"/>
      <c r="D198" s="2"/>
      <c r="E198" s="2"/>
      <c r="F198" s="2"/>
      <c r="G198" s="2"/>
      <c r="H198" s="2"/>
      <c r="I198" s="2"/>
      <c r="J198" s="2"/>
      <c r="K198" s="2"/>
      <c r="L198" s="2"/>
      <c r="M198" s="2"/>
      <c r="N198" s="2"/>
      <c r="O198" s="2"/>
    </row>
    <row r="199" customFormat="false" ht="15.75" hidden="false" customHeight="true" outlineLevel="0" collapsed="false">
      <c r="A199" s="2"/>
      <c r="B199" s="2"/>
      <c r="C199" s="2"/>
      <c r="D199" s="2"/>
      <c r="E199" s="2"/>
      <c r="F199" s="2"/>
      <c r="G199" s="2"/>
      <c r="H199" s="2"/>
      <c r="I199" s="2"/>
      <c r="J199" s="2"/>
      <c r="K199" s="2"/>
      <c r="L199" s="2"/>
      <c r="M199" s="2"/>
      <c r="N199" s="2"/>
      <c r="O199" s="2"/>
    </row>
    <row r="200" customFormat="false" ht="15.75" hidden="false" customHeight="true" outlineLevel="0" collapsed="false">
      <c r="A200" s="2"/>
      <c r="B200" s="2"/>
      <c r="C200" s="2"/>
      <c r="D200" s="2"/>
      <c r="E200" s="2"/>
      <c r="F200" s="2"/>
      <c r="G200" s="2"/>
      <c r="H200" s="2"/>
      <c r="I200" s="2"/>
      <c r="J200" s="2"/>
      <c r="K200" s="2"/>
      <c r="L200" s="2"/>
      <c r="M200" s="2"/>
      <c r="N200" s="2"/>
      <c r="O200" s="2"/>
    </row>
    <row r="201" customFormat="false" ht="15.75" hidden="false" customHeight="true" outlineLevel="0" collapsed="false">
      <c r="A201" s="2"/>
      <c r="B201" s="2"/>
      <c r="C201" s="2"/>
      <c r="D201" s="2"/>
      <c r="E201" s="2"/>
      <c r="F201" s="2"/>
      <c r="G201" s="2"/>
      <c r="H201" s="2"/>
      <c r="I201" s="2"/>
      <c r="J201" s="2"/>
      <c r="K201" s="2"/>
      <c r="L201" s="2"/>
      <c r="M201" s="2"/>
      <c r="N201" s="2"/>
      <c r="O201" s="2"/>
    </row>
    <row r="202" customFormat="false" ht="15.75" hidden="false" customHeight="true" outlineLevel="0" collapsed="false">
      <c r="A202" s="2"/>
      <c r="B202" s="2"/>
      <c r="C202" s="2"/>
      <c r="D202" s="2"/>
      <c r="E202" s="2"/>
      <c r="F202" s="2"/>
      <c r="G202" s="2"/>
      <c r="H202" s="2"/>
      <c r="I202" s="2"/>
      <c r="J202" s="2"/>
      <c r="K202" s="2"/>
      <c r="L202" s="2"/>
      <c r="M202" s="2"/>
      <c r="N202" s="2"/>
      <c r="O202" s="2"/>
    </row>
    <row r="203" customFormat="false" ht="15.75" hidden="false" customHeight="true" outlineLevel="0" collapsed="false">
      <c r="A203" s="2"/>
      <c r="B203" s="2"/>
      <c r="C203" s="2"/>
      <c r="D203" s="2"/>
      <c r="E203" s="2"/>
      <c r="F203" s="2"/>
      <c r="G203" s="2"/>
      <c r="H203" s="2"/>
      <c r="I203" s="2"/>
      <c r="J203" s="2"/>
      <c r="K203" s="2"/>
      <c r="L203" s="2"/>
      <c r="M203" s="2"/>
      <c r="N203" s="2"/>
      <c r="O203" s="2"/>
    </row>
    <row r="204" customFormat="false" ht="15.75" hidden="false" customHeight="true" outlineLevel="0" collapsed="false">
      <c r="A204" s="2"/>
      <c r="B204" s="2"/>
      <c r="C204" s="2"/>
      <c r="D204" s="2"/>
      <c r="E204" s="2"/>
      <c r="F204" s="2"/>
      <c r="G204" s="2"/>
      <c r="H204" s="2"/>
      <c r="I204" s="2"/>
      <c r="J204" s="2"/>
      <c r="K204" s="2"/>
      <c r="L204" s="2"/>
      <c r="M204" s="2"/>
      <c r="N204" s="2"/>
      <c r="O204" s="2"/>
    </row>
    <row r="205" customFormat="false" ht="15.75" hidden="false" customHeight="true" outlineLevel="0" collapsed="false">
      <c r="A205" s="2"/>
      <c r="B205" s="2"/>
      <c r="C205" s="2"/>
      <c r="D205" s="2"/>
      <c r="E205" s="2"/>
      <c r="F205" s="2"/>
      <c r="G205" s="2"/>
      <c r="H205" s="2"/>
      <c r="I205" s="2"/>
      <c r="J205" s="2"/>
      <c r="K205" s="2"/>
      <c r="L205" s="2"/>
      <c r="M205" s="2"/>
      <c r="N205" s="2"/>
      <c r="O205" s="2"/>
    </row>
    <row r="206" customFormat="false" ht="15.75" hidden="false" customHeight="true" outlineLevel="0" collapsed="false">
      <c r="A206" s="2"/>
      <c r="B206" s="2"/>
      <c r="C206" s="2"/>
      <c r="D206" s="2"/>
      <c r="E206" s="2"/>
      <c r="F206" s="2"/>
      <c r="G206" s="2"/>
      <c r="H206" s="2"/>
      <c r="I206" s="2"/>
      <c r="J206" s="2"/>
      <c r="K206" s="2"/>
      <c r="L206" s="2"/>
      <c r="M206" s="2"/>
      <c r="N206" s="2"/>
      <c r="O206" s="2"/>
    </row>
    <row r="207" customFormat="false" ht="15.75" hidden="false" customHeight="true" outlineLevel="0" collapsed="false">
      <c r="A207" s="2"/>
      <c r="B207" s="2"/>
      <c r="C207" s="2"/>
      <c r="D207" s="2"/>
      <c r="E207" s="2"/>
      <c r="F207" s="2"/>
      <c r="G207" s="2"/>
      <c r="H207" s="2"/>
      <c r="I207" s="2"/>
      <c r="J207" s="2"/>
      <c r="K207" s="2"/>
      <c r="L207" s="2"/>
      <c r="M207" s="2"/>
      <c r="N207" s="2"/>
      <c r="O207" s="2"/>
    </row>
    <row r="208" customFormat="false" ht="15.75" hidden="false" customHeight="true" outlineLevel="0" collapsed="false">
      <c r="A208" s="2"/>
      <c r="B208" s="2"/>
      <c r="C208" s="2"/>
      <c r="D208" s="2"/>
      <c r="E208" s="2"/>
      <c r="F208" s="2"/>
      <c r="G208" s="2"/>
      <c r="H208" s="2"/>
      <c r="I208" s="2"/>
      <c r="J208" s="2"/>
      <c r="K208" s="2"/>
      <c r="L208" s="2"/>
      <c r="M208" s="2"/>
      <c r="N208" s="2"/>
      <c r="O208" s="2"/>
    </row>
    <row r="209" customFormat="false" ht="15.75" hidden="false" customHeight="true" outlineLevel="0" collapsed="false">
      <c r="A209" s="2"/>
      <c r="B209" s="2"/>
      <c r="C209" s="2"/>
      <c r="D209" s="2"/>
      <c r="E209" s="2"/>
      <c r="F209" s="2"/>
      <c r="G209" s="2"/>
      <c r="H209" s="2"/>
      <c r="I209" s="2"/>
      <c r="J209" s="2"/>
      <c r="K209" s="2"/>
      <c r="L209" s="2"/>
      <c r="M209" s="2"/>
      <c r="N209" s="2"/>
      <c r="O209" s="2"/>
    </row>
    <row r="210" customFormat="false" ht="15.75" hidden="false" customHeight="true" outlineLevel="0" collapsed="false">
      <c r="A210" s="2"/>
      <c r="B210" s="2"/>
      <c r="C210" s="2"/>
      <c r="D210" s="2"/>
      <c r="E210" s="2"/>
      <c r="F210" s="2"/>
      <c r="G210" s="2"/>
      <c r="H210" s="2"/>
      <c r="I210" s="2"/>
      <c r="J210" s="2"/>
      <c r="K210" s="2"/>
      <c r="L210" s="2"/>
      <c r="M210" s="2"/>
      <c r="N210" s="2"/>
      <c r="O210" s="2"/>
    </row>
    <row r="211" customFormat="false" ht="15.75" hidden="false" customHeight="true" outlineLevel="0" collapsed="false">
      <c r="A211" s="2"/>
      <c r="B211" s="2"/>
      <c r="C211" s="2"/>
      <c r="D211" s="2"/>
      <c r="E211" s="2"/>
      <c r="F211" s="2"/>
      <c r="G211" s="2"/>
      <c r="H211" s="2"/>
      <c r="I211" s="2"/>
      <c r="J211" s="2"/>
      <c r="K211" s="2"/>
      <c r="L211" s="2"/>
      <c r="M211" s="2"/>
      <c r="N211" s="2"/>
      <c r="O211" s="2"/>
    </row>
    <row r="212" customFormat="false" ht="15.75" hidden="false" customHeight="true" outlineLevel="0" collapsed="false">
      <c r="A212" s="2"/>
      <c r="B212" s="2"/>
      <c r="C212" s="2"/>
      <c r="D212" s="2"/>
      <c r="E212" s="2"/>
      <c r="F212" s="2"/>
      <c r="G212" s="2"/>
      <c r="H212" s="2"/>
      <c r="I212" s="2"/>
      <c r="J212" s="2"/>
      <c r="K212" s="2"/>
      <c r="L212" s="2"/>
      <c r="M212" s="2"/>
      <c r="N212" s="2"/>
      <c r="O212" s="2"/>
    </row>
    <row r="213" customFormat="false" ht="15.75" hidden="false" customHeight="true" outlineLevel="0" collapsed="false">
      <c r="A213" s="2"/>
      <c r="B213" s="2"/>
      <c r="C213" s="2"/>
      <c r="D213" s="2"/>
      <c r="E213" s="2"/>
      <c r="F213" s="2"/>
      <c r="G213" s="2"/>
      <c r="H213" s="2"/>
      <c r="I213" s="2"/>
      <c r="J213" s="2"/>
      <c r="K213" s="2"/>
      <c r="L213" s="2"/>
      <c r="M213" s="2"/>
      <c r="N213" s="2"/>
      <c r="O213" s="2"/>
    </row>
    <row r="214" customFormat="false" ht="15.75" hidden="false" customHeight="true" outlineLevel="0" collapsed="false">
      <c r="A214" s="2"/>
      <c r="B214" s="2"/>
      <c r="C214" s="2"/>
      <c r="D214" s="2"/>
      <c r="E214" s="2"/>
      <c r="F214" s="2"/>
      <c r="G214" s="2"/>
      <c r="H214" s="2"/>
      <c r="I214" s="2"/>
      <c r="J214" s="2"/>
      <c r="K214" s="2"/>
      <c r="L214" s="2"/>
      <c r="M214" s="2"/>
      <c r="N214" s="2"/>
      <c r="O214" s="2"/>
    </row>
    <row r="215" customFormat="false" ht="15.75" hidden="false" customHeight="true" outlineLevel="0" collapsed="false">
      <c r="A215" s="2"/>
      <c r="B215" s="2"/>
      <c r="C215" s="2"/>
      <c r="D215" s="2"/>
      <c r="E215" s="2"/>
      <c r="F215" s="2"/>
      <c r="G215" s="2"/>
      <c r="H215" s="2"/>
      <c r="I215" s="2"/>
      <c r="J215" s="2"/>
      <c r="K215" s="2"/>
      <c r="L215" s="2"/>
      <c r="M215" s="2"/>
      <c r="N215" s="2"/>
      <c r="O215" s="2"/>
    </row>
    <row r="216" customFormat="false" ht="15.75" hidden="false" customHeight="true" outlineLevel="0" collapsed="false">
      <c r="A216" s="2"/>
      <c r="B216" s="2"/>
      <c r="C216" s="2"/>
      <c r="D216" s="2"/>
      <c r="E216" s="2"/>
      <c r="F216" s="2"/>
      <c r="G216" s="2"/>
      <c r="H216" s="2"/>
      <c r="I216" s="2"/>
      <c r="J216" s="2"/>
      <c r="K216" s="2"/>
      <c r="L216" s="2"/>
      <c r="M216" s="2"/>
      <c r="N216" s="2"/>
      <c r="O216" s="2"/>
    </row>
    <row r="217" customFormat="false" ht="15.75" hidden="false" customHeight="true" outlineLevel="0" collapsed="false">
      <c r="A217" s="2"/>
      <c r="B217" s="2"/>
      <c r="C217" s="2"/>
      <c r="D217" s="2"/>
      <c r="E217" s="2"/>
      <c r="F217" s="2"/>
      <c r="G217" s="2"/>
      <c r="H217" s="2"/>
      <c r="I217" s="2"/>
      <c r="J217" s="2"/>
      <c r="K217" s="2"/>
      <c r="L217" s="2"/>
      <c r="M217" s="2"/>
      <c r="N217" s="2"/>
      <c r="O217" s="2"/>
    </row>
    <row r="218" customFormat="false" ht="15.75" hidden="false" customHeight="true" outlineLevel="0" collapsed="false">
      <c r="A218" s="2"/>
      <c r="B218" s="2"/>
      <c r="C218" s="2"/>
      <c r="D218" s="2"/>
      <c r="E218" s="2"/>
      <c r="F218" s="2"/>
      <c r="G218" s="2"/>
      <c r="H218" s="2"/>
      <c r="I218" s="2"/>
      <c r="J218" s="2"/>
      <c r="K218" s="2"/>
      <c r="L218" s="2"/>
      <c r="M218" s="2"/>
      <c r="N218" s="2"/>
      <c r="O218" s="2"/>
    </row>
    <row r="219" customFormat="false" ht="15.75" hidden="false" customHeight="true" outlineLevel="0" collapsed="false">
      <c r="A219" s="2"/>
      <c r="B219" s="2"/>
      <c r="C219" s="2"/>
      <c r="D219" s="2"/>
      <c r="E219" s="2"/>
      <c r="F219" s="2"/>
      <c r="G219" s="2"/>
      <c r="H219" s="2"/>
      <c r="I219" s="2"/>
      <c r="J219" s="2"/>
      <c r="K219" s="2"/>
      <c r="L219" s="2"/>
      <c r="M219" s="2"/>
      <c r="N219" s="2"/>
      <c r="O219" s="2"/>
    </row>
    <row r="220" customFormat="false" ht="15.75" hidden="false" customHeight="true" outlineLevel="0" collapsed="false">
      <c r="A220" s="2"/>
      <c r="B220" s="2"/>
      <c r="C220" s="2"/>
      <c r="D220" s="2"/>
      <c r="E220" s="2"/>
      <c r="F220" s="2"/>
      <c r="G220" s="2"/>
      <c r="H220" s="2"/>
      <c r="I220" s="2"/>
      <c r="J220" s="2"/>
      <c r="K220" s="2"/>
      <c r="L220" s="2"/>
      <c r="M220" s="2"/>
      <c r="N220" s="2"/>
      <c r="O220" s="2"/>
    </row>
    <row r="221" customFormat="false" ht="15.75" hidden="false" customHeight="true" outlineLevel="0" collapsed="false">
      <c r="A221" s="2"/>
      <c r="B221" s="2"/>
      <c r="C221" s="2"/>
      <c r="D221" s="2"/>
      <c r="E221" s="2"/>
      <c r="F221" s="2"/>
      <c r="G221" s="2"/>
      <c r="H221" s="2"/>
      <c r="I221" s="2"/>
      <c r="J221" s="2"/>
      <c r="K221" s="2"/>
      <c r="L221" s="2"/>
      <c r="M221" s="2"/>
      <c r="N221" s="2"/>
      <c r="O221" s="2"/>
    </row>
    <row r="222" customFormat="false" ht="15.75" hidden="false" customHeight="true" outlineLevel="0" collapsed="false">
      <c r="A222" s="2"/>
      <c r="B222" s="2"/>
      <c r="C222" s="2"/>
      <c r="D222" s="2"/>
      <c r="E222" s="2"/>
      <c r="F222" s="2"/>
      <c r="G222" s="2"/>
      <c r="H222" s="2"/>
      <c r="I222" s="2"/>
      <c r="J222" s="2"/>
      <c r="K222" s="2"/>
      <c r="L222" s="2"/>
      <c r="M222" s="2"/>
      <c r="N222" s="2"/>
      <c r="O222" s="2"/>
    </row>
    <row r="223" customFormat="false" ht="15.75" hidden="false" customHeight="true" outlineLevel="0" collapsed="false">
      <c r="A223" s="2"/>
      <c r="B223" s="2"/>
      <c r="C223" s="2"/>
      <c r="D223" s="2"/>
      <c r="E223" s="2"/>
      <c r="F223" s="2"/>
      <c r="G223" s="2"/>
      <c r="H223" s="2"/>
      <c r="I223" s="2"/>
      <c r="J223" s="2"/>
      <c r="K223" s="2"/>
      <c r="L223" s="2"/>
      <c r="M223" s="2"/>
      <c r="N223" s="2"/>
      <c r="O223" s="2"/>
    </row>
    <row r="224" customFormat="false" ht="15.75" hidden="false" customHeight="true" outlineLevel="0" collapsed="false">
      <c r="A224" s="2"/>
      <c r="B224" s="2"/>
      <c r="C224" s="2"/>
      <c r="D224" s="2"/>
      <c r="E224" s="2"/>
      <c r="F224" s="2"/>
      <c r="G224" s="2"/>
      <c r="H224" s="2"/>
      <c r="I224" s="2"/>
      <c r="J224" s="2"/>
      <c r="K224" s="2"/>
      <c r="L224" s="2"/>
      <c r="M224" s="2"/>
      <c r="N224" s="2"/>
      <c r="O224" s="2"/>
    </row>
    <row r="225" customFormat="false" ht="15.75" hidden="false" customHeight="true" outlineLevel="0" collapsed="false">
      <c r="A225" s="2"/>
      <c r="B225" s="2"/>
      <c r="C225" s="2"/>
      <c r="D225" s="2"/>
      <c r="E225" s="2"/>
      <c r="F225" s="2"/>
      <c r="G225" s="2"/>
      <c r="H225" s="2"/>
      <c r="I225" s="2"/>
      <c r="J225" s="2"/>
      <c r="K225" s="2"/>
      <c r="L225" s="2"/>
      <c r="M225" s="2"/>
      <c r="N225" s="2"/>
      <c r="O225" s="2"/>
    </row>
    <row r="226" customFormat="false" ht="15.75" hidden="false" customHeight="true" outlineLevel="0" collapsed="false">
      <c r="A226" s="2"/>
      <c r="B226" s="2"/>
      <c r="C226" s="2"/>
      <c r="D226" s="2"/>
      <c r="E226" s="2"/>
      <c r="F226" s="2"/>
      <c r="G226" s="2"/>
      <c r="H226" s="2"/>
      <c r="I226" s="2"/>
      <c r="J226" s="2"/>
      <c r="K226" s="2"/>
      <c r="L226" s="2"/>
      <c r="M226" s="2"/>
      <c r="N226" s="2"/>
      <c r="O226" s="2"/>
    </row>
    <row r="227" customFormat="false" ht="15.75" hidden="false" customHeight="true" outlineLevel="0" collapsed="false">
      <c r="A227" s="2"/>
      <c r="B227" s="2"/>
      <c r="C227" s="2"/>
      <c r="D227" s="2"/>
      <c r="E227" s="2"/>
      <c r="F227" s="2"/>
      <c r="G227" s="2"/>
      <c r="H227" s="2"/>
      <c r="I227" s="2"/>
      <c r="J227" s="2"/>
      <c r="K227" s="2"/>
      <c r="L227" s="2"/>
      <c r="M227" s="2"/>
      <c r="N227" s="2"/>
      <c r="O227" s="2"/>
    </row>
    <row r="228" customFormat="false" ht="15.75" hidden="false" customHeight="true" outlineLevel="0" collapsed="false">
      <c r="A228" s="2"/>
      <c r="B228" s="2"/>
      <c r="C228" s="2"/>
      <c r="D228" s="2"/>
      <c r="E228" s="2"/>
      <c r="F228" s="2"/>
      <c r="G228" s="2"/>
      <c r="H228" s="2"/>
      <c r="I228" s="2"/>
      <c r="J228" s="2"/>
      <c r="K228" s="2"/>
      <c r="L228" s="2"/>
      <c r="M228" s="2"/>
      <c r="N228" s="2"/>
      <c r="O228" s="2"/>
    </row>
    <row r="229" customFormat="false" ht="15.75" hidden="false" customHeight="true" outlineLevel="0" collapsed="false">
      <c r="A229" s="2"/>
      <c r="B229" s="2"/>
      <c r="C229" s="2"/>
      <c r="D229" s="2"/>
      <c r="E229" s="2"/>
      <c r="F229" s="2"/>
      <c r="G229" s="2"/>
      <c r="H229" s="2"/>
      <c r="I229" s="2"/>
      <c r="J229" s="2"/>
      <c r="K229" s="2"/>
      <c r="L229" s="2"/>
      <c r="M229" s="2"/>
      <c r="N229" s="2"/>
      <c r="O229" s="2"/>
    </row>
    <row r="230" customFormat="false" ht="15.75" hidden="false" customHeight="true" outlineLevel="0" collapsed="false">
      <c r="A230" s="2"/>
      <c r="B230" s="2"/>
      <c r="C230" s="2"/>
      <c r="D230" s="2"/>
      <c r="E230" s="2"/>
      <c r="F230" s="2"/>
      <c r="G230" s="2"/>
      <c r="H230" s="2"/>
      <c r="I230" s="2"/>
      <c r="J230" s="2"/>
      <c r="K230" s="2"/>
      <c r="L230" s="2"/>
      <c r="M230" s="2"/>
      <c r="N230" s="2"/>
      <c r="O230" s="2"/>
    </row>
    <row r="231" customFormat="false" ht="15.75" hidden="false" customHeight="true" outlineLevel="0" collapsed="false">
      <c r="A231" s="2"/>
      <c r="B231" s="2"/>
      <c r="C231" s="2"/>
      <c r="D231" s="2"/>
      <c r="E231" s="2"/>
      <c r="F231" s="2"/>
      <c r="G231" s="2"/>
      <c r="H231" s="2"/>
      <c r="I231" s="2"/>
      <c r="J231" s="2"/>
      <c r="K231" s="2"/>
      <c r="L231" s="2"/>
      <c r="M231" s="2"/>
      <c r="N231" s="2"/>
      <c r="O231" s="2"/>
    </row>
    <row r="232" customFormat="false" ht="15.75" hidden="false" customHeight="true" outlineLevel="0" collapsed="false">
      <c r="A232" s="2"/>
      <c r="B232" s="2"/>
      <c r="C232" s="2"/>
      <c r="D232" s="2"/>
      <c r="E232" s="2"/>
      <c r="F232" s="2"/>
      <c r="G232" s="2"/>
      <c r="H232" s="2"/>
      <c r="I232" s="2"/>
      <c r="J232" s="2"/>
      <c r="K232" s="2"/>
      <c r="L232" s="2"/>
      <c r="M232" s="2"/>
      <c r="N232" s="2"/>
      <c r="O232" s="2"/>
    </row>
    <row r="233" customFormat="false" ht="15.75" hidden="false" customHeight="true" outlineLevel="0" collapsed="false">
      <c r="A233" s="2"/>
      <c r="B233" s="2"/>
      <c r="C233" s="2"/>
      <c r="D233" s="2"/>
      <c r="E233" s="2"/>
      <c r="F233" s="2"/>
      <c r="G233" s="2"/>
      <c r="H233" s="2"/>
      <c r="I233" s="2"/>
      <c r="J233" s="2"/>
      <c r="K233" s="2"/>
      <c r="L233" s="2"/>
      <c r="M233" s="2"/>
      <c r="N233" s="2"/>
      <c r="O233" s="2"/>
    </row>
    <row r="234" customFormat="false" ht="15.75" hidden="false" customHeight="true" outlineLevel="0" collapsed="false">
      <c r="A234" s="2"/>
      <c r="B234" s="2"/>
      <c r="C234" s="2"/>
      <c r="D234" s="2"/>
      <c r="E234" s="2"/>
      <c r="F234" s="2"/>
      <c r="G234" s="2"/>
      <c r="H234" s="2"/>
      <c r="I234" s="2"/>
      <c r="J234" s="2"/>
      <c r="K234" s="2"/>
      <c r="L234" s="2"/>
      <c r="M234" s="2"/>
      <c r="N234" s="2"/>
      <c r="O234" s="2"/>
    </row>
    <row r="235" customFormat="false" ht="15.75" hidden="false" customHeight="true" outlineLevel="0" collapsed="false">
      <c r="A235" s="2"/>
      <c r="B235" s="2"/>
      <c r="C235" s="2"/>
      <c r="D235" s="2"/>
      <c r="E235" s="2"/>
      <c r="F235" s="2"/>
      <c r="G235" s="2"/>
      <c r="H235" s="2"/>
      <c r="I235" s="2"/>
      <c r="J235" s="2"/>
      <c r="K235" s="2"/>
      <c r="L235" s="2"/>
      <c r="M235" s="2"/>
      <c r="N235" s="2"/>
      <c r="O235" s="2"/>
    </row>
    <row r="236" customFormat="false" ht="15.75" hidden="false" customHeight="true" outlineLevel="0" collapsed="false">
      <c r="A236" s="2"/>
      <c r="B236" s="2"/>
      <c r="C236" s="2"/>
      <c r="D236" s="2"/>
      <c r="E236" s="2"/>
      <c r="F236" s="2"/>
      <c r="G236" s="2"/>
      <c r="H236" s="2"/>
      <c r="I236" s="2"/>
      <c r="J236" s="2"/>
      <c r="K236" s="2"/>
      <c r="L236" s="2"/>
      <c r="M236" s="2"/>
      <c r="N236" s="2"/>
      <c r="O236" s="2"/>
    </row>
    <row r="237" customFormat="false" ht="15.75" hidden="false" customHeight="true" outlineLevel="0" collapsed="false">
      <c r="A237" s="2"/>
      <c r="B237" s="2"/>
      <c r="C237" s="2"/>
      <c r="D237" s="2"/>
      <c r="E237" s="2"/>
      <c r="F237" s="2"/>
      <c r="G237" s="2"/>
      <c r="H237" s="2"/>
      <c r="I237" s="2"/>
      <c r="J237" s="2"/>
      <c r="K237" s="2"/>
      <c r="L237" s="2"/>
      <c r="M237" s="2"/>
      <c r="N237" s="2"/>
      <c r="O237" s="2"/>
    </row>
    <row r="238" customFormat="false" ht="15.75" hidden="false" customHeight="true" outlineLevel="0" collapsed="false">
      <c r="A238" s="2"/>
      <c r="B238" s="2"/>
      <c r="C238" s="2"/>
      <c r="D238" s="2"/>
      <c r="E238" s="2"/>
      <c r="F238" s="2"/>
      <c r="G238" s="2"/>
      <c r="H238" s="2"/>
      <c r="I238" s="2"/>
      <c r="J238" s="2"/>
      <c r="K238" s="2"/>
      <c r="L238" s="2"/>
      <c r="M238" s="2"/>
      <c r="N238" s="2"/>
      <c r="O238" s="2"/>
    </row>
    <row r="239" customFormat="false" ht="15.75" hidden="false" customHeight="true" outlineLevel="0" collapsed="false">
      <c r="A239" s="2"/>
      <c r="B239" s="2"/>
      <c r="C239" s="2"/>
      <c r="D239" s="2"/>
      <c r="E239" s="2"/>
      <c r="F239" s="2"/>
      <c r="G239" s="2"/>
      <c r="H239" s="2"/>
      <c r="I239" s="2"/>
      <c r="J239" s="2"/>
      <c r="K239" s="2"/>
      <c r="L239" s="2"/>
      <c r="M239" s="2"/>
      <c r="N239" s="2"/>
      <c r="O239" s="2"/>
    </row>
    <row r="240" customFormat="false" ht="15.75" hidden="false" customHeight="true" outlineLevel="0" collapsed="false">
      <c r="A240" s="2"/>
      <c r="B240" s="2"/>
      <c r="C240" s="2"/>
      <c r="D240" s="2"/>
      <c r="E240" s="2"/>
      <c r="F240" s="2"/>
      <c r="G240" s="2"/>
      <c r="H240" s="2"/>
      <c r="I240" s="2"/>
      <c r="J240" s="2"/>
      <c r="K240" s="2"/>
      <c r="L240" s="2"/>
      <c r="M240" s="2"/>
      <c r="N240" s="2"/>
      <c r="O240" s="2"/>
    </row>
    <row r="241" customFormat="false" ht="15.75" hidden="false" customHeight="true" outlineLevel="0" collapsed="false">
      <c r="A241" s="2"/>
      <c r="B241" s="2"/>
      <c r="C241" s="2"/>
      <c r="D241" s="2"/>
      <c r="E241" s="2"/>
      <c r="F241" s="2"/>
      <c r="G241" s="2"/>
      <c r="H241" s="2"/>
      <c r="I241" s="2"/>
      <c r="J241" s="2"/>
      <c r="K241" s="2"/>
      <c r="L241" s="2"/>
      <c r="M241" s="2"/>
      <c r="N241" s="2"/>
      <c r="O241" s="2"/>
    </row>
    <row r="242" customFormat="false" ht="15.75" hidden="false" customHeight="true" outlineLevel="0" collapsed="false">
      <c r="A242" s="2"/>
      <c r="B242" s="2"/>
      <c r="C242" s="2"/>
      <c r="D242" s="2"/>
      <c r="E242" s="2"/>
      <c r="F242" s="2"/>
      <c r="G242" s="2"/>
      <c r="H242" s="2"/>
      <c r="I242" s="2"/>
      <c r="J242" s="2"/>
      <c r="K242" s="2"/>
      <c r="L242" s="2"/>
      <c r="M242" s="2"/>
      <c r="N242" s="2"/>
      <c r="O242" s="2"/>
    </row>
    <row r="243" customFormat="false" ht="15.75" hidden="false" customHeight="true" outlineLevel="0" collapsed="false">
      <c r="A243" s="2"/>
      <c r="B243" s="2"/>
      <c r="C243" s="2"/>
      <c r="D243" s="2"/>
      <c r="E243" s="2"/>
      <c r="F243" s="2"/>
      <c r="G243" s="2"/>
      <c r="H243" s="2"/>
      <c r="I243" s="2"/>
      <c r="J243" s="2"/>
      <c r="K243" s="2"/>
      <c r="L243" s="2"/>
      <c r="M243" s="2"/>
      <c r="N243" s="2"/>
      <c r="O243" s="2"/>
    </row>
    <row r="244" customFormat="false" ht="15.75" hidden="false" customHeight="true" outlineLevel="0" collapsed="false">
      <c r="A244" s="2"/>
      <c r="B244" s="2"/>
      <c r="C244" s="2"/>
      <c r="D244" s="2"/>
      <c r="E244" s="2"/>
      <c r="F244" s="2"/>
      <c r="G244" s="2"/>
      <c r="H244" s="2"/>
      <c r="I244" s="2"/>
      <c r="J244" s="2"/>
      <c r="K244" s="2"/>
      <c r="L244" s="2"/>
      <c r="M244" s="2"/>
      <c r="N244" s="2"/>
      <c r="O244" s="2"/>
    </row>
    <row r="245" customFormat="false" ht="15.75" hidden="false" customHeight="true" outlineLevel="0" collapsed="false">
      <c r="A245" s="2"/>
      <c r="B245" s="2"/>
      <c r="C245" s="2"/>
      <c r="D245" s="2"/>
      <c r="E245" s="2"/>
      <c r="F245" s="2"/>
      <c r="G245" s="2"/>
      <c r="H245" s="2"/>
      <c r="I245" s="2"/>
      <c r="J245" s="2"/>
      <c r="K245" s="2"/>
      <c r="L245" s="2"/>
      <c r="M245" s="2"/>
      <c r="N245" s="2"/>
      <c r="O245" s="2"/>
    </row>
    <row r="246" customFormat="false" ht="15.75" hidden="false" customHeight="true" outlineLevel="0" collapsed="false">
      <c r="A246" s="2"/>
      <c r="B246" s="2"/>
      <c r="C246" s="2"/>
      <c r="D246" s="2"/>
      <c r="E246" s="2"/>
      <c r="F246" s="2"/>
      <c r="G246" s="2"/>
      <c r="H246" s="2"/>
      <c r="I246" s="2"/>
      <c r="J246" s="2"/>
      <c r="K246" s="2"/>
      <c r="L246" s="2"/>
      <c r="M246" s="2"/>
      <c r="N246" s="2"/>
      <c r="O246" s="2"/>
    </row>
    <row r="247" customFormat="false" ht="15.75" hidden="false" customHeight="true" outlineLevel="0" collapsed="false">
      <c r="A247" s="2"/>
      <c r="B247" s="2"/>
      <c r="C247" s="2"/>
      <c r="D247" s="2"/>
      <c r="E247" s="2"/>
      <c r="F247" s="2"/>
      <c r="G247" s="2"/>
      <c r="H247" s="2"/>
      <c r="I247" s="2"/>
      <c r="J247" s="2"/>
      <c r="K247" s="2"/>
      <c r="L247" s="2"/>
      <c r="M247" s="2"/>
      <c r="N247" s="2"/>
      <c r="O247" s="2"/>
    </row>
    <row r="248" customFormat="false" ht="15.75" hidden="false" customHeight="true" outlineLevel="0" collapsed="false">
      <c r="A248" s="2"/>
      <c r="B248" s="2"/>
      <c r="C248" s="2"/>
      <c r="D248" s="2"/>
      <c r="E248" s="2"/>
      <c r="F248" s="2"/>
      <c r="G248" s="2"/>
      <c r="H248" s="2"/>
      <c r="I248" s="2"/>
      <c r="J248" s="2"/>
      <c r="K248" s="2"/>
      <c r="L248" s="2"/>
      <c r="M248" s="2"/>
      <c r="N248" s="2"/>
      <c r="O248" s="2"/>
    </row>
    <row r="249" customFormat="false" ht="15.75" hidden="false" customHeight="true" outlineLevel="0" collapsed="false">
      <c r="A249" s="2"/>
      <c r="B249" s="2"/>
      <c r="C249" s="2"/>
      <c r="D249" s="2"/>
      <c r="E249" s="2"/>
      <c r="F249" s="2"/>
      <c r="G249" s="2"/>
      <c r="H249" s="2"/>
      <c r="I249" s="2"/>
      <c r="J249" s="2"/>
      <c r="K249" s="2"/>
      <c r="L249" s="2"/>
      <c r="M249" s="2"/>
      <c r="N249" s="2"/>
      <c r="O249" s="2"/>
    </row>
    <row r="250" customFormat="false" ht="15.75" hidden="false" customHeight="true" outlineLevel="0" collapsed="false">
      <c r="A250" s="2"/>
      <c r="B250" s="2"/>
      <c r="C250" s="2"/>
      <c r="D250" s="2"/>
      <c r="E250" s="2"/>
      <c r="F250" s="2"/>
      <c r="G250" s="2"/>
      <c r="H250" s="2"/>
      <c r="I250" s="2"/>
      <c r="J250" s="2"/>
      <c r="K250" s="2"/>
      <c r="L250" s="2"/>
      <c r="M250" s="2"/>
      <c r="N250" s="2"/>
      <c r="O250" s="2"/>
    </row>
    <row r="251" customFormat="false" ht="15.75" hidden="false" customHeight="true" outlineLevel="0" collapsed="false">
      <c r="A251" s="2"/>
      <c r="B251" s="2"/>
      <c r="C251" s="2"/>
      <c r="D251" s="2"/>
      <c r="E251" s="2"/>
      <c r="F251" s="2"/>
      <c r="G251" s="2"/>
      <c r="H251" s="2"/>
      <c r="I251" s="2"/>
      <c r="J251" s="2"/>
      <c r="K251" s="2"/>
      <c r="L251" s="2"/>
      <c r="M251" s="2"/>
      <c r="N251" s="2"/>
      <c r="O251" s="2"/>
    </row>
    <row r="252" customFormat="false" ht="15.75" hidden="false" customHeight="true" outlineLevel="0" collapsed="false">
      <c r="A252" s="2"/>
      <c r="B252" s="2"/>
      <c r="C252" s="2"/>
      <c r="D252" s="2"/>
      <c r="E252" s="2"/>
      <c r="F252" s="2"/>
      <c r="G252" s="2"/>
      <c r="H252" s="2"/>
      <c r="I252" s="2"/>
      <c r="J252" s="2"/>
      <c r="K252" s="2"/>
      <c r="L252" s="2"/>
      <c r="M252" s="2"/>
      <c r="N252" s="2"/>
      <c r="O252" s="2"/>
    </row>
    <row r="253" customFormat="false" ht="15.75" hidden="false" customHeight="true" outlineLevel="0" collapsed="false">
      <c r="A253" s="2"/>
      <c r="B253" s="2"/>
      <c r="C253" s="2"/>
      <c r="D253" s="2"/>
      <c r="E253" s="2"/>
      <c r="F253" s="2"/>
      <c r="G253" s="2"/>
      <c r="H253" s="2"/>
      <c r="I253" s="2"/>
      <c r="J253" s="2"/>
      <c r="K253" s="2"/>
      <c r="L253" s="2"/>
      <c r="M253" s="2"/>
      <c r="N253" s="2"/>
      <c r="O253" s="2"/>
    </row>
    <row r="254" customFormat="false" ht="15.75" hidden="false" customHeight="true" outlineLevel="0" collapsed="false">
      <c r="A254" s="2"/>
      <c r="B254" s="2"/>
      <c r="C254" s="2"/>
      <c r="D254" s="2"/>
      <c r="E254" s="2"/>
      <c r="F254" s="2"/>
      <c r="G254" s="2"/>
      <c r="H254" s="2"/>
      <c r="I254" s="2"/>
      <c r="J254" s="2"/>
      <c r="K254" s="2"/>
      <c r="L254" s="2"/>
      <c r="M254" s="2"/>
      <c r="N254" s="2"/>
      <c r="O254" s="2"/>
    </row>
    <row r="255" customFormat="false" ht="15.75" hidden="false" customHeight="true" outlineLevel="0" collapsed="false">
      <c r="A255" s="2"/>
      <c r="B255" s="2"/>
      <c r="C255" s="2"/>
      <c r="D255" s="2"/>
      <c r="E255" s="2"/>
      <c r="F255" s="2"/>
      <c r="G255" s="2"/>
      <c r="H255" s="2"/>
      <c r="I255" s="2"/>
      <c r="J255" s="2"/>
      <c r="K255" s="2"/>
      <c r="L255" s="2"/>
      <c r="M255" s="2"/>
      <c r="N255" s="2"/>
      <c r="O255" s="2"/>
    </row>
    <row r="256" customFormat="false" ht="15.75" hidden="false" customHeight="true" outlineLevel="0" collapsed="false">
      <c r="A256" s="2"/>
      <c r="B256" s="2"/>
      <c r="C256" s="2"/>
      <c r="D256" s="2"/>
      <c r="E256" s="2"/>
      <c r="F256" s="2"/>
      <c r="G256" s="2"/>
      <c r="H256" s="2"/>
      <c r="I256" s="2"/>
      <c r="J256" s="2"/>
      <c r="K256" s="2"/>
      <c r="L256" s="2"/>
      <c r="M256" s="2"/>
      <c r="N256" s="2"/>
      <c r="O256" s="2"/>
    </row>
    <row r="257" customFormat="false" ht="15.75" hidden="false" customHeight="true" outlineLevel="0" collapsed="false">
      <c r="A257" s="2"/>
      <c r="B257" s="2"/>
      <c r="C257" s="2"/>
      <c r="D257" s="2"/>
      <c r="E257" s="2"/>
      <c r="F257" s="2"/>
      <c r="G257" s="2"/>
      <c r="H257" s="2"/>
      <c r="I257" s="2"/>
      <c r="J257" s="2"/>
      <c r="K257" s="2"/>
      <c r="L257" s="2"/>
      <c r="M257" s="2"/>
      <c r="N257" s="2"/>
      <c r="O257" s="2"/>
    </row>
    <row r="258" customFormat="false" ht="15.75" hidden="false" customHeight="true" outlineLevel="0" collapsed="false">
      <c r="A258" s="2"/>
      <c r="B258" s="2"/>
      <c r="C258" s="2"/>
      <c r="D258" s="2"/>
      <c r="E258" s="2"/>
      <c r="F258" s="2"/>
      <c r="G258" s="2"/>
      <c r="H258" s="2"/>
      <c r="I258" s="2"/>
      <c r="J258" s="2"/>
      <c r="K258" s="2"/>
      <c r="L258" s="2"/>
      <c r="M258" s="2"/>
      <c r="N258" s="2"/>
      <c r="O258" s="2"/>
    </row>
    <row r="259" customFormat="false" ht="15.75" hidden="false" customHeight="true" outlineLevel="0" collapsed="false">
      <c r="A259" s="2"/>
      <c r="B259" s="2"/>
      <c r="C259" s="2"/>
      <c r="D259" s="2"/>
      <c r="E259" s="2"/>
      <c r="F259" s="2"/>
      <c r="G259" s="2"/>
      <c r="H259" s="2"/>
      <c r="I259" s="2"/>
      <c r="J259" s="2"/>
      <c r="K259" s="2"/>
      <c r="L259" s="2"/>
      <c r="M259" s="2"/>
      <c r="N259" s="2"/>
      <c r="O259" s="2"/>
    </row>
    <row r="260" customFormat="false" ht="15.75" hidden="false" customHeight="true" outlineLevel="0" collapsed="false">
      <c r="A260" s="2"/>
      <c r="B260" s="2"/>
      <c r="C260" s="2"/>
      <c r="D260" s="2"/>
      <c r="E260" s="2"/>
      <c r="F260" s="2"/>
      <c r="G260" s="2"/>
      <c r="H260" s="2"/>
      <c r="I260" s="2"/>
      <c r="J260" s="2"/>
      <c r="K260" s="2"/>
      <c r="L260" s="2"/>
      <c r="M260" s="2"/>
      <c r="N260" s="2"/>
      <c r="O260" s="2"/>
    </row>
    <row r="261" customFormat="false" ht="15.75" hidden="false" customHeight="true" outlineLevel="0" collapsed="false">
      <c r="A261" s="2"/>
      <c r="B261" s="2"/>
      <c r="C261" s="2"/>
      <c r="D261" s="2"/>
      <c r="E261" s="2"/>
      <c r="F261" s="2"/>
      <c r="G261" s="2"/>
      <c r="H261" s="2"/>
      <c r="I261" s="2"/>
      <c r="J261" s="2"/>
      <c r="K261" s="2"/>
      <c r="L261" s="2"/>
      <c r="M261" s="2"/>
      <c r="N261" s="2"/>
      <c r="O261" s="2"/>
    </row>
    <row r="262" customFormat="false" ht="15.75" hidden="false" customHeight="true" outlineLevel="0" collapsed="false">
      <c r="A262" s="2"/>
      <c r="B262" s="2"/>
      <c r="C262" s="2"/>
      <c r="D262" s="2"/>
      <c r="E262" s="2"/>
      <c r="F262" s="2"/>
      <c r="G262" s="2"/>
      <c r="H262" s="2"/>
      <c r="I262" s="2"/>
      <c r="J262" s="2"/>
      <c r="K262" s="2"/>
      <c r="L262" s="2"/>
      <c r="M262" s="2"/>
      <c r="N262" s="2"/>
      <c r="O262" s="2"/>
    </row>
    <row r="263" customFormat="false" ht="15.75" hidden="false" customHeight="true" outlineLevel="0" collapsed="false">
      <c r="A263" s="2"/>
      <c r="B263" s="2"/>
      <c r="C263" s="2"/>
      <c r="D263" s="2"/>
      <c r="E263" s="2"/>
      <c r="F263" s="2"/>
      <c r="G263" s="2"/>
      <c r="H263" s="2"/>
      <c r="I263" s="2"/>
      <c r="J263" s="2"/>
      <c r="K263" s="2"/>
      <c r="L263" s="2"/>
      <c r="M263" s="2"/>
      <c r="N263" s="2"/>
      <c r="O263" s="2"/>
    </row>
    <row r="264" customFormat="false" ht="15.75" hidden="false" customHeight="true" outlineLevel="0" collapsed="false">
      <c r="A264" s="2"/>
      <c r="B264" s="2"/>
      <c r="C264" s="2"/>
      <c r="D264" s="2"/>
      <c r="E264" s="2"/>
      <c r="F264" s="2"/>
      <c r="G264" s="2"/>
      <c r="H264" s="2"/>
      <c r="I264" s="2"/>
      <c r="J264" s="2"/>
      <c r="K264" s="2"/>
      <c r="L264" s="2"/>
      <c r="M264" s="2"/>
      <c r="N264" s="2"/>
      <c r="O264" s="2"/>
    </row>
    <row r="265" customFormat="false" ht="15.75" hidden="false" customHeight="true" outlineLevel="0" collapsed="false">
      <c r="A265" s="2"/>
      <c r="B265" s="2"/>
      <c r="C265" s="2"/>
      <c r="D265" s="2"/>
      <c r="E265" s="2"/>
      <c r="F265" s="2"/>
      <c r="G265" s="2"/>
      <c r="H265" s="2"/>
      <c r="I265" s="2"/>
      <c r="J265" s="2"/>
      <c r="K265" s="2"/>
      <c r="L265" s="2"/>
      <c r="M265" s="2"/>
      <c r="N265" s="2"/>
      <c r="O265" s="2"/>
    </row>
    <row r="266" customFormat="false" ht="15.75" hidden="false" customHeight="true" outlineLevel="0" collapsed="false">
      <c r="A266" s="2"/>
      <c r="B266" s="2"/>
      <c r="C266" s="2"/>
      <c r="D266" s="2"/>
      <c r="E266" s="2"/>
      <c r="F266" s="2"/>
      <c r="G266" s="2"/>
      <c r="H266" s="2"/>
      <c r="I266" s="2"/>
      <c r="J266" s="2"/>
      <c r="K266" s="2"/>
      <c r="L266" s="2"/>
      <c r="M266" s="2"/>
      <c r="N266" s="2"/>
      <c r="O266" s="2"/>
    </row>
    <row r="267" customFormat="false" ht="15.75" hidden="false" customHeight="true" outlineLevel="0" collapsed="false">
      <c r="A267" s="2"/>
      <c r="B267" s="2"/>
      <c r="C267" s="2"/>
      <c r="D267" s="2"/>
      <c r="E267" s="2"/>
      <c r="F267" s="2"/>
      <c r="G267" s="2"/>
      <c r="H267" s="2"/>
      <c r="I267" s="2"/>
      <c r="J267" s="2"/>
      <c r="K267" s="2"/>
      <c r="L267" s="2"/>
      <c r="M267" s="2"/>
      <c r="N267" s="2"/>
      <c r="O267" s="2"/>
    </row>
    <row r="268" customFormat="false" ht="15.75" hidden="false" customHeight="true" outlineLevel="0" collapsed="false">
      <c r="A268" s="2"/>
      <c r="B268" s="2"/>
      <c r="C268" s="2"/>
      <c r="D268" s="2"/>
      <c r="E268" s="2"/>
      <c r="F268" s="2"/>
      <c r="G268" s="2"/>
      <c r="H268" s="2"/>
      <c r="I268" s="2"/>
      <c r="J268" s="2"/>
      <c r="K268" s="2"/>
      <c r="L268" s="2"/>
      <c r="M268" s="2"/>
      <c r="N268" s="2"/>
      <c r="O268" s="2"/>
    </row>
    <row r="269" customFormat="false" ht="15.75" hidden="false" customHeight="true" outlineLevel="0" collapsed="false">
      <c r="A269" s="2"/>
      <c r="B269" s="2"/>
      <c r="C269" s="2"/>
      <c r="D269" s="2"/>
      <c r="E269" s="2"/>
      <c r="F269" s="2"/>
      <c r="G269" s="2"/>
      <c r="H269" s="2"/>
      <c r="I269" s="2"/>
      <c r="J269" s="2"/>
      <c r="K269" s="2"/>
      <c r="L269" s="2"/>
      <c r="M269" s="2"/>
      <c r="N269" s="2"/>
      <c r="O269" s="2"/>
    </row>
    <row r="270" customFormat="false" ht="15.75" hidden="false" customHeight="true" outlineLevel="0" collapsed="false">
      <c r="A270" s="2"/>
      <c r="B270" s="2"/>
      <c r="C270" s="2"/>
      <c r="D270" s="2"/>
      <c r="E270" s="2"/>
      <c r="F270" s="2"/>
      <c r="G270" s="2"/>
      <c r="H270" s="2"/>
      <c r="I270" s="2"/>
      <c r="J270" s="2"/>
      <c r="K270" s="2"/>
      <c r="L270" s="2"/>
      <c r="M270" s="2"/>
      <c r="N270" s="2"/>
      <c r="O270" s="2"/>
    </row>
    <row r="271" customFormat="false" ht="15.75" hidden="false" customHeight="true" outlineLevel="0" collapsed="false">
      <c r="A271" s="2"/>
      <c r="B271" s="2"/>
      <c r="C271" s="2"/>
      <c r="D271" s="2"/>
      <c r="E271" s="2"/>
      <c r="F271" s="2"/>
      <c r="G271" s="2"/>
      <c r="H271" s="2"/>
      <c r="I271" s="2"/>
      <c r="J271" s="2"/>
      <c r="K271" s="2"/>
      <c r="L271" s="2"/>
      <c r="M271" s="2"/>
      <c r="N271" s="2"/>
      <c r="O271" s="2"/>
    </row>
    <row r="272" customFormat="false" ht="15.75" hidden="false" customHeight="true" outlineLevel="0" collapsed="false">
      <c r="A272" s="2"/>
      <c r="B272" s="2"/>
      <c r="C272" s="2"/>
      <c r="D272" s="2"/>
      <c r="E272" s="2"/>
      <c r="F272" s="2"/>
      <c r="G272" s="2"/>
      <c r="H272" s="2"/>
      <c r="I272" s="2"/>
      <c r="J272" s="2"/>
      <c r="K272" s="2"/>
      <c r="L272" s="2"/>
      <c r="M272" s="2"/>
      <c r="N272" s="2"/>
      <c r="O272" s="2"/>
    </row>
    <row r="273" customFormat="false" ht="15.75" hidden="false" customHeight="true" outlineLevel="0" collapsed="false">
      <c r="A273" s="2"/>
      <c r="B273" s="2"/>
      <c r="C273" s="2"/>
      <c r="D273" s="2"/>
      <c r="E273" s="2"/>
      <c r="F273" s="2"/>
      <c r="G273" s="2"/>
      <c r="H273" s="2"/>
      <c r="I273" s="2"/>
      <c r="J273" s="2"/>
      <c r="K273" s="2"/>
      <c r="L273" s="2"/>
      <c r="M273" s="2"/>
      <c r="N273" s="2"/>
      <c r="O273" s="2"/>
    </row>
    <row r="274" customFormat="false" ht="15.75" hidden="false" customHeight="true" outlineLevel="0" collapsed="false">
      <c r="A274" s="2"/>
      <c r="B274" s="2"/>
      <c r="C274" s="2"/>
      <c r="D274" s="2"/>
      <c r="E274" s="2"/>
      <c r="F274" s="2"/>
      <c r="G274" s="2"/>
      <c r="H274" s="2"/>
      <c r="I274" s="2"/>
      <c r="J274" s="2"/>
      <c r="K274" s="2"/>
      <c r="L274" s="2"/>
      <c r="M274" s="2"/>
      <c r="N274" s="2"/>
      <c r="O274" s="2"/>
    </row>
    <row r="275" customFormat="false" ht="15.75" hidden="false" customHeight="true" outlineLevel="0" collapsed="false">
      <c r="A275" s="2"/>
      <c r="B275" s="2"/>
      <c r="C275" s="2"/>
      <c r="D275" s="2"/>
      <c r="E275" s="2"/>
      <c r="F275" s="2"/>
      <c r="G275" s="2"/>
      <c r="H275" s="2"/>
      <c r="I275" s="2"/>
      <c r="J275" s="2"/>
      <c r="K275" s="2"/>
      <c r="L275" s="2"/>
      <c r="M275" s="2"/>
      <c r="N275" s="2"/>
      <c r="O275" s="2"/>
    </row>
    <row r="276" customFormat="false" ht="15.75" hidden="false" customHeight="true" outlineLevel="0" collapsed="false">
      <c r="A276" s="2"/>
      <c r="B276" s="2"/>
      <c r="C276" s="2"/>
      <c r="D276" s="2"/>
      <c r="E276" s="2"/>
      <c r="F276" s="2"/>
      <c r="G276" s="2"/>
      <c r="H276" s="2"/>
      <c r="I276" s="2"/>
      <c r="J276" s="2"/>
      <c r="K276" s="2"/>
      <c r="L276" s="2"/>
      <c r="M276" s="2"/>
      <c r="N276" s="2"/>
      <c r="O276" s="2"/>
    </row>
    <row r="277" customFormat="false" ht="15.75" hidden="false" customHeight="true" outlineLevel="0" collapsed="false">
      <c r="A277" s="2"/>
      <c r="B277" s="2"/>
      <c r="C277" s="2"/>
      <c r="D277" s="2"/>
      <c r="E277" s="2"/>
      <c r="F277" s="2"/>
      <c r="G277" s="2"/>
      <c r="H277" s="2"/>
      <c r="I277" s="2"/>
      <c r="J277" s="2"/>
      <c r="K277" s="2"/>
      <c r="L277" s="2"/>
      <c r="M277" s="2"/>
      <c r="N277" s="2"/>
      <c r="O277" s="2"/>
    </row>
    <row r="278" customFormat="false" ht="15.75" hidden="false" customHeight="true" outlineLevel="0" collapsed="false">
      <c r="A278" s="2"/>
      <c r="B278" s="2"/>
      <c r="C278" s="2"/>
      <c r="D278" s="2"/>
      <c r="E278" s="2"/>
      <c r="F278" s="2"/>
      <c r="G278" s="2"/>
      <c r="H278" s="2"/>
      <c r="I278" s="2"/>
      <c r="J278" s="2"/>
      <c r="K278" s="2"/>
      <c r="L278" s="2"/>
      <c r="M278" s="2"/>
      <c r="N278" s="2"/>
      <c r="O278" s="2"/>
    </row>
    <row r="279" customFormat="false" ht="15.75" hidden="false" customHeight="true" outlineLevel="0" collapsed="false">
      <c r="A279" s="2"/>
      <c r="B279" s="2"/>
      <c r="C279" s="2"/>
      <c r="D279" s="2"/>
      <c r="E279" s="2"/>
      <c r="F279" s="2"/>
      <c r="G279" s="2"/>
      <c r="H279" s="2"/>
      <c r="I279" s="2"/>
      <c r="J279" s="2"/>
      <c r="K279" s="2"/>
      <c r="L279" s="2"/>
      <c r="M279" s="2"/>
      <c r="N279" s="2"/>
      <c r="O279" s="2"/>
    </row>
    <row r="280" customFormat="false" ht="15.75" hidden="false" customHeight="true" outlineLevel="0" collapsed="false">
      <c r="A280" s="2"/>
      <c r="B280" s="2"/>
      <c r="C280" s="2"/>
      <c r="D280" s="2"/>
      <c r="E280" s="2"/>
      <c r="F280" s="2"/>
      <c r="G280" s="2"/>
      <c r="H280" s="2"/>
      <c r="I280" s="2"/>
      <c r="J280" s="2"/>
      <c r="K280" s="2"/>
      <c r="L280" s="2"/>
      <c r="M280" s="2"/>
      <c r="N280" s="2"/>
      <c r="O280" s="2"/>
    </row>
    <row r="281" customFormat="false" ht="15.75" hidden="false" customHeight="true" outlineLevel="0" collapsed="false">
      <c r="A281" s="2"/>
      <c r="B281" s="2"/>
      <c r="C281" s="2"/>
      <c r="D281" s="2"/>
      <c r="E281" s="2"/>
      <c r="F281" s="2"/>
      <c r="G281" s="2"/>
      <c r="H281" s="2"/>
      <c r="I281" s="2"/>
      <c r="J281" s="2"/>
      <c r="K281" s="2"/>
      <c r="L281" s="2"/>
      <c r="M281" s="2"/>
      <c r="N281" s="2"/>
      <c r="O281" s="2"/>
    </row>
    <row r="282" customFormat="false" ht="15.75" hidden="false" customHeight="true" outlineLevel="0" collapsed="false">
      <c r="A282" s="2"/>
      <c r="B282" s="2"/>
      <c r="C282" s="2"/>
      <c r="D282" s="2"/>
      <c r="E282" s="2"/>
      <c r="F282" s="2"/>
      <c r="G282" s="2"/>
      <c r="H282" s="2"/>
      <c r="I282" s="2"/>
      <c r="J282" s="2"/>
      <c r="K282" s="2"/>
      <c r="L282" s="2"/>
      <c r="M282" s="2"/>
      <c r="N282" s="2"/>
      <c r="O282" s="2"/>
    </row>
    <row r="283" customFormat="false" ht="15.75" hidden="false" customHeight="true" outlineLevel="0" collapsed="false">
      <c r="A283" s="2"/>
      <c r="B283" s="2"/>
      <c r="C283" s="2"/>
      <c r="D283" s="2"/>
      <c r="E283" s="2"/>
      <c r="F283" s="2"/>
      <c r="G283" s="2"/>
      <c r="H283" s="2"/>
      <c r="I283" s="2"/>
      <c r="J283" s="2"/>
      <c r="K283" s="2"/>
      <c r="L283" s="2"/>
      <c r="M283" s="2"/>
      <c r="N283" s="2"/>
      <c r="O283" s="2"/>
    </row>
    <row r="284" customFormat="false" ht="15.75" hidden="false" customHeight="true" outlineLevel="0" collapsed="false">
      <c r="A284" s="2"/>
      <c r="B284" s="2"/>
      <c r="C284" s="2"/>
      <c r="D284" s="2"/>
      <c r="E284" s="2"/>
      <c r="F284" s="2"/>
      <c r="G284" s="2"/>
      <c r="H284" s="2"/>
      <c r="I284" s="2"/>
      <c r="J284" s="2"/>
      <c r="K284" s="2"/>
      <c r="L284" s="2"/>
      <c r="M284" s="2"/>
      <c r="N284" s="2"/>
      <c r="O284" s="2"/>
    </row>
    <row r="285" customFormat="false" ht="15.75" hidden="false" customHeight="true" outlineLevel="0" collapsed="false">
      <c r="A285" s="2"/>
      <c r="B285" s="2"/>
      <c r="C285" s="2"/>
      <c r="D285" s="2"/>
      <c r="E285" s="2"/>
      <c r="F285" s="2"/>
      <c r="G285" s="2"/>
      <c r="H285" s="2"/>
      <c r="I285" s="2"/>
      <c r="J285" s="2"/>
      <c r="K285" s="2"/>
      <c r="L285" s="2"/>
      <c r="M285" s="2"/>
      <c r="N285" s="2"/>
      <c r="O285" s="2"/>
    </row>
    <row r="286" customFormat="false" ht="15.75" hidden="false" customHeight="true" outlineLevel="0" collapsed="false">
      <c r="A286" s="2"/>
      <c r="B286" s="2"/>
      <c r="C286" s="2"/>
      <c r="D286" s="2"/>
      <c r="E286" s="2"/>
      <c r="F286" s="2"/>
      <c r="G286" s="2"/>
      <c r="H286" s="2"/>
      <c r="I286" s="2"/>
      <c r="J286" s="2"/>
      <c r="K286" s="2"/>
      <c r="L286" s="2"/>
      <c r="M286" s="2"/>
      <c r="N286" s="2"/>
      <c r="O286" s="2"/>
    </row>
    <row r="287" customFormat="false" ht="15.75" hidden="false" customHeight="true" outlineLevel="0" collapsed="false">
      <c r="A287" s="2"/>
      <c r="B287" s="2"/>
      <c r="C287" s="2"/>
      <c r="D287" s="2"/>
      <c r="E287" s="2"/>
      <c r="F287" s="2"/>
      <c r="G287" s="2"/>
      <c r="H287" s="2"/>
      <c r="I287" s="2"/>
      <c r="J287" s="2"/>
      <c r="K287" s="2"/>
      <c r="L287" s="2"/>
      <c r="M287" s="2"/>
      <c r="N287" s="2"/>
      <c r="O287" s="2"/>
    </row>
    <row r="288" customFormat="false" ht="15.75" hidden="false" customHeight="true" outlineLevel="0" collapsed="false">
      <c r="A288" s="2"/>
      <c r="B288" s="2"/>
      <c r="C288" s="2"/>
      <c r="D288" s="2"/>
      <c r="E288" s="2"/>
      <c r="F288" s="2"/>
      <c r="G288" s="2"/>
      <c r="H288" s="2"/>
      <c r="I288" s="2"/>
      <c r="J288" s="2"/>
      <c r="K288" s="2"/>
      <c r="L288" s="2"/>
      <c r="M288" s="2"/>
      <c r="N288" s="2"/>
      <c r="O288" s="2"/>
    </row>
    <row r="289" customFormat="false" ht="15.75" hidden="false" customHeight="true" outlineLevel="0" collapsed="false">
      <c r="A289" s="2"/>
      <c r="B289" s="2"/>
      <c r="C289" s="2"/>
      <c r="D289" s="2"/>
      <c r="E289" s="2"/>
      <c r="F289" s="2"/>
      <c r="G289" s="2"/>
      <c r="H289" s="2"/>
      <c r="I289" s="2"/>
      <c r="J289" s="2"/>
      <c r="K289" s="2"/>
      <c r="L289" s="2"/>
      <c r="M289" s="2"/>
      <c r="N289" s="2"/>
      <c r="O289" s="2"/>
    </row>
    <row r="290" customFormat="false" ht="15.75" hidden="false" customHeight="true" outlineLevel="0" collapsed="false">
      <c r="A290" s="2"/>
      <c r="B290" s="2"/>
      <c r="C290" s="2"/>
      <c r="D290" s="2"/>
      <c r="E290" s="2"/>
      <c r="F290" s="2"/>
      <c r="G290" s="2"/>
      <c r="H290" s="2"/>
      <c r="I290" s="2"/>
      <c r="J290" s="2"/>
      <c r="K290" s="2"/>
      <c r="L290" s="2"/>
      <c r="M290" s="2"/>
      <c r="N290" s="2"/>
      <c r="O290" s="2"/>
    </row>
    <row r="291" customFormat="false" ht="15.75" hidden="false" customHeight="true" outlineLevel="0" collapsed="false">
      <c r="A291" s="2"/>
      <c r="B291" s="2"/>
      <c r="C291" s="2"/>
      <c r="D291" s="2"/>
      <c r="E291" s="2"/>
      <c r="F291" s="2"/>
      <c r="G291" s="2"/>
      <c r="H291" s="2"/>
      <c r="I291" s="2"/>
      <c r="J291" s="2"/>
      <c r="K291" s="2"/>
      <c r="L291" s="2"/>
      <c r="M291" s="2"/>
      <c r="N291" s="2"/>
      <c r="O291" s="2"/>
    </row>
    <row r="292" customFormat="false" ht="15.75" hidden="false" customHeight="true" outlineLevel="0" collapsed="false">
      <c r="A292" s="2"/>
      <c r="B292" s="2"/>
      <c r="C292" s="2"/>
      <c r="D292" s="2"/>
      <c r="E292" s="2"/>
      <c r="F292" s="2"/>
      <c r="G292" s="2"/>
      <c r="H292" s="2"/>
      <c r="I292" s="2"/>
      <c r="J292" s="2"/>
      <c r="K292" s="2"/>
      <c r="L292" s="2"/>
      <c r="M292" s="2"/>
      <c r="N292" s="2"/>
      <c r="O292" s="2"/>
    </row>
    <row r="293" customFormat="false" ht="15.75" hidden="false" customHeight="true" outlineLevel="0" collapsed="false">
      <c r="A293" s="2"/>
      <c r="B293" s="2"/>
      <c r="C293" s="2"/>
      <c r="D293" s="2"/>
      <c r="E293" s="2"/>
      <c r="F293" s="2"/>
      <c r="G293" s="2"/>
      <c r="H293" s="2"/>
      <c r="I293" s="2"/>
      <c r="J293" s="2"/>
      <c r="K293" s="2"/>
      <c r="L293" s="2"/>
      <c r="M293" s="2"/>
      <c r="N293" s="2"/>
      <c r="O293" s="2"/>
    </row>
    <row r="294" customFormat="false" ht="15.75" hidden="false" customHeight="true" outlineLevel="0" collapsed="false">
      <c r="A294" s="2"/>
      <c r="B294" s="2"/>
      <c r="C294" s="2"/>
      <c r="D294" s="2"/>
      <c r="E294" s="2"/>
      <c r="F294" s="2"/>
      <c r="G294" s="2"/>
      <c r="H294" s="2"/>
      <c r="I294" s="2"/>
      <c r="J294" s="2"/>
      <c r="K294" s="2"/>
      <c r="L294" s="2"/>
      <c r="M294" s="2"/>
      <c r="N294" s="2"/>
      <c r="O294" s="2"/>
    </row>
    <row r="295" customFormat="false" ht="15.75" hidden="false" customHeight="true" outlineLevel="0" collapsed="false">
      <c r="A295" s="2"/>
      <c r="B295" s="2"/>
      <c r="C295" s="2"/>
      <c r="D295" s="2"/>
      <c r="E295" s="2"/>
      <c r="F295" s="2"/>
      <c r="G295" s="2"/>
      <c r="H295" s="2"/>
      <c r="I295" s="2"/>
      <c r="J295" s="2"/>
      <c r="K295" s="2"/>
      <c r="L295" s="2"/>
      <c r="M295" s="2"/>
      <c r="N295" s="2"/>
      <c r="O295" s="2"/>
    </row>
    <row r="296" customFormat="false" ht="15.75" hidden="false" customHeight="true" outlineLevel="0" collapsed="false">
      <c r="A296" s="2"/>
      <c r="B296" s="2"/>
      <c r="C296" s="2"/>
      <c r="D296" s="2"/>
      <c r="E296" s="2"/>
      <c r="F296" s="2"/>
      <c r="G296" s="2"/>
      <c r="H296" s="2"/>
      <c r="I296" s="2"/>
      <c r="J296" s="2"/>
      <c r="K296" s="2"/>
      <c r="L296" s="2"/>
      <c r="M296" s="2"/>
      <c r="N296" s="2"/>
      <c r="O296" s="2"/>
    </row>
    <row r="297" customFormat="false" ht="15.75" hidden="false" customHeight="true" outlineLevel="0" collapsed="false">
      <c r="A297" s="2"/>
      <c r="B297" s="2"/>
      <c r="C297" s="2"/>
      <c r="D297" s="2"/>
      <c r="E297" s="2"/>
      <c r="F297" s="2"/>
      <c r="G297" s="2"/>
      <c r="H297" s="2"/>
      <c r="I297" s="2"/>
      <c r="J297" s="2"/>
      <c r="K297" s="2"/>
      <c r="L297" s="2"/>
      <c r="M297" s="2"/>
      <c r="N297" s="2"/>
      <c r="O297" s="2"/>
    </row>
    <row r="298" customFormat="false" ht="15.75" hidden="false" customHeight="true" outlineLevel="0" collapsed="false">
      <c r="A298" s="2"/>
      <c r="B298" s="2"/>
      <c r="C298" s="2"/>
      <c r="D298" s="2"/>
      <c r="E298" s="2"/>
      <c r="F298" s="2"/>
      <c r="G298" s="2"/>
      <c r="H298" s="2"/>
      <c r="I298" s="2"/>
      <c r="J298" s="2"/>
      <c r="K298" s="2"/>
      <c r="L298" s="2"/>
      <c r="M298" s="2"/>
      <c r="N298" s="2"/>
      <c r="O298" s="2"/>
    </row>
    <row r="299" customFormat="false" ht="15.75" hidden="false" customHeight="true" outlineLevel="0" collapsed="false">
      <c r="A299" s="2"/>
      <c r="B299" s="2"/>
      <c r="C299" s="2"/>
      <c r="D299" s="2"/>
      <c r="E299" s="2"/>
      <c r="F299" s="2"/>
      <c r="G299" s="2"/>
      <c r="H299" s="2"/>
      <c r="I299" s="2"/>
      <c r="J299" s="2"/>
      <c r="K299" s="2"/>
      <c r="L299" s="2"/>
      <c r="M299" s="2"/>
      <c r="N299" s="2"/>
      <c r="O299" s="2"/>
    </row>
    <row r="300" customFormat="false" ht="15.75" hidden="false" customHeight="true" outlineLevel="0" collapsed="false">
      <c r="A300" s="2"/>
      <c r="B300" s="2"/>
      <c r="C300" s="2"/>
      <c r="D300" s="2"/>
      <c r="E300" s="2"/>
      <c r="F300" s="2"/>
      <c r="G300" s="2"/>
      <c r="H300" s="2"/>
      <c r="I300" s="2"/>
      <c r="J300" s="2"/>
      <c r="K300" s="2"/>
      <c r="L300" s="2"/>
      <c r="M300" s="2"/>
      <c r="N300" s="2"/>
      <c r="O300" s="2"/>
    </row>
    <row r="301" customFormat="false" ht="15.75" hidden="false" customHeight="true" outlineLevel="0" collapsed="false">
      <c r="A301" s="2"/>
      <c r="B301" s="2"/>
      <c r="C301" s="2"/>
      <c r="D301" s="2"/>
      <c r="E301" s="2"/>
      <c r="F301" s="2"/>
      <c r="G301" s="2"/>
      <c r="H301" s="2"/>
      <c r="I301" s="2"/>
      <c r="J301" s="2"/>
      <c r="K301" s="2"/>
      <c r="L301" s="2"/>
      <c r="M301" s="2"/>
      <c r="N301" s="2"/>
      <c r="O301" s="2"/>
    </row>
    <row r="302" customFormat="false" ht="15.75" hidden="false" customHeight="true" outlineLevel="0" collapsed="false">
      <c r="A302" s="2"/>
      <c r="B302" s="2"/>
      <c r="C302" s="2"/>
      <c r="D302" s="2"/>
      <c r="E302" s="2"/>
      <c r="F302" s="2"/>
      <c r="G302" s="2"/>
      <c r="H302" s="2"/>
      <c r="I302" s="2"/>
      <c r="J302" s="2"/>
      <c r="K302" s="2"/>
      <c r="L302" s="2"/>
      <c r="M302" s="2"/>
      <c r="N302" s="2"/>
      <c r="O302" s="2"/>
    </row>
    <row r="303" customFormat="false" ht="15.75" hidden="false" customHeight="true" outlineLevel="0" collapsed="false">
      <c r="A303" s="2"/>
      <c r="B303" s="2"/>
      <c r="C303" s="2"/>
      <c r="D303" s="2"/>
      <c r="E303" s="2"/>
      <c r="F303" s="2"/>
      <c r="G303" s="2"/>
      <c r="H303" s="2"/>
      <c r="I303" s="2"/>
      <c r="J303" s="2"/>
      <c r="K303" s="2"/>
      <c r="L303" s="2"/>
      <c r="M303" s="2"/>
      <c r="N303" s="2"/>
      <c r="O303" s="2"/>
    </row>
    <row r="304" customFormat="false" ht="15.75" hidden="false" customHeight="true" outlineLevel="0" collapsed="false">
      <c r="A304" s="2"/>
      <c r="B304" s="2"/>
      <c r="C304" s="2"/>
      <c r="D304" s="2"/>
      <c r="E304" s="2"/>
      <c r="F304" s="2"/>
      <c r="G304" s="2"/>
      <c r="H304" s="2"/>
      <c r="I304" s="2"/>
      <c r="J304" s="2"/>
      <c r="K304" s="2"/>
      <c r="L304" s="2"/>
      <c r="M304" s="2"/>
      <c r="N304" s="2"/>
      <c r="O304" s="2"/>
    </row>
    <row r="305" customFormat="false" ht="15.75" hidden="false" customHeight="true" outlineLevel="0" collapsed="false">
      <c r="A305" s="2"/>
      <c r="B305" s="2"/>
      <c r="C305" s="2"/>
      <c r="D305" s="2"/>
      <c r="E305" s="2"/>
      <c r="F305" s="2"/>
      <c r="G305" s="2"/>
      <c r="H305" s="2"/>
      <c r="I305" s="2"/>
      <c r="J305" s="2"/>
      <c r="K305" s="2"/>
      <c r="L305" s="2"/>
      <c r="M305" s="2"/>
      <c r="N305" s="2"/>
      <c r="O305" s="2"/>
    </row>
    <row r="306" customFormat="false" ht="15.75" hidden="false" customHeight="true" outlineLevel="0" collapsed="false">
      <c r="A306" s="2"/>
      <c r="B306" s="2"/>
      <c r="C306" s="2"/>
      <c r="D306" s="2"/>
      <c r="E306" s="2"/>
      <c r="F306" s="2"/>
      <c r="G306" s="2"/>
      <c r="H306" s="2"/>
      <c r="I306" s="2"/>
      <c r="J306" s="2"/>
      <c r="K306" s="2"/>
      <c r="L306" s="2"/>
      <c r="M306" s="2"/>
      <c r="N306" s="2"/>
      <c r="O306" s="2"/>
    </row>
    <row r="307" customFormat="false" ht="15.75" hidden="false" customHeight="true" outlineLevel="0" collapsed="false">
      <c r="A307" s="2"/>
      <c r="B307" s="2"/>
      <c r="C307" s="2"/>
      <c r="D307" s="2"/>
      <c r="E307" s="2"/>
      <c r="F307" s="2"/>
      <c r="G307" s="2"/>
      <c r="H307" s="2"/>
      <c r="I307" s="2"/>
      <c r="J307" s="2"/>
      <c r="K307" s="2"/>
      <c r="L307" s="2"/>
      <c r="M307" s="2"/>
      <c r="N307" s="2"/>
      <c r="O307" s="2"/>
    </row>
    <row r="308" customFormat="false" ht="15.75" hidden="false" customHeight="true" outlineLevel="0" collapsed="false">
      <c r="A308" s="2"/>
      <c r="B308" s="2"/>
      <c r="C308" s="2"/>
      <c r="D308" s="2"/>
      <c r="E308" s="2"/>
      <c r="F308" s="2"/>
      <c r="G308" s="2"/>
      <c r="H308" s="2"/>
      <c r="I308" s="2"/>
      <c r="J308" s="2"/>
      <c r="K308" s="2"/>
      <c r="L308" s="2"/>
      <c r="M308" s="2"/>
      <c r="N308" s="2"/>
      <c r="O308" s="2"/>
    </row>
    <row r="309" customFormat="false" ht="15.75" hidden="false" customHeight="true" outlineLevel="0" collapsed="false">
      <c r="A309" s="2"/>
      <c r="B309" s="2"/>
      <c r="C309" s="2"/>
      <c r="D309" s="2"/>
      <c r="E309" s="2"/>
      <c r="F309" s="2"/>
      <c r="G309" s="2"/>
      <c r="H309" s="2"/>
      <c r="I309" s="2"/>
      <c r="J309" s="2"/>
      <c r="K309" s="2"/>
      <c r="L309" s="2"/>
      <c r="M309" s="2"/>
      <c r="N309" s="2"/>
      <c r="O309" s="2"/>
    </row>
    <row r="310" customFormat="false" ht="15.75" hidden="false" customHeight="true" outlineLevel="0" collapsed="false">
      <c r="A310" s="2"/>
      <c r="B310" s="2"/>
      <c r="C310" s="2"/>
      <c r="D310" s="2"/>
      <c r="E310" s="2"/>
      <c r="F310" s="2"/>
      <c r="G310" s="2"/>
      <c r="H310" s="2"/>
      <c r="I310" s="2"/>
      <c r="J310" s="2"/>
      <c r="K310" s="2"/>
      <c r="L310" s="2"/>
      <c r="M310" s="2"/>
      <c r="N310" s="2"/>
      <c r="O310" s="2"/>
    </row>
    <row r="311" customFormat="false" ht="15.75" hidden="false" customHeight="true" outlineLevel="0" collapsed="false">
      <c r="A311" s="2"/>
      <c r="B311" s="2"/>
      <c r="C311" s="2"/>
      <c r="D311" s="2"/>
      <c r="E311" s="2"/>
      <c r="F311" s="2"/>
      <c r="G311" s="2"/>
      <c r="H311" s="2"/>
      <c r="I311" s="2"/>
      <c r="J311" s="2"/>
      <c r="K311" s="2"/>
      <c r="L311" s="2"/>
      <c r="M311" s="2"/>
      <c r="N311" s="2"/>
      <c r="O311" s="2"/>
    </row>
    <row r="312" customFormat="false" ht="15.75" hidden="false" customHeight="true" outlineLevel="0" collapsed="false">
      <c r="A312" s="2"/>
      <c r="B312" s="2"/>
      <c r="C312" s="2"/>
      <c r="D312" s="2"/>
      <c r="E312" s="2"/>
      <c r="F312" s="2"/>
      <c r="G312" s="2"/>
      <c r="H312" s="2"/>
      <c r="I312" s="2"/>
      <c r="J312" s="2"/>
      <c r="K312" s="2"/>
      <c r="L312" s="2"/>
      <c r="M312" s="2"/>
      <c r="N312" s="2"/>
      <c r="O312" s="2"/>
    </row>
    <row r="313" customFormat="false" ht="15.75" hidden="false" customHeight="true" outlineLevel="0" collapsed="false">
      <c r="A313" s="2"/>
      <c r="B313" s="2"/>
      <c r="C313" s="2"/>
      <c r="D313" s="2"/>
      <c r="E313" s="2"/>
      <c r="F313" s="2"/>
      <c r="G313" s="2"/>
      <c r="H313" s="2"/>
      <c r="I313" s="2"/>
      <c r="J313" s="2"/>
      <c r="K313" s="2"/>
      <c r="L313" s="2"/>
      <c r="M313" s="2"/>
      <c r="N313" s="2"/>
      <c r="O313" s="2"/>
    </row>
    <row r="314" customFormat="false" ht="15.75" hidden="false" customHeight="true" outlineLevel="0" collapsed="false">
      <c r="A314" s="2"/>
      <c r="B314" s="2"/>
      <c r="C314" s="2"/>
      <c r="D314" s="2"/>
      <c r="E314" s="2"/>
      <c r="F314" s="2"/>
      <c r="G314" s="2"/>
      <c r="H314" s="2"/>
      <c r="I314" s="2"/>
      <c r="J314" s="2"/>
      <c r="K314" s="2"/>
      <c r="L314" s="2"/>
      <c r="M314" s="2"/>
      <c r="N314" s="2"/>
      <c r="O314" s="2"/>
    </row>
    <row r="315" customFormat="false" ht="15.75" hidden="false" customHeight="true" outlineLevel="0" collapsed="false">
      <c r="A315" s="2"/>
      <c r="B315" s="2"/>
      <c r="C315" s="2"/>
      <c r="D315" s="2"/>
      <c r="E315" s="2"/>
      <c r="F315" s="2"/>
      <c r="G315" s="2"/>
      <c r="H315" s="2"/>
      <c r="I315" s="2"/>
      <c r="J315" s="2"/>
      <c r="K315" s="2"/>
      <c r="L315" s="2"/>
      <c r="M315" s="2"/>
      <c r="N315" s="2"/>
      <c r="O315" s="2"/>
    </row>
    <row r="316" customFormat="false" ht="15.75" hidden="false" customHeight="true" outlineLevel="0" collapsed="false">
      <c r="A316" s="2"/>
      <c r="B316" s="2"/>
      <c r="C316" s="2"/>
      <c r="D316" s="2"/>
      <c r="E316" s="2"/>
      <c r="F316" s="2"/>
      <c r="G316" s="2"/>
      <c r="H316" s="2"/>
      <c r="I316" s="2"/>
      <c r="J316" s="2"/>
      <c r="K316" s="2"/>
      <c r="L316" s="2"/>
      <c r="M316" s="2"/>
      <c r="N316" s="2"/>
      <c r="O316" s="2"/>
    </row>
    <row r="317" customFormat="false" ht="15.75" hidden="false" customHeight="true" outlineLevel="0" collapsed="false">
      <c r="A317" s="2"/>
      <c r="B317" s="2"/>
      <c r="C317" s="2"/>
      <c r="D317" s="2"/>
      <c r="E317" s="2"/>
      <c r="F317" s="2"/>
      <c r="G317" s="2"/>
      <c r="H317" s="2"/>
      <c r="I317" s="2"/>
      <c r="J317" s="2"/>
      <c r="K317" s="2"/>
      <c r="L317" s="2"/>
      <c r="M317" s="2"/>
      <c r="N317" s="2"/>
      <c r="O317" s="2"/>
    </row>
    <row r="318" customFormat="false" ht="15.75" hidden="false" customHeight="true" outlineLevel="0" collapsed="false">
      <c r="A318" s="2"/>
      <c r="B318" s="2"/>
      <c r="C318" s="2"/>
      <c r="D318" s="2"/>
      <c r="E318" s="2"/>
      <c r="F318" s="2"/>
      <c r="G318" s="2"/>
      <c r="H318" s="2"/>
      <c r="I318" s="2"/>
      <c r="J318" s="2"/>
      <c r="K318" s="2"/>
      <c r="L318" s="2"/>
      <c r="M318" s="2"/>
      <c r="N318" s="2"/>
      <c r="O318" s="2"/>
    </row>
    <row r="319" customFormat="false" ht="15.75" hidden="false" customHeight="true" outlineLevel="0" collapsed="false">
      <c r="A319" s="2"/>
      <c r="B319" s="2"/>
      <c r="C319" s="2"/>
      <c r="D319" s="2"/>
      <c r="E319" s="2"/>
      <c r="F319" s="2"/>
      <c r="G319" s="2"/>
      <c r="H319" s="2"/>
      <c r="I319" s="2"/>
      <c r="J319" s="2"/>
      <c r="K319" s="2"/>
      <c r="L319" s="2"/>
      <c r="M319" s="2"/>
      <c r="N319" s="2"/>
      <c r="O319" s="2"/>
    </row>
    <row r="320" customFormat="false" ht="15.75" hidden="false" customHeight="true" outlineLevel="0" collapsed="false">
      <c r="A320" s="2"/>
      <c r="B320" s="2"/>
      <c r="C320" s="2"/>
      <c r="D320" s="2"/>
      <c r="E320" s="2"/>
      <c r="F320" s="2"/>
      <c r="G320" s="2"/>
      <c r="H320" s="2"/>
      <c r="I320" s="2"/>
      <c r="J320" s="2"/>
      <c r="K320" s="2"/>
      <c r="L320" s="2"/>
      <c r="M320" s="2"/>
      <c r="N320" s="2"/>
      <c r="O320" s="2"/>
    </row>
    <row r="321" customFormat="false" ht="15.75" hidden="false" customHeight="true" outlineLevel="0" collapsed="false">
      <c r="A321" s="2"/>
      <c r="B321" s="2"/>
      <c r="C321" s="2"/>
      <c r="D321" s="2"/>
      <c r="E321" s="2"/>
      <c r="F321" s="2"/>
      <c r="G321" s="2"/>
      <c r="H321" s="2"/>
      <c r="I321" s="2"/>
      <c r="J321" s="2"/>
      <c r="K321" s="2"/>
      <c r="L321" s="2"/>
      <c r="M321" s="2"/>
      <c r="N321" s="2"/>
      <c r="O321" s="2"/>
    </row>
    <row r="322" customFormat="false" ht="15.75" hidden="false" customHeight="true" outlineLevel="0" collapsed="false">
      <c r="A322" s="2"/>
      <c r="B322" s="2"/>
      <c r="C322" s="2"/>
      <c r="D322" s="2"/>
      <c r="E322" s="2"/>
      <c r="F322" s="2"/>
      <c r="G322" s="2"/>
      <c r="H322" s="2"/>
      <c r="I322" s="2"/>
      <c r="J322" s="2"/>
      <c r="K322" s="2"/>
      <c r="L322" s="2"/>
      <c r="M322" s="2"/>
      <c r="N322" s="2"/>
      <c r="O322" s="2"/>
    </row>
    <row r="323" customFormat="false" ht="15.75" hidden="false" customHeight="true" outlineLevel="0" collapsed="false">
      <c r="A323" s="2"/>
      <c r="B323" s="2"/>
      <c r="C323" s="2"/>
      <c r="D323" s="2"/>
      <c r="E323" s="2"/>
      <c r="F323" s="2"/>
      <c r="G323" s="2"/>
      <c r="H323" s="2"/>
      <c r="I323" s="2"/>
      <c r="J323" s="2"/>
      <c r="K323" s="2"/>
      <c r="L323" s="2"/>
      <c r="M323" s="2"/>
      <c r="N323" s="2"/>
      <c r="O323" s="2"/>
    </row>
    <row r="324" customFormat="false" ht="15.75" hidden="false" customHeight="true" outlineLevel="0" collapsed="false">
      <c r="A324" s="2"/>
      <c r="B324" s="2"/>
      <c r="C324" s="2"/>
      <c r="D324" s="2"/>
      <c r="E324" s="2"/>
      <c r="F324" s="2"/>
      <c r="G324" s="2"/>
      <c r="H324" s="2"/>
      <c r="I324" s="2"/>
      <c r="J324" s="2"/>
      <c r="K324" s="2"/>
      <c r="L324" s="2"/>
      <c r="M324" s="2"/>
      <c r="N324" s="2"/>
      <c r="O324" s="2"/>
    </row>
    <row r="325" customFormat="false" ht="15.75" hidden="false" customHeight="true" outlineLevel="0" collapsed="false">
      <c r="A325" s="2"/>
      <c r="B325" s="2"/>
      <c r="C325" s="2"/>
      <c r="D325" s="2"/>
      <c r="E325" s="2"/>
      <c r="F325" s="2"/>
      <c r="G325" s="2"/>
      <c r="H325" s="2"/>
      <c r="I325" s="2"/>
      <c r="J325" s="2"/>
      <c r="K325" s="2"/>
      <c r="L325" s="2"/>
      <c r="M325" s="2"/>
      <c r="N325" s="2"/>
      <c r="O325" s="2"/>
    </row>
    <row r="326" customFormat="false" ht="15.75" hidden="false" customHeight="true" outlineLevel="0" collapsed="false">
      <c r="A326" s="2"/>
      <c r="B326" s="2"/>
      <c r="C326" s="2"/>
      <c r="D326" s="2"/>
      <c r="E326" s="2"/>
      <c r="F326" s="2"/>
      <c r="G326" s="2"/>
      <c r="H326" s="2"/>
      <c r="I326" s="2"/>
      <c r="J326" s="2"/>
      <c r="K326" s="2"/>
      <c r="L326" s="2"/>
      <c r="M326" s="2"/>
      <c r="N326" s="2"/>
      <c r="O326" s="2"/>
    </row>
    <row r="327" customFormat="false" ht="15.75" hidden="false" customHeight="true" outlineLevel="0" collapsed="false">
      <c r="A327" s="2"/>
      <c r="B327" s="2"/>
      <c r="C327" s="2"/>
      <c r="D327" s="2"/>
      <c r="E327" s="2"/>
      <c r="F327" s="2"/>
      <c r="G327" s="2"/>
      <c r="H327" s="2"/>
      <c r="I327" s="2"/>
      <c r="J327" s="2"/>
      <c r="K327" s="2"/>
      <c r="L327" s="2"/>
      <c r="M327" s="2"/>
      <c r="N327" s="2"/>
      <c r="O327" s="2"/>
    </row>
    <row r="328" customFormat="false" ht="15.75" hidden="false" customHeight="true" outlineLevel="0" collapsed="false">
      <c r="A328" s="2"/>
      <c r="B328" s="2"/>
      <c r="C328" s="2"/>
      <c r="D328" s="2"/>
      <c r="E328" s="2"/>
      <c r="F328" s="2"/>
      <c r="G328" s="2"/>
      <c r="H328" s="2"/>
      <c r="I328" s="2"/>
      <c r="J328" s="2"/>
      <c r="K328" s="2"/>
      <c r="L328" s="2"/>
      <c r="M328" s="2"/>
      <c r="N328" s="2"/>
      <c r="O328" s="2"/>
    </row>
    <row r="329" customFormat="false" ht="15.75" hidden="false" customHeight="true" outlineLevel="0" collapsed="false">
      <c r="A329" s="2"/>
      <c r="B329" s="2"/>
      <c r="C329" s="2"/>
      <c r="D329" s="2"/>
      <c r="E329" s="2"/>
      <c r="F329" s="2"/>
      <c r="G329" s="2"/>
      <c r="H329" s="2"/>
      <c r="I329" s="2"/>
      <c r="J329" s="2"/>
      <c r="K329" s="2"/>
      <c r="L329" s="2"/>
      <c r="M329" s="2"/>
      <c r="N329" s="2"/>
      <c r="O329" s="2"/>
    </row>
    <row r="330" customFormat="false" ht="15.75" hidden="false" customHeight="true" outlineLevel="0" collapsed="false">
      <c r="A330" s="2"/>
      <c r="B330" s="2"/>
      <c r="C330" s="2"/>
      <c r="D330" s="2"/>
      <c r="E330" s="2"/>
      <c r="F330" s="2"/>
      <c r="G330" s="2"/>
      <c r="H330" s="2"/>
      <c r="I330" s="2"/>
      <c r="J330" s="2"/>
      <c r="K330" s="2"/>
      <c r="L330" s="2"/>
      <c r="M330" s="2"/>
      <c r="N330" s="2"/>
      <c r="O330" s="2"/>
    </row>
    <row r="331" customFormat="false" ht="15.75" hidden="false" customHeight="true" outlineLevel="0" collapsed="false">
      <c r="A331" s="2"/>
      <c r="B331" s="2"/>
      <c r="C331" s="2"/>
      <c r="D331" s="2"/>
      <c r="E331" s="2"/>
      <c r="F331" s="2"/>
      <c r="G331" s="2"/>
      <c r="H331" s="2"/>
      <c r="I331" s="2"/>
      <c r="J331" s="2"/>
      <c r="K331" s="2"/>
      <c r="L331" s="2"/>
      <c r="M331" s="2"/>
      <c r="N331" s="2"/>
      <c r="O331" s="2"/>
    </row>
    <row r="332" customFormat="false" ht="15.75" hidden="false" customHeight="true" outlineLevel="0" collapsed="false">
      <c r="A332" s="2"/>
      <c r="B332" s="2"/>
      <c r="C332" s="2"/>
      <c r="D332" s="2"/>
      <c r="E332" s="2"/>
      <c r="F332" s="2"/>
      <c r="G332" s="2"/>
      <c r="H332" s="2"/>
      <c r="I332" s="2"/>
      <c r="J332" s="2"/>
      <c r="K332" s="2"/>
      <c r="L332" s="2"/>
      <c r="M332" s="2"/>
      <c r="N332" s="2"/>
      <c r="O332" s="2"/>
    </row>
    <row r="333" customFormat="false" ht="15.75" hidden="false" customHeight="true" outlineLevel="0" collapsed="false">
      <c r="A333" s="2"/>
      <c r="B333" s="2"/>
      <c r="C333" s="2"/>
      <c r="D333" s="2"/>
      <c r="E333" s="2"/>
      <c r="F333" s="2"/>
      <c r="G333" s="2"/>
      <c r="H333" s="2"/>
      <c r="I333" s="2"/>
      <c r="J333" s="2"/>
      <c r="K333" s="2"/>
      <c r="L333" s="2"/>
      <c r="M333" s="2"/>
      <c r="N333" s="2"/>
      <c r="O333" s="2"/>
    </row>
    <row r="334" customFormat="false" ht="15.75" hidden="false" customHeight="true" outlineLevel="0" collapsed="false">
      <c r="A334" s="2"/>
      <c r="B334" s="2"/>
      <c r="C334" s="2"/>
      <c r="D334" s="2"/>
      <c r="E334" s="2"/>
      <c r="F334" s="2"/>
      <c r="G334" s="2"/>
      <c r="H334" s="2"/>
      <c r="I334" s="2"/>
      <c r="J334" s="2"/>
      <c r="K334" s="2"/>
      <c r="L334" s="2"/>
      <c r="M334" s="2"/>
      <c r="N334" s="2"/>
      <c r="O334" s="2"/>
    </row>
    <row r="335" customFormat="false" ht="15.75" hidden="false" customHeight="true" outlineLevel="0" collapsed="false">
      <c r="A335" s="2"/>
      <c r="B335" s="2"/>
      <c r="C335" s="2"/>
      <c r="D335" s="2"/>
      <c r="E335" s="2"/>
      <c r="F335" s="2"/>
      <c r="G335" s="2"/>
      <c r="H335" s="2"/>
      <c r="I335" s="2"/>
      <c r="J335" s="2"/>
      <c r="K335" s="2"/>
      <c r="L335" s="2"/>
      <c r="M335" s="2"/>
      <c r="N335" s="2"/>
      <c r="O335" s="2"/>
    </row>
    <row r="336" customFormat="false" ht="15.75" hidden="false" customHeight="true" outlineLevel="0" collapsed="false">
      <c r="A336" s="2"/>
      <c r="B336" s="2"/>
      <c r="C336" s="2"/>
      <c r="D336" s="2"/>
      <c r="E336" s="2"/>
      <c r="F336" s="2"/>
      <c r="G336" s="2"/>
      <c r="H336" s="2"/>
      <c r="I336" s="2"/>
      <c r="J336" s="2"/>
      <c r="K336" s="2"/>
      <c r="L336" s="2"/>
      <c r="M336" s="2"/>
      <c r="N336" s="2"/>
      <c r="O336" s="2"/>
    </row>
    <row r="337" customFormat="false" ht="15.75" hidden="false" customHeight="true" outlineLevel="0" collapsed="false">
      <c r="A337" s="2"/>
      <c r="B337" s="2"/>
      <c r="C337" s="2"/>
      <c r="D337" s="2"/>
      <c r="E337" s="2"/>
      <c r="F337" s="2"/>
      <c r="G337" s="2"/>
      <c r="H337" s="2"/>
      <c r="I337" s="2"/>
      <c r="J337" s="2"/>
      <c r="K337" s="2"/>
      <c r="L337" s="2"/>
      <c r="M337" s="2"/>
      <c r="N337" s="2"/>
      <c r="O337" s="2"/>
    </row>
    <row r="338" customFormat="false" ht="15.75" hidden="false" customHeight="true" outlineLevel="0" collapsed="false">
      <c r="A338" s="2"/>
      <c r="B338" s="2"/>
      <c r="C338" s="2"/>
      <c r="D338" s="2"/>
      <c r="E338" s="2"/>
      <c r="F338" s="2"/>
      <c r="G338" s="2"/>
      <c r="H338" s="2"/>
      <c r="I338" s="2"/>
      <c r="J338" s="2"/>
      <c r="K338" s="2"/>
      <c r="L338" s="2"/>
      <c r="M338" s="2"/>
      <c r="N338" s="2"/>
      <c r="O338" s="2"/>
    </row>
    <row r="339" customFormat="false" ht="15.75" hidden="false" customHeight="true" outlineLevel="0" collapsed="false">
      <c r="A339" s="2"/>
      <c r="B339" s="2"/>
      <c r="C339" s="2"/>
      <c r="D339" s="2"/>
      <c r="E339" s="2"/>
      <c r="F339" s="2"/>
      <c r="G339" s="2"/>
      <c r="H339" s="2"/>
      <c r="I339" s="2"/>
      <c r="J339" s="2"/>
      <c r="K339" s="2"/>
      <c r="L339" s="2"/>
      <c r="M339" s="2"/>
      <c r="N339" s="2"/>
      <c r="O339" s="2"/>
    </row>
    <row r="340" customFormat="false" ht="15.75" hidden="false" customHeight="true" outlineLevel="0" collapsed="false">
      <c r="A340" s="2"/>
      <c r="B340" s="2"/>
      <c r="C340" s="2"/>
      <c r="D340" s="2"/>
      <c r="E340" s="2"/>
      <c r="F340" s="2"/>
      <c r="G340" s="2"/>
      <c r="H340" s="2"/>
      <c r="I340" s="2"/>
      <c r="J340" s="2"/>
      <c r="K340" s="2"/>
      <c r="L340" s="2"/>
      <c r="M340" s="2"/>
      <c r="N340" s="2"/>
      <c r="O340" s="2"/>
    </row>
    <row r="341" customFormat="false" ht="15.75" hidden="false" customHeight="true" outlineLevel="0" collapsed="false">
      <c r="A341" s="2"/>
      <c r="B341" s="2"/>
      <c r="C341" s="2"/>
      <c r="D341" s="2"/>
      <c r="E341" s="2"/>
      <c r="F341" s="2"/>
      <c r="G341" s="2"/>
      <c r="H341" s="2"/>
      <c r="I341" s="2"/>
      <c r="J341" s="2"/>
      <c r="K341" s="2"/>
      <c r="L341" s="2"/>
      <c r="M341" s="2"/>
      <c r="N341" s="2"/>
      <c r="O341" s="2"/>
    </row>
    <row r="342" customFormat="false" ht="15.75" hidden="false" customHeight="true" outlineLevel="0" collapsed="false">
      <c r="A342" s="2"/>
      <c r="B342" s="2"/>
      <c r="C342" s="2"/>
      <c r="D342" s="2"/>
      <c r="E342" s="2"/>
      <c r="F342" s="2"/>
      <c r="G342" s="2"/>
      <c r="H342" s="2"/>
      <c r="I342" s="2"/>
      <c r="J342" s="2"/>
      <c r="K342" s="2"/>
      <c r="L342" s="2"/>
      <c r="M342" s="2"/>
      <c r="N342" s="2"/>
      <c r="O342" s="2"/>
    </row>
    <row r="343" customFormat="false" ht="15.75" hidden="false" customHeight="true" outlineLevel="0" collapsed="false">
      <c r="A343" s="2"/>
      <c r="B343" s="2"/>
      <c r="C343" s="2"/>
      <c r="D343" s="2"/>
      <c r="E343" s="2"/>
      <c r="F343" s="2"/>
      <c r="G343" s="2"/>
      <c r="H343" s="2"/>
      <c r="I343" s="2"/>
      <c r="J343" s="2"/>
      <c r="K343" s="2"/>
      <c r="L343" s="2"/>
      <c r="M343" s="2"/>
      <c r="N343" s="2"/>
      <c r="O343" s="2"/>
    </row>
    <row r="344" customFormat="false" ht="15.75" hidden="false" customHeight="true" outlineLevel="0" collapsed="false">
      <c r="A344" s="2"/>
      <c r="B344" s="2"/>
      <c r="C344" s="2"/>
      <c r="D344" s="2"/>
      <c r="E344" s="2"/>
      <c r="F344" s="2"/>
      <c r="G344" s="2"/>
      <c r="H344" s="2"/>
      <c r="I344" s="2"/>
      <c r="J344" s="2"/>
      <c r="K344" s="2"/>
      <c r="L344" s="2"/>
      <c r="M344" s="2"/>
      <c r="N344" s="2"/>
      <c r="O344" s="2"/>
    </row>
    <row r="345" customFormat="false" ht="15.75" hidden="false" customHeight="true" outlineLevel="0" collapsed="false">
      <c r="A345" s="2"/>
      <c r="B345" s="2"/>
      <c r="C345" s="2"/>
      <c r="D345" s="2"/>
      <c r="E345" s="2"/>
      <c r="F345" s="2"/>
      <c r="G345" s="2"/>
      <c r="H345" s="2"/>
      <c r="I345" s="2"/>
      <c r="J345" s="2"/>
      <c r="K345" s="2"/>
      <c r="L345" s="2"/>
      <c r="M345" s="2"/>
      <c r="N345" s="2"/>
      <c r="O345" s="2"/>
    </row>
    <row r="346" customFormat="false" ht="15.75" hidden="false" customHeight="true" outlineLevel="0" collapsed="false">
      <c r="A346" s="2"/>
      <c r="B346" s="2"/>
      <c r="C346" s="2"/>
      <c r="D346" s="2"/>
      <c r="E346" s="2"/>
      <c r="F346" s="2"/>
      <c r="G346" s="2"/>
      <c r="H346" s="2"/>
      <c r="I346" s="2"/>
      <c r="J346" s="2"/>
      <c r="K346" s="2"/>
      <c r="L346" s="2"/>
      <c r="M346" s="2"/>
      <c r="N346" s="2"/>
      <c r="O346" s="2"/>
    </row>
    <row r="347" customFormat="false" ht="15.75" hidden="false" customHeight="true" outlineLevel="0" collapsed="false">
      <c r="A347" s="2"/>
      <c r="B347" s="2"/>
      <c r="C347" s="2"/>
      <c r="D347" s="2"/>
      <c r="E347" s="2"/>
      <c r="F347" s="2"/>
      <c r="G347" s="2"/>
      <c r="H347" s="2"/>
      <c r="I347" s="2"/>
      <c r="J347" s="2"/>
      <c r="K347" s="2"/>
      <c r="L347" s="2"/>
      <c r="M347" s="2"/>
      <c r="N347" s="2"/>
      <c r="O347" s="2"/>
    </row>
    <row r="348" customFormat="false" ht="15.75" hidden="false" customHeight="true" outlineLevel="0" collapsed="false">
      <c r="A348" s="2"/>
      <c r="B348" s="2"/>
      <c r="C348" s="2"/>
      <c r="D348" s="2"/>
      <c r="E348" s="2"/>
      <c r="F348" s="2"/>
      <c r="G348" s="2"/>
      <c r="H348" s="2"/>
      <c r="I348" s="2"/>
      <c r="J348" s="2"/>
      <c r="K348" s="2"/>
      <c r="L348" s="2"/>
      <c r="M348" s="2"/>
      <c r="N348" s="2"/>
      <c r="O348" s="2"/>
    </row>
    <row r="349" customFormat="false" ht="15.75" hidden="false" customHeight="true" outlineLevel="0" collapsed="false">
      <c r="A349" s="2"/>
      <c r="B349" s="2"/>
      <c r="C349" s="2"/>
      <c r="D349" s="2"/>
      <c r="E349" s="2"/>
      <c r="F349" s="2"/>
      <c r="G349" s="2"/>
      <c r="H349" s="2"/>
      <c r="I349" s="2"/>
      <c r="J349" s="2"/>
      <c r="K349" s="2"/>
      <c r="L349" s="2"/>
      <c r="M349" s="2"/>
      <c r="N349" s="2"/>
      <c r="O349" s="2"/>
    </row>
    <row r="350" customFormat="false" ht="15.75" hidden="false" customHeight="true" outlineLevel="0" collapsed="false">
      <c r="A350" s="2"/>
      <c r="B350" s="2"/>
      <c r="C350" s="2"/>
      <c r="D350" s="2"/>
      <c r="E350" s="2"/>
      <c r="F350" s="2"/>
      <c r="G350" s="2"/>
      <c r="H350" s="2"/>
      <c r="I350" s="2"/>
      <c r="J350" s="2"/>
      <c r="K350" s="2"/>
      <c r="L350" s="2"/>
      <c r="M350" s="2"/>
      <c r="N350" s="2"/>
      <c r="O350" s="2"/>
    </row>
    <row r="351" customFormat="false" ht="15.75" hidden="false" customHeight="true" outlineLevel="0" collapsed="false">
      <c r="A351" s="2"/>
      <c r="B351" s="2"/>
      <c r="C351" s="2"/>
      <c r="D351" s="2"/>
      <c r="E351" s="2"/>
      <c r="F351" s="2"/>
      <c r="G351" s="2"/>
      <c r="H351" s="2"/>
      <c r="I351" s="2"/>
      <c r="J351" s="2"/>
      <c r="K351" s="2"/>
      <c r="L351" s="2"/>
      <c r="M351" s="2"/>
      <c r="N351" s="2"/>
      <c r="O351" s="2"/>
    </row>
    <row r="352" customFormat="false" ht="15.75" hidden="false" customHeight="true" outlineLevel="0" collapsed="false">
      <c r="A352" s="2"/>
      <c r="B352" s="2"/>
      <c r="C352" s="2"/>
      <c r="D352" s="2"/>
      <c r="E352" s="2"/>
      <c r="F352" s="2"/>
      <c r="G352" s="2"/>
      <c r="H352" s="2"/>
      <c r="I352" s="2"/>
      <c r="J352" s="2"/>
      <c r="K352" s="2"/>
      <c r="L352" s="2"/>
      <c r="M352" s="2"/>
      <c r="N352" s="2"/>
      <c r="O352" s="2"/>
    </row>
    <row r="353" customFormat="false" ht="15.75" hidden="false" customHeight="true" outlineLevel="0" collapsed="false">
      <c r="A353" s="2"/>
      <c r="B353" s="2"/>
      <c r="C353" s="2"/>
      <c r="D353" s="2"/>
      <c r="E353" s="2"/>
      <c r="F353" s="2"/>
      <c r="G353" s="2"/>
      <c r="H353" s="2"/>
      <c r="I353" s="2"/>
      <c r="J353" s="2"/>
      <c r="K353" s="2"/>
      <c r="L353" s="2"/>
      <c r="M353" s="2"/>
      <c r="N353" s="2"/>
      <c r="O353" s="2"/>
    </row>
    <row r="354" customFormat="false" ht="15.75" hidden="false" customHeight="true" outlineLevel="0" collapsed="false">
      <c r="A354" s="2"/>
      <c r="B354" s="2"/>
      <c r="C354" s="2"/>
      <c r="D354" s="2"/>
      <c r="E354" s="2"/>
      <c r="F354" s="2"/>
      <c r="G354" s="2"/>
      <c r="H354" s="2"/>
      <c r="I354" s="2"/>
      <c r="J354" s="2"/>
      <c r="K354" s="2"/>
      <c r="L354" s="2"/>
      <c r="M354" s="2"/>
      <c r="N354" s="2"/>
      <c r="O354" s="2"/>
    </row>
    <row r="355" customFormat="false" ht="15.75" hidden="false" customHeight="true" outlineLevel="0" collapsed="false">
      <c r="A355" s="2"/>
      <c r="B355" s="2"/>
      <c r="C355" s="2"/>
      <c r="D355" s="2"/>
      <c r="E355" s="2"/>
      <c r="F355" s="2"/>
      <c r="G355" s="2"/>
      <c r="H355" s="2"/>
      <c r="I355" s="2"/>
      <c r="J355" s="2"/>
      <c r="K355" s="2"/>
      <c r="L355" s="2"/>
      <c r="M355" s="2"/>
      <c r="N355" s="2"/>
      <c r="O355" s="2"/>
    </row>
    <row r="356" customFormat="false" ht="15.75" hidden="false" customHeight="true" outlineLevel="0" collapsed="false">
      <c r="A356" s="2"/>
      <c r="B356" s="2"/>
      <c r="C356" s="2"/>
      <c r="D356" s="2"/>
      <c r="E356" s="2"/>
      <c r="F356" s="2"/>
      <c r="G356" s="2"/>
      <c r="H356" s="2"/>
      <c r="I356" s="2"/>
      <c r="J356" s="2"/>
      <c r="K356" s="2"/>
      <c r="L356" s="2"/>
      <c r="M356" s="2"/>
      <c r="N356" s="2"/>
      <c r="O356" s="2"/>
    </row>
    <row r="357" customFormat="false" ht="15.75" hidden="false" customHeight="true" outlineLevel="0" collapsed="false">
      <c r="A357" s="2"/>
      <c r="B357" s="2"/>
      <c r="C357" s="2"/>
      <c r="D357" s="2"/>
      <c r="E357" s="2"/>
      <c r="F357" s="2"/>
      <c r="G357" s="2"/>
      <c r="H357" s="2"/>
      <c r="I357" s="2"/>
      <c r="J357" s="2"/>
      <c r="K357" s="2"/>
      <c r="L357" s="2"/>
      <c r="M357" s="2"/>
      <c r="N357" s="2"/>
      <c r="O357" s="2"/>
    </row>
    <row r="358" customFormat="false" ht="15.75" hidden="false" customHeight="true" outlineLevel="0" collapsed="false">
      <c r="A358" s="2"/>
      <c r="B358" s="2"/>
      <c r="C358" s="2"/>
      <c r="D358" s="2"/>
      <c r="E358" s="2"/>
      <c r="F358" s="2"/>
      <c r="G358" s="2"/>
      <c r="H358" s="2"/>
      <c r="I358" s="2"/>
      <c r="J358" s="2"/>
      <c r="K358" s="2"/>
      <c r="L358" s="2"/>
      <c r="M358" s="2"/>
      <c r="N358" s="2"/>
      <c r="O358" s="2"/>
    </row>
    <row r="359" customFormat="false" ht="15.75" hidden="false" customHeight="true" outlineLevel="0" collapsed="false">
      <c r="A359" s="2"/>
      <c r="B359" s="2"/>
      <c r="C359" s="2"/>
      <c r="D359" s="2"/>
      <c r="E359" s="2"/>
      <c r="F359" s="2"/>
      <c r="G359" s="2"/>
      <c r="H359" s="2"/>
      <c r="I359" s="2"/>
      <c r="J359" s="2"/>
      <c r="K359" s="2"/>
      <c r="L359" s="2"/>
      <c r="M359" s="2"/>
      <c r="N359" s="2"/>
      <c r="O359" s="2"/>
    </row>
    <row r="360" customFormat="false" ht="15.75" hidden="false" customHeight="true" outlineLevel="0" collapsed="false">
      <c r="A360" s="2"/>
      <c r="B360" s="2"/>
      <c r="C360" s="2"/>
      <c r="D360" s="2"/>
      <c r="E360" s="2"/>
      <c r="F360" s="2"/>
      <c r="G360" s="2"/>
      <c r="H360" s="2"/>
      <c r="I360" s="2"/>
      <c r="J360" s="2"/>
      <c r="K360" s="2"/>
      <c r="L360" s="2"/>
      <c r="M360" s="2"/>
      <c r="N360" s="2"/>
      <c r="O360" s="2"/>
    </row>
    <row r="361" customFormat="false" ht="15.75" hidden="false" customHeight="true" outlineLevel="0" collapsed="false">
      <c r="A361" s="2"/>
      <c r="B361" s="2"/>
      <c r="C361" s="2"/>
      <c r="D361" s="2"/>
      <c r="E361" s="2"/>
      <c r="F361" s="2"/>
      <c r="G361" s="2"/>
      <c r="H361" s="2"/>
      <c r="I361" s="2"/>
      <c r="J361" s="2"/>
      <c r="K361" s="2"/>
      <c r="L361" s="2"/>
      <c r="M361" s="2"/>
      <c r="N361" s="2"/>
      <c r="O361" s="2"/>
    </row>
    <row r="362" customFormat="false" ht="15.75" hidden="false" customHeight="true" outlineLevel="0" collapsed="false">
      <c r="A362" s="2"/>
      <c r="B362" s="2"/>
      <c r="C362" s="2"/>
      <c r="D362" s="2"/>
      <c r="E362" s="2"/>
      <c r="F362" s="2"/>
      <c r="G362" s="2"/>
      <c r="H362" s="2"/>
      <c r="I362" s="2"/>
      <c r="J362" s="2"/>
      <c r="K362" s="2"/>
      <c r="L362" s="2"/>
      <c r="M362" s="2"/>
      <c r="N362" s="2"/>
      <c r="O362" s="2"/>
    </row>
    <row r="363" customFormat="false" ht="15.75" hidden="false" customHeight="true" outlineLevel="0" collapsed="false">
      <c r="A363" s="2"/>
      <c r="B363" s="2"/>
      <c r="C363" s="2"/>
      <c r="D363" s="2"/>
      <c r="E363" s="2"/>
      <c r="F363" s="2"/>
      <c r="G363" s="2"/>
      <c r="H363" s="2"/>
      <c r="I363" s="2"/>
      <c r="J363" s="2"/>
      <c r="K363" s="2"/>
      <c r="L363" s="2"/>
      <c r="M363" s="2"/>
      <c r="N363" s="2"/>
      <c r="O363" s="2"/>
    </row>
    <row r="364" customFormat="false" ht="15.75" hidden="false" customHeight="true" outlineLevel="0" collapsed="false">
      <c r="A364" s="2"/>
      <c r="B364" s="2"/>
      <c r="C364" s="2"/>
      <c r="D364" s="2"/>
      <c r="E364" s="2"/>
      <c r="F364" s="2"/>
      <c r="G364" s="2"/>
      <c r="H364" s="2"/>
      <c r="I364" s="2"/>
      <c r="J364" s="2"/>
      <c r="K364" s="2"/>
      <c r="L364" s="2"/>
      <c r="M364" s="2"/>
      <c r="N364" s="2"/>
      <c r="O364" s="2"/>
    </row>
    <row r="365" customFormat="false" ht="15.75" hidden="false" customHeight="true" outlineLevel="0" collapsed="false">
      <c r="A365" s="2"/>
      <c r="B365" s="2"/>
      <c r="C365" s="2"/>
      <c r="D365" s="2"/>
      <c r="E365" s="2"/>
      <c r="F365" s="2"/>
      <c r="G365" s="2"/>
      <c r="H365" s="2"/>
      <c r="I365" s="2"/>
      <c r="J365" s="2"/>
      <c r="K365" s="2"/>
      <c r="L365" s="2"/>
      <c r="M365" s="2"/>
      <c r="N365" s="2"/>
      <c r="O365" s="2"/>
    </row>
    <row r="366" customFormat="false" ht="15.75" hidden="false" customHeight="true" outlineLevel="0" collapsed="false">
      <c r="A366" s="2"/>
      <c r="B366" s="2"/>
      <c r="C366" s="2"/>
      <c r="D366" s="2"/>
      <c r="E366" s="2"/>
      <c r="F366" s="2"/>
      <c r="G366" s="2"/>
      <c r="H366" s="2"/>
      <c r="I366" s="2"/>
      <c r="J366" s="2"/>
      <c r="K366" s="2"/>
      <c r="L366" s="2"/>
      <c r="M366" s="2"/>
      <c r="N366" s="2"/>
      <c r="O366" s="2"/>
    </row>
    <row r="367" customFormat="false" ht="15.75" hidden="false" customHeight="true" outlineLevel="0" collapsed="false">
      <c r="A367" s="2"/>
      <c r="B367" s="2"/>
      <c r="C367" s="2"/>
      <c r="D367" s="2"/>
      <c r="E367" s="2"/>
      <c r="F367" s="2"/>
      <c r="G367" s="2"/>
      <c r="H367" s="2"/>
      <c r="I367" s="2"/>
      <c r="J367" s="2"/>
      <c r="K367" s="2"/>
      <c r="L367" s="2"/>
      <c r="M367" s="2"/>
      <c r="N367" s="2"/>
      <c r="O367" s="2"/>
    </row>
    <row r="368" customFormat="false" ht="15.75" hidden="false" customHeight="true" outlineLevel="0" collapsed="false">
      <c r="A368" s="2"/>
      <c r="B368" s="2"/>
      <c r="C368" s="2"/>
      <c r="D368" s="2"/>
      <c r="E368" s="2"/>
      <c r="F368" s="2"/>
      <c r="G368" s="2"/>
      <c r="H368" s="2"/>
      <c r="I368" s="2"/>
      <c r="J368" s="2"/>
      <c r="K368" s="2"/>
      <c r="L368" s="2"/>
      <c r="M368" s="2"/>
      <c r="N368" s="2"/>
      <c r="O368" s="2"/>
    </row>
    <row r="369" customFormat="false" ht="15.75" hidden="false" customHeight="true" outlineLevel="0" collapsed="false">
      <c r="A369" s="2"/>
      <c r="B369" s="2"/>
      <c r="C369" s="2"/>
      <c r="D369" s="2"/>
      <c r="E369" s="2"/>
      <c r="F369" s="2"/>
      <c r="G369" s="2"/>
      <c r="H369" s="2"/>
      <c r="I369" s="2"/>
      <c r="J369" s="2"/>
      <c r="K369" s="2"/>
      <c r="L369" s="2"/>
      <c r="M369" s="2"/>
      <c r="N369" s="2"/>
      <c r="O369" s="2"/>
    </row>
    <row r="370" customFormat="false" ht="15.75" hidden="false" customHeight="true" outlineLevel="0" collapsed="false">
      <c r="A370" s="2"/>
      <c r="B370" s="2"/>
      <c r="C370" s="2"/>
      <c r="D370" s="2"/>
      <c r="E370" s="2"/>
      <c r="F370" s="2"/>
      <c r="G370" s="2"/>
      <c r="H370" s="2"/>
      <c r="I370" s="2"/>
      <c r="J370" s="2"/>
      <c r="K370" s="2"/>
      <c r="L370" s="2"/>
      <c r="M370" s="2"/>
      <c r="N370" s="2"/>
      <c r="O370" s="2"/>
    </row>
    <row r="371" customFormat="false" ht="15.75" hidden="false" customHeight="true" outlineLevel="0" collapsed="false">
      <c r="A371" s="2"/>
      <c r="B371" s="2"/>
      <c r="C371" s="2"/>
      <c r="D371" s="2"/>
      <c r="E371" s="2"/>
      <c r="F371" s="2"/>
      <c r="G371" s="2"/>
      <c r="H371" s="2"/>
      <c r="I371" s="2"/>
      <c r="J371" s="2"/>
      <c r="K371" s="2"/>
      <c r="L371" s="2"/>
      <c r="M371" s="2"/>
      <c r="N371" s="2"/>
      <c r="O371" s="2"/>
    </row>
    <row r="372" customFormat="false" ht="15.75" hidden="false" customHeight="true" outlineLevel="0" collapsed="false">
      <c r="A372" s="2"/>
      <c r="B372" s="2"/>
      <c r="C372" s="2"/>
      <c r="D372" s="2"/>
      <c r="E372" s="2"/>
      <c r="F372" s="2"/>
      <c r="G372" s="2"/>
      <c r="H372" s="2"/>
      <c r="I372" s="2"/>
      <c r="J372" s="2"/>
      <c r="K372" s="2"/>
      <c r="L372" s="2"/>
      <c r="M372" s="2"/>
      <c r="N372" s="2"/>
      <c r="O372" s="2"/>
    </row>
    <row r="373" customFormat="false" ht="15.75" hidden="false" customHeight="true" outlineLevel="0" collapsed="false">
      <c r="A373" s="2"/>
      <c r="B373" s="2"/>
      <c r="C373" s="2"/>
      <c r="D373" s="2"/>
      <c r="E373" s="2"/>
      <c r="F373" s="2"/>
      <c r="G373" s="2"/>
      <c r="H373" s="2"/>
      <c r="I373" s="2"/>
      <c r="J373" s="2"/>
      <c r="K373" s="2"/>
      <c r="L373" s="2"/>
      <c r="M373" s="2"/>
      <c r="N373" s="2"/>
      <c r="O373" s="2"/>
    </row>
    <row r="374" customFormat="false" ht="15.75" hidden="false" customHeight="true" outlineLevel="0" collapsed="false">
      <c r="A374" s="2"/>
      <c r="B374" s="2"/>
      <c r="C374" s="2"/>
      <c r="D374" s="2"/>
      <c r="E374" s="2"/>
      <c r="F374" s="2"/>
      <c r="G374" s="2"/>
      <c r="H374" s="2"/>
      <c r="I374" s="2"/>
      <c r="J374" s="2"/>
      <c r="K374" s="2"/>
      <c r="L374" s="2"/>
      <c r="M374" s="2"/>
      <c r="N374" s="2"/>
      <c r="O374" s="2"/>
    </row>
    <row r="375" customFormat="false" ht="15.75" hidden="false" customHeight="true" outlineLevel="0" collapsed="false">
      <c r="A375" s="2"/>
      <c r="B375" s="2"/>
      <c r="C375" s="2"/>
      <c r="D375" s="2"/>
      <c r="E375" s="2"/>
      <c r="F375" s="2"/>
      <c r="G375" s="2"/>
      <c r="H375" s="2"/>
      <c r="I375" s="2"/>
      <c r="J375" s="2"/>
      <c r="K375" s="2"/>
      <c r="L375" s="2"/>
      <c r="M375" s="2"/>
      <c r="N375" s="2"/>
      <c r="O375" s="2"/>
    </row>
    <row r="376" customFormat="false" ht="15.75" hidden="false" customHeight="true" outlineLevel="0" collapsed="false">
      <c r="A376" s="2"/>
      <c r="B376" s="2"/>
      <c r="C376" s="2"/>
      <c r="D376" s="2"/>
      <c r="E376" s="2"/>
      <c r="F376" s="2"/>
      <c r="G376" s="2"/>
      <c r="H376" s="2"/>
      <c r="I376" s="2"/>
      <c r="J376" s="2"/>
      <c r="K376" s="2"/>
      <c r="L376" s="2"/>
      <c r="M376" s="2"/>
      <c r="N376" s="2"/>
      <c r="O376" s="2"/>
    </row>
    <row r="377" customFormat="false" ht="15.75" hidden="false" customHeight="true" outlineLevel="0" collapsed="false">
      <c r="A377" s="2"/>
      <c r="B377" s="2"/>
      <c r="C377" s="2"/>
      <c r="D377" s="2"/>
      <c r="E377" s="2"/>
      <c r="F377" s="2"/>
      <c r="G377" s="2"/>
      <c r="H377" s="2"/>
      <c r="I377" s="2"/>
      <c r="J377" s="2"/>
      <c r="K377" s="2"/>
      <c r="L377" s="2"/>
      <c r="M377" s="2"/>
      <c r="N377" s="2"/>
      <c r="O377" s="2"/>
    </row>
    <row r="378" customFormat="false" ht="15.75" hidden="false" customHeight="true" outlineLevel="0" collapsed="false">
      <c r="A378" s="2"/>
      <c r="B378" s="2"/>
      <c r="C378" s="2"/>
      <c r="D378" s="2"/>
      <c r="E378" s="2"/>
      <c r="F378" s="2"/>
      <c r="G378" s="2"/>
      <c r="H378" s="2"/>
      <c r="I378" s="2"/>
      <c r="J378" s="2"/>
      <c r="K378" s="2"/>
      <c r="L378" s="2"/>
      <c r="M378" s="2"/>
      <c r="N378" s="2"/>
      <c r="O378" s="2"/>
    </row>
    <row r="379" customFormat="false" ht="15.75" hidden="false" customHeight="true" outlineLevel="0" collapsed="false">
      <c r="A379" s="2"/>
      <c r="B379" s="2"/>
      <c r="C379" s="2"/>
      <c r="D379" s="2"/>
      <c r="E379" s="2"/>
      <c r="F379" s="2"/>
      <c r="G379" s="2"/>
      <c r="H379" s="2"/>
      <c r="I379" s="2"/>
      <c r="J379" s="2"/>
      <c r="K379" s="2"/>
      <c r="L379" s="2"/>
      <c r="M379" s="2"/>
      <c r="N379" s="2"/>
      <c r="O379" s="2"/>
    </row>
    <row r="380" customFormat="false" ht="15.75" hidden="false" customHeight="true" outlineLevel="0" collapsed="false">
      <c r="A380" s="2"/>
      <c r="B380" s="2"/>
      <c r="C380" s="2"/>
      <c r="D380" s="2"/>
      <c r="E380" s="2"/>
      <c r="F380" s="2"/>
      <c r="G380" s="2"/>
      <c r="H380" s="2"/>
      <c r="I380" s="2"/>
      <c r="J380" s="2"/>
      <c r="K380" s="2"/>
      <c r="L380" s="2"/>
      <c r="M380" s="2"/>
      <c r="N380" s="2"/>
      <c r="O380" s="2"/>
    </row>
    <row r="381" customFormat="false" ht="15.75" hidden="false" customHeight="true" outlineLevel="0" collapsed="false">
      <c r="A381" s="2"/>
      <c r="B381" s="2"/>
      <c r="C381" s="2"/>
      <c r="D381" s="2"/>
      <c r="E381" s="2"/>
      <c r="F381" s="2"/>
      <c r="G381" s="2"/>
      <c r="H381" s="2"/>
      <c r="I381" s="2"/>
      <c r="J381" s="2"/>
      <c r="K381" s="2"/>
      <c r="L381" s="2"/>
      <c r="M381" s="2"/>
      <c r="N381" s="2"/>
      <c r="O381" s="2"/>
    </row>
    <row r="382" customFormat="false" ht="15.75" hidden="false" customHeight="true" outlineLevel="0" collapsed="false">
      <c r="A382" s="2"/>
      <c r="B382" s="2"/>
      <c r="C382" s="2"/>
      <c r="D382" s="2"/>
      <c r="E382" s="2"/>
      <c r="F382" s="2"/>
      <c r="G382" s="2"/>
      <c r="H382" s="2"/>
      <c r="I382" s="2"/>
      <c r="J382" s="2"/>
      <c r="K382" s="2"/>
      <c r="L382" s="2"/>
      <c r="M382" s="2"/>
      <c r="N382" s="2"/>
      <c r="O382" s="2"/>
    </row>
    <row r="383" customFormat="false" ht="15.75" hidden="false" customHeight="true" outlineLevel="0" collapsed="false">
      <c r="A383" s="2"/>
      <c r="B383" s="2"/>
      <c r="C383" s="2"/>
      <c r="D383" s="2"/>
      <c r="E383" s="2"/>
      <c r="F383" s="2"/>
      <c r="G383" s="2"/>
      <c r="H383" s="2"/>
      <c r="I383" s="2"/>
      <c r="J383" s="2"/>
      <c r="K383" s="2"/>
      <c r="L383" s="2"/>
      <c r="M383" s="2"/>
      <c r="N383" s="2"/>
      <c r="O383" s="2"/>
    </row>
    <row r="384" customFormat="false" ht="15.75" hidden="false" customHeight="true" outlineLevel="0" collapsed="false">
      <c r="A384" s="2"/>
      <c r="B384" s="2"/>
      <c r="C384" s="2"/>
      <c r="D384" s="2"/>
      <c r="E384" s="2"/>
      <c r="F384" s="2"/>
      <c r="G384" s="2"/>
      <c r="H384" s="2"/>
      <c r="I384" s="2"/>
      <c r="J384" s="2"/>
      <c r="K384" s="2"/>
      <c r="L384" s="2"/>
      <c r="M384" s="2"/>
      <c r="N384" s="2"/>
      <c r="O384" s="2"/>
    </row>
    <row r="385" customFormat="false" ht="15.75" hidden="false" customHeight="true" outlineLevel="0" collapsed="false">
      <c r="A385" s="2"/>
      <c r="B385" s="2"/>
      <c r="C385" s="2"/>
      <c r="D385" s="2"/>
      <c r="E385" s="2"/>
      <c r="F385" s="2"/>
      <c r="G385" s="2"/>
      <c r="H385" s="2"/>
      <c r="I385" s="2"/>
      <c r="J385" s="2"/>
      <c r="K385" s="2"/>
      <c r="L385" s="2"/>
      <c r="M385" s="2"/>
      <c r="N385" s="2"/>
      <c r="O385" s="2"/>
    </row>
    <row r="386" customFormat="false" ht="15.75" hidden="false" customHeight="true" outlineLevel="0" collapsed="false">
      <c r="A386" s="2"/>
      <c r="B386" s="2"/>
      <c r="C386" s="2"/>
      <c r="D386" s="2"/>
      <c r="E386" s="2"/>
      <c r="F386" s="2"/>
      <c r="G386" s="2"/>
      <c r="H386" s="2"/>
      <c r="I386" s="2"/>
      <c r="J386" s="2"/>
      <c r="K386" s="2"/>
      <c r="L386" s="2"/>
      <c r="M386" s="2"/>
      <c r="N386" s="2"/>
      <c r="O386" s="2"/>
    </row>
    <row r="387" customFormat="false" ht="15.75" hidden="false" customHeight="true" outlineLevel="0" collapsed="false">
      <c r="A387" s="2"/>
      <c r="B387" s="2"/>
      <c r="C387" s="2"/>
      <c r="D387" s="2"/>
      <c r="E387" s="2"/>
      <c r="F387" s="2"/>
      <c r="G387" s="2"/>
      <c r="H387" s="2"/>
      <c r="I387" s="2"/>
      <c r="J387" s="2"/>
      <c r="K387" s="2"/>
      <c r="L387" s="2"/>
      <c r="M387" s="2"/>
      <c r="N387" s="2"/>
      <c r="O387" s="2"/>
    </row>
    <row r="388" customFormat="false" ht="15.75" hidden="false" customHeight="true" outlineLevel="0" collapsed="false">
      <c r="A388" s="2"/>
      <c r="B388" s="2"/>
      <c r="C388" s="2"/>
      <c r="D388" s="2"/>
      <c r="E388" s="2"/>
      <c r="F388" s="2"/>
      <c r="G388" s="2"/>
      <c r="H388" s="2"/>
      <c r="I388" s="2"/>
      <c r="J388" s="2"/>
      <c r="K388" s="2"/>
      <c r="L388" s="2"/>
      <c r="M388" s="2"/>
      <c r="N388" s="2"/>
      <c r="O388" s="2"/>
    </row>
    <row r="389" customFormat="false" ht="15.75" hidden="false" customHeight="true" outlineLevel="0" collapsed="false">
      <c r="A389" s="2"/>
      <c r="B389" s="2"/>
      <c r="C389" s="2"/>
      <c r="D389" s="2"/>
      <c r="E389" s="2"/>
      <c r="F389" s="2"/>
      <c r="G389" s="2"/>
      <c r="H389" s="2"/>
      <c r="I389" s="2"/>
      <c r="J389" s="2"/>
      <c r="K389" s="2"/>
      <c r="L389" s="2"/>
      <c r="M389" s="2"/>
      <c r="N389" s="2"/>
      <c r="O389" s="2"/>
    </row>
    <row r="390" customFormat="false" ht="15.75" hidden="false" customHeight="true" outlineLevel="0" collapsed="false">
      <c r="A390" s="2"/>
      <c r="B390" s="2"/>
      <c r="C390" s="2"/>
      <c r="D390" s="2"/>
      <c r="E390" s="2"/>
      <c r="F390" s="2"/>
      <c r="G390" s="2"/>
      <c r="H390" s="2"/>
      <c r="I390" s="2"/>
      <c r="J390" s="2"/>
      <c r="K390" s="2"/>
      <c r="L390" s="2"/>
      <c r="M390" s="2"/>
      <c r="N390" s="2"/>
      <c r="O390" s="2"/>
    </row>
    <row r="391" customFormat="false" ht="15.75" hidden="false" customHeight="true" outlineLevel="0" collapsed="false">
      <c r="A391" s="2"/>
      <c r="B391" s="2"/>
      <c r="C391" s="2"/>
      <c r="D391" s="2"/>
      <c r="E391" s="2"/>
      <c r="F391" s="2"/>
      <c r="G391" s="2"/>
      <c r="H391" s="2"/>
      <c r="I391" s="2"/>
      <c r="J391" s="2"/>
      <c r="K391" s="2"/>
      <c r="L391" s="2"/>
      <c r="M391" s="2"/>
      <c r="N391" s="2"/>
      <c r="O391" s="2"/>
    </row>
    <row r="392" customFormat="false" ht="15.75" hidden="false" customHeight="true" outlineLevel="0" collapsed="false">
      <c r="A392" s="2"/>
      <c r="B392" s="2"/>
      <c r="C392" s="2"/>
      <c r="D392" s="2"/>
      <c r="E392" s="2"/>
      <c r="F392" s="2"/>
      <c r="G392" s="2"/>
      <c r="H392" s="2"/>
      <c r="I392" s="2"/>
      <c r="J392" s="2"/>
      <c r="K392" s="2"/>
      <c r="L392" s="2"/>
      <c r="M392" s="2"/>
      <c r="N392" s="2"/>
      <c r="O392" s="2"/>
    </row>
    <row r="393" customFormat="false" ht="15.75" hidden="false" customHeight="true" outlineLevel="0" collapsed="false">
      <c r="A393" s="2"/>
      <c r="B393" s="2"/>
      <c r="C393" s="2"/>
      <c r="D393" s="2"/>
      <c r="E393" s="2"/>
      <c r="F393" s="2"/>
      <c r="G393" s="2"/>
      <c r="H393" s="2"/>
      <c r="I393" s="2"/>
      <c r="J393" s="2"/>
      <c r="K393" s="2"/>
      <c r="L393" s="2"/>
      <c r="M393" s="2"/>
      <c r="N393" s="2"/>
      <c r="O393" s="2"/>
    </row>
    <row r="394" customFormat="false" ht="15.75" hidden="false" customHeight="true" outlineLevel="0" collapsed="false">
      <c r="A394" s="2"/>
      <c r="B394" s="2"/>
      <c r="C394" s="2"/>
      <c r="D394" s="2"/>
      <c r="E394" s="2"/>
      <c r="F394" s="2"/>
      <c r="G394" s="2"/>
      <c r="H394" s="2"/>
      <c r="I394" s="2"/>
      <c r="J394" s="2"/>
      <c r="K394" s="2"/>
      <c r="L394" s="2"/>
      <c r="M394" s="2"/>
      <c r="N394" s="2"/>
      <c r="O394" s="2"/>
    </row>
    <row r="395" customFormat="false" ht="15.75" hidden="false" customHeight="true" outlineLevel="0" collapsed="false">
      <c r="A395" s="2"/>
      <c r="B395" s="2"/>
      <c r="C395" s="2"/>
      <c r="D395" s="2"/>
      <c r="E395" s="2"/>
      <c r="F395" s="2"/>
      <c r="G395" s="2"/>
      <c r="H395" s="2"/>
      <c r="I395" s="2"/>
      <c r="J395" s="2"/>
      <c r="K395" s="2"/>
      <c r="L395" s="2"/>
      <c r="M395" s="2"/>
      <c r="N395" s="2"/>
      <c r="O395" s="2"/>
    </row>
    <row r="396" customFormat="false" ht="15.75" hidden="false" customHeight="true" outlineLevel="0" collapsed="false">
      <c r="A396" s="2"/>
      <c r="B396" s="2"/>
      <c r="C396" s="2"/>
      <c r="D396" s="2"/>
      <c r="E396" s="2"/>
      <c r="F396" s="2"/>
      <c r="G396" s="2"/>
      <c r="H396" s="2"/>
      <c r="I396" s="2"/>
      <c r="J396" s="2"/>
      <c r="K396" s="2"/>
      <c r="L396" s="2"/>
      <c r="M396" s="2"/>
      <c r="N396" s="2"/>
      <c r="O396" s="2"/>
    </row>
    <row r="397" customFormat="false" ht="15.75" hidden="false" customHeight="true" outlineLevel="0" collapsed="false">
      <c r="A397" s="2"/>
      <c r="B397" s="2"/>
      <c r="C397" s="2"/>
      <c r="D397" s="2"/>
      <c r="E397" s="2"/>
      <c r="F397" s="2"/>
      <c r="G397" s="2"/>
      <c r="H397" s="2"/>
      <c r="I397" s="2"/>
      <c r="J397" s="2"/>
      <c r="K397" s="2"/>
      <c r="L397" s="2"/>
      <c r="M397" s="2"/>
      <c r="N397" s="2"/>
      <c r="O397" s="2"/>
    </row>
    <row r="398" customFormat="false" ht="15.75" hidden="false" customHeight="true" outlineLevel="0" collapsed="false">
      <c r="A398" s="2"/>
      <c r="B398" s="2"/>
      <c r="C398" s="2"/>
      <c r="D398" s="2"/>
      <c r="E398" s="2"/>
      <c r="F398" s="2"/>
      <c r="G398" s="2"/>
      <c r="H398" s="2"/>
      <c r="I398" s="2"/>
      <c r="J398" s="2"/>
      <c r="K398" s="2"/>
      <c r="L398" s="2"/>
      <c r="M398" s="2"/>
      <c r="N398" s="2"/>
      <c r="O398" s="2"/>
    </row>
    <row r="399" customFormat="false" ht="15.75" hidden="false" customHeight="true" outlineLevel="0" collapsed="false">
      <c r="A399" s="2"/>
      <c r="B399" s="2"/>
      <c r="C399" s="2"/>
      <c r="D399" s="2"/>
      <c r="E399" s="2"/>
      <c r="F399" s="2"/>
      <c r="G399" s="2"/>
      <c r="H399" s="2"/>
      <c r="I399" s="2"/>
      <c r="J399" s="2"/>
      <c r="K399" s="2"/>
      <c r="L399" s="2"/>
      <c r="M399" s="2"/>
      <c r="N399" s="2"/>
      <c r="O399" s="2"/>
    </row>
    <row r="400" customFormat="false" ht="15.75" hidden="false" customHeight="true" outlineLevel="0" collapsed="false">
      <c r="A400" s="2"/>
      <c r="B400" s="2"/>
      <c r="C400" s="2"/>
      <c r="D400" s="2"/>
      <c r="E400" s="2"/>
      <c r="F400" s="2"/>
      <c r="G400" s="2"/>
      <c r="H400" s="2"/>
      <c r="I400" s="2"/>
      <c r="J400" s="2"/>
      <c r="K400" s="2"/>
      <c r="L400" s="2"/>
      <c r="M400" s="2"/>
      <c r="N400" s="2"/>
      <c r="O400" s="2"/>
    </row>
    <row r="401" customFormat="false" ht="15.75" hidden="false" customHeight="true" outlineLevel="0" collapsed="false">
      <c r="A401" s="2"/>
      <c r="B401" s="2"/>
      <c r="C401" s="2"/>
      <c r="D401" s="2"/>
      <c r="E401" s="2"/>
      <c r="F401" s="2"/>
      <c r="G401" s="2"/>
      <c r="H401" s="2"/>
      <c r="I401" s="2"/>
      <c r="J401" s="2"/>
      <c r="K401" s="2"/>
      <c r="L401" s="2"/>
      <c r="M401" s="2"/>
      <c r="N401" s="2"/>
      <c r="O401" s="2"/>
    </row>
    <row r="402" customFormat="false" ht="15.75" hidden="false" customHeight="true" outlineLevel="0" collapsed="false">
      <c r="A402" s="2"/>
      <c r="B402" s="2"/>
      <c r="C402" s="2"/>
      <c r="D402" s="2"/>
      <c r="E402" s="2"/>
      <c r="F402" s="2"/>
      <c r="G402" s="2"/>
      <c r="H402" s="2"/>
      <c r="I402" s="2"/>
      <c r="J402" s="2"/>
      <c r="K402" s="2"/>
      <c r="L402" s="2"/>
      <c r="M402" s="2"/>
      <c r="N402" s="2"/>
      <c r="O402" s="2"/>
    </row>
    <row r="403" customFormat="false" ht="15.75" hidden="false" customHeight="true" outlineLevel="0" collapsed="false">
      <c r="A403" s="2"/>
      <c r="B403" s="2"/>
      <c r="C403" s="2"/>
      <c r="D403" s="2"/>
      <c r="E403" s="2"/>
      <c r="F403" s="2"/>
      <c r="G403" s="2"/>
      <c r="H403" s="2"/>
      <c r="I403" s="2"/>
      <c r="J403" s="2"/>
      <c r="K403" s="2"/>
      <c r="L403" s="2"/>
      <c r="M403" s="2"/>
      <c r="N403" s="2"/>
      <c r="O403" s="2"/>
    </row>
    <row r="404" customFormat="false" ht="15.75" hidden="false" customHeight="true" outlineLevel="0" collapsed="false">
      <c r="A404" s="2"/>
      <c r="B404" s="2"/>
      <c r="C404" s="2"/>
      <c r="D404" s="2"/>
      <c r="E404" s="2"/>
      <c r="F404" s="2"/>
      <c r="G404" s="2"/>
      <c r="H404" s="2"/>
      <c r="I404" s="2"/>
      <c r="J404" s="2"/>
      <c r="K404" s="2"/>
      <c r="L404" s="2"/>
      <c r="M404" s="2"/>
      <c r="N404" s="2"/>
      <c r="O404" s="2"/>
    </row>
    <row r="405" customFormat="false" ht="15.75" hidden="false" customHeight="true" outlineLevel="0" collapsed="false">
      <c r="A405" s="2"/>
      <c r="B405" s="2"/>
      <c r="C405" s="2"/>
      <c r="D405" s="2"/>
      <c r="E405" s="2"/>
      <c r="F405" s="2"/>
      <c r="G405" s="2"/>
      <c r="H405" s="2"/>
      <c r="I405" s="2"/>
      <c r="J405" s="2"/>
      <c r="K405" s="2"/>
      <c r="L405" s="2"/>
      <c r="M405" s="2"/>
      <c r="N405" s="2"/>
      <c r="O405" s="2"/>
    </row>
    <row r="406" customFormat="false" ht="15.75" hidden="false" customHeight="true" outlineLevel="0" collapsed="false">
      <c r="A406" s="2"/>
      <c r="B406" s="2"/>
      <c r="C406" s="2"/>
      <c r="D406" s="2"/>
      <c r="E406" s="2"/>
      <c r="F406" s="2"/>
      <c r="G406" s="2"/>
      <c r="H406" s="2"/>
      <c r="I406" s="2"/>
      <c r="J406" s="2"/>
      <c r="K406" s="2"/>
      <c r="L406" s="2"/>
      <c r="M406" s="2"/>
      <c r="N406" s="2"/>
      <c r="O406" s="2"/>
    </row>
    <row r="407" customFormat="false" ht="15.75" hidden="false" customHeight="true" outlineLevel="0" collapsed="false">
      <c r="A407" s="2"/>
      <c r="B407" s="2"/>
      <c r="C407" s="2"/>
      <c r="D407" s="2"/>
      <c r="E407" s="2"/>
      <c r="F407" s="2"/>
      <c r="G407" s="2"/>
      <c r="H407" s="2"/>
      <c r="I407" s="2"/>
      <c r="J407" s="2"/>
      <c r="K407" s="2"/>
      <c r="L407" s="2"/>
      <c r="M407" s="2"/>
      <c r="N407" s="2"/>
      <c r="O407" s="2"/>
    </row>
    <row r="408" customFormat="false" ht="15.75" hidden="false" customHeight="true" outlineLevel="0" collapsed="false">
      <c r="A408" s="2"/>
      <c r="B408" s="2"/>
      <c r="C408" s="2"/>
      <c r="D408" s="2"/>
      <c r="E408" s="2"/>
      <c r="F408" s="2"/>
      <c r="G408" s="2"/>
      <c r="H408" s="2"/>
      <c r="I408" s="2"/>
      <c r="J408" s="2"/>
      <c r="K408" s="2"/>
      <c r="L408" s="2"/>
      <c r="M408" s="2"/>
      <c r="N408" s="2"/>
      <c r="O408" s="2"/>
    </row>
    <row r="409" customFormat="false" ht="15.75" hidden="false" customHeight="true" outlineLevel="0" collapsed="false">
      <c r="A409" s="2"/>
      <c r="B409" s="2"/>
      <c r="C409" s="2"/>
      <c r="D409" s="2"/>
      <c r="E409" s="2"/>
      <c r="F409" s="2"/>
      <c r="G409" s="2"/>
      <c r="H409" s="2"/>
      <c r="I409" s="2"/>
      <c r="J409" s="2"/>
      <c r="K409" s="2"/>
      <c r="L409" s="2"/>
      <c r="M409" s="2"/>
      <c r="N409" s="2"/>
      <c r="O409" s="2"/>
    </row>
    <row r="410" customFormat="false" ht="15.75" hidden="false" customHeight="true" outlineLevel="0" collapsed="false">
      <c r="A410" s="2"/>
      <c r="B410" s="2"/>
      <c r="C410" s="2"/>
      <c r="D410" s="2"/>
      <c r="E410" s="2"/>
      <c r="F410" s="2"/>
      <c r="G410" s="2"/>
      <c r="H410" s="2"/>
      <c r="I410" s="2"/>
      <c r="J410" s="2"/>
      <c r="K410" s="2"/>
      <c r="L410" s="2"/>
      <c r="M410" s="2"/>
      <c r="N410" s="2"/>
      <c r="O410" s="2"/>
    </row>
    <row r="411" customFormat="false" ht="15.75" hidden="false" customHeight="true" outlineLevel="0" collapsed="false">
      <c r="A411" s="2"/>
      <c r="B411" s="2"/>
      <c r="C411" s="2"/>
      <c r="D411" s="2"/>
      <c r="E411" s="2"/>
      <c r="F411" s="2"/>
      <c r="G411" s="2"/>
      <c r="H411" s="2"/>
      <c r="I411" s="2"/>
      <c r="J411" s="2"/>
      <c r="K411" s="2"/>
      <c r="L411" s="2"/>
      <c r="M411" s="2"/>
      <c r="N411" s="2"/>
      <c r="O411" s="2"/>
    </row>
    <row r="412" customFormat="false" ht="15.75" hidden="false" customHeight="true" outlineLevel="0" collapsed="false">
      <c r="A412" s="2"/>
      <c r="B412" s="2"/>
      <c r="C412" s="2"/>
      <c r="D412" s="2"/>
      <c r="E412" s="2"/>
      <c r="F412" s="2"/>
      <c r="G412" s="2"/>
      <c r="H412" s="2"/>
      <c r="I412" s="2"/>
      <c r="J412" s="2"/>
      <c r="K412" s="2"/>
      <c r="L412" s="2"/>
      <c r="M412" s="2"/>
      <c r="N412" s="2"/>
      <c r="O412" s="2"/>
    </row>
    <row r="413" customFormat="false" ht="15.75" hidden="false" customHeight="true" outlineLevel="0" collapsed="false">
      <c r="A413" s="2"/>
      <c r="B413" s="2"/>
      <c r="C413" s="2"/>
      <c r="D413" s="2"/>
      <c r="E413" s="2"/>
      <c r="F413" s="2"/>
      <c r="G413" s="2"/>
      <c r="H413" s="2"/>
      <c r="I413" s="2"/>
      <c r="J413" s="2"/>
      <c r="K413" s="2"/>
      <c r="L413" s="2"/>
      <c r="M413" s="2"/>
      <c r="N413" s="2"/>
      <c r="O413" s="2"/>
    </row>
    <row r="414" customFormat="false" ht="15.75" hidden="false" customHeight="true" outlineLevel="0" collapsed="false">
      <c r="A414" s="2"/>
      <c r="B414" s="2"/>
      <c r="C414" s="2"/>
      <c r="D414" s="2"/>
      <c r="E414" s="2"/>
      <c r="F414" s="2"/>
      <c r="G414" s="2"/>
      <c r="H414" s="2"/>
      <c r="I414" s="2"/>
      <c r="J414" s="2"/>
      <c r="K414" s="2"/>
      <c r="L414" s="2"/>
      <c r="M414" s="2"/>
      <c r="N414" s="2"/>
      <c r="O414" s="2"/>
    </row>
    <row r="415" customFormat="false" ht="15.75" hidden="false" customHeight="true" outlineLevel="0" collapsed="false">
      <c r="A415" s="2"/>
      <c r="B415" s="2"/>
      <c r="C415" s="2"/>
      <c r="D415" s="2"/>
      <c r="E415" s="2"/>
      <c r="F415" s="2"/>
      <c r="G415" s="2"/>
      <c r="H415" s="2"/>
      <c r="I415" s="2"/>
      <c r="J415" s="2"/>
      <c r="K415" s="2"/>
      <c r="L415" s="2"/>
      <c r="M415" s="2"/>
      <c r="N415" s="2"/>
      <c r="O415" s="2"/>
    </row>
    <row r="416" customFormat="false" ht="15.75" hidden="false" customHeight="true" outlineLevel="0" collapsed="false">
      <c r="A416" s="2"/>
      <c r="B416" s="2"/>
      <c r="C416" s="2"/>
      <c r="D416" s="2"/>
      <c r="E416" s="2"/>
      <c r="F416" s="2"/>
      <c r="G416" s="2"/>
      <c r="H416" s="2"/>
      <c r="I416" s="2"/>
      <c r="J416" s="2"/>
      <c r="K416" s="2"/>
      <c r="L416" s="2"/>
      <c r="M416" s="2"/>
      <c r="N416" s="2"/>
      <c r="O416" s="2"/>
    </row>
    <row r="417" customFormat="false" ht="15.75" hidden="false" customHeight="true" outlineLevel="0" collapsed="false">
      <c r="A417" s="2"/>
      <c r="B417" s="2"/>
      <c r="C417" s="2"/>
      <c r="D417" s="2"/>
      <c r="E417" s="2"/>
      <c r="F417" s="2"/>
      <c r="G417" s="2"/>
      <c r="H417" s="2"/>
      <c r="I417" s="2"/>
      <c r="J417" s="2"/>
      <c r="K417" s="2"/>
      <c r="L417" s="2"/>
      <c r="M417" s="2"/>
      <c r="N417" s="2"/>
      <c r="O417" s="2"/>
    </row>
    <row r="418" customFormat="false" ht="15.75" hidden="false" customHeight="true" outlineLevel="0" collapsed="false">
      <c r="A418" s="2"/>
      <c r="B418" s="2"/>
      <c r="C418" s="2"/>
      <c r="D418" s="2"/>
      <c r="E418" s="2"/>
      <c r="F418" s="2"/>
      <c r="G418" s="2"/>
      <c r="H418" s="2"/>
      <c r="I418" s="2"/>
      <c r="J418" s="2"/>
      <c r="K418" s="2"/>
      <c r="L418" s="2"/>
      <c r="M418" s="2"/>
      <c r="N418" s="2"/>
      <c r="O418" s="2"/>
    </row>
    <row r="419" customFormat="false" ht="15.75" hidden="false" customHeight="true" outlineLevel="0" collapsed="false">
      <c r="A419" s="2"/>
      <c r="B419" s="2"/>
      <c r="C419" s="2"/>
      <c r="D419" s="2"/>
      <c r="E419" s="2"/>
      <c r="F419" s="2"/>
      <c r="G419" s="2"/>
      <c r="H419" s="2"/>
      <c r="I419" s="2"/>
      <c r="J419" s="2"/>
      <c r="K419" s="2"/>
      <c r="L419" s="2"/>
      <c r="M419" s="2"/>
      <c r="N419" s="2"/>
      <c r="O419" s="2"/>
    </row>
    <row r="420" customFormat="false" ht="15.75" hidden="false" customHeight="true" outlineLevel="0" collapsed="false">
      <c r="A420" s="2"/>
      <c r="B420" s="2"/>
      <c r="C420" s="2"/>
      <c r="D420" s="2"/>
      <c r="E420" s="2"/>
      <c r="F420" s="2"/>
      <c r="G420" s="2"/>
      <c r="H420" s="2"/>
      <c r="I420" s="2"/>
      <c r="J420" s="2"/>
      <c r="K420" s="2"/>
      <c r="L420" s="2"/>
      <c r="M420" s="2"/>
      <c r="N420" s="2"/>
      <c r="O420" s="2"/>
    </row>
    <row r="421" customFormat="false" ht="15.75" hidden="false" customHeight="true" outlineLevel="0" collapsed="false">
      <c r="A421" s="2"/>
      <c r="B421" s="2"/>
      <c r="C421" s="2"/>
      <c r="D421" s="2"/>
      <c r="E421" s="2"/>
      <c r="F421" s="2"/>
      <c r="G421" s="2"/>
      <c r="H421" s="2"/>
      <c r="I421" s="2"/>
      <c r="J421" s="2"/>
      <c r="K421" s="2"/>
      <c r="L421" s="2"/>
      <c r="M421" s="2"/>
      <c r="N421" s="2"/>
      <c r="O421" s="2"/>
    </row>
    <row r="422" customFormat="false" ht="15.75" hidden="false" customHeight="true" outlineLevel="0" collapsed="false">
      <c r="A422" s="2"/>
      <c r="B422" s="2"/>
      <c r="C422" s="2"/>
      <c r="D422" s="2"/>
      <c r="E422" s="2"/>
      <c r="F422" s="2"/>
      <c r="G422" s="2"/>
      <c r="H422" s="2"/>
      <c r="I422" s="2"/>
      <c r="J422" s="2"/>
      <c r="K422" s="2"/>
      <c r="L422" s="2"/>
      <c r="M422" s="2"/>
      <c r="N422" s="2"/>
      <c r="O422" s="2"/>
    </row>
    <row r="423" customFormat="false" ht="15.75" hidden="false" customHeight="true" outlineLevel="0" collapsed="false">
      <c r="A423" s="2"/>
      <c r="B423" s="2"/>
      <c r="C423" s="2"/>
      <c r="D423" s="2"/>
      <c r="E423" s="2"/>
      <c r="F423" s="2"/>
      <c r="G423" s="2"/>
      <c r="H423" s="2"/>
      <c r="I423" s="2"/>
      <c r="J423" s="2"/>
      <c r="K423" s="2"/>
      <c r="L423" s="2"/>
      <c r="M423" s="2"/>
      <c r="N423" s="2"/>
      <c r="O423" s="2"/>
    </row>
    <row r="424" customFormat="false" ht="15.75" hidden="false" customHeight="true" outlineLevel="0" collapsed="false">
      <c r="A424" s="2"/>
      <c r="B424" s="2"/>
      <c r="C424" s="2"/>
      <c r="D424" s="2"/>
      <c r="E424" s="2"/>
      <c r="F424" s="2"/>
      <c r="G424" s="2"/>
      <c r="H424" s="2"/>
      <c r="I424" s="2"/>
      <c r="J424" s="2"/>
      <c r="K424" s="2"/>
      <c r="L424" s="2"/>
      <c r="M424" s="2"/>
      <c r="N424" s="2"/>
      <c r="O424" s="2"/>
    </row>
    <row r="425" customFormat="false" ht="15.75" hidden="false" customHeight="true" outlineLevel="0" collapsed="false">
      <c r="A425" s="2"/>
      <c r="B425" s="2"/>
      <c r="C425" s="2"/>
      <c r="D425" s="2"/>
      <c r="E425" s="2"/>
      <c r="F425" s="2"/>
      <c r="G425" s="2"/>
      <c r="H425" s="2"/>
      <c r="I425" s="2"/>
      <c r="J425" s="2"/>
      <c r="K425" s="2"/>
      <c r="L425" s="2"/>
      <c r="M425" s="2"/>
      <c r="N425" s="2"/>
      <c r="O425" s="2"/>
    </row>
    <row r="426" customFormat="false" ht="15.75" hidden="false" customHeight="true" outlineLevel="0" collapsed="false">
      <c r="A426" s="2"/>
      <c r="B426" s="2"/>
      <c r="C426" s="2"/>
      <c r="D426" s="2"/>
      <c r="E426" s="2"/>
      <c r="F426" s="2"/>
      <c r="G426" s="2"/>
      <c r="H426" s="2"/>
      <c r="I426" s="2"/>
      <c r="J426" s="2"/>
      <c r="K426" s="2"/>
      <c r="L426" s="2"/>
      <c r="M426" s="2"/>
      <c r="N426" s="2"/>
      <c r="O426" s="2"/>
    </row>
    <row r="427" customFormat="false" ht="15.75" hidden="false" customHeight="true" outlineLevel="0" collapsed="false">
      <c r="A427" s="2"/>
      <c r="B427" s="2"/>
      <c r="C427" s="2"/>
      <c r="D427" s="2"/>
      <c r="E427" s="2"/>
      <c r="F427" s="2"/>
      <c r="G427" s="2"/>
      <c r="H427" s="2"/>
      <c r="I427" s="2"/>
      <c r="J427" s="2"/>
      <c r="K427" s="2"/>
      <c r="L427" s="2"/>
      <c r="M427" s="2"/>
      <c r="N427" s="2"/>
      <c r="O427" s="2"/>
    </row>
    <row r="428" customFormat="false" ht="15.75" hidden="false" customHeight="true" outlineLevel="0" collapsed="false">
      <c r="A428" s="2"/>
      <c r="B428" s="2"/>
      <c r="C428" s="2"/>
      <c r="D428" s="2"/>
      <c r="E428" s="2"/>
      <c r="F428" s="2"/>
      <c r="G428" s="2"/>
      <c r="H428" s="2"/>
      <c r="I428" s="2"/>
      <c r="J428" s="2"/>
      <c r="K428" s="2"/>
      <c r="L428" s="2"/>
      <c r="M428" s="2"/>
      <c r="N428" s="2"/>
      <c r="O428" s="2"/>
    </row>
    <row r="429" customFormat="false" ht="15.75" hidden="false" customHeight="true" outlineLevel="0" collapsed="false">
      <c r="A429" s="2"/>
      <c r="B429" s="2"/>
      <c r="C429" s="2"/>
      <c r="D429" s="2"/>
      <c r="E429" s="2"/>
      <c r="F429" s="2"/>
      <c r="G429" s="2"/>
      <c r="H429" s="2"/>
      <c r="I429" s="2"/>
      <c r="J429" s="2"/>
      <c r="K429" s="2"/>
      <c r="L429" s="2"/>
      <c r="M429" s="2"/>
      <c r="N429" s="2"/>
      <c r="O429" s="2"/>
    </row>
    <row r="430" customFormat="false" ht="15.75" hidden="false" customHeight="true" outlineLevel="0" collapsed="false">
      <c r="A430" s="2"/>
      <c r="B430" s="2"/>
      <c r="C430" s="2"/>
      <c r="D430" s="2"/>
      <c r="E430" s="2"/>
      <c r="F430" s="2"/>
      <c r="G430" s="2"/>
      <c r="H430" s="2"/>
      <c r="I430" s="2"/>
      <c r="J430" s="2"/>
      <c r="K430" s="2"/>
      <c r="L430" s="2"/>
      <c r="M430" s="2"/>
      <c r="N430" s="2"/>
      <c r="O430" s="2"/>
    </row>
    <row r="431" customFormat="false" ht="15.75" hidden="false" customHeight="true" outlineLevel="0" collapsed="false">
      <c r="A431" s="2"/>
      <c r="B431" s="2"/>
      <c r="C431" s="2"/>
      <c r="D431" s="2"/>
      <c r="E431" s="2"/>
      <c r="F431" s="2"/>
      <c r="G431" s="2"/>
      <c r="H431" s="2"/>
      <c r="I431" s="2"/>
      <c r="J431" s="2"/>
      <c r="K431" s="2"/>
      <c r="L431" s="2"/>
      <c r="M431" s="2"/>
      <c r="N431" s="2"/>
      <c r="O431" s="2"/>
    </row>
    <row r="432" customFormat="false" ht="15.75" hidden="false" customHeight="true" outlineLevel="0" collapsed="false">
      <c r="A432" s="2"/>
      <c r="B432" s="2"/>
      <c r="C432" s="2"/>
      <c r="D432" s="2"/>
      <c r="E432" s="2"/>
      <c r="F432" s="2"/>
      <c r="G432" s="2"/>
      <c r="H432" s="2"/>
      <c r="I432" s="2"/>
      <c r="J432" s="2"/>
      <c r="K432" s="2"/>
      <c r="L432" s="2"/>
      <c r="M432" s="2"/>
      <c r="N432" s="2"/>
      <c r="O432" s="2"/>
    </row>
    <row r="433" customFormat="false" ht="15.75" hidden="false" customHeight="true" outlineLevel="0" collapsed="false">
      <c r="A433" s="2"/>
      <c r="B433" s="2"/>
      <c r="C433" s="2"/>
      <c r="D433" s="2"/>
      <c r="E433" s="2"/>
      <c r="F433" s="2"/>
      <c r="G433" s="2"/>
      <c r="H433" s="2"/>
      <c r="I433" s="2"/>
      <c r="J433" s="2"/>
      <c r="K433" s="2"/>
      <c r="L433" s="2"/>
      <c r="M433" s="2"/>
      <c r="N433" s="2"/>
      <c r="O433" s="2"/>
    </row>
    <row r="434" customFormat="false" ht="15.75" hidden="false" customHeight="true" outlineLevel="0" collapsed="false">
      <c r="A434" s="2"/>
      <c r="B434" s="2"/>
      <c r="C434" s="2"/>
      <c r="D434" s="2"/>
      <c r="E434" s="2"/>
      <c r="F434" s="2"/>
      <c r="G434" s="2"/>
      <c r="H434" s="2"/>
      <c r="I434" s="2"/>
      <c r="J434" s="2"/>
      <c r="K434" s="2"/>
      <c r="L434" s="2"/>
      <c r="M434" s="2"/>
      <c r="N434" s="2"/>
      <c r="O434" s="2"/>
    </row>
    <row r="435" customFormat="false" ht="15.75" hidden="false" customHeight="true" outlineLevel="0" collapsed="false">
      <c r="A435" s="2"/>
      <c r="B435" s="2"/>
      <c r="C435" s="2"/>
      <c r="D435" s="2"/>
      <c r="E435" s="2"/>
      <c r="F435" s="2"/>
      <c r="G435" s="2"/>
      <c r="H435" s="2"/>
      <c r="I435" s="2"/>
      <c r="J435" s="2"/>
      <c r="K435" s="2"/>
      <c r="L435" s="2"/>
      <c r="M435" s="2"/>
      <c r="N435" s="2"/>
      <c r="O435" s="2"/>
    </row>
    <row r="436" customFormat="false" ht="15.75" hidden="false" customHeight="true" outlineLevel="0" collapsed="false">
      <c r="A436" s="2"/>
      <c r="B436" s="2"/>
      <c r="C436" s="2"/>
      <c r="D436" s="2"/>
      <c r="E436" s="2"/>
      <c r="F436" s="2"/>
      <c r="G436" s="2"/>
      <c r="H436" s="2"/>
      <c r="I436" s="2"/>
      <c r="J436" s="2"/>
      <c r="K436" s="2"/>
      <c r="L436" s="2"/>
      <c r="M436" s="2"/>
      <c r="N436" s="2"/>
      <c r="O436" s="2"/>
    </row>
    <row r="437" customFormat="false" ht="15.75" hidden="false" customHeight="true" outlineLevel="0" collapsed="false">
      <c r="A437" s="2"/>
      <c r="B437" s="2"/>
      <c r="C437" s="2"/>
      <c r="D437" s="2"/>
      <c r="E437" s="2"/>
      <c r="F437" s="2"/>
      <c r="G437" s="2"/>
      <c r="H437" s="2"/>
      <c r="I437" s="2"/>
      <c r="J437" s="2"/>
      <c r="K437" s="2"/>
      <c r="L437" s="2"/>
      <c r="M437" s="2"/>
      <c r="N437" s="2"/>
      <c r="O437" s="2"/>
    </row>
    <row r="438" customFormat="false" ht="15.75" hidden="false" customHeight="true" outlineLevel="0" collapsed="false">
      <c r="A438" s="2"/>
      <c r="B438" s="2"/>
      <c r="C438" s="2"/>
      <c r="D438" s="2"/>
      <c r="E438" s="2"/>
      <c r="F438" s="2"/>
      <c r="G438" s="2"/>
      <c r="H438" s="2"/>
      <c r="I438" s="2"/>
      <c r="J438" s="2"/>
      <c r="K438" s="2"/>
      <c r="L438" s="2"/>
      <c r="M438" s="2"/>
      <c r="N438" s="2"/>
      <c r="O438" s="2"/>
    </row>
    <row r="439" customFormat="false" ht="15.75" hidden="false" customHeight="true" outlineLevel="0" collapsed="false">
      <c r="A439" s="2"/>
      <c r="B439" s="2"/>
      <c r="C439" s="2"/>
      <c r="D439" s="2"/>
      <c r="E439" s="2"/>
      <c r="F439" s="2"/>
      <c r="G439" s="2"/>
      <c r="H439" s="2"/>
      <c r="I439" s="2"/>
      <c r="J439" s="2"/>
      <c r="K439" s="2"/>
      <c r="L439" s="2"/>
      <c r="M439" s="2"/>
      <c r="N439" s="2"/>
      <c r="O439" s="2"/>
    </row>
    <row r="440" customFormat="false" ht="15.75" hidden="false" customHeight="true" outlineLevel="0" collapsed="false">
      <c r="A440" s="2"/>
      <c r="B440" s="2"/>
      <c r="C440" s="2"/>
      <c r="D440" s="2"/>
      <c r="E440" s="2"/>
      <c r="F440" s="2"/>
      <c r="G440" s="2"/>
      <c r="H440" s="2"/>
      <c r="I440" s="2"/>
      <c r="J440" s="2"/>
      <c r="K440" s="2"/>
      <c r="L440" s="2"/>
      <c r="M440" s="2"/>
      <c r="N440" s="2"/>
      <c r="O440" s="2"/>
    </row>
    <row r="441" customFormat="false" ht="15.75" hidden="false" customHeight="true" outlineLevel="0" collapsed="false">
      <c r="A441" s="2"/>
      <c r="B441" s="2"/>
      <c r="C441" s="2"/>
      <c r="D441" s="2"/>
      <c r="E441" s="2"/>
      <c r="F441" s="2"/>
      <c r="G441" s="2"/>
      <c r="H441" s="2"/>
      <c r="I441" s="2"/>
      <c r="J441" s="2"/>
      <c r="K441" s="2"/>
      <c r="L441" s="2"/>
      <c r="M441" s="2"/>
      <c r="N441" s="2"/>
      <c r="O441" s="2"/>
    </row>
    <row r="442" customFormat="false" ht="15.75" hidden="false" customHeight="true" outlineLevel="0" collapsed="false">
      <c r="A442" s="2"/>
      <c r="B442" s="2"/>
      <c r="C442" s="2"/>
      <c r="D442" s="2"/>
      <c r="E442" s="2"/>
      <c r="F442" s="2"/>
      <c r="G442" s="2"/>
      <c r="H442" s="2"/>
      <c r="I442" s="2"/>
      <c r="J442" s="2"/>
      <c r="K442" s="2"/>
      <c r="L442" s="2"/>
      <c r="M442" s="2"/>
      <c r="N442" s="2"/>
      <c r="O442" s="2"/>
    </row>
    <row r="443" customFormat="false" ht="15.75" hidden="false" customHeight="true" outlineLevel="0" collapsed="false">
      <c r="A443" s="2"/>
      <c r="B443" s="2"/>
      <c r="C443" s="2"/>
      <c r="D443" s="2"/>
      <c r="E443" s="2"/>
      <c r="F443" s="2"/>
      <c r="G443" s="2"/>
      <c r="H443" s="2"/>
      <c r="I443" s="2"/>
      <c r="J443" s="2"/>
      <c r="K443" s="2"/>
      <c r="L443" s="2"/>
      <c r="M443" s="2"/>
      <c r="N443" s="2"/>
      <c r="O443" s="2"/>
    </row>
    <row r="444" customFormat="false" ht="15.75" hidden="false" customHeight="true" outlineLevel="0" collapsed="false">
      <c r="A444" s="2"/>
      <c r="B444" s="2"/>
      <c r="C444" s="2"/>
      <c r="D444" s="2"/>
      <c r="E444" s="2"/>
      <c r="F444" s="2"/>
      <c r="G444" s="2"/>
      <c r="H444" s="2"/>
      <c r="I444" s="2"/>
      <c r="J444" s="2"/>
      <c r="K444" s="2"/>
      <c r="L444" s="2"/>
      <c r="M444" s="2"/>
      <c r="N444" s="2"/>
      <c r="O444" s="2"/>
    </row>
    <row r="445" customFormat="false" ht="15.75" hidden="false" customHeight="true" outlineLevel="0" collapsed="false">
      <c r="A445" s="2"/>
      <c r="B445" s="2"/>
      <c r="C445" s="2"/>
      <c r="D445" s="2"/>
      <c r="E445" s="2"/>
      <c r="F445" s="2"/>
      <c r="G445" s="2"/>
      <c r="H445" s="2"/>
      <c r="I445" s="2"/>
      <c r="J445" s="2"/>
      <c r="K445" s="2"/>
      <c r="L445" s="2"/>
      <c r="M445" s="2"/>
      <c r="N445" s="2"/>
      <c r="O445" s="2"/>
    </row>
    <row r="446" customFormat="false" ht="15.75" hidden="false" customHeight="true" outlineLevel="0" collapsed="false">
      <c r="A446" s="2"/>
      <c r="B446" s="2"/>
      <c r="C446" s="2"/>
      <c r="D446" s="2"/>
      <c r="E446" s="2"/>
      <c r="F446" s="2"/>
      <c r="G446" s="2"/>
      <c r="H446" s="2"/>
      <c r="I446" s="2"/>
      <c r="J446" s="2"/>
      <c r="K446" s="2"/>
      <c r="L446" s="2"/>
      <c r="M446" s="2"/>
      <c r="N446" s="2"/>
      <c r="O446" s="2"/>
    </row>
    <row r="447" customFormat="false" ht="15.75" hidden="false" customHeight="true" outlineLevel="0" collapsed="false">
      <c r="A447" s="2"/>
      <c r="B447" s="2"/>
      <c r="C447" s="2"/>
      <c r="D447" s="2"/>
      <c r="E447" s="2"/>
      <c r="F447" s="2"/>
      <c r="G447" s="2"/>
      <c r="H447" s="2"/>
      <c r="I447" s="2"/>
      <c r="J447" s="2"/>
      <c r="K447" s="2"/>
      <c r="L447" s="2"/>
      <c r="M447" s="2"/>
      <c r="N447" s="2"/>
      <c r="O447" s="2"/>
    </row>
    <row r="448" customFormat="false" ht="15.75" hidden="false" customHeight="true" outlineLevel="0" collapsed="false">
      <c r="A448" s="2"/>
      <c r="B448" s="2"/>
      <c r="C448" s="2"/>
      <c r="D448" s="2"/>
      <c r="E448" s="2"/>
      <c r="F448" s="2"/>
      <c r="G448" s="2"/>
      <c r="H448" s="2"/>
      <c r="I448" s="2"/>
      <c r="J448" s="2"/>
      <c r="K448" s="2"/>
      <c r="L448" s="2"/>
      <c r="M448" s="2"/>
      <c r="N448" s="2"/>
      <c r="O448" s="2"/>
    </row>
    <row r="449" customFormat="false" ht="15.75" hidden="false" customHeight="true" outlineLevel="0" collapsed="false">
      <c r="A449" s="2"/>
      <c r="B449" s="2"/>
      <c r="C449" s="2"/>
      <c r="D449" s="2"/>
      <c r="E449" s="2"/>
      <c r="F449" s="2"/>
      <c r="G449" s="2"/>
      <c r="H449" s="2"/>
      <c r="I449" s="2"/>
      <c r="J449" s="2"/>
      <c r="K449" s="2"/>
      <c r="L449" s="2"/>
      <c r="M449" s="2"/>
      <c r="N449" s="2"/>
      <c r="O449" s="2"/>
    </row>
    <row r="450" customFormat="false" ht="15.75" hidden="false" customHeight="true" outlineLevel="0" collapsed="false">
      <c r="A450" s="2"/>
      <c r="B450" s="2"/>
      <c r="C450" s="2"/>
      <c r="D450" s="2"/>
      <c r="E450" s="2"/>
      <c r="F450" s="2"/>
      <c r="G450" s="2"/>
      <c r="H450" s="2"/>
      <c r="I450" s="2"/>
      <c r="J450" s="2"/>
      <c r="K450" s="2"/>
      <c r="L450" s="2"/>
      <c r="M450" s="2"/>
      <c r="N450" s="2"/>
      <c r="O450" s="2"/>
    </row>
    <row r="451" customFormat="false" ht="15.75" hidden="false" customHeight="true" outlineLevel="0" collapsed="false">
      <c r="A451" s="2"/>
      <c r="B451" s="2"/>
      <c r="C451" s="2"/>
      <c r="D451" s="2"/>
      <c r="E451" s="2"/>
      <c r="F451" s="2"/>
      <c r="G451" s="2"/>
      <c r="H451" s="2"/>
      <c r="I451" s="2"/>
      <c r="J451" s="2"/>
      <c r="K451" s="2"/>
      <c r="L451" s="2"/>
      <c r="M451" s="2"/>
      <c r="N451" s="2"/>
      <c r="O451" s="2"/>
    </row>
    <row r="452" customFormat="false" ht="15.75" hidden="false" customHeight="true" outlineLevel="0" collapsed="false">
      <c r="A452" s="2"/>
      <c r="B452" s="2"/>
      <c r="C452" s="2"/>
      <c r="D452" s="2"/>
      <c r="E452" s="2"/>
      <c r="F452" s="2"/>
      <c r="G452" s="2"/>
      <c r="H452" s="2"/>
      <c r="I452" s="2"/>
      <c r="J452" s="2"/>
      <c r="K452" s="2"/>
      <c r="L452" s="2"/>
      <c r="M452" s="2"/>
      <c r="N452" s="2"/>
      <c r="O452" s="2"/>
    </row>
    <row r="453" customFormat="false" ht="15.75" hidden="false" customHeight="true" outlineLevel="0" collapsed="false">
      <c r="A453" s="2"/>
      <c r="B453" s="2"/>
      <c r="C453" s="2"/>
      <c r="D453" s="2"/>
      <c r="E453" s="2"/>
      <c r="F453" s="2"/>
      <c r="G453" s="2"/>
      <c r="H453" s="2"/>
      <c r="I453" s="2"/>
      <c r="J453" s="2"/>
      <c r="K453" s="2"/>
      <c r="L453" s="2"/>
      <c r="M453" s="2"/>
      <c r="N453" s="2"/>
      <c r="O453" s="2"/>
    </row>
    <row r="454" customFormat="false" ht="15.75" hidden="false" customHeight="true" outlineLevel="0" collapsed="false">
      <c r="A454" s="2"/>
      <c r="B454" s="2"/>
      <c r="C454" s="2"/>
      <c r="D454" s="2"/>
      <c r="E454" s="2"/>
      <c r="F454" s="2"/>
      <c r="G454" s="2"/>
      <c r="H454" s="2"/>
      <c r="I454" s="2"/>
      <c r="J454" s="2"/>
      <c r="K454" s="2"/>
      <c r="L454" s="2"/>
      <c r="M454" s="2"/>
      <c r="N454" s="2"/>
      <c r="O454" s="2"/>
    </row>
    <row r="455" customFormat="false" ht="15.75" hidden="false" customHeight="true" outlineLevel="0" collapsed="false">
      <c r="A455" s="2"/>
      <c r="B455" s="2"/>
      <c r="C455" s="2"/>
      <c r="D455" s="2"/>
      <c r="E455" s="2"/>
      <c r="F455" s="2"/>
      <c r="G455" s="2"/>
      <c r="H455" s="2"/>
      <c r="I455" s="2"/>
      <c r="J455" s="2"/>
      <c r="K455" s="2"/>
      <c r="L455" s="2"/>
      <c r="M455" s="2"/>
      <c r="N455" s="2"/>
      <c r="O455" s="2"/>
    </row>
    <row r="456" customFormat="false" ht="15.75" hidden="false" customHeight="true" outlineLevel="0" collapsed="false">
      <c r="A456" s="2"/>
      <c r="B456" s="2"/>
      <c r="C456" s="2"/>
      <c r="D456" s="2"/>
      <c r="E456" s="2"/>
      <c r="F456" s="2"/>
      <c r="G456" s="2"/>
      <c r="H456" s="2"/>
      <c r="I456" s="2"/>
      <c r="J456" s="2"/>
      <c r="K456" s="2"/>
      <c r="L456" s="2"/>
      <c r="M456" s="2"/>
      <c r="N456" s="2"/>
      <c r="O456" s="2"/>
    </row>
    <row r="457" customFormat="false" ht="15.75" hidden="false" customHeight="true" outlineLevel="0" collapsed="false">
      <c r="A457" s="2"/>
      <c r="B457" s="2"/>
      <c r="C457" s="2"/>
      <c r="D457" s="2"/>
      <c r="E457" s="2"/>
      <c r="F457" s="2"/>
      <c r="G457" s="2"/>
      <c r="H457" s="2"/>
      <c r="I457" s="2"/>
      <c r="J457" s="2"/>
      <c r="K457" s="2"/>
      <c r="L457" s="2"/>
      <c r="M457" s="2"/>
      <c r="N457" s="2"/>
      <c r="O457" s="2"/>
    </row>
    <row r="458" customFormat="false" ht="15.75" hidden="false" customHeight="true" outlineLevel="0" collapsed="false">
      <c r="A458" s="2"/>
      <c r="B458" s="2"/>
      <c r="C458" s="2"/>
      <c r="D458" s="2"/>
      <c r="E458" s="2"/>
      <c r="F458" s="2"/>
      <c r="G458" s="2"/>
      <c r="H458" s="2"/>
      <c r="I458" s="2"/>
      <c r="J458" s="2"/>
      <c r="K458" s="2"/>
      <c r="L458" s="2"/>
      <c r="M458" s="2"/>
      <c r="N458" s="2"/>
      <c r="O458" s="2"/>
    </row>
    <row r="459" customFormat="false" ht="15.75" hidden="false" customHeight="true" outlineLevel="0" collapsed="false">
      <c r="A459" s="2"/>
      <c r="B459" s="2"/>
      <c r="C459" s="2"/>
      <c r="D459" s="2"/>
      <c r="E459" s="2"/>
      <c r="F459" s="2"/>
      <c r="G459" s="2"/>
      <c r="H459" s="2"/>
      <c r="I459" s="2"/>
      <c r="J459" s="2"/>
      <c r="K459" s="2"/>
      <c r="L459" s="2"/>
      <c r="M459" s="2"/>
      <c r="N459" s="2"/>
      <c r="O459" s="2"/>
    </row>
    <row r="460" customFormat="false" ht="15.75" hidden="false" customHeight="true" outlineLevel="0" collapsed="false">
      <c r="A460" s="2"/>
      <c r="B460" s="2"/>
      <c r="C460" s="2"/>
      <c r="D460" s="2"/>
      <c r="E460" s="2"/>
      <c r="F460" s="2"/>
      <c r="G460" s="2"/>
      <c r="H460" s="2"/>
      <c r="I460" s="2"/>
      <c r="J460" s="2"/>
      <c r="K460" s="2"/>
      <c r="L460" s="2"/>
      <c r="M460" s="2"/>
      <c r="N460" s="2"/>
      <c r="O460" s="2"/>
    </row>
    <row r="461" customFormat="false" ht="15.75" hidden="false" customHeight="true" outlineLevel="0" collapsed="false">
      <c r="A461" s="2"/>
      <c r="B461" s="2"/>
      <c r="C461" s="2"/>
      <c r="D461" s="2"/>
      <c r="E461" s="2"/>
      <c r="F461" s="2"/>
      <c r="G461" s="2"/>
      <c r="H461" s="2"/>
      <c r="I461" s="2"/>
      <c r="J461" s="2"/>
      <c r="K461" s="2"/>
      <c r="L461" s="2"/>
      <c r="M461" s="2"/>
      <c r="N461" s="2"/>
      <c r="O461" s="2"/>
    </row>
    <row r="462" customFormat="false" ht="15.75" hidden="false" customHeight="true" outlineLevel="0" collapsed="false">
      <c r="A462" s="2"/>
      <c r="B462" s="2"/>
      <c r="C462" s="2"/>
      <c r="D462" s="2"/>
      <c r="E462" s="2"/>
      <c r="F462" s="2"/>
      <c r="G462" s="2"/>
      <c r="H462" s="2"/>
      <c r="I462" s="2"/>
      <c r="J462" s="2"/>
      <c r="K462" s="2"/>
      <c r="L462" s="2"/>
      <c r="M462" s="2"/>
      <c r="N462" s="2"/>
      <c r="O462" s="2"/>
    </row>
    <row r="463" customFormat="false" ht="15.75" hidden="false" customHeight="true" outlineLevel="0" collapsed="false">
      <c r="A463" s="2"/>
      <c r="B463" s="2"/>
      <c r="C463" s="2"/>
      <c r="D463" s="2"/>
      <c r="E463" s="2"/>
      <c r="F463" s="2"/>
      <c r="G463" s="2"/>
      <c r="H463" s="2"/>
      <c r="I463" s="2"/>
      <c r="J463" s="2"/>
      <c r="K463" s="2"/>
      <c r="L463" s="2"/>
      <c r="M463" s="2"/>
      <c r="N463" s="2"/>
      <c r="O463" s="2"/>
    </row>
    <row r="464" customFormat="false" ht="15.75" hidden="false" customHeight="true" outlineLevel="0" collapsed="false">
      <c r="A464" s="2"/>
      <c r="B464" s="2"/>
      <c r="C464" s="2"/>
      <c r="D464" s="2"/>
      <c r="E464" s="2"/>
      <c r="F464" s="2"/>
      <c r="G464" s="2"/>
      <c r="H464" s="2"/>
      <c r="I464" s="2"/>
      <c r="J464" s="2"/>
      <c r="K464" s="2"/>
      <c r="L464" s="2"/>
      <c r="M464" s="2"/>
      <c r="N464" s="2"/>
      <c r="O464" s="2"/>
    </row>
    <row r="465" customFormat="false" ht="15.75" hidden="false" customHeight="true" outlineLevel="0" collapsed="false">
      <c r="A465" s="2"/>
      <c r="B465" s="2"/>
      <c r="C465" s="2"/>
      <c r="D465" s="2"/>
      <c r="E465" s="2"/>
      <c r="F465" s="2"/>
      <c r="G465" s="2"/>
      <c r="H465" s="2"/>
      <c r="I465" s="2"/>
      <c r="J465" s="2"/>
      <c r="K465" s="2"/>
      <c r="L465" s="2"/>
      <c r="M465" s="2"/>
      <c r="N465" s="2"/>
      <c r="O465" s="2"/>
    </row>
    <row r="466" customFormat="false" ht="15.75" hidden="false" customHeight="true" outlineLevel="0" collapsed="false">
      <c r="A466" s="2"/>
      <c r="B466" s="2"/>
      <c r="C466" s="2"/>
      <c r="D466" s="2"/>
      <c r="E466" s="2"/>
      <c r="F466" s="2"/>
      <c r="G466" s="2"/>
      <c r="H466" s="2"/>
      <c r="I466" s="2"/>
      <c r="J466" s="2"/>
      <c r="K466" s="2"/>
      <c r="L466" s="2"/>
      <c r="M466" s="2"/>
      <c r="N466" s="2"/>
      <c r="O466" s="2"/>
    </row>
    <row r="467" customFormat="false" ht="15.75" hidden="false" customHeight="true" outlineLevel="0" collapsed="false">
      <c r="A467" s="2"/>
      <c r="B467" s="2"/>
      <c r="C467" s="2"/>
      <c r="D467" s="2"/>
      <c r="E467" s="2"/>
      <c r="F467" s="2"/>
      <c r="G467" s="2"/>
      <c r="H467" s="2"/>
      <c r="I467" s="2"/>
      <c r="J467" s="2"/>
      <c r="K467" s="2"/>
      <c r="L467" s="2"/>
      <c r="M467" s="2"/>
      <c r="N467" s="2"/>
      <c r="O467" s="2"/>
    </row>
    <row r="468" customFormat="false" ht="15.75" hidden="false" customHeight="true" outlineLevel="0" collapsed="false">
      <c r="A468" s="2"/>
      <c r="B468" s="2"/>
      <c r="C468" s="2"/>
      <c r="D468" s="2"/>
      <c r="E468" s="2"/>
      <c r="F468" s="2"/>
      <c r="G468" s="2"/>
      <c r="H468" s="2"/>
      <c r="I468" s="2"/>
      <c r="J468" s="2"/>
      <c r="K468" s="2"/>
      <c r="L468" s="2"/>
      <c r="M468" s="2"/>
      <c r="N468" s="2"/>
      <c r="O468" s="2"/>
    </row>
    <row r="469" customFormat="false" ht="15.75" hidden="false" customHeight="true" outlineLevel="0" collapsed="false">
      <c r="A469" s="2"/>
      <c r="B469" s="2"/>
      <c r="C469" s="2"/>
      <c r="D469" s="2"/>
      <c r="E469" s="2"/>
      <c r="F469" s="2"/>
      <c r="G469" s="2"/>
      <c r="H469" s="2"/>
      <c r="I469" s="2"/>
      <c r="J469" s="2"/>
      <c r="K469" s="2"/>
      <c r="L469" s="2"/>
      <c r="M469" s="2"/>
      <c r="N469" s="2"/>
      <c r="O469" s="2"/>
    </row>
    <row r="470" customFormat="false" ht="15.75" hidden="false" customHeight="true" outlineLevel="0" collapsed="false">
      <c r="A470" s="2"/>
      <c r="B470" s="2"/>
      <c r="C470" s="2"/>
      <c r="D470" s="2"/>
      <c r="E470" s="2"/>
      <c r="F470" s="2"/>
      <c r="G470" s="2"/>
      <c r="H470" s="2"/>
      <c r="I470" s="2"/>
      <c r="J470" s="2"/>
      <c r="K470" s="2"/>
      <c r="L470" s="2"/>
      <c r="M470" s="2"/>
      <c r="N470" s="2"/>
      <c r="O470" s="2"/>
    </row>
    <row r="471" customFormat="false" ht="15.75" hidden="false" customHeight="true" outlineLevel="0" collapsed="false">
      <c r="A471" s="2"/>
      <c r="B471" s="2"/>
      <c r="C471" s="2"/>
      <c r="D471" s="2"/>
      <c r="E471" s="2"/>
      <c r="F471" s="2"/>
      <c r="G471" s="2"/>
      <c r="H471" s="2"/>
      <c r="I471" s="2"/>
      <c r="J471" s="2"/>
      <c r="K471" s="2"/>
      <c r="L471" s="2"/>
      <c r="M471" s="2"/>
      <c r="N471" s="2"/>
      <c r="O471" s="2"/>
    </row>
    <row r="472" customFormat="false" ht="15.75" hidden="false" customHeight="true" outlineLevel="0" collapsed="false">
      <c r="A472" s="2"/>
      <c r="B472" s="2"/>
      <c r="C472" s="2"/>
      <c r="D472" s="2"/>
      <c r="E472" s="2"/>
      <c r="F472" s="2"/>
      <c r="G472" s="2"/>
      <c r="H472" s="2"/>
      <c r="I472" s="2"/>
      <c r="J472" s="2"/>
      <c r="K472" s="2"/>
      <c r="L472" s="2"/>
      <c r="M472" s="2"/>
      <c r="N472" s="2"/>
      <c r="O472" s="2"/>
    </row>
    <row r="473" customFormat="false" ht="15.75" hidden="false" customHeight="true" outlineLevel="0" collapsed="false">
      <c r="A473" s="2"/>
      <c r="B473" s="2"/>
      <c r="C473" s="2"/>
      <c r="D473" s="2"/>
      <c r="E473" s="2"/>
      <c r="F473" s="2"/>
      <c r="G473" s="2"/>
      <c r="H473" s="2"/>
      <c r="I473" s="2"/>
      <c r="J473" s="2"/>
      <c r="K473" s="2"/>
      <c r="L473" s="2"/>
      <c r="M473" s="2"/>
      <c r="N473" s="2"/>
      <c r="O473" s="2"/>
    </row>
    <row r="474" customFormat="false" ht="15.75" hidden="false" customHeight="true" outlineLevel="0" collapsed="false">
      <c r="A474" s="2"/>
      <c r="B474" s="2"/>
      <c r="C474" s="2"/>
      <c r="D474" s="2"/>
      <c r="E474" s="2"/>
      <c r="F474" s="2"/>
      <c r="G474" s="2"/>
      <c r="H474" s="2"/>
      <c r="I474" s="2"/>
      <c r="J474" s="2"/>
      <c r="K474" s="2"/>
      <c r="L474" s="2"/>
      <c r="M474" s="2"/>
      <c r="N474" s="2"/>
      <c r="O474" s="2"/>
    </row>
    <row r="475" customFormat="false" ht="15.75" hidden="false" customHeight="true" outlineLevel="0" collapsed="false">
      <c r="A475" s="2"/>
      <c r="B475" s="2"/>
      <c r="C475" s="2"/>
      <c r="D475" s="2"/>
      <c r="E475" s="2"/>
      <c r="F475" s="2"/>
      <c r="G475" s="2"/>
      <c r="H475" s="2"/>
      <c r="I475" s="2"/>
      <c r="J475" s="2"/>
      <c r="K475" s="2"/>
      <c r="L475" s="2"/>
      <c r="M475" s="2"/>
      <c r="N475" s="2"/>
      <c r="O475" s="2"/>
    </row>
    <row r="476" customFormat="false" ht="15.75" hidden="false" customHeight="true" outlineLevel="0" collapsed="false">
      <c r="A476" s="2"/>
      <c r="B476" s="2"/>
      <c r="C476" s="2"/>
      <c r="D476" s="2"/>
      <c r="E476" s="2"/>
      <c r="F476" s="2"/>
      <c r="G476" s="2"/>
      <c r="H476" s="2"/>
      <c r="I476" s="2"/>
      <c r="J476" s="2"/>
      <c r="K476" s="2"/>
      <c r="L476" s="2"/>
      <c r="M476" s="2"/>
      <c r="N476" s="2"/>
      <c r="O476" s="2"/>
    </row>
    <row r="477" customFormat="false" ht="15.75" hidden="false" customHeight="true" outlineLevel="0" collapsed="false">
      <c r="A477" s="2"/>
      <c r="B477" s="2"/>
      <c r="C477" s="2"/>
      <c r="D477" s="2"/>
      <c r="E477" s="2"/>
      <c r="F477" s="2"/>
      <c r="G477" s="2"/>
      <c r="H477" s="2"/>
      <c r="I477" s="2"/>
      <c r="J477" s="2"/>
      <c r="K477" s="2"/>
      <c r="L477" s="2"/>
      <c r="M477" s="2"/>
      <c r="N477" s="2"/>
      <c r="O477" s="2"/>
    </row>
    <row r="478" customFormat="false" ht="15.75" hidden="false" customHeight="true" outlineLevel="0" collapsed="false">
      <c r="A478" s="2"/>
      <c r="B478" s="2"/>
      <c r="C478" s="2"/>
      <c r="D478" s="2"/>
      <c r="E478" s="2"/>
      <c r="F478" s="2"/>
      <c r="G478" s="2"/>
      <c r="H478" s="2"/>
      <c r="I478" s="2"/>
      <c r="J478" s="2"/>
      <c r="K478" s="2"/>
      <c r="L478" s="2"/>
      <c r="M478" s="2"/>
      <c r="N478" s="2"/>
      <c r="O478" s="2"/>
    </row>
    <row r="479" customFormat="false" ht="15.75" hidden="false" customHeight="true" outlineLevel="0" collapsed="false">
      <c r="A479" s="2"/>
      <c r="B479" s="2"/>
      <c r="C479" s="2"/>
      <c r="D479" s="2"/>
      <c r="E479" s="2"/>
      <c r="F479" s="2"/>
      <c r="G479" s="2"/>
      <c r="H479" s="2"/>
      <c r="I479" s="2"/>
      <c r="J479" s="2"/>
      <c r="K479" s="2"/>
      <c r="L479" s="2"/>
      <c r="M479" s="2"/>
      <c r="N479" s="2"/>
      <c r="O479" s="2"/>
    </row>
    <row r="480" customFormat="false" ht="15.75" hidden="false" customHeight="true" outlineLevel="0" collapsed="false">
      <c r="A480" s="2"/>
      <c r="B480" s="2"/>
      <c r="C480" s="2"/>
      <c r="D480" s="2"/>
      <c r="E480" s="2"/>
      <c r="F480" s="2"/>
      <c r="G480" s="2"/>
      <c r="H480" s="2"/>
      <c r="I480" s="2"/>
      <c r="J480" s="2"/>
      <c r="K480" s="2"/>
      <c r="L480" s="2"/>
      <c r="M480" s="2"/>
      <c r="N480" s="2"/>
      <c r="O480" s="2"/>
    </row>
    <row r="481" customFormat="false" ht="15.75" hidden="false" customHeight="true" outlineLevel="0" collapsed="false">
      <c r="A481" s="2"/>
      <c r="B481" s="2"/>
      <c r="C481" s="2"/>
      <c r="D481" s="2"/>
      <c r="E481" s="2"/>
      <c r="F481" s="2"/>
      <c r="G481" s="2"/>
      <c r="H481" s="2"/>
      <c r="I481" s="2"/>
      <c r="J481" s="2"/>
      <c r="K481" s="2"/>
      <c r="L481" s="2"/>
      <c r="M481" s="2"/>
      <c r="N481" s="2"/>
      <c r="O481" s="2"/>
    </row>
    <row r="482" customFormat="false" ht="15.75" hidden="false" customHeight="true" outlineLevel="0" collapsed="false">
      <c r="A482" s="2"/>
      <c r="B482" s="2"/>
      <c r="C482" s="2"/>
      <c r="D482" s="2"/>
      <c r="E482" s="2"/>
      <c r="F482" s="2"/>
      <c r="G482" s="2"/>
      <c r="H482" s="2"/>
      <c r="I482" s="2"/>
      <c r="J482" s="2"/>
      <c r="K482" s="2"/>
      <c r="L482" s="2"/>
      <c r="M482" s="2"/>
      <c r="N482" s="2"/>
      <c r="O482" s="2"/>
    </row>
    <row r="483" customFormat="false" ht="15.75" hidden="false" customHeight="true" outlineLevel="0" collapsed="false">
      <c r="A483" s="2"/>
      <c r="B483" s="2"/>
      <c r="C483" s="2"/>
      <c r="D483" s="2"/>
      <c r="E483" s="2"/>
      <c r="F483" s="2"/>
      <c r="G483" s="2"/>
      <c r="H483" s="2"/>
      <c r="I483" s="2"/>
      <c r="J483" s="2"/>
      <c r="K483" s="2"/>
      <c r="L483" s="2"/>
      <c r="M483" s="2"/>
      <c r="N483" s="2"/>
      <c r="O483" s="2"/>
    </row>
    <row r="484" customFormat="false" ht="15.75" hidden="false" customHeight="true" outlineLevel="0" collapsed="false">
      <c r="A484" s="2"/>
      <c r="B484" s="2"/>
      <c r="C484" s="2"/>
      <c r="D484" s="2"/>
      <c r="E484" s="2"/>
      <c r="F484" s="2"/>
      <c r="G484" s="2"/>
      <c r="H484" s="2"/>
      <c r="I484" s="2"/>
      <c r="J484" s="2"/>
      <c r="K484" s="2"/>
      <c r="L484" s="2"/>
      <c r="M484" s="2"/>
      <c r="N484" s="2"/>
      <c r="O484" s="2"/>
    </row>
    <row r="485" customFormat="false" ht="15.75" hidden="false" customHeight="true" outlineLevel="0" collapsed="false">
      <c r="A485" s="2"/>
      <c r="B485" s="2"/>
      <c r="C485" s="2"/>
      <c r="D485" s="2"/>
      <c r="E485" s="2"/>
      <c r="F485" s="2"/>
      <c r="G485" s="2"/>
      <c r="H485" s="2"/>
      <c r="I485" s="2"/>
      <c r="J485" s="2"/>
      <c r="K485" s="2"/>
      <c r="L485" s="2"/>
      <c r="M485" s="2"/>
      <c r="N485" s="2"/>
      <c r="O485" s="2"/>
    </row>
    <row r="486" customFormat="false" ht="15.75" hidden="false" customHeight="true" outlineLevel="0" collapsed="false">
      <c r="A486" s="2"/>
      <c r="B486" s="2"/>
      <c r="C486" s="2"/>
      <c r="D486" s="2"/>
      <c r="E486" s="2"/>
      <c r="F486" s="2"/>
      <c r="G486" s="2"/>
      <c r="H486" s="2"/>
      <c r="I486" s="2"/>
      <c r="J486" s="2"/>
      <c r="K486" s="2"/>
      <c r="L486" s="2"/>
      <c r="M486" s="2"/>
      <c r="N486" s="2"/>
      <c r="O486" s="2"/>
    </row>
    <row r="487" customFormat="false" ht="15.75" hidden="false" customHeight="true" outlineLevel="0" collapsed="false">
      <c r="A487" s="2"/>
      <c r="B487" s="2"/>
      <c r="C487" s="2"/>
      <c r="D487" s="2"/>
      <c r="E487" s="2"/>
      <c r="F487" s="2"/>
      <c r="G487" s="2"/>
      <c r="H487" s="2"/>
      <c r="I487" s="2"/>
      <c r="J487" s="2"/>
      <c r="K487" s="2"/>
      <c r="L487" s="2"/>
      <c r="M487" s="2"/>
      <c r="N487" s="2"/>
      <c r="O487" s="2"/>
    </row>
    <row r="488" customFormat="false" ht="15.75" hidden="false" customHeight="true" outlineLevel="0" collapsed="false">
      <c r="A488" s="2"/>
      <c r="B488" s="2"/>
      <c r="C488" s="2"/>
      <c r="D488" s="2"/>
      <c r="E488" s="2"/>
      <c r="F488" s="2"/>
      <c r="G488" s="2"/>
      <c r="H488" s="2"/>
      <c r="I488" s="2"/>
      <c r="J488" s="2"/>
      <c r="K488" s="2"/>
      <c r="L488" s="2"/>
      <c r="M488" s="2"/>
      <c r="N488" s="2"/>
      <c r="O488" s="2"/>
    </row>
    <row r="489" customFormat="false" ht="15.75" hidden="false" customHeight="true" outlineLevel="0" collapsed="false">
      <c r="A489" s="2"/>
      <c r="B489" s="2"/>
      <c r="C489" s="2"/>
      <c r="D489" s="2"/>
      <c r="E489" s="2"/>
      <c r="F489" s="2"/>
      <c r="G489" s="2"/>
      <c r="H489" s="2"/>
      <c r="I489" s="2"/>
      <c r="J489" s="2"/>
      <c r="K489" s="2"/>
      <c r="L489" s="2"/>
      <c r="M489" s="2"/>
      <c r="N489" s="2"/>
      <c r="O489" s="2"/>
    </row>
    <row r="490" customFormat="false" ht="15.75" hidden="false" customHeight="true" outlineLevel="0" collapsed="false">
      <c r="A490" s="2"/>
      <c r="B490" s="2"/>
      <c r="C490" s="2"/>
      <c r="D490" s="2"/>
      <c r="E490" s="2"/>
      <c r="F490" s="2"/>
      <c r="G490" s="2"/>
      <c r="H490" s="2"/>
      <c r="I490" s="2"/>
      <c r="J490" s="2"/>
      <c r="K490" s="2"/>
      <c r="L490" s="2"/>
      <c r="M490" s="2"/>
      <c r="N490" s="2"/>
      <c r="O490" s="2"/>
    </row>
    <row r="491" customFormat="false" ht="15.75" hidden="false" customHeight="true" outlineLevel="0" collapsed="false">
      <c r="A491" s="2"/>
      <c r="B491" s="2"/>
      <c r="C491" s="2"/>
      <c r="D491" s="2"/>
      <c r="E491" s="2"/>
      <c r="F491" s="2"/>
      <c r="G491" s="2"/>
      <c r="H491" s="2"/>
      <c r="I491" s="2"/>
      <c r="J491" s="2"/>
      <c r="K491" s="2"/>
      <c r="L491" s="2"/>
      <c r="M491" s="2"/>
      <c r="N491" s="2"/>
      <c r="O491" s="2"/>
    </row>
    <row r="492" customFormat="false" ht="15.75" hidden="false" customHeight="true" outlineLevel="0" collapsed="false">
      <c r="A492" s="2"/>
      <c r="B492" s="2"/>
      <c r="C492" s="2"/>
      <c r="D492" s="2"/>
      <c r="E492" s="2"/>
      <c r="F492" s="2"/>
      <c r="G492" s="2"/>
      <c r="H492" s="2"/>
      <c r="I492" s="2"/>
      <c r="J492" s="2"/>
      <c r="K492" s="2"/>
      <c r="L492" s="2"/>
      <c r="M492" s="2"/>
      <c r="N492" s="2"/>
      <c r="O492" s="2"/>
    </row>
    <row r="493" customFormat="false" ht="15.75" hidden="false" customHeight="true" outlineLevel="0" collapsed="false">
      <c r="A493" s="2"/>
      <c r="B493" s="2"/>
      <c r="C493" s="2"/>
      <c r="D493" s="2"/>
      <c r="E493" s="2"/>
      <c r="F493" s="2"/>
      <c r="G493" s="2"/>
      <c r="H493" s="2"/>
      <c r="I493" s="2"/>
      <c r="J493" s="2"/>
      <c r="K493" s="2"/>
      <c r="L493" s="2"/>
      <c r="M493" s="2"/>
      <c r="N493" s="2"/>
      <c r="O493" s="2"/>
    </row>
    <row r="494" customFormat="false" ht="15.75" hidden="false" customHeight="true" outlineLevel="0" collapsed="false">
      <c r="A494" s="2"/>
      <c r="B494" s="2"/>
      <c r="C494" s="2"/>
      <c r="D494" s="2"/>
      <c r="E494" s="2"/>
      <c r="F494" s="2"/>
      <c r="G494" s="2"/>
      <c r="H494" s="2"/>
      <c r="I494" s="2"/>
      <c r="J494" s="2"/>
      <c r="K494" s="2"/>
      <c r="L494" s="2"/>
      <c r="M494" s="2"/>
      <c r="N494" s="2"/>
      <c r="O494" s="2"/>
    </row>
    <row r="495" customFormat="false" ht="15.75" hidden="false" customHeight="true" outlineLevel="0" collapsed="false">
      <c r="A495" s="2"/>
      <c r="B495" s="2"/>
      <c r="C495" s="2"/>
      <c r="D495" s="2"/>
      <c r="E495" s="2"/>
      <c r="F495" s="2"/>
      <c r="G495" s="2"/>
      <c r="H495" s="2"/>
      <c r="I495" s="2"/>
      <c r="J495" s="2"/>
      <c r="K495" s="2"/>
      <c r="L495" s="2"/>
      <c r="M495" s="2"/>
      <c r="N495" s="2"/>
      <c r="O495" s="2"/>
    </row>
    <row r="496" customFormat="false" ht="15.75" hidden="false" customHeight="true" outlineLevel="0" collapsed="false">
      <c r="A496" s="2"/>
      <c r="B496" s="2"/>
      <c r="C496" s="2"/>
      <c r="D496" s="2"/>
      <c r="E496" s="2"/>
      <c r="F496" s="2"/>
      <c r="G496" s="2"/>
      <c r="H496" s="2"/>
      <c r="I496" s="2"/>
      <c r="J496" s="2"/>
      <c r="K496" s="2"/>
      <c r="L496" s="2"/>
      <c r="M496" s="2"/>
      <c r="N496" s="2"/>
      <c r="O496" s="2"/>
    </row>
    <row r="497" customFormat="false" ht="15.75" hidden="false" customHeight="true" outlineLevel="0" collapsed="false">
      <c r="A497" s="2"/>
      <c r="B497" s="2"/>
      <c r="C497" s="2"/>
      <c r="D497" s="2"/>
      <c r="E497" s="2"/>
      <c r="F497" s="2"/>
      <c r="G497" s="2"/>
      <c r="H497" s="2"/>
      <c r="I497" s="2"/>
      <c r="J497" s="2"/>
      <c r="K497" s="2"/>
      <c r="L497" s="2"/>
      <c r="M497" s="2"/>
      <c r="N497" s="2"/>
      <c r="O497" s="2"/>
    </row>
    <row r="498" customFormat="false" ht="15.75" hidden="false" customHeight="true" outlineLevel="0" collapsed="false">
      <c r="A498" s="2"/>
      <c r="B498" s="2"/>
      <c r="C498" s="2"/>
      <c r="D498" s="2"/>
      <c r="E498" s="2"/>
      <c r="F498" s="2"/>
      <c r="G498" s="2"/>
      <c r="H498" s="2"/>
      <c r="I498" s="2"/>
      <c r="J498" s="2"/>
      <c r="K498" s="2"/>
      <c r="L498" s="2"/>
      <c r="M498" s="2"/>
      <c r="N498" s="2"/>
      <c r="O498" s="2"/>
    </row>
    <row r="499" customFormat="false" ht="15.75" hidden="false" customHeight="true" outlineLevel="0" collapsed="false">
      <c r="A499" s="2"/>
      <c r="B499" s="2"/>
      <c r="C499" s="2"/>
      <c r="D499" s="2"/>
      <c r="E499" s="2"/>
      <c r="F499" s="2"/>
      <c r="G499" s="2"/>
      <c r="H499" s="2"/>
      <c r="I499" s="2"/>
      <c r="J499" s="2"/>
      <c r="K499" s="2"/>
      <c r="L499" s="2"/>
      <c r="M499" s="2"/>
      <c r="N499" s="2"/>
      <c r="O499" s="2"/>
    </row>
    <row r="500" customFormat="false" ht="15.75" hidden="false" customHeight="true" outlineLevel="0" collapsed="false">
      <c r="A500" s="2"/>
      <c r="B500" s="2"/>
      <c r="C500" s="2"/>
      <c r="D500" s="2"/>
      <c r="E500" s="2"/>
      <c r="F500" s="2"/>
      <c r="G500" s="2"/>
      <c r="H500" s="2"/>
      <c r="I500" s="2"/>
      <c r="J500" s="2"/>
      <c r="K500" s="2"/>
      <c r="L500" s="2"/>
      <c r="M500" s="2"/>
      <c r="N500" s="2"/>
      <c r="O500" s="2"/>
    </row>
    <row r="501" customFormat="false" ht="15.75" hidden="false" customHeight="true" outlineLevel="0" collapsed="false">
      <c r="A501" s="2"/>
      <c r="B501" s="2"/>
      <c r="C501" s="2"/>
      <c r="D501" s="2"/>
      <c r="E501" s="2"/>
      <c r="F501" s="2"/>
      <c r="G501" s="2"/>
      <c r="H501" s="2"/>
      <c r="I501" s="2"/>
      <c r="J501" s="2"/>
      <c r="K501" s="2"/>
      <c r="L501" s="2"/>
      <c r="M501" s="2"/>
      <c r="N501" s="2"/>
      <c r="O501" s="2"/>
    </row>
    <row r="502" customFormat="false" ht="15.75" hidden="false" customHeight="true" outlineLevel="0" collapsed="false">
      <c r="A502" s="2"/>
      <c r="B502" s="2"/>
      <c r="C502" s="2"/>
      <c r="D502" s="2"/>
      <c r="E502" s="2"/>
      <c r="F502" s="2"/>
      <c r="G502" s="2"/>
      <c r="H502" s="2"/>
      <c r="I502" s="2"/>
      <c r="J502" s="2"/>
      <c r="K502" s="2"/>
      <c r="L502" s="2"/>
      <c r="M502" s="2"/>
      <c r="N502" s="2"/>
      <c r="O502" s="2"/>
    </row>
    <row r="503" customFormat="false" ht="15.75" hidden="false" customHeight="true" outlineLevel="0" collapsed="false">
      <c r="A503" s="2"/>
      <c r="B503" s="2"/>
      <c r="C503" s="2"/>
      <c r="D503" s="2"/>
      <c r="E503" s="2"/>
      <c r="F503" s="2"/>
      <c r="G503" s="2"/>
      <c r="H503" s="2"/>
      <c r="I503" s="2"/>
      <c r="J503" s="2"/>
      <c r="K503" s="2"/>
      <c r="L503" s="2"/>
      <c r="M503" s="2"/>
      <c r="N503" s="2"/>
      <c r="O503" s="2"/>
    </row>
    <row r="504" customFormat="false" ht="15.75" hidden="false" customHeight="true" outlineLevel="0" collapsed="false">
      <c r="A504" s="2"/>
      <c r="B504" s="2"/>
      <c r="C504" s="2"/>
      <c r="D504" s="2"/>
      <c r="E504" s="2"/>
      <c r="F504" s="2"/>
      <c r="G504" s="2"/>
      <c r="H504" s="2"/>
      <c r="I504" s="2"/>
      <c r="J504" s="2"/>
      <c r="K504" s="2"/>
      <c r="L504" s="2"/>
      <c r="M504" s="2"/>
      <c r="N504" s="2"/>
      <c r="O504" s="2"/>
    </row>
    <row r="505" customFormat="false" ht="15.75" hidden="false" customHeight="true" outlineLevel="0" collapsed="false">
      <c r="A505" s="2"/>
      <c r="B505" s="2"/>
      <c r="C505" s="2"/>
      <c r="D505" s="2"/>
      <c r="E505" s="2"/>
      <c r="F505" s="2"/>
      <c r="G505" s="2"/>
      <c r="H505" s="2"/>
      <c r="I505" s="2"/>
      <c r="J505" s="2"/>
      <c r="K505" s="2"/>
      <c r="L505" s="2"/>
      <c r="M505" s="2"/>
      <c r="N505" s="2"/>
      <c r="O505" s="2"/>
    </row>
    <row r="506" customFormat="false" ht="15.75" hidden="false" customHeight="true" outlineLevel="0" collapsed="false">
      <c r="A506" s="2"/>
      <c r="B506" s="2"/>
      <c r="C506" s="2"/>
      <c r="D506" s="2"/>
      <c r="E506" s="2"/>
      <c r="F506" s="2"/>
      <c r="G506" s="2"/>
      <c r="H506" s="2"/>
      <c r="I506" s="2"/>
      <c r="J506" s="2"/>
      <c r="K506" s="2"/>
      <c r="L506" s="2"/>
      <c r="M506" s="2"/>
      <c r="N506" s="2"/>
      <c r="O506" s="2"/>
    </row>
    <row r="507" customFormat="false" ht="15.75" hidden="false" customHeight="true" outlineLevel="0" collapsed="false">
      <c r="A507" s="2"/>
      <c r="B507" s="2"/>
      <c r="C507" s="2"/>
      <c r="D507" s="2"/>
      <c r="E507" s="2"/>
      <c r="F507" s="2"/>
      <c r="G507" s="2"/>
      <c r="H507" s="2"/>
      <c r="I507" s="2"/>
      <c r="J507" s="2"/>
      <c r="K507" s="2"/>
      <c r="L507" s="2"/>
      <c r="M507" s="2"/>
      <c r="N507" s="2"/>
      <c r="O507" s="2"/>
    </row>
    <row r="508" customFormat="false" ht="15.75" hidden="false" customHeight="true" outlineLevel="0" collapsed="false">
      <c r="A508" s="2"/>
      <c r="B508" s="2"/>
      <c r="C508" s="2"/>
      <c r="D508" s="2"/>
      <c r="E508" s="2"/>
      <c r="F508" s="2"/>
      <c r="G508" s="2"/>
      <c r="H508" s="2"/>
      <c r="I508" s="2"/>
      <c r="J508" s="2"/>
      <c r="K508" s="2"/>
      <c r="L508" s="2"/>
      <c r="M508" s="2"/>
      <c r="N508" s="2"/>
      <c r="O508" s="2"/>
    </row>
    <row r="509" customFormat="false" ht="15.75" hidden="false" customHeight="true" outlineLevel="0" collapsed="false">
      <c r="A509" s="2"/>
      <c r="B509" s="2"/>
      <c r="C509" s="2"/>
      <c r="D509" s="2"/>
      <c r="E509" s="2"/>
      <c r="F509" s="2"/>
      <c r="G509" s="2"/>
      <c r="H509" s="2"/>
      <c r="I509" s="2"/>
      <c r="J509" s="2"/>
      <c r="K509" s="2"/>
      <c r="L509" s="2"/>
      <c r="M509" s="2"/>
      <c r="N509" s="2"/>
      <c r="O509" s="2"/>
    </row>
    <row r="510" customFormat="false" ht="15.75" hidden="false" customHeight="true" outlineLevel="0" collapsed="false">
      <c r="A510" s="2"/>
      <c r="B510" s="2"/>
      <c r="C510" s="2"/>
      <c r="D510" s="2"/>
      <c r="E510" s="2"/>
      <c r="F510" s="2"/>
      <c r="G510" s="2"/>
      <c r="H510" s="2"/>
      <c r="I510" s="2"/>
      <c r="J510" s="2"/>
      <c r="K510" s="2"/>
      <c r="L510" s="2"/>
      <c r="M510" s="2"/>
      <c r="N510" s="2"/>
      <c r="O510" s="2"/>
    </row>
    <row r="511" customFormat="false" ht="15.75" hidden="false" customHeight="true" outlineLevel="0" collapsed="false">
      <c r="A511" s="2"/>
      <c r="B511" s="2"/>
      <c r="C511" s="2"/>
      <c r="D511" s="2"/>
      <c r="E511" s="2"/>
      <c r="F511" s="2"/>
      <c r="G511" s="2"/>
      <c r="H511" s="2"/>
      <c r="I511" s="2"/>
      <c r="J511" s="2"/>
      <c r="K511" s="2"/>
      <c r="L511" s="2"/>
      <c r="M511" s="2"/>
      <c r="N511" s="2"/>
      <c r="O511" s="2"/>
    </row>
    <row r="512" customFormat="false" ht="15.75" hidden="false" customHeight="true" outlineLevel="0" collapsed="false">
      <c r="A512" s="2"/>
      <c r="B512" s="2"/>
      <c r="C512" s="2"/>
      <c r="D512" s="2"/>
      <c r="E512" s="2"/>
      <c r="F512" s="2"/>
      <c r="G512" s="2"/>
      <c r="H512" s="2"/>
      <c r="I512" s="2"/>
      <c r="J512" s="2"/>
      <c r="K512" s="2"/>
      <c r="L512" s="2"/>
      <c r="M512" s="2"/>
      <c r="N512" s="2"/>
      <c r="O512" s="2"/>
    </row>
    <row r="513" customFormat="false" ht="15.75" hidden="false" customHeight="true" outlineLevel="0" collapsed="false">
      <c r="A513" s="2"/>
      <c r="B513" s="2"/>
      <c r="C513" s="2"/>
      <c r="D513" s="2"/>
      <c r="E513" s="2"/>
      <c r="F513" s="2"/>
      <c r="G513" s="2"/>
      <c r="H513" s="2"/>
      <c r="I513" s="2"/>
      <c r="J513" s="2"/>
      <c r="K513" s="2"/>
      <c r="L513" s="2"/>
      <c r="M513" s="2"/>
      <c r="N513" s="2"/>
      <c r="O513" s="2"/>
    </row>
    <row r="514" customFormat="false" ht="15.75" hidden="false" customHeight="true" outlineLevel="0" collapsed="false">
      <c r="A514" s="2"/>
      <c r="B514" s="2"/>
      <c r="C514" s="2"/>
      <c r="D514" s="2"/>
      <c r="E514" s="2"/>
      <c r="F514" s="2"/>
      <c r="G514" s="2"/>
      <c r="H514" s="2"/>
      <c r="I514" s="2"/>
      <c r="J514" s="2"/>
      <c r="K514" s="2"/>
      <c r="L514" s="2"/>
      <c r="M514" s="2"/>
      <c r="N514" s="2"/>
      <c r="O514" s="2"/>
    </row>
    <row r="515" customFormat="false" ht="15.75" hidden="false" customHeight="true" outlineLevel="0" collapsed="false">
      <c r="A515" s="2"/>
      <c r="B515" s="2"/>
      <c r="C515" s="2"/>
      <c r="D515" s="2"/>
      <c r="E515" s="2"/>
      <c r="F515" s="2"/>
      <c r="G515" s="2"/>
      <c r="H515" s="2"/>
      <c r="I515" s="2"/>
      <c r="J515" s="2"/>
      <c r="K515" s="2"/>
      <c r="L515" s="2"/>
      <c r="M515" s="2"/>
      <c r="N515" s="2"/>
      <c r="O515" s="2"/>
    </row>
    <row r="516" customFormat="false" ht="15.75" hidden="false" customHeight="true" outlineLevel="0" collapsed="false">
      <c r="A516" s="2"/>
      <c r="B516" s="2"/>
      <c r="C516" s="2"/>
      <c r="D516" s="2"/>
      <c r="E516" s="2"/>
      <c r="F516" s="2"/>
      <c r="G516" s="2"/>
      <c r="H516" s="2"/>
      <c r="I516" s="2"/>
      <c r="J516" s="2"/>
      <c r="K516" s="2"/>
      <c r="L516" s="2"/>
      <c r="M516" s="2"/>
      <c r="N516" s="2"/>
      <c r="O516" s="2"/>
    </row>
    <row r="517" customFormat="false" ht="15.75" hidden="false" customHeight="true" outlineLevel="0" collapsed="false">
      <c r="A517" s="2"/>
      <c r="B517" s="2"/>
      <c r="C517" s="2"/>
      <c r="D517" s="2"/>
      <c r="E517" s="2"/>
      <c r="F517" s="2"/>
      <c r="G517" s="2"/>
      <c r="H517" s="2"/>
      <c r="I517" s="2"/>
      <c r="J517" s="2"/>
      <c r="K517" s="2"/>
      <c r="L517" s="2"/>
      <c r="M517" s="2"/>
      <c r="N517" s="2"/>
      <c r="O517" s="2"/>
    </row>
    <row r="518" customFormat="false" ht="15.75" hidden="false" customHeight="true" outlineLevel="0" collapsed="false">
      <c r="A518" s="2"/>
      <c r="B518" s="2"/>
      <c r="C518" s="2"/>
      <c r="D518" s="2"/>
      <c r="E518" s="2"/>
      <c r="F518" s="2"/>
      <c r="G518" s="2"/>
      <c r="H518" s="2"/>
      <c r="I518" s="2"/>
      <c r="J518" s="2"/>
      <c r="K518" s="2"/>
      <c r="L518" s="2"/>
      <c r="M518" s="2"/>
      <c r="N518" s="2"/>
      <c r="O518" s="2"/>
    </row>
    <row r="519" customFormat="false" ht="15.75" hidden="false" customHeight="true" outlineLevel="0" collapsed="false">
      <c r="A519" s="2"/>
      <c r="B519" s="2"/>
      <c r="C519" s="2"/>
      <c r="D519" s="2"/>
      <c r="E519" s="2"/>
      <c r="F519" s="2"/>
      <c r="G519" s="2"/>
      <c r="H519" s="2"/>
      <c r="I519" s="2"/>
      <c r="J519" s="2"/>
      <c r="K519" s="2"/>
      <c r="L519" s="2"/>
      <c r="M519" s="2"/>
      <c r="N519" s="2"/>
      <c r="O519" s="2"/>
    </row>
    <row r="520" customFormat="false" ht="15.75" hidden="false" customHeight="true" outlineLevel="0" collapsed="false">
      <c r="A520" s="2"/>
      <c r="B520" s="2"/>
      <c r="C520" s="2"/>
      <c r="D520" s="2"/>
      <c r="E520" s="2"/>
      <c r="F520" s="2"/>
      <c r="G520" s="2"/>
      <c r="H520" s="2"/>
      <c r="I520" s="2"/>
      <c r="J520" s="2"/>
      <c r="K520" s="2"/>
      <c r="L520" s="2"/>
      <c r="M520" s="2"/>
      <c r="N520" s="2"/>
      <c r="O520" s="2"/>
    </row>
    <row r="521" customFormat="false" ht="15.75" hidden="false" customHeight="true" outlineLevel="0" collapsed="false">
      <c r="A521" s="2"/>
      <c r="B521" s="2"/>
      <c r="C521" s="2"/>
      <c r="D521" s="2"/>
      <c r="E521" s="2"/>
      <c r="F521" s="2"/>
      <c r="G521" s="2"/>
      <c r="H521" s="2"/>
      <c r="I521" s="2"/>
      <c r="J521" s="2"/>
      <c r="K521" s="2"/>
      <c r="L521" s="2"/>
      <c r="M521" s="2"/>
      <c r="N521" s="2"/>
      <c r="O521" s="2"/>
    </row>
    <row r="522" customFormat="false" ht="15.75" hidden="false" customHeight="true" outlineLevel="0" collapsed="false">
      <c r="A522" s="2"/>
      <c r="B522" s="2"/>
      <c r="C522" s="2"/>
      <c r="D522" s="2"/>
      <c r="E522" s="2"/>
      <c r="F522" s="2"/>
      <c r="G522" s="2"/>
      <c r="H522" s="2"/>
      <c r="I522" s="2"/>
      <c r="J522" s="2"/>
      <c r="K522" s="2"/>
      <c r="L522" s="2"/>
      <c r="M522" s="2"/>
      <c r="N522" s="2"/>
      <c r="O522" s="2"/>
    </row>
    <row r="523" customFormat="false" ht="15.75" hidden="false" customHeight="true" outlineLevel="0" collapsed="false">
      <c r="A523" s="2"/>
      <c r="B523" s="2"/>
      <c r="C523" s="2"/>
      <c r="D523" s="2"/>
      <c r="E523" s="2"/>
      <c r="F523" s="2"/>
      <c r="G523" s="2"/>
      <c r="H523" s="2"/>
      <c r="I523" s="2"/>
      <c r="J523" s="2"/>
      <c r="K523" s="2"/>
      <c r="L523" s="2"/>
      <c r="M523" s="2"/>
      <c r="N523" s="2"/>
      <c r="O523" s="2"/>
    </row>
    <row r="524" customFormat="false" ht="15.75" hidden="false" customHeight="true" outlineLevel="0" collapsed="false">
      <c r="A524" s="2"/>
      <c r="B524" s="2"/>
      <c r="C524" s="2"/>
      <c r="D524" s="2"/>
      <c r="E524" s="2"/>
      <c r="F524" s="2"/>
      <c r="G524" s="2"/>
      <c r="H524" s="2"/>
      <c r="I524" s="2"/>
      <c r="J524" s="2"/>
      <c r="K524" s="2"/>
      <c r="L524" s="2"/>
      <c r="M524" s="2"/>
      <c r="N524" s="2"/>
      <c r="O524" s="2"/>
    </row>
    <row r="525" customFormat="false" ht="15.75" hidden="false" customHeight="true" outlineLevel="0" collapsed="false">
      <c r="A525" s="2"/>
      <c r="B525" s="2"/>
      <c r="C525" s="2"/>
      <c r="D525" s="2"/>
      <c r="E525" s="2"/>
      <c r="F525" s="2"/>
      <c r="G525" s="2"/>
      <c r="H525" s="2"/>
      <c r="I525" s="2"/>
      <c r="J525" s="2"/>
      <c r="K525" s="2"/>
      <c r="L525" s="2"/>
      <c r="M525" s="2"/>
      <c r="N525" s="2"/>
      <c r="O525" s="2"/>
    </row>
    <row r="526" customFormat="false" ht="15.75" hidden="false" customHeight="true" outlineLevel="0" collapsed="false">
      <c r="A526" s="2"/>
      <c r="B526" s="2"/>
      <c r="C526" s="2"/>
      <c r="D526" s="2"/>
      <c r="E526" s="2"/>
      <c r="F526" s="2"/>
      <c r="G526" s="2"/>
      <c r="H526" s="2"/>
      <c r="I526" s="2"/>
      <c r="J526" s="2"/>
      <c r="K526" s="2"/>
      <c r="L526" s="2"/>
      <c r="M526" s="2"/>
      <c r="N526" s="2"/>
      <c r="O526" s="2"/>
    </row>
    <row r="527" customFormat="false" ht="15.75" hidden="false" customHeight="true" outlineLevel="0" collapsed="false">
      <c r="A527" s="2"/>
      <c r="B527" s="2"/>
      <c r="C527" s="2"/>
      <c r="D527" s="2"/>
      <c r="E527" s="2"/>
      <c r="F527" s="2"/>
      <c r="G527" s="2"/>
      <c r="H527" s="2"/>
      <c r="I527" s="2"/>
      <c r="J527" s="2"/>
      <c r="K527" s="2"/>
      <c r="L527" s="2"/>
      <c r="M527" s="2"/>
      <c r="N527" s="2"/>
      <c r="O527" s="2"/>
    </row>
    <row r="528" customFormat="false" ht="15.75" hidden="false" customHeight="true" outlineLevel="0" collapsed="false">
      <c r="A528" s="2"/>
      <c r="B528" s="2"/>
      <c r="C528" s="2"/>
      <c r="D528" s="2"/>
      <c r="E528" s="2"/>
      <c r="F528" s="2"/>
      <c r="G528" s="2"/>
      <c r="H528" s="2"/>
      <c r="I528" s="2"/>
      <c r="J528" s="2"/>
      <c r="K528" s="2"/>
      <c r="L528" s="2"/>
      <c r="M528" s="2"/>
      <c r="N528" s="2"/>
      <c r="O528" s="2"/>
    </row>
    <row r="529" customFormat="false" ht="15.75" hidden="false" customHeight="true" outlineLevel="0" collapsed="false">
      <c r="A529" s="2"/>
      <c r="B529" s="2"/>
      <c r="C529" s="2"/>
      <c r="D529" s="2"/>
      <c r="E529" s="2"/>
      <c r="F529" s="2"/>
      <c r="G529" s="2"/>
      <c r="H529" s="2"/>
      <c r="I529" s="2"/>
      <c r="J529" s="2"/>
      <c r="K529" s="2"/>
      <c r="L529" s="2"/>
      <c r="M529" s="2"/>
      <c r="N529" s="2"/>
      <c r="O529" s="2"/>
    </row>
    <row r="530" customFormat="false" ht="15.75" hidden="false" customHeight="true" outlineLevel="0" collapsed="false">
      <c r="A530" s="2"/>
      <c r="B530" s="2"/>
      <c r="C530" s="2"/>
      <c r="D530" s="2"/>
      <c r="E530" s="2"/>
      <c r="F530" s="2"/>
      <c r="G530" s="2"/>
      <c r="H530" s="2"/>
      <c r="I530" s="2"/>
      <c r="J530" s="2"/>
      <c r="K530" s="2"/>
      <c r="L530" s="2"/>
      <c r="M530" s="2"/>
      <c r="N530" s="2"/>
      <c r="O530" s="2"/>
    </row>
    <row r="531" customFormat="false" ht="15.75" hidden="false" customHeight="true" outlineLevel="0" collapsed="false">
      <c r="A531" s="2"/>
      <c r="B531" s="2"/>
      <c r="C531" s="2"/>
      <c r="D531" s="2"/>
      <c r="E531" s="2"/>
      <c r="F531" s="2"/>
      <c r="G531" s="2"/>
      <c r="H531" s="2"/>
      <c r="I531" s="2"/>
      <c r="J531" s="2"/>
      <c r="K531" s="2"/>
      <c r="L531" s="2"/>
      <c r="M531" s="2"/>
      <c r="N531" s="2"/>
      <c r="O531" s="2"/>
    </row>
    <row r="532" customFormat="false" ht="15.75" hidden="false" customHeight="true" outlineLevel="0" collapsed="false">
      <c r="A532" s="2"/>
      <c r="B532" s="2"/>
      <c r="C532" s="2"/>
      <c r="D532" s="2"/>
      <c r="E532" s="2"/>
      <c r="F532" s="2"/>
      <c r="G532" s="2"/>
      <c r="H532" s="2"/>
      <c r="I532" s="2"/>
      <c r="J532" s="2"/>
      <c r="K532" s="2"/>
      <c r="L532" s="2"/>
      <c r="M532" s="2"/>
      <c r="N532" s="2"/>
      <c r="O532" s="2"/>
    </row>
    <row r="533" customFormat="false" ht="15.75" hidden="false" customHeight="true" outlineLevel="0" collapsed="false">
      <c r="A533" s="2"/>
      <c r="B533" s="2"/>
      <c r="C533" s="2"/>
      <c r="D533" s="2"/>
      <c r="E533" s="2"/>
      <c r="F533" s="2"/>
      <c r="G533" s="2"/>
      <c r="H533" s="2"/>
      <c r="I533" s="2"/>
      <c r="J533" s="2"/>
      <c r="K533" s="2"/>
      <c r="L533" s="2"/>
      <c r="M533" s="2"/>
      <c r="N533" s="2"/>
      <c r="O533" s="2"/>
    </row>
    <row r="534" customFormat="false" ht="15.75" hidden="false" customHeight="true" outlineLevel="0" collapsed="false">
      <c r="A534" s="2"/>
      <c r="B534" s="2"/>
      <c r="C534" s="2"/>
      <c r="D534" s="2"/>
      <c r="E534" s="2"/>
      <c r="F534" s="2"/>
      <c r="G534" s="2"/>
      <c r="H534" s="2"/>
      <c r="I534" s="2"/>
      <c r="J534" s="2"/>
      <c r="K534" s="2"/>
      <c r="L534" s="2"/>
      <c r="M534" s="2"/>
      <c r="N534" s="2"/>
      <c r="O534" s="2"/>
    </row>
    <row r="535" customFormat="false" ht="15.75" hidden="false" customHeight="true" outlineLevel="0" collapsed="false">
      <c r="A535" s="2"/>
      <c r="B535" s="2"/>
      <c r="C535" s="2"/>
      <c r="D535" s="2"/>
      <c r="E535" s="2"/>
      <c r="F535" s="2"/>
      <c r="G535" s="2"/>
      <c r="H535" s="2"/>
      <c r="I535" s="2"/>
      <c r="J535" s="2"/>
      <c r="K535" s="2"/>
      <c r="L535" s="2"/>
      <c r="M535" s="2"/>
      <c r="N535" s="2"/>
      <c r="O535" s="2"/>
    </row>
    <row r="536" customFormat="false" ht="15.75" hidden="false" customHeight="true" outlineLevel="0" collapsed="false">
      <c r="A536" s="2"/>
      <c r="B536" s="2"/>
      <c r="C536" s="2"/>
      <c r="D536" s="2"/>
      <c r="E536" s="2"/>
      <c r="F536" s="2"/>
      <c r="G536" s="2"/>
      <c r="H536" s="2"/>
      <c r="I536" s="2"/>
      <c r="J536" s="2"/>
      <c r="K536" s="2"/>
      <c r="L536" s="2"/>
      <c r="M536" s="2"/>
      <c r="N536" s="2"/>
      <c r="O536" s="2"/>
    </row>
    <row r="537" customFormat="false" ht="15.75" hidden="false" customHeight="true" outlineLevel="0" collapsed="false">
      <c r="A537" s="2"/>
      <c r="B537" s="2"/>
      <c r="C537" s="2"/>
      <c r="D537" s="2"/>
      <c r="E537" s="2"/>
      <c r="F537" s="2"/>
      <c r="G537" s="2"/>
      <c r="H537" s="2"/>
      <c r="I537" s="2"/>
      <c r="J537" s="2"/>
      <c r="K537" s="2"/>
      <c r="L537" s="2"/>
      <c r="M537" s="2"/>
      <c r="N537" s="2"/>
      <c r="O537" s="2"/>
    </row>
    <row r="538" customFormat="false" ht="15.75" hidden="false" customHeight="true" outlineLevel="0" collapsed="false">
      <c r="A538" s="2"/>
      <c r="B538" s="2"/>
      <c r="C538" s="2"/>
      <c r="D538" s="2"/>
      <c r="E538" s="2"/>
      <c r="F538" s="2"/>
      <c r="G538" s="2"/>
      <c r="H538" s="2"/>
      <c r="I538" s="2"/>
      <c r="J538" s="2"/>
      <c r="K538" s="2"/>
      <c r="L538" s="2"/>
      <c r="M538" s="2"/>
      <c r="N538" s="2"/>
      <c r="O538" s="2"/>
    </row>
    <row r="539" customFormat="false" ht="15.75" hidden="false" customHeight="true" outlineLevel="0" collapsed="false">
      <c r="A539" s="2"/>
      <c r="B539" s="2"/>
      <c r="C539" s="2"/>
      <c r="D539" s="2"/>
      <c r="E539" s="2"/>
      <c r="F539" s="2"/>
      <c r="G539" s="2"/>
      <c r="H539" s="2"/>
      <c r="I539" s="2"/>
      <c r="J539" s="2"/>
      <c r="K539" s="2"/>
      <c r="L539" s="2"/>
      <c r="M539" s="2"/>
      <c r="N539" s="2"/>
      <c r="O539" s="2"/>
    </row>
    <row r="540" customFormat="false" ht="15.75" hidden="false" customHeight="true" outlineLevel="0" collapsed="false">
      <c r="A540" s="2"/>
      <c r="B540" s="2"/>
      <c r="C540" s="2"/>
      <c r="D540" s="2"/>
      <c r="E540" s="2"/>
      <c r="F540" s="2"/>
      <c r="G540" s="2"/>
      <c r="H540" s="2"/>
      <c r="I540" s="2"/>
      <c r="J540" s="2"/>
      <c r="K540" s="2"/>
      <c r="L540" s="2"/>
      <c r="M540" s="2"/>
      <c r="N540" s="2"/>
      <c r="O540" s="2"/>
    </row>
    <row r="541" customFormat="false" ht="15.75" hidden="false" customHeight="true" outlineLevel="0" collapsed="false">
      <c r="A541" s="2"/>
      <c r="B541" s="2"/>
      <c r="C541" s="2"/>
      <c r="D541" s="2"/>
      <c r="E541" s="2"/>
      <c r="F541" s="2"/>
      <c r="G541" s="2"/>
      <c r="H541" s="2"/>
      <c r="I541" s="2"/>
      <c r="J541" s="2"/>
      <c r="K541" s="2"/>
      <c r="L541" s="2"/>
      <c r="M541" s="2"/>
      <c r="N541" s="2"/>
      <c r="O541" s="2"/>
    </row>
    <row r="542" customFormat="false" ht="15.75" hidden="false" customHeight="true" outlineLevel="0" collapsed="false">
      <c r="A542" s="2"/>
      <c r="B542" s="2"/>
      <c r="C542" s="2"/>
      <c r="D542" s="2"/>
      <c r="E542" s="2"/>
      <c r="F542" s="2"/>
      <c r="G542" s="2"/>
      <c r="H542" s="2"/>
      <c r="I542" s="2"/>
      <c r="J542" s="2"/>
      <c r="K542" s="2"/>
      <c r="L542" s="2"/>
      <c r="M542" s="2"/>
      <c r="N542" s="2"/>
      <c r="O542" s="2"/>
    </row>
    <row r="543" customFormat="false" ht="15.75" hidden="false" customHeight="true" outlineLevel="0" collapsed="false">
      <c r="A543" s="2"/>
      <c r="B543" s="2"/>
      <c r="C543" s="2"/>
      <c r="D543" s="2"/>
      <c r="E543" s="2"/>
      <c r="F543" s="2"/>
      <c r="G543" s="2"/>
      <c r="H543" s="2"/>
      <c r="I543" s="2"/>
      <c r="J543" s="2"/>
      <c r="K543" s="2"/>
      <c r="L543" s="2"/>
      <c r="M543" s="2"/>
      <c r="N543" s="2"/>
      <c r="O543" s="2"/>
    </row>
    <row r="544" customFormat="false" ht="15.75" hidden="false" customHeight="true" outlineLevel="0" collapsed="false">
      <c r="A544" s="2"/>
      <c r="B544" s="2"/>
      <c r="C544" s="2"/>
      <c r="D544" s="2"/>
      <c r="E544" s="2"/>
      <c r="F544" s="2"/>
      <c r="G544" s="2"/>
      <c r="H544" s="2"/>
      <c r="I544" s="2"/>
      <c r="J544" s="2"/>
      <c r="K544" s="2"/>
      <c r="L544" s="2"/>
      <c r="M544" s="2"/>
      <c r="N544" s="2"/>
      <c r="O544" s="2"/>
    </row>
    <row r="545" customFormat="false" ht="15.75" hidden="false" customHeight="true" outlineLevel="0" collapsed="false">
      <c r="A545" s="2"/>
      <c r="B545" s="2"/>
      <c r="C545" s="2"/>
      <c r="D545" s="2"/>
      <c r="E545" s="2"/>
      <c r="F545" s="2"/>
      <c r="G545" s="2"/>
      <c r="H545" s="2"/>
      <c r="I545" s="2"/>
      <c r="J545" s="2"/>
      <c r="K545" s="2"/>
      <c r="L545" s="2"/>
      <c r="M545" s="2"/>
      <c r="N545" s="2"/>
      <c r="O545" s="2"/>
    </row>
    <row r="546" customFormat="false" ht="15.75" hidden="false" customHeight="true" outlineLevel="0" collapsed="false">
      <c r="A546" s="2"/>
      <c r="B546" s="2"/>
      <c r="C546" s="2"/>
      <c r="D546" s="2"/>
      <c r="E546" s="2"/>
      <c r="F546" s="2"/>
      <c r="G546" s="2"/>
      <c r="H546" s="2"/>
      <c r="I546" s="2"/>
      <c r="J546" s="2"/>
      <c r="K546" s="2"/>
      <c r="L546" s="2"/>
      <c r="M546" s="2"/>
      <c r="N546" s="2"/>
      <c r="O546" s="2"/>
    </row>
    <row r="547" customFormat="false" ht="15.75" hidden="false" customHeight="true" outlineLevel="0" collapsed="false">
      <c r="A547" s="2"/>
      <c r="B547" s="2"/>
      <c r="C547" s="2"/>
      <c r="D547" s="2"/>
      <c r="E547" s="2"/>
      <c r="F547" s="2"/>
      <c r="G547" s="2"/>
      <c r="H547" s="2"/>
      <c r="I547" s="2"/>
      <c r="J547" s="2"/>
      <c r="K547" s="2"/>
      <c r="L547" s="2"/>
      <c r="M547" s="2"/>
      <c r="N547" s="2"/>
      <c r="O547" s="2"/>
    </row>
    <row r="548" customFormat="false" ht="15.75" hidden="false" customHeight="true" outlineLevel="0" collapsed="false">
      <c r="A548" s="2"/>
      <c r="B548" s="2"/>
      <c r="C548" s="2"/>
      <c r="D548" s="2"/>
      <c r="E548" s="2"/>
      <c r="F548" s="2"/>
      <c r="G548" s="2"/>
      <c r="H548" s="2"/>
      <c r="I548" s="2"/>
      <c r="J548" s="2"/>
      <c r="K548" s="2"/>
      <c r="L548" s="2"/>
      <c r="M548" s="2"/>
      <c r="N548" s="2"/>
      <c r="O548" s="2"/>
    </row>
    <row r="549" customFormat="false" ht="15.75" hidden="false" customHeight="true" outlineLevel="0" collapsed="false">
      <c r="A549" s="2"/>
      <c r="B549" s="2"/>
      <c r="C549" s="2"/>
      <c r="D549" s="2"/>
      <c r="E549" s="2"/>
      <c r="F549" s="2"/>
      <c r="G549" s="2"/>
      <c r="H549" s="2"/>
      <c r="I549" s="2"/>
      <c r="J549" s="2"/>
      <c r="K549" s="2"/>
      <c r="L549" s="2"/>
      <c r="M549" s="2"/>
      <c r="N549" s="2"/>
      <c r="O549" s="2"/>
    </row>
    <row r="550" customFormat="false" ht="15.75" hidden="false" customHeight="true" outlineLevel="0" collapsed="false">
      <c r="A550" s="2"/>
      <c r="B550" s="2"/>
      <c r="C550" s="2"/>
      <c r="D550" s="2"/>
      <c r="E550" s="2"/>
      <c r="F550" s="2"/>
      <c r="G550" s="2"/>
      <c r="H550" s="2"/>
      <c r="I550" s="2"/>
      <c r="J550" s="2"/>
      <c r="K550" s="2"/>
      <c r="L550" s="2"/>
      <c r="M550" s="2"/>
      <c r="N550" s="2"/>
      <c r="O550" s="2"/>
    </row>
    <row r="551" customFormat="false" ht="15.75" hidden="false" customHeight="true" outlineLevel="0" collapsed="false">
      <c r="A551" s="2"/>
      <c r="B551" s="2"/>
      <c r="C551" s="2"/>
      <c r="D551" s="2"/>
      <c r="E551" s="2"/>
      <c r="F551" s="2"/>
      <c r="G551" s="2"/>
      <c r="H551" s="2"/>
      <c r="I551" s="2"/>
      <c r="J551" s="2"/>
      <c r="K551" s="2"/>
      <c r="L551" s="2"/>
      <c r="M551" s="2"/>
      <c r="N551" s="2"/>
      <c r="O551" s="2"/>
    </row>
    <row r="552" customFormat="false" ht="15.75" hidden="false" customHeight="true" outlineLevel="0" collapsed="false">
      <c r="A552" s="2"/>
      <c r="B552" s="2"/>
      <c r="C552" s="2"/>
      <c r="D552" s="2"/>
      <c r="E552" s="2"/>
      <c r="F552" s="2"/>
      <c r="G552" s="2"/>
      <c r="H552" s="2"/>
      <c r="I552" s="2"/>
      <c r="J552" s="2"/>
      <c r="K552" s="2"/>
      <c r="L552" s="2"/>
      <c r="M552" s="2"/>
      <c r="N552" s="2"/>
      <c r="O552" s="2"/>
    </row>
    <row r="553" customFormat="false" ht="15.75" hidden="false" customHeight="true" outlineLevel="0" collapsed="false">
      <c r="A553" s="2"/>
      <c r="B553" s="2"/>
      <c r="C553" s="2"/>
      <c r="D553" s="2"/>
      <c r="E553" s="2"/>
      <c r="F553" s="2"/>
      <c r="G553" s="2"/>
      <c r="H553" s="2"/>
      <c r="I553" s="2"/>
      <c r="J553" s="2"/>
      <c r="K553" s="2"/>
      <c r="L553" s="2"/>
      <c r="M553" s="2"/>
      <c r="N553" s="2"/>
      <c r="O553" s="2"/>
    </row>
    <row r="554" customFormat="false" ht="15.75" hidden="false" customHeight="true" outlineLevel="0" collapsed="false">
      <c r="A554" s="2"/>
      <c r="B554" s="2"/>
      <c r="C554" s="2"/>
      <c r="D554" s="2"/>
      <c r="E554" s="2"/>
      <c r="F554" s="2"/>
      <c r="G554" s="2"/>
      <c r="H554" s="2"/>
      <c r="I554" s="2"/>
      <c r="J554" s="2"/>
      <c r="K554" s="2"/>
      <c r="L554" s="2"/>
      <c r="M554" s="2"/>
      <c r="N554" s="2"/>
      <c r="O554" s="2"/>
    </row>
    <row r="555" customFormat="false" ht="15.75" hidden="false" customHeight="true" outlineLevel="0" collapsed="false">
      <c r="A555" s="2"/>
      <c r="B555" s="2"/>
      <c r="C555" s="2"/>
      <c r="D555" s="2"/>
      <c r="E555" s="2"/>
      <c r="F555" s="2"/>
      <c r="G555" s="2"/>
      <c r="H555" s="2"/>
      <c r="I555" s="2"/>
      <c r="J555" s="2"/>
      <c r="K555" s="2"/>
      <c r="L555" s="2"/>
      <c r="M555" s="2"/>
      <c r="N555" s="2"/>
      <c r="O555" s="2"/>
    </row>
    <row r="556" customFormat="false" ht="15.75" hidden="false" customHeight="true" outlineLevel="0" collapsed="false">
      <c r="A556" s="2"/>
      <c r="B556" s="2"/>
      <c r="C556" s="2"/>
      <c r="D556" s="2"/>
      <c r="E556" s="2"/>
      <c r="F556" s="2"/>
      <c r="G556" s="2"/>
      <c r="H556" s="2"/>
      <c r="I556" s="2"/>
      <c r="J556" s="2"/>
      <c r="K556" s="2"/>
      <c r="L556" s="2"/>
      <c r="M556" s="2"/>
      <c r="N556" s="2"/>
      <c r="O556" s="2"/>
    </row>
    <row r="557" customFormat="false" ht="15.75" hidden="false" customHeight="true" outlineLevel="0" collapsed="false">
      <c r="A557" s="2"/>
      <c r="B557" s="2"/>
      <c r="C557" s="2"/>
      <c r="D557" s="2"/>
      <c r="E557" s="2"/>
      <c r="F557" s="2"/>
      <c r="G557" s="2"/>
      <c r="H557" s="2"/>
      <c r="I557" s="2"/>
      <c r="J557" s="2"/>
      <c r="K557" s="2"/>
      <c r="L557" s="2"/>
      <c r="M557" s="2"/>
      <c r="N557" s="2"/>
      <c r="O557" s="2"/>
    </row>
    <row r="558" customFormat="false" ht="15.75" hidden="false" customHeight="true" outlineLevel="0" collapsed="false">
      <c r="A558" s="2"/>
      <c r="B558" s="2"/>
      <c r="C558" s="2"/>
      <c r="D558" s="2"/>
      <c r="E558" s="2"/>
      <c r="F558" s="2"/>
      <c r="G558" s="2"/>
      <c r="H558" s="2"/>
      <c r="I558" s="2"/>
      <c r="J558" s="2"/>
      <c r="K558" s="2"/>
      <c r="L558" s="2"/>
      <c r="M558" s="2"/>
      <c r="N558" s="2"/>
      <c r="O558" s="2"/>
    </row>
    <row r="559" customFormat="false" ht="15.75" hidden="false" customHeight="true" outlineLevel="0" collapsed="false">
      <c r="A559" s="2"/>
      <c r="B559" s="2"/>
      <c r="C559" s="2"/>
      <c r="D559" s="2"/>
      <c r="E559" s="2"/>
      <c r="F559" s="2"/>
      <c r="G559" s="2"/>
      <c r="H559" s="2"/>
      <c r="I559" s="2"/>
      <c r="J559" s="2"/>
      <c r="K559" s="2"/>
      <c r="L559" s="2"/>
      <c r="M559" s="2"/>
      <c r="N559" s="2"/>
      <c r="O559" s="2"/>
    </row>
    <row r="560" customFormat="false" ht="15.75" hidden="false" customHeight="true" outlineLevel="0" collapsed="false">
      <c r="A560" s="2"/>
      <c r="B560" s="2"/>
      <c r="C560" s="2"/>
      <c r="D560" s="2"/>
      <c r="E560" s="2"/>
      <c r="F560" s="2"/>
      <c r="G560" s="2"/>
      <c r="H560" s="2"/>
      <c r="I560" s="2"/>
      <c r="J560" s="2"/>
      <c r="K560" s="2"/>
      <c r="L560" s="2"/>
      <c r="M560" s="2"/>
      <c r="N560" s="2"/>
      <c r="O560" s="2"/>
    </row>
    <row r="561" customFormat="false" ht="15.75" hidden="false" customHeight="true" outlineLevel="0" collapsed="false">
      <c r="A561" s="2"/>
      <c r="B561" s="2"/>
      <c r="C561" s="2"/>
      <c r="D561" s="2"/>
      <c r="E561" s="2"/>
      <c r="F561" s="2"/>
      <c r="G561" s="2"/>
      <c r="H561" s="2"/>
      <c r="I561" s="2"/>
      <c r="J561" s="2"/>
      <c r="K561" s="2"/>
      <c r="L561" s="2"/>
      <c r="M561" s="2"/>
      <c r="N561" s="2"/>
      <c r="O561" s="2"/>
    </row>
    <row r="562" customFormat="false" ht="15.75" hidden="false" customHeight="true" outlineLevel="0" collapsed="false">
      <c r="A562" s="2"/>
      <c r="B562" s="2"/>
      <c r="C562" s="2"/>
      <c r="D562" s="2"/>
      <c r="E562" s="2"/>
      <c r="F562" s="2"/>
      <c r="G562" s="2"/>
      <c r="H562" s="2"/>
      <c r="I562" s="2"/>
      <c r="J562" s="2"/>
      <c r="K562" s="2"/>
      <c r="L562" s="2"/>
      <c r="M562" s="2"/>
      <c r="N562" s="2"/>
      <c r="O562" s="2"/>
    </row>
    <row r="563" customFormat="false" ht="15.75" hidden="false" customHeight="true" outlineLevel="0" collapsed="false">
      <c r="A563" s="2"/>
      <c r="B563" s="2"/>
      <c r="C563" s="2"/>
      <c r="D563" s="2"/>
      <c r="E563" s="2"/>
      <c r="F563" s="2"/>
      <c r="G563" s="2"/>
      <c r="H563" s="2"/>
      <c r="I563" s="2"/>
      <c r="J563" s="2"/>
      <c r="K563" s="2"/>
      <c r="L563" s="2"/>
      <c r="M563" s="2"/>
      <c r="N563" s="2"/>
      <c r="O563" s="2"/>
    </row>
    <row r="564" customFormat="false" ht="15.75" hidden="false" customHeight="true" outlineLevel="0" collapsed="false">
      <c r="A564" s="2"/>
      <c r="B564" s="2"/>
      <c r="C564" s="2"/>
      <c r="D564" s="2"/>
      <c r="E564" s="2"/>
      <c r="F564" s="2"/>
      <c r="G564" s="2"/>
      <c r="H564" s="2"/>
      <c r="I564" s="2"/>
      <c r="J564" s="2"/>
      <c r="K564" s="2"/>
      <c r="L564" s="2"/>
      <c r="M564" s="2"/>
      <c r="N564" s="2"/>
      <c r="O564" s="2"/>
    </row>
    <row r="565" customFormat="false" ht="15.75" hidden="false" customHeight="true" outlineLevel="0" collapsed="false">
      <c r="A565" s="2"/>
      <c r="B565" s="2"/>
      <c r="C565" s="2"/>
      <c r="D565" s="2"/>
      <c r="E565" s="2"/>
      <c r="F565" s="2"/>
      <c r="G565" s="2"/>
      <c r="H565" s="2"/>
      <c r="I565" s="2"/>
      <c r="J565" s="2"/>
      <c r="K565" s="2"/>
      <c r="L565" s="2"/>
      <c r="M565" s="2"/>
      <c r="N565" s="2"/>
      <c r="O565" s="2"/>
    </row>
    <row r="566" customFormat="false" ht="15.75" hidden="false" customHeight="true" outlineLevel="0" collapsed="false">
      <c r="A566" s="2"/>
      <c r="B566" s="2"/>
      <c r="C566" s="2"/>
      <c r="D566" s="2"/>
      <c r="E566" s="2"/>
      <c r="F566" s="2"/>
      <c r="G566" s="2"/>
      <c r="H566" s="2"/>
      <c r="I566" s="2"/>
      <c r="J566" s="2"/>
      <c r="K566" s="2"/>
      <c r="L566" s="2"/>
      <c r="M566" s="2"/>
      <c r="N566" s="2"/>
      <c r="O566" s="2"/>
    </row>
    <row r="567" customFormat="false" ht="15.75" hidden="false" customHeight="true" outlineLevel="0" collapsed="false">
      <c r="A567" s="2"/>
      <c r="B567" s="2"/>
      <c r="C567" s="2"/>
      <c r="D567" s="2"/>
      <c r="E567" s="2"/>
      <c r="F567" s="2"/>
      <c r="G567" s="2"/>
      <c r="H567" s="2"/>
      <c r="I567" s="2"/>
      <c r="J567" s="2"/>
      <c r="K567" s="2"/>
      <c r="L567" s="2"/>
      <c r="M567" s="2"/>
      <c r="N567" s="2"/>
      <c r="O567" s="2"/>
    </row>
    <row r="568" customFormat="false" ht="15.75" hidden="false" customHeight="true" outlineLevel="0" collapsed="false">
      <c r="A568" s="2"/>
      <c r="B568" s="2"/>
      <c r="C568" s="2"/>
      <c r="D568" s="2"/>
      <c r="E568" s="2"/>
      <c r="F568" s="2"/>
      <c r="G568" s="2"/>
      <c r="H568" s="2"/>
      <c r="I568" s="2"/>
      <c r="J568" s="2"/>
      <c r="K568" s="2"/>
      <c r="L568" s="2"/>
      <c r="M568" s="2"/>
      <c r="N568" s="2"/>
      <c r="O568" s="2"/>
    </row>
    <row r="569" customFormat="false" ht="15.75" hidden="false" customHeight="true" outlineLevel="0" collapsed="false">
      <c r="A569" s="2"/>
      <c r="B569" s="2"/>
      <c r="C569" s="2"/>
      <c r="D569" s="2"/>
      <c r="E569" s="2"/>
      <c r="F569" s="2"/>
      <c r="G569" s="2"/>
      <c r="H569" s="2"/>
      <c r="I569" s="2"/>
      <c r="J569" s="2"/>
      <c r="K569" s="2"/>
      <c r="L569" s="2"/>
      <c r="M569" s="2"/>
      <c r="N569" s="2"/>
      <c r="O569" s="2"/>
    </row>
    <row r="570" customFormat="false" ht="15.75" hidden="false" customHeight="true" outlineLevel="0" collapsed="false">
      <c r="A570" s="2"/>
      <c r="B570" s="2"/>
      <c r="C570" s="2"/>
      <c r="D570" s="2"/>
      <c r="E570" s="2"/>
      <c r="F570" s="2"/>
      <c r="G570" s="2"/>
      <c r="H570" s="2"/>
      <c r="I570" s="2"/>
      <c r="J570" s="2"/>
      <c r="K570" s="2"/>
      <c r="L570" s="2"/>
      <c r="M570" s="2"/>
      <c r="N570" s="2"/>
      <c r="O570" s="2"/>
    </row>
    <row r="571" customFormat="false" ht="15.75" hidden="false" customHeight="true" outlineLevel="0" collapsed="false">
      <c r="A571" s="2"/>
      <c r="B571" s="2"/>
      <c r="C571" s="2"/>
      <c r="D571" s="2"/>
      <c r="E571" s="2"/>
      <c r="F571" s="2"/>
      <c r="G571" s="2"/>
      <c r="H571" s="2"/>
      <c r="I571" s="2"/>
      <c r="J571" s="2"/>
      <c r="K571" s="2"/>
      <c r="L571" s="2"/>
      <c r="M571" s="2"/>
      <c r="N571" s="2"/>
      <c r="O571" s="2"/>
    </row>
    <row r="572" customFormat="false" ht="15.75" hidden="false" customHeight="true" outlineLevel="0" collapsed="false">
      <c r="A572" s="2"/>
      <c r="B572" s="2"/>
      <c r="C572" s="2"/>
      <c r="D572" s="2"/>
      <c r="E572" s="2"/>
      <c r="F572" s="2"/>
      <c r="G572" s="2"/>
      <c r="H572" s="2"/>
      <c r="I572" s="2"/>
      <c r="J572" s="2"/>
      <c r="K572" s="2"/>
      <c r="L572" s="2"/>
      <c r="M572" s="2"/>
      <c r="N572" s="2"/>
      <c r="O572" s="2"/>
    </row>
    <row r="573" customFormat="false" ht="15.75" hidden="false" customHeight="true" outlineLevel="0" collapsed="false">
      <c r="A573" s="2"/>
      <c r="B573" s="2"/>
      <c r="C573" s="2"/>
      <c r="D573" s="2"/>
      <c r="E573" s="2"/>
      <c r="F573" s="2"/>
      <c r="G573" s="2"/>
      <c r="H573" s="2"/>
      <c r="I573" s="2"/>
      <c r="J573" s="2"/>
      <c r="K573" s="2"/>
      <c r="L573" s="2"/>
      <c r="M573" s="2"/>
      <c r="N573" s="2"/>
      <c r="O573" s="2"/>
    </row>
    <row r="574" customFormat="false" ht="15.75" hidden="false" customHeight="true" outlineLevel="0" collapsed="false">
      <c r="A574" s="2"/>
      <c r="B574" s="2"/>
      <c r="C574" s="2"/>
      <c r="D574" s="2"/>
      <c r="E574" s="2"/>
      <c r="F574" s="2"/>
      <c r="G574" s="2"/>
      <c r="H574" s="2"/>
      <c r="I574" s="2"/>
      <c r="J574" s="2"/>
      <c r="K574" s="2"/>
      <c r="L574" s="2"/>
      <c r="M574" s="2"/>
      <c r="N574" s="2"/>
      <c r="O574" s="2"/>
    </row>
    <row r="575" customFormat="false" ht="15.75" hidden="false" customHeight="true" outlineLevel="0" collapsed="false">
      <c r="A575" s="2"/>
      <c r="B575" s="2"/>
      <c r="C575" s="2"/>
      <c r="D575" s="2"/>
      <c r="E575" s="2"/>
      <c r="F575" s="2"/>
      <c r="G575" s="2"/>
      <c r="H575" s="2"/>
      <c r="I575" s="2"/>
      <c r="J575" s="2"/>
      <c r="K575" s="2"/>
      <c r="L575" s="2"/>
      <c r="M575" s="2"/>
      <c r="N575" s="2"/>
      <c r="O575" s="2"/>
    </row>
    <row r="576" customFormat="false" ht="15.75" hidden="false" customHeight="true" outlineLevel="0" collapsed="false">
      <c r="A576" s="2"/>
      <c r="B576" s="2"/>
      <c r="C576" s="2"/>
      <c r="D576" s="2"/>
      <c r="E576" s="2"/>
      <c r="F576" s="2"/>
      <c r="G576" s="2"/>
      <c r="H576" s="2"/>
      <c r="I576" s="2"/>
      <c r="J576" s="2"/>
      <c r="K576" s="2"/>
      <c r="L576" s="2"/>
      <c r="M576" s="2"/>
      <c r="N576" s="2"/>
      <c r="O576" s="2"/>
    </row>
    <row r="577" customFormat="false" ht="15.75" hidden="false" customHeight="true" outlineLevel="0" collapsed="false">
      <c r="A577" s="2"/>
      <c r="B577" s="2"/>
      <c r="C577" s="2"/>
      <c r="D577" s="2"/>
      <c r="E577" s="2"/>
      <c r="F577" s="2"/>
      <c r="G577" s="2"/>
      <c r="H577" s="2"/>
      <c r="I577" s="2"/>
      <c r="J577" s="2"/>
      <c r="K577" s="2"/>
      <c r="L577" s="2"/>
      <c r="M577" s="2"/>
      <c r="N577" s="2"/>
      <c r="O577" s="2"/>
    </row>
    <row r="578" customFormat="false" ht="15.75" hidden="false" customHeight="true" outlineLevel="0" collapsed="false">
      <c r="A578" s="2"/>
      <c r="B578" s="2"/>
      <c r="C578" s="2"/>
      <c r="D578" s="2"/>
      <c r="E578" s="2"/>
      <c r="F578" s="2"/>
      <c r="G578" s="2"/>
      <c r="H578" s="2"/>
      <c r="I578" s="2"/>
      <c r="J578" s="2"/>
      <c r="K578" s="2"/>
      <c r="L578" s="2"/>
      <c r="M578" s="2"/>
      <c r="N578" s="2"/>
      <c r="O578" s="2"/>
    </row>
    <row r="579" customFormat="false" ht="15.75" hidden="false" customHeight="true" outlineLevel="0" collapsed="false">
      <c r="A579" s="2"/>
      <c r="B579" s="2"/>
      <c r="C579" s="2"/>
      <c r="D579" s="2"/>
      <c r="E579" s="2"/>
      <c r="F579" s="2"/>
      <c r="G579" s="2"/>
      <c r="H579" s="2"/>
      <c r="I579" s="2"/>
      <c r="J579" s="2"/>
      <c r="K579" s="2"/>
      <c r="L579" s="2"/>
      <c r="M579" s="2"/>
      <c r="N579" s="2"/>
      <c r="O579" s="2"/>
    </row>
    <row r="580" customFormat="false" ht="15.75" hidden="false" customHeight="true" outlineLevel="0" collapsed="false">
      <c r="A580" s="2"/>
      <c r="B580" s="2"/>
      <c r="C580" s="2"/>
      <c r="D580" s="2"/>
      <c r="E580" s="2"/>
      <c r="F580" s="2"/>
      <c r="G580" s="2"/>
      <c r="H580" s="2"/>
      <c r="I580" s="2"/>
      <c r="J580" s="2"/>
      <c r="K580" s="2"/>
      <c r="L580" s="2"/>
      <c r="M580" s="2"/>
      <c r="N580" s="2"/>
      <c r="O580" s="2"/>
    </row>
    <row r="581" customFormat="false" ht="15.75" hidden="false" customHeight="true" outlineLevel="0" collapsed="false">
      <c r="A581" s="2"/>
      <c r="B581" s="2"/>
      <c r="C581" s="2"/>
      <c r="D581" s="2"/>
      <c r="E581" s="2"/>
      <c r="F581" s="2"/>
      <c r="G581" s="2"/>
      <c r="H581" s="2"/>
      <c r="I581" s="2"/>
      <c r="J581" s="2"/>
      <c r="K581" s="2"/>
      <c r="L581" s="2"/>
      <c r="M581" s="2"/>
      <c r="N581" s="2"/>
      <c r="O581" s="2"/>
    </row>
    <row r="582" customFormat="false" ht="15.75" hidden="false" customHeight="true" outlineLevel="0" collapsed="false">
      <c r="A582" s="2"/>
      <c r="B582" s="2"/>
      <c r="C582" s="2"/>
      <c r="D582" s="2"/>
      <c r="E582" s="2"/>
      <c r="F582" s="2"/>
      <c r="G582" s="2"/>
      <c r="H582" s="2"/>
      <c r="I582" s="2"/>
      <c r="J582" s="2"/>
      <c r="K582" s="2"/>
      <c r="L582" s="2"/>
      <c r="M582" s="2"/>
      <c r="N582" s="2"/>
      <c r="O582" s="2"/>
    </row>
    <row r="583" customFormat="false" ht="15.75" hidden="false" customHeight="true" outlineLevel="0" collapsed="false">
      <c r="A583" s="2"/>
      <c r="B583" s="2"/>
      <c r="C583" s="2"/>
      <c r="D583" s="2"/>
      <c r="E583" s="2"/>
      <c r="F583" s="2"/>
      <c r="G583" s="2"/>
      <c r="H583" s="2"/>
      <c r="I583" s="2"/>
      <c r="J583" s="2"/>
      <c r="K583" s="2"/>
      <c r="L583" s="2"/>
      <c r="M583" s="2"/>
      <c r="N583" s="2"/>
      <c r="O583" s="2"/>
    </row>
    <row r="584" customFormat="false" ht="15.75" hidden="false" customHeight="true" outlineLevel="0" collapsed="false">
      <c r="A584" s="2"/>
      <c r="B584" s="2"/>
      <c r="C584" s="2"/>
      <c r="D584" s="2"/>
      <c r="E584" s="2"/>
      <c r="F584" s="2"/>
      <c r="G584" s="2"/>
      <c r="H584" s="2"/>
      <c r="I584" s="2"/>
      <c r="J584" s="2"/>
      <c r="K584" s="2"/>
      <c r="L584" s="2"/>
      <c r="M584" s="2"/>
      <c r="N584" s="2"/>
      <c r="O584" s="2"/>
    </row>
    <row r="585" customFormat="false" ht="15.75" hidden="false" customHeight="true" outlineLevel="0" collapsed="false">
      <c r="A585" s="2"/>
      <c r="B585" s="2"/>
      <c r="C585" s="2"/>
      <c r="D585" s="2"/>
      <c r="E585" s="2"/>
      <c r="F585" s="2"/>
      <c r="G585" s="2"/>
      <c r="H585" s="2"/>
      <c r="I585" s="2"/>
      <c r="J585" s="2"/>
      <c r="K585" s="2"/>
      <c r="L585" s="2"/>
      <c r="M585" s="2"/>
      <c r="N585" s="2"/>
      <c r="O585" s="2"/>
    </row>
    <row r="586" customFormat="false" ht="15.75" hidden="false" customHeight="true" outlineLevel="0" collapsed="false">
      <c r="A586" s="2"/>
      <c r="B586" s="2"/>
      <c r="C586" s="2"/>
      <c r="D586" s="2"/>
      <c r="E586" s="2"/>
      <c r="F586" s="2"/>
      <c r="G586" s="2"/>
      <c r="H586" s="2"/>
      <c r="I586" s="2"/>
      <c r="J586" s="2"/>
      <c r="K586" s="2"/>
      <c r="L586" s="2"/>
      <c r="M586" s="2"/>
      <c r="N586" s="2"/>
      <c r="O586" s="2"/>
    </row>
    <row r="587" customFormat="false" ht="15.75" hidden="false" customHeight="true" outlineLevel="0" collapsed="false">
      <c r="A587" s="2"/>
      <c r="B587" s="2"/>
      <c r="C587" s="2"/>
      <c r="D587" s="2"/>
      <c r="E587" s="2"/>
      <c r="F587" s="2"/>
      <c r="G587" s="2"/>
      <c r="H587" s="2"/>
      <c r="I587" s="2"/>
      <c r="J587" s="2"/>
      <c r="K587" s="2"/>
      <c r="L587" s="2"/>
      <c r="M587" s="2"/>
      <c r="N587" s="2"/>
      <c r="O587" s="2"/>
    </row>
    <row r="588" customFormat="false" ht="15.75" hidden="false" customHeight="true" outlineLevel="0" collapsed="false">
      <c r="A588" s="2"/>
      <c r="B588" s="2"/>
      <c r="C588" s="2"/>
      <c r="D588" s="2"/>
      <c r="E588" s="2"/>
      <c r="F588" s="2"/>
      <c r="G588" s="2"/>
      <c r="H588" s="2"/>
      <c r="I588" s="2"/>
      <c r="J588" s="2"/>
      <c r="K588" s="2"/>
      <c r="L588" s="2"/>
      <c r="M588" s="2"/>
      <c r="N588" s="2"/>
      <c r="O588" s="2"/>
    </row>
    <row r="589" customFormat="false" ht="15.75" hidden="false" customHeight="true" outlineLevel="0" collapsed="false">
      <c r="A589" s="2"/>
      <c r="B589" s="2"/>
      <c r="C589" s="2"/>
      <c r="D589" s="2"/>
      <c r="E589" s="2"/>
      <c r="F589" s="2"/>
      <c r="G589" s="2"/>
      <c r="H589" s="2"/>
      <c r="I589" s="2"/>
      <c r="J589" s="2"/>
      <c r="K589" s="2"/>
      <c r="L589" s="2"/>
      <c r="M589" s="2"/>
      <c r="N589" s="2"/>
      <c r="O589" s="2"/>
    </row>
    <row r="590" customFormat="false" ht="15.75" hidden="false" customHeight="true" outlineLevel="0" collapsed="false">
      <c r="A590" s="2"/>
      <c r="B590" s="2"/>
      <c r="C590" s="2"/>
      <c r="D590" s="2"/>
      <c r="E590" s="2"/>
      <c r="F590" s="2"/>
      <c r="G590" s="2"/>
      <c r="H590" s="2"/>
      <c r="I590" s="2"/>
      <c r="J590" s="2"/>
      <c r="K590" s="2"/>
      <c r="L590" s="2"/>
      <c r="M590" s="2"/>
      <c r="N590" s="2"/>
      <c r="O590" s="2"/>
    </row>
    <row r="591" customFormat="false" ht="15.75" hidden="false" customHeight="true" outlineLevel="0" collapsed="false">
      <c r="A591" s="2"/>
      <c r="B591" s="2"/>
      <c r="C591" s="2"/>
      <c r="D591" s="2"/>
      <c r="E591" s="2"/>
      <c r="F591" s="2"/>
      <c r="G591" s="2"/>
      <c r="H591" s="2"/>
      <c r="I591" s="2"/>
      <c r="J591" s="2"/>
      <c r="K591" s="2"/>
      <c r="L591" s="2"/>
      <c r="M591" s="2"/>
      <c r="N591" s="2"/>
      <c r="O591" s="2"/>
    </row>
    <row r="592" customFormat="false" ht="15.75" hidden="false" customHeight="true" outlineLevel="0" collapsed="false">
      <c r="A592" s="2"/>
      <c r="B592" s="2"/>
      <c r="C592" s="2"/>
      <c r="D592" s="2"/>
      <c r="E592" s="2"/>
      <c r="F592" s="2"/>
      <c r="G592" s="2"/>
      <c r="H592" s="2"/>
      <c r="I592" s="2"/>
      <c r="J592" s="2"/>
      <c r="K592" s="2"/>
      <c r="L592" s="2"/>
      <c r="M592" s="2"/>
      <c r="N592" s="2"/>
      <c r="O592" s="2"/>
    </row>
    <row r="593" customFormat="false" ht="15.75" hidden="false" customHeight="true" outlineLevel="0" collapsed="false">
      <c r="A593" s="2"/>
      <c r="B593" s="2"/>
      <c r="C593" s="2"/>
      <c r="D593" s="2"/>
      <c r="E593" s="2"/>
      <c r="F593" s="2"/>
      <c r="G593" s="2"/>
      <c r="H593" s="2"/>
      <c r="I593" s="2"/>
      <c r="J593" s="2"/>
      <c r="K593" s="2"/>
      <c r="L593" s="2"/>
      <c r="M593" s="2"/>
      <c r="N593" s="2"/>
      <c r="O593" s="2"/>
    </row>
    <row r="594" customFormat="false" ht="15.75" hidden="false" customHeight="true" outlineLevel="0" collapsed="false">
      <c r="A594" s="2"/>
      <c r="B594" s="2"/>
      <c r="C594" s="2"/>
      <c r="D594" s="2"/>
      <c r="E594" s="2"/>
      <c r="F594" s="2"/>
      <c r="G594" s="2"/>
      <c r="H594" s="2"/>
      <c r="I594" s="2"/>
      <c r="J594" s="2"/>
      <c r="K594" s="2"/>
      <c r="L594" s="2"/>
      <c r="M594" s="2"/>
      <c r="N594" s="2"/>
      <c r="O594" s="2"/>
    </row>
    <row r="595" customFormat="false" ht="15.75" hidden="false" customHeight="true" outlineLevel="0" collapsed="false">
      <c r="A595" s="2"/>
      <c r="B595" s="2"/>
      <c r="C595" s="2"/>
      <c r="D595" s="2"/>
      <c r="E595" s="2"/>
      <c r="F595" s="2"/>
      <c r="G595" s="2"/>
      <c r="H595" s="2"/>
      <c r="I595" s="2"/>
      <c r="J595" s="2"/>
      <c r="K595" s="2"/>
      <c r="L595" s="2"/>
      <c r="M595" s="2"/>
      <c r="N595" s="2"/>
      <c r="O595" s="2"/>
    </row>
    <row r="596" customFormat="false" ht="15.75" hidden="false" customHeight="true" outlineLevel="0" collapsed="false">
      <c r="A596" s="2"/>
      <c r="B596" s="2"/>
      <c r="C596" s="2"/>
      <c r="D596" s="2"/>
      <c r="E596" s="2"/>
      <c r="F596" s="2"/>
      <c r="G596" s="2"/>
      <c r="H596" s="2"/>
      <c r="I596" s="2"/>
      <c r="J596" s="2"/>
      <c r="K596" s="2"/>
      <c r="L596" s="2"/>
      <c r="M596" s="2"/>
      <c r="N596" s="2"/>
      <c r="O596" s="2"/>
    </row>
    <row r="597" customFormat="false" ht="15.75" hidden="false" customHeight="true" outlineLevel="0" collapsed="false">
      <c r="A597" s="2"/>
      <c r="B597" s="2"/>
      <c r="C597" s="2"/>
      <c r="D597" s="2"/>
      <c r="E597" s="2"/>
      <c r="F597" s="2"/>
      <c r="G597" s="2"/>
      <c r="H597" s="2"/>
      <c r="I597" s="2"/>
      <c r="J597" s="2"/>
      <c r="K597" s="2"/>
      <c r="L597" s="2"/>
      <c r="M597" s="2"/>
      <c r="N597" s="2"/>
      <c r="O597" s="2"/>
    </row>
    <row r="598" customFormat="false" ht="15.75" hidden="false" customHeight="true" outlineLevel="0" collapsed="false">
      <c r="A598" s="2"/>
      <c r="B598" s="2"/>
      <c r="C598" s="2"/>
      <c r="D598" s="2"/>
      <c r="E598" s="2"/>
      <c r="F598" s="2"/>
      <c r="G598" s="2"/>
      <c r="H598" s="2"/>
      <c r="I598" s="2"/>
      <c r="J598" s="2"/>
      <c r="K598" s="2"/>
      <c r="L598" s="2"/>
      <c r="M598" s="2"/>
      <c r="N598" s="2"/>
      <c r="O598" s="2"/>
    </row>
    <row r="599" customFormat="false" ht="15.75" hidden="false" customHeight="true" outlineLevel="0" collapsed="false">
      <c r="A599" s="2"/>
      <c r="B599" s="2"/>
      <c r="C599" s="2"/>
      <c r="D599" s="2"/>
      <c r="E599" s="2"/>
      <c r="F599" s="2"/>
      <c r="G599" s="2"/>
      <c r="H599" s="2"/>
      <c r="I599" s="2"/>
      <c r="J599" s="2"/>
      <c r="K599" s="2"/>
      <c r="L599" s="2"/>
      <c r="M599" s="2"/>
      <c r="N599" s="2"/>
      <c r="O599" s="2"/>
    </row>
    <row r="600" customFormat="false" ht="15.75" hidden="false" customHeight="true" outlineLevel="0" collapsed="false">
      <c r="A600" s="2"/>
      <c r="B600" s="2"/>
      <c r="C600" s="2"/>
      <c r="D600" s="2"/>
      <c r="E600" s="2"/>
      <c r="F600" s="2"/>
      <c r="G600" s="2"/>
      <c r="H600" s="2"/>
      <c r="I600" s="2"/>
      <c r="J600" s="2"/>
      <c r="K600" s="2"/>
      <c r="L600" s="2"/>
      <c r="M600" s="2"/>
      <c r="N600" s="2"/>
      <c r="O600" s="2"/>
    </row>
    <row r="601" customFormat="false" ht="15.75" hidden="false" customHeight="true" outlineLevel="0" collapsed="false">
      <c r="A601" s="2"/>
      <c r="B601" s="2"/>
      <c r="C601" s="2"/>
      <c r="D601" s="2"/>
      <c r="E601" s="2"/>
      <c r="F601" s="2"/>
      <c r="G601" s="2"/>
      <c r="H601" s="2"/>
      <c r="I601" s="2"/>
      <c r="J601" s="2"/>
      <c r="K601" s="2"/>
      <c r="L601" s="2"/>
      <c r="M601" s="2"/>
      <c r="N601" s="2"/>
      <c r="O601" s="2"/>
    </row>
    <row r="602" customFormat="false" ht="15.75" hidden="false" customHeight="true" outlineLevel="0" collapsed="false">
      <c r="A602" s="2"/>
      <c r="B602" s="2"/>
      <c r="C602" s="2"/>
      <c r="D602" s="2"/>
      <c r="E602" s="2"/>
      <c r="F602" s="2"/>
      <c r="G602" s="2"/>
      <c r="H602" s="2"/>
      <c r="I602" s="2"/>
      <c r="J602" s="2"/>
      <c r="K602" s="2"/>
      <c r="L602" s="2"/>
      <c r="M602" s="2"/>
      <c r="N602" s="2"/>
      <c r="O602" s="2"/>
    </row>
    <row r="603" customFormat="false" ht="15.75" hidden="false" customHeight="true" outlineLevel="0" collapsed="false">
      <c r="A603" s="2"/>
      <c r="B603" s="2"/>
      <c r="C603" s="2"/>
      <c r="D603" s="2"/>
      <c r="E603" s="2"/>
      <c r="F603" s="2"/>
      <c r="G603" s="2"/>
      <c r="H603" s="2"/>
      <c r="I603" s="2"/>
      <c r="J603" s="2"/>
      <c r="K603" s="2"/>
      <c r="L603" s="2"/>
      <c r="M603" s="2"/>
      <c r="N603" s="2"/>
      <c r="O603" s="2"/>
    </row>
    <row r="604" customFormat="false" ht="15.75" hidden="false" customHeight="true" outlineLevel="0" collapsed="false">
      <c r="A604" s="2"/>
      <c r="B604" s="2"/>
      <c r="C604" s="2"/>
      <c r="D604" s="2"/>
      <c r="E604" s="2"/>
      <c r="F604" s="2"/>
      <c r="G604" s="2"/>
      <c r="H604" s="2"/>
      <c r="I604" s="2"/>
      <c r="J604" s="2"/>
      <c r="K604" s="2"/>
      <c r="L604" s="2"/>
      <c r="M604" s="2"/>
      <c r="N604" s="2"/>
      <c r="O604" s="2"/>
    </row>
    <row r="605" customFormat="false" ht="15.75" hidden="false" customHeight="true" outlineLevel="0" collapsed="false">
      <c r="A605" s="2"/>
      <c r="B605" s="2"/>
      <c r="C605" s="2"/>
      <c r="D605" s="2"/>
      <c r="E605" s="2"/>
      <c r="F605" s="2"/>
      <c r="G605" s="2"/>
      <c r="H605" s="2"/>
      <c r="I605" s="2"/>
      <c r="J605" s="2"/>
      <c r="K605" s="2"/>
      <c r="L605" s="2"/>
      <c r="M605" s="2"/>
      <c r="N605" s="2"/>
      <c r="O605" s="2"/>
    </row>
    <row r="606" customFormat="false" ht="15.75" hidden="false" customHeight="true" outlineLevel="0" collapsed="false">
      <c r="A606" s="2"/>
      <c r="B606" s="2"/>
      <c r="C606" s="2"/>
      <c r="D606" s="2"/>
      <c r="E606" s="2"/>
      <c r="F606" s="2"/>
      <c r="G606" s="2"/>
      <c r="H606" s="2"/>
      <c r="I606" s="2"/>
      <c r="J606" s="2"/>
      <c r="K606" s="2"/>
      <c r="L606" s="2"/>
      <c r="M606" s="2"/>
      <c r="N606" s="2"/>
      <c r="O606" s="2"/>
    </row>
    <row r="607" customFormat="false" ht="15.75" hidden="false" customHeight="true" outlineLevel="0" collapsed="false">
      <c r="A607" s="2"/>
      <c r="B607" s="2"/>
      <c r="C607" s="2"/>
      <c r="D607" s="2"/>
      <c r="E607" s="2"/>
      <c r="F607" s="2"/>
      <c r="G607" s="2"/>
      <c r="H607" s="2"/>
      <c r="I607" s="2"/>
      <c r="J607" s="2"/>
      <c r="K607" s="2"/>
      <c r="L607" s="2"/>
      <c r="M607" s="2"/>
      <c r="N607" s="2"/>
      <c r="O607" s="2"/>
    </row>
    <row r="608" customFormat="false" ht="15.75" hidden="false" customHeight="true" outlineLevel="0" collapsed="false">
      <c r="A608" s="2"/>
      <c r="B608" s="2"/>
      <c r="C608" s="2"/>
      <c r="D608" s="2"/>
      <c r="E608" s="2"/>
      <c r="F608" s="2"/>
      <c r="G608" s="2"/>
      <c r="H608" s="2"/>
      <c r="I608" s="2"/>
      <c r="J608" s="2"/>
      <c r="K608" s="2"/>
      <c r="L608" s="2"/>
      <c r="M608" s="2"/>
      <c r="N608" s="2"/>
      <c r="O608" s="2"/>
    </row>
    <row r="609" customFormat="false" ht="15.75" hidden="false" customHeight="true" outlineLevel="0" collapsed="false">
      <c r="A609" s="2"/>
      <c r="B609" s="2"/>
      <c r="C609" s="2"/>
      <c r="D609" s="2"/>
      <c r="E609" s="2"/>
      <c r="F609" s="2"/>
      <c r="G609" s="2"/>
      <c r="H609" s="2"/>
      <c r="I609" s="2"/>
      <c r="J609" s="2"/>
      <c r="K609" s="2"/>
      <c r="L609" s="2"/>
      <c r="M609" s="2"/>
      <c r="N609" s="2"/>
      <c r="O609" s="2"/>
    </row>
    <row r="610" customFormat="false" ht="15.75" hidden="false" customHeight="true" outlineLevel="0" collapsed="false">
      <c r="A610" s="2"/>
      <c r="B610" s="2"/>
      <c r="C610" s="2"/>
      <c r="D610" s="2"/>
      <c r="E610" s="2"/>
      <c r="F610" s="2"/>
      <c r="G610" s="2"/>
      <c r="H610" s="2"/>
      <c r="I610" s="2"/>
      <c r="J610" s="2"/>
      <c r="K610" s="2"/>
      <c r="L610" s="2"/>
      <c r="M610" s="2"/>
      <c r="N610" s="2"/>
      <c r="O610" s="2"/>
    </row>
    <row r="611" customFormat="false" ht="15.75" hidden="false" customHeight="true" outlineLevel="0" collapsed="false">
      <c r="A611" s="2"/>
      <c r="B611" s="2"/>
      <c r="C611" s="2"/>
      <c r="D611" s="2"/>
      <c r="E611" s="2"/>
      <c r="F611" s="2"/>
      <c r="G611" s="2"/>
      <c r="H611" s="2"/>
      <c r="I611" s="2"/>
      <c r="J611" s="2"/>
      <c r="K611" s="2"/>
      <c r="L611" s="2"/>
      <c r="M611" s="2"/>
      <c r="N611" s="2"/>
      <c r="O611" s="2"/>
    </row>
    <row r="612" customFormat="false" ht="15.75" hidden="false" customHeight="true" outlineLevel="0" collapsed="false">
      <c r="A612" s="2"/>
      <c r="B612" s="2"/>
      <c r="C612" s="2"/>
      <c r="D612" s="2"/>
      <c r="E612" s="2"/>
      <c r="F612" s="2"/>
      <c r="G612" s="2"/>
      <c r="H612" s="2"/>
      <c r="I612" s="2"/>
      <c r="J612" s="2"/>
      <c r="K612" s="2"/>
      <c r="L612" s="2"/>
      <c r="M612" s="2"/>
      <c r="N612" s="2"/>
      <c r="O612" s="2"/>
    </row>
    <row r="613" customFormat="false" ht="15.75" hidden="false" customHeight="true" outlineLevel="0" collapsed="false">
      <c r="A613" s="2"/>
      <c r="B613" s="2"/>
      <c r="C613" s="2"/>
      <c r="D613" s="2"/>
      <c r="E613" s="2"/>
      <c r="F613" s="2"/>
      <c r="G613" s="2"/>
      <c r="H613" s="2"/>
      <c r="I613" s="2"/>
      <c r="J613" s="2"/>
      <c r="K613" s="2"/>
      <c r="L613" s="2"/>
      <c r="M613" s="2"/>
      <c r="N613" s="2"/>
      <c r="O613" s="2"/>
    </row>
    <row r="614" customFormat="false" ht="15.75" hidden="false" customHeight="true" outlineLevel="0" collapsed="false">
      <c r="A614" s="2"/>
      <c r="B614" s="2"/>
      <c r="C614" s="2"/>
      <c r="D614" s="2"/>
      <c r="E614" s="2"/>
      <c r="F614" s="2"/>
      <c r="G614" s="2"/>
      <c r="H614" s="2"/>
      <c r="I614" s="2"/>
      <c r="J614" s="2"/>
      <c r="K614" s="2"/>
      <c r="L614" s="2"/>
      <c r="M614" s="2"/>
      <c r="N614" s="2"/>
      <c r="O614" s="2"/>
    </row>
    <row r="615" customFormat="false" ht="15.75" hidden="false" customHeight="true" outlineLevel="0" collapsed="false">
      <c r="A615" s="2"/>
      <c r="B615" s="2"/>
      <c r="C615" s="2"/>
      <c r="D615" s="2"/>
      <c r="E615" s="2"/>
      <c r="F615" s="2"/>
      <c r="G615" s="2"/>
      <c r="H615" s="2"/>
      <c r="I615" s="2"/>
      <c r="J615" s="2"/>
      <c r="K615" s="2"/>
      <c r="L615" s="2"/>
      <c r="M615" s="2"/>
      <c r="N615" s="2"/>
      <c r="O615" s="2"/>
    </row>
    <row r="616" customFormat="false" ht="15.75" hidden="false" customHeight="true" outlineLevel="0" collapsed="false">
      <c r="A616" s="2"/>
      <c r="B616" s="2"/>
      <c r="C616" s="2"/>
      <c r="D616" s="2"/>
      <c r="E616" s="2"/>
      <c r="F616" s="2"/>
      <c r="G616" s="2"/>
      <c r="H616" s="2"/>
      <c r="I616" s="2"/>
      <c r="J616" s="2"/>
      <c r="K616" s="2"/>
      <c r="L616" s="2"/>
      <c r="M616" s="2"/>
      <c r="N616" s="2"/>
      <c r="O616" s="2"/>
    </row>
    <row r="617" customFormat="false" ht="15.75" hidden="false" customHeight="true" outlineLevel="0" collapsed="false">
      <c r="A617" s="2"/>
      <c r="B617" s="2"/>
      <c r="C617" s="2"/>
      <c r="D617" s="2"/>
      <c r="E617" s="2"/>
      <c r="F617" s="2"/>
      <c r="G617" s="2"/>
      <c r="H617" s="2"/>
      <c r="I617" s="2"/>
      <c r="J617" s="2"/>
      <c r="K617" s="2"/>
      <c r="L617" s="2"/>
      <c r="M617" s="2"/>
      <c r="N617" s="2"/>
      <c r="O617" s="2"/>
    </row>
    <row r="618" customFormat="false" ht="15.75" hidden="false" customHeight="true" outlineLevel="0" collapsed="false">
      <c r="A618" s="2"/>
      <c r="B618" s="2"/>
      <c r="C618" s="2"/>
      <c r="D618" s="2"/>
      <c r="E618" s="2"/>
      <c r="F618" s="2"/>
      <c r="G618" s="2"/>
      <c r="H618" s="2"/>
      <c r="I618" s="2"/>
      <c r="J618" s="2"/>
      <c r="K618" s="2"/>
      <c r="L618" s="2"/>
      <c r="M618" s="2"/>
      <c r="N618" s="2"/>
      <c r="O618" s="2"/>
    </row>
    <row r="619" customFormat="false" ht="15.75" hidden="false" customHeight="true" outlineLevel="0" collapsed="false">
      <c r="A619" s="2"/>
      <c r="B619" s="2"/>
      <c r="C619" s="2"/>
      <c r="D619" s="2"/>
      <c r="E619" s="2"/>
      <c r="F619" s="2"/>
      <c r="G619" s="2"/>
      <c r="H619" s="2"/>
      <c r="I619" s="2"/>
      <c r="J619" s="2"/>
      <c r="K619" s="2"/>
      <c r="L619" s="2"/>
      <c r="M619" s="2"/>
      <c r="N619" s="2"/>
      <c r="O619" s="2"/>
    </row>
    <row r="620" customFormat="false" ht="15.75" hidden="false" customHeight="true" outlineLevel="0" collapsed="false">
      <c r="A620" s="2"/>
      <c r="B620" s="2"/>
      <c r="C620" s="2"/>
      <c r="D620" s="2"/>
      <c r="E620" s="2"/>
      <c r="F620" s="2"/>
      <c r="G620" s="2"/>
      <c r="H620" s="2"/>
      <c r="I620" s="2"/>
      <c r="J620" s="2"/>
      <c r="K620" s="2"/>
      <c r="L620" s="2"/>
      <c r="M620" s="2"/>
      <c r="N620" s="2"/>
      <c r="O620" s="2"/>
    </row>
    <row r="621" customFormat="false" ht="15.75" hidden="false" customHeight="true" outlineLevel="0" collapsed="false">
      <c r="A621" s="2"/>
      <c r="B621" s="2"/>
      <c r="C621" s="2"/>
      <c r="D621" s="2"/>
      <c r="E621" s="2"/>
      <c r="F621" s="2"/>
      <c r="G621" s="2"/>
      <c r="H621" s="2"/>
      <c r="I621" s="2"/>
      <c r="J621" s="2"/>
      <c r="K621" s="2"/>
      <c r="L621" s="2"/>
      <c r="M621" s="2"/>
      <c r="N621" s="2"/>
      <c r="O621" s="2"/>
    </row>
    <row r="622" customFormat="false" ht="15.75" hidden="false" customHeight="true" outlineLevel="0" collapsed="false">
      <c r="A622" s="2"/>
      <c r="B622" s="2"/>
      <c r="C622" s="2"/>
      <c r="D622" s="2"/>
      <c r="E622" s="2"/>
      <c r="F622" s="2"/>
      <c r="G622" s="2"/>
      <c r="H622" s="2"/>
      <c r="I622" s="2"/>
      <c r="J622" s="2"/>
      <c r="K622" s="2"/>
      <c r="L622" s="2"/>
      <c r="M622" s="2"/>
      <c r="N622" s="2"/>
      <c r="O622" s="2"/>
    </row>
    <row r="623" customFormat="false" ht="15.75" hidden="false" customHeight="true" outlineLevel="0" collapsed="false">
      <c r="A623" s="2"/>
      <c r="B623" s="2"/>
      <c r="C623" s="2"/>
      <c r="D623" s="2"/>
      <c r="E623" s="2"/>
      <c r="F623" s="2"/>
      <c r="G623" s="2"/>
      <c r="H623" s="2"/>
      <c r="I623" s="2"/>
      <c r="J623" s="2"/>
      <c r="K623" s="2"/>
      <c r="L623" s="2"/>
      <c r="M623" s="2"/>
      <c r="N623" s="2"/>
      <c r="O623" s="2"/>
    </row>
    <row r="624" customFormat="false" ht="15.75" hidden="false" customHeight="true" outlineLevel="0" collapsed="false">
      <c r="A624" s="2"/>
      <c r="B624" s="2"/>
      <c r="C624" s="2"/>
      <c r="D624" s="2"/>
      <c r="E624" s="2"/>
      <c r="F624" s="2"/>
      <c r="G624" s="2"/>
      <c r="H624" s="2"/>
      <c r="I624" s="2"/>
      <c r="J624" s="2"/>
      <c r="K624" s="2"/>
      <c r="L624" s="2"/>
      <c r="M624" s="2"/>
      <c r="N624" s="2"/>
      <c r="O624" s="2"/>
    </row>
    <row r="625" customFormat="false" ht="15.75" hidden="false" customHeight="true" outlineLevel="0" collapsed="false">
      <c r="A625" s="2"/>
      <c r="B625" s="2"/>
      <c r="C625" s="2"/>
      <c r="D625" s="2"/>
      <c r="E625" s="2"/>
      <c r="F625" s="2"/>
      <c r="G625" s="2"/>
      <c r="H625" s="2"/>
      <c r="I625" s="2"/>
      <c r="J625" s="2"/>
      <c r="K625" s="2"/>
      <c r="L625" s="2"/>
      <c r="M625" s="2"/>
      <c r="N625" s="2"/>
      <c r="O625" s="2"/>
    </row>
    <row r="626" customFormat="false" ht="15.75" hidden="false" customHeight="true" outlineLevel="0" collapsed="false">
      <c r="A626" s="2"/>
      <c r="B626" s="2"/>
      <c r="C626" s="2"/>
      <c r="D626" s="2"/>
      <c r="E626" s="2"/>
      <c r="F626" s="2"/>
      <c r="G626" s="2"/>
      <c r="H626" s="2"/>
      <c r="I626" s="2"/>
      <c r="J626" s="2"/>
      <c r="K626" s="2"/>
      <c r="L626" s="2"/>
      <c r="M626" s="2"/>
      <c r="N626" s="2"/>
      <c r="O626" s="2"/>
    </row>
    <row r="627" customFormat="false" ht="15.75" hidden="false" customHeight="true" outlineLevel="0" collapsed="false">
      <c r="A627" s="2"/>
      <c r="B627" s="2"/>
      <c r="C627" s="2"/>
      <c r="D627" s="2"/>
      <c r="E627" s="2"/>
      <c r="F627" s="2"/>
      <c r="G627" s="2"/>
      <c r="H627" s="2"/>
      <c r="I627" s="2"/>
      <c r="J627" s="2"/>
      <c r="K627" s="2"/>
      <c r="L627" s="2"/>
      <c r="M627" s="2"/>
      <c r="N627" s="2"/>
      <c r="O627" s="2"/>
    </row>
    <row r="628" customFormat="false" ht="15.75" hidden="false" customHeight="true" outlineLevel="0" collapsed="false">
      <c r="A628" s="2"/>
      <c r="B628" s="2"/>
      <c r="C628" s="2"/>
      <c r="D628" s="2"/>
      <c r="E628" s="2"/>
      <c r="F628" s="2"/>
      <c r="G628" s="2"/>
      <c r="H628" s="2"/>
      <c r="I628" s="2"/>
      <c r="J628" s="2"/>
      <c r="K628" s="2"/>
      <c r="L628" s="2"/>
      <c r="M628" s="2"/>
      <c r="N628" s="2"/>
      <c r="O628" s="2"/>
    </row>
    <row r="629" customFormat="false" ht="15.75" hidden="false" customHeight="true" outlineLevel="0" collapsed="false">
      <c r="A629" s="2"/>
      <c r="B629" s="2"/>
      <c r="C629" s="2"/>
      <c r="D629" s="2"/>
      <c r="E629" s="2"/>
      <c r="F629" s="2"/>
      <c r="G629" s="2"/>
      <c r="H629" s="2"/>
      <c r="I629" s="2"/>
      <c r="J629" s="2"/>
      <c r="K629" s="2"/>
      <c r="L629" s="2"/>
      <c r="M629" s="2"/>
      <c r="N629" s="2"/>
      <c r="O629" s="2"/>
    </row>
    <row r="630" customFormat="false" ht="15.75" hidden="false" customHeight="true" outlineLevel="0" collapsed="false">
      <c r="A630" s="2"/>
      <c r="B630" s="2"/>
      <c r="C630" s="2"/>
      <c r="D630" s="2"/>
      <c r="E630" s="2"/>
      <c r="F630" s="2"/>
      <c r="G630" s="2"/>
      <c r="H630" s="2"/>
      <c r="I630" s="2"/>
      <c r="J630" s="2"/>
      <c r="K630" s="2"/>
      <c r="L630" s="2"/>
      <c r="M630" s="2"/>
      <c r="N630" s="2"/>
      <c r="O630" s="2"/>
    </row>
    <row r="631" customFormat="false" ht="15.75" hidden="false" customHeight="true" outlineLevel="0" collapsed="false">
      <c r="A631" s="2"/>
      <c r="B631" s="2"/>
      <c r="C631" s="2"/>
      <c r="D631" s="2"/>
      <c r="E631" s="2"/>
      <c r="F631" s="2"/>
      <c r="G631" s="2"/>
      <c r="H631" s="2"/>
      <c r="I631" s="2"/>
      <c r="J631" s="2"/>
      <c r="K631" s="2"/>
      <c r="L631" s="2"/>
      <c r="M631" s="2"/>
      <c r="N631" s="2"/>
      <c r="O631" s="2"/>
    </row>
    <row r="632" customFormat="false" ht="15.75" hidden="false" customHeight="true" outlineLevel="0" collapsed="false">
      <c r="A632" s="2"/>
      <c r="B632" s="2"/>
      <c r="C632" s="2"/>
      <c r="D632" s="2"/>
      <c r="E632" s="2"/>
      <c r="F632" s="2"/>
      <c r="G632" s="2"/>
      <c r="H632" s="2"/>
      <c r="I632" s="2"/>
      <c r="J632" s="2"/>
      <c r="K632" s="2"/>
      <c r="L632" s="2"/>
      <c r="M632" s="2"/>
      <c r="N632" s="2"/>
      <c r="O632" s="2"/>
    </row>
    <row r="633" customFormat="false" ht="15.75" hidden="false" customHeight="true" outlineLevel="0" collapsed="false">
      <c r="A633" s="2"/>
      <c r="B633" s="2"/>
      <c r="C633" s="2"/>
      <c r="D633" s="2"/>
      <c r="E633" s="2"/>
      <c r="F633" s="2"/>
      <c r="G633" s="2"/>
      <c r="H633" s="2"/>
      <c r="I633" s="2"/>
      <c r="J633" s="2"/>
      <c r="K633" s="2"/>
      <c r="L633" s="2"/>
      <c r="M633" s="2"/>
      <c r="N633" s="2"/>
      <c r="O633" s="2"/>
    </row>
    <row r="634" customFormat="false" ht="15.75" hidden="false" customHeight="true" outlineLevel="0" collapsed="false">
      <c r="A634" s="2"/>
      <c r="B634" s="2"/>
      <c r="C634" s="2"/>
      <c r="D634" s="2"/>
      <c r="E634" s="2"/>
      <c r="F634" s="2"/>
      <c r="G634" s="2"/>
      <c r="H634" s="2"/>
      <c r="I634" s="2"/>
      <c r="J634" s="2"/>
      <c r="K634" s="2"/>
      <c r="L634" s="2"/>
      <c r="M634" s="2"/>
      <c r="N634" s="2"/>
      <c r="O634" s="2"/>
    </row>
    <row r="635" customFormat="false" ht="15.75" hidden="false" customHeight="true" outlineLevel="0" collapsed="false">
      <c r="A635" s="2"/>
      <c r="B635" s="2"/>
      <c r="C635" s="2"/>
      <c r="D635" s="2"/>
      <c r="E635" s="2"/>
      <c r="F635" s="2"/>
      <c r="G635" s="2"/>
      <c r="H635" s="2"/>
      <c r="I635" s="2"/>
      <c r="J635" s="2"/>
      <c r="K635" s="2"/>
      <c r="L635" s="2"/>
      <c r="M635" s="2"/>
      <c r="N635" s="2"/>
      <c r="O635" s="2"/>
    </row>
    <row r="636" customFormat="false" ht="15.75" hidden="false" customHeight="true" outlineLevel="0" collapsed="false">
      <c r="A636" s="2"/>
      <c r="B636" s="2"/>
      <c r="C636" s="2"/>
      <c r="D636" s="2"/>
      <c r="E636" s="2"/>
      <c r="F636" s="2"/>
      <c r="G636" s="2"/>
      <c r="H636" s="2"/>
      <c r="I636" s="2"/>
      <c r="J636" s="2"/>
      <c r="K636" s="2"/>
      <c r="L636" s="2"/>
      <c r="M636" s="2"/>
      <c r="N636" s="2"/>
      <c r="O636" s="2"/>
    </row>
    <row r="637" customFormat="false" ht="15.75" hidden="false" customHeight="true" outlineLevel="0" collapsed="false">
      <c r="A637" s="2"/>
      <c r="B637" s="2"/>
      <c r="C637" s="2"/>
      <c r="D637" s="2"/>
      <c r="E637" s="2"/>
      <c r="F637" s="2"/>
      <c r="G637" s="2"/>
      <c r="H637" s="2"/>
      <c r="I637" s="2"/>
      <c r="J637" s="2"/>
      <c r="K637" s="2"/>
      <c r="L637" s="2"/>
      <c r="M637" s="2"/>
      <c r="N637" s="2"/>
      <c r="O637" s="2"/>
    </row>
    <row r="638" customFormat="false" ht="15.75" hidden="false" customHeight="true" outlineLevel="0" collapsed="false">
      <c r="A638" s="2"/>
      <c r="B638" s="2"/>
      <c r="C638" s="2"/>
      <c r="D638" s="2"/>
      <c r="E638" s="2"/>
      <c r="F638" s="2"/>
      <c r="G638" s="2"/>
      <c r="H638" s="2"/>
      <c r="I638" s="2"/>
      <c r="J638" s="2"/>
      <c r="K638" s="2"/>
      <c r="L638" s="2"/>
      <c r="M638" s="2"/>
      <c r="N638" s="2"/>
      <c r="O638" s="2"/>
    </row>
    <row r="639" customFormat="false" ht="15.75" hidden="false" customHeight="true" outlineLevel="0" collapsed="false">
      <c r="A639" s="2"/>
      <c r="B639" s="2"/>
      <c r="C639" s="2"/>
      <c r="D639" s="2"/>
      <c r="E639" s="2"/>
      <c r="F639" s="2"/>
      <c r="G639" s="2"/>
      <c r="H639" s="2"/>
      <c r="I639" s="2"/>
      <c r="J639" s="2"/>
      <c r="K639" s="2"/>
      <c r="L639" s="2"/>
      <c r="M639" s="2"/>
      <c r="N639" s="2"/>
      <c r="O639" s="2"/>
    </row>
    <row r="640" customFormat="false" ht="15.75" hidden="false" customHeight="true" outlineLevel="0" collapsed="false">
      <c r="A640" s="2"/>
      <c r="B640" s="2"/>
      <c r="C640" s="2"/>
      <c r="D640" s="2"/>
      <c r="E640" s="2"/>
      <c r="F640" s="2"/>
      <c r="G640" s="2"/>
      <c r="H640" s="2"/>
      <c r="I640" s="2"/>
      <c r="J640" s="2"/>
      <c r="K640" s="2"/>
      <c r="L640" s="2"/>
      <c r="M640" s="2"/>
      <c r="N640" s="2"/>
      <c r="O640" s="2"/>
    </row>
    <row r="641" customFormat="false" ht="15.75" hidden="false" customHeight="true" outlineLevel="0" collapsed="false">
      <c r="A641" s="2"/>
      <c r="B641" s="2"/>
      <c r="C641" s="2"/>
      <c r="D641" s="2"/>
      <c r="E641" s="2"/>
      <c r="F641" s="2"/>
      <c r="G641" s="2"/>
      <c r="H641" s="2"/>
      <c r="I641" s="2"/>
      <c r="J641" s="2"/>
      <c r="K641" s="2"/>
      <c r="L641" s="2"/>
      <c r="M641" s="2"/>
      <c r="N641" s="2"/>
      <c r="O641" s="2"/>
    </row>
    <row r="642" customFormat="false" ht="15.75" hidden="false" customHeight="true" outlineLevel="0" collapsed="false">
      <c r="A642" s="2"/>
      <c r="B642" s="2"/>
      <c r="C642" s="2"/>
      <c r="D642" s="2"/>
      <c r="E642" s="2"/>
      <c r="F642" s="2"/>
      <c r="G642" s="2"/>
      <c r="H642" s="2"/>
      <c r="I642" s="2"/>
      <c r="J642" s="2"/>
      <c r="K642" s="2"/>
      <c r="L642" s="2"/>
      <c r="M642" s="2"/>
      <c r="N642" s="2"/>
      <c r="O642" s="2"/>
    </row>
    <row r="643" customFormat="false" ht="15.75" hidden="false" customHeight="true" outlineLevel="0" collapsed="false">
      <c r="A643" s="2"/>
      <c r="B643" s="2"/>
      <c r="C643" s="2"/>
      <c r="D643" s="2"/>
      <c r="E643" s="2"/>
      <c r="F643" s="2"/>
      <c r="G643" s="2"/>
      <c r="H643" s="2"/>
      <c r="I643" s="2"/>
      <c r="J643" s="2"/>
      <c r="K643" s="2"/>
      <c r="L643" s="2"/>
      <c r="M643" s="2"/>
      <c r="N643" s="2"/>
      <c r="O643" s="2"/>
    </row>
    <row r="644" customFormat="false" ht="15.75" hidden="false" customHeight="true" outlineLevel="0" collapsed="false">
      <c r="A644" s="2"/>
      <c r="B644" s="2"/>
      <c r="C644" s="2"/>
      <c r="D644" s="2"/>
      <c r="E644" s="2"/>
      <c r="F644" s="2"/>
      <c r="G644" s="2"/>
      <c r="H644" s="2"/>
      <c r="I644" s="2"/>
      <c r="J644" s="2"/>
      <c r="K644" s="2"/>
      <c r="L644" s="2"/>
      <c r="M644" s="2"/>
      <c r="N644" s="2"/>
      <c r="O644" s="2"/>
    </row>
    <row r="645" customFormat="false" ht="15.75" hidden="false" customHeight="true" outlineLevel="0" collapsed="false">
      <c r="A645" s="2"/>
      <c r="B645" s="2"/>
      <c r="C645" s="2"/>
      <c r="D645" s="2"/>
      <c r="E645" s="2"/>
      <c r="F645" s="2"/>
      <c r="G645" s="2"/>
      <c r="H645" s="2"/>
      <c r="I645" s="2"/>
      <c r="J645" s="2"/>
      <c r="K645" s="2"/>
      <c r="L645" s="2"/>
      <c r="M645" s="2"/>
      <c r="N645" s="2"/>
      <c r="O645" s="2"/>
    </row>
    <row r="646" customFormat="false" ht="15.75" hidden="false" customHeight="true" outlineLevel="0" collapsed="false">
      <c r="A646" s="2"/>
      <c r="B646" s="2"/>
      <c r="C646" s="2"/>
      <c r="D646" s="2"/>
      <c r="E646" s="2"/>
      <c r="F646" s="2"/>
      <c r="G646" s="2"/>
      <c r="H646" s="2"/>
      <c r="I646" s="2"/>
      <c r="J646" s="2"/>
      <c r="K646" s="2"/>
      <c r="L646" s="2"/>
      <c r="M646" s="2"/>
      <c r="N646" s="2"/>
      <c r="O646" s="2"/>
    </row>
    <row r="647" customFormat="false" ht="15.75" hidden="false" customHeight="true" outlineLevel="0" collapsed="false">
      <c r="A647" s="2"/>
      <c r="B647" s="2"/>
      <c r="C647" s="2"/>
      <c r="D647" s="2"/>
      <c r="E647" s="2"/>
      <c r="F647" s="2"/>
      <c r="G647" s="2"/>
      <c r="H647" s="2"/>
      <c r="I647" s="2"/>
      <c r="J647" s="2"/>
      <c r="K647" s="2"/>
      <c r="L647" s="2"/>
      <c r="M647" s="2"/>
      <c r="N647" s="2"/>
      <c r="O647" s="2"/>
    </row>
    <row r="648" customFormat="false" ht="15.75" hidden="false" customHeight="true" outlineLevel="0" collapsed="false">
      <c r="A648" s="2"/>
      <c r="B648" s="2"/>
      <c r="C648" s="2"/>
      <c r="D648" s="2"/>
      <c r="E648" s="2"/>
      <c r="F648" s="2"/>
      <c r="G648" s="2"/>
      <c r="H648" s="2"/>
      <c r="I648" s="2"/>
      <c r="J648" s="2"/>
      <c r="K648" s="2"/>
      <c r="L648" s="2"/>
      <c r="M648" s="2"/>
      <c r="N648" s="2"/>
      <c r="O648" s="2"/>
    </row>
    <row r="649" customFormat="false" ht="15.75" hidden="false" customHeight="true" outlineLevel="0" collapsed="false">
      <c r="A649" s="2"/>
      <c r="B649" s="2"/>
      <c r="C649" s="2"/>
      <c r="D649" s="2"/>
      <c r="E649" s="2"/>
      <c r="F649" s="2"/>
      <c r="G649" s="2"/>
      <c r="H649" s="2"/>
      <c r="I649" s="2"/>
      <c r="J649" s="2"/>
      <c r="K649" s="2"/>
      <c r="L649" s="2"/>
      <c r="M649" s="2"/>
      <c r="N649" s="2"/>
      <c r="O649" s="2"/>
    </row>
    <row r="650" customFormat="false" ht="15.75" hidden="false" customHeight="true" outlineLevel="0" collapsed="false">
      <c r="A650" s="2"/>
      <c r="B650" s="2"/>
      <c r="C650" s="2"/>
      <c r="D650" s="2"/>
      <c r="E650" s="2"/>
      <c r="F650" s="2"/>
      <c r="G650" s="2"/>
      <c r="H650" s="2"/>
      <c r="I650" s="2"/>
      <c r="J650" s="2"/>
      <c r="K650" s="2"/>
      <c r="L650" s="2"/>
      <c r="M650" s="2"/>
      <c r="N650" s="2"/>
      <c r="O650" s="2"/>
    </row>
    <row r="651" customFormat="false" ht="15.75" hidden="false" customHeight="true" outlineLevel="0" collapsed="false">
      <c r="A651" s="2"/>
      <c r="B651" s="2"/>
      <c r="C651" s="2"/>
      <c r="D651" s="2"/>
      <c r="E651" s="2"/>
      <c r="F651" s="2"/>
      <c r="G651" s="2"/>
      <c r="H651" s="2"/>
      <c r="I651" s="2"/>
      <c r="J651" s="2"/>
      <c r="K651" s="2"/>
      <c r="L651" s="2"/>
      <c r="M651" s="2"/>
      <c r="N651" s="2"/>
      <c r="O651" s="2"/>
    </row>
    <row r="652" customFormat="false" ht="15.75" hidden="false" customHeight="true" outlineLevel="0" collapsed="false">
      <c r="A652" s="2"/>
      <c r="B652" s="2"/>
      <c r="C652" s="2"/>
      <c r="D652" s="2"/>
      <c r="E652" s="2"/>
      <c r="F652" s="2"/>
      <c r="G652" s="2"/>
      <c r="H652" s="2"/>
      <c r="I652" s="2"/>
      <c r="J652" s="2"/>
      <c r="K652" s="2"/>
      <c r="L652" s="2"/>
      <c r="M652" s="2"/>
      <c r="N652" s="2"/>
      <c r="O652" s="2"/>
    </row>
    <row r="653" customFormat="false" ht="15.75" hidden="false" customHeight="true" outlineLevel="0" collapsed="false">
      <c r="A653" s="2"/>
      <c r="B653" s="2"/>
      <c r="C653" s="2"/>
      <c r="D653" s="2"/>
      <c r="E653" s="2"/>
      <c r="F653" s="2"/>
      <c r="G653" s="2"/>
      <c r="H653" s="2"/>
      <c r="I653" s="2"/>
      <c r="J653" s="2"/>
      <c r="K653" s="2"/>
      <c r="L653" s="2"/>
      <c r="M653" s="2"/>
      <c r="N653" s="2"/>
      <c r="O653" s="2"/>
    </row>
    <row r="654" customFormat="false" ht="15.75" hidden="false" customHeight="true" outlineLevel="0" collapsed="false">
      <c r="A654" s="2"/>
      <c r="B654" s="2"/>
      <c r="C654" s="2"/>
      <c r="D654" s="2"/>
      <c r="E654" s="2"/>
      <c r="F654" s="2"/>
      <c r="G654" s="2"/>
      <c r="H654" s="2"/>
      <c r="I654" s="2"/>
      <c r="J654" s="2"/>
      <c r="K654" s="2"/>
      <c r="L654" s="2"/>
      <c r="M654" s="2"/>
      <c r="N654" s="2"/>
      <c r="O654" s="2"/>
    </row>
    <row r="655" customFormat="false" ht="15.75" hidden="false" customHeight="true" outlineLevel="0" collapsed="false">
      <c r="A655" s="2"/>
      <c r="B655" s="2"/>
      <c r="C655" s="2"/>
      <c r="D655" s="2"/>
      <c r="E655" s="2"/>
      <c r="F655" s="2"/>
      <c r="G655" s="2"/>
      <c r="H655" s="2"/>
      <c r="I655" s="2"/>
      <c r="J655" s="2"/>
      <c r="K655" s="2"/>
      <c r="L655" s="2"/>
      <c r="M655" s="2"/>
      <c r="N655" s="2"/>
      <c r="O655" s="2"/>
    </row>
    <row r="656" customFormat="false" ht="15.75" hidden="false" customHeight="true" outlineLevel="0" collapsed="false">
      <c r="A656" s="2"/>
      <c r="B656" s="2"/>
      <c r="C656" s="2"/>
      <c r="D656" s="2"/>
      <c r="E656" s="2"/>
      <c r="F656" s="2"/>
      <c r="G656" s="2"/>
      <c r="H656" s="2"/>
      <c r="I656" s="2"/>
      <c r="J656" s="2"/>
      <c r="K656" s="2"/>
      <c r="L656" s="2"/>
      <c r="M656" s="2"/>
      <c r="N656" s="2"/>
      <c r="O656" s="2"/>
    </row>
    <row r="657" customFormat="false" ht="15.75" hidden="false" customHeight="true" outlineLevel="0" collapsed="false">
      <c r="A657" s="2"/>
      <c r="B657" s="2"/>
      <c r="C657" s="2"/>
      <c r="D657" s="2"/>
      <c r="E657" s="2"/>
      <c r="F657" s="2"/>
      <c r="G657" s="2"/>
      <c r="H657" s="2"/>
      <c r="I657" s="2"/>
      <c r="J657" s="2"/>
      <c r="K657" s="2"/>
      <c r="L657" s="2"/>
      <c r="M657" s="2"/>
      <c r="N657" s="2"/>
      <c r="O657" s="2"/>
    </row>
    <row r="658" customFormat="false" ht="15.75" hidden="false" customHeight="true" outlineLevel="0" collapsed="false">
      <c r="A658" s="2"/>
      <c r="B658" s="2"/>
      <c r="C658" s="2"/>
      <c r="D658" s="2"/>
      <c r="E658" s="2"/>
      <c r="F658" s="2"/>
      <c r="G658" s="2"/>
      <c r="H658" s="2"/>
      <c r="I658" s="2"/>
      <c r="J658" s="2"/>
      <c r="K658" s="2"/>
      <c r="L658" s="2"/>
      <c r="M658" s="2"/>
      <c r="N658" s="2"/>
      <c r="O658" s="2"/>
    </row>
    <row r="659" customFormat="false" ht="15.75" hidden="false" customHeight="true" outlineLevel="0" collapsed="false">
      <c r="A659" s="2"/>
      <c r="B659" s="2"/>
      <c r="C659" s="2"/>
      <c r="D659" s="2"/>
      <c r="E659" s="2"/>
      <c r="F659" s="2"/>
      <c r="G659" s="2"/>
      <c r="H659" s="2"/>
      <c r="I659" s="2"/>
      <c r="J659" s="2"/>
      <c r="K659" s="2"/>
      <c r="L659" s="2"/>
      <c r="M659" s="2"/>
      <c r="N659" s="2"/>
      <c r="O659" s="2"/>
    </row>
    <row r="660" customFormat="false" ht="15.75" hidden="false" customHeight="true" outlineLevel="0" collapsed="false">
      <c r="A660" s="2"/>
      <c r="B660" s="2"/>
      <c r="C660" s="2"/>
      <c r="D660" s="2"/>
      <c r="E660" s="2"/>
      <c r="F660" s="2"/>
      <c r="G660" s="2"/>
      <c r="H660" s="2"/>
      <c r="I660" s="2"/>
      <c r="J660" s="2"/>
      <c r="K660" s="2"/>
      <c r="L660" s="2"/>
      <c r="M660" s="2"/>
      <c r="N660" s="2"/>
      <c r="O660" s="2"/>
    </row>
    <row r="661" customFormat="false" ht="15.75" hidden="false" customHeight="true" outlineLevel="0" collapsed="false">
      <c r="A661" s="2"/>
      <c r="B661" s="2"/>
      <c r="C661" s="2"/>
      <c r="D661" s="2"/>
      <c r="E661" s="2"/>
      <c r="F661" s="2"/>
      <c r="G661" s="2"/>
      <c r="H661" s="2"/>
      <c r="I661" s="2"/>
      <c r="J661" s="2"/>
      <c r="K661" s="2"/>
      <c r="L661" s="2"/>
      <c r="M661" s="2"/>
      <c r="N661" s="2"/>
      <c r="O661" s="2"/>
    </row>
    <row r="662" customFormat="false" ht="15.75" hidden="false" customHeight="true" outlineLevel="0" collapsed="false">
      <c r="A662" s="2"/>
      <c r="B662" s="2"/>
      <c r="C662" s="2"/>
      <c r="D662" s="2"/>
      <c r="E662" s="2"/>
      <c r="F662" s="2"/>
      <c r="G662" s="2"/>
      <c r="H662" s="2"/>
      <c r="I662" s="2"/>
      <c r="J662" s="2"/>
      <c r="K662" s="2"/>
      <c r="L662" s="2"/>
      <c r="M662" s="2"/>
      <c r="N662" s="2"/>
      <c r="O662" s="2"/>
    </row>
    <row r="663" customFormat="false" ht="15.75" hidden="false" customHeight="true" outlineLevel="0" collapsed="false">
      <c r="A663" s="2"/>
      <c r="B663" s="2"/>
      <c r="C663" s="2"/>
      <c r="D663" s="2"/>
      <c r="E663" s="2"/>
      <c r="F663" s="2"/>
      <c r="G663" s="2"/>
      <c r="H663" s="2"/>
      <c r="I663" s="2"/>
      <c r="J663" s="2"/>
      <c r="K663" s="2"/>
      <c r="L663" s="2"/>
      <c r="M663" s="2"/>
      <c r="N663" s="2"/>
      <c r="O663" s="2"/>
    </row>
    <row r="664" customFormat="false" ht="15.75" hidden="false" customHeight="true" outlineLevel="0" collapsed="false">
      <c r="A664" s="2"/>
      <c r="B664" s="2"/>
      <c r="C664" s="2"/>
      <c r="D664" s="2"/>
      <c r="E664" s="2"/>
      <c r="F664" s="2"/>
      <c r="G664" s="2"/>
      <c r="H664" s="2"/>
      <c r="I664" s="2"/>
      <c r="J664" s="2"/>
      <c r="K664" s="2"/>
      <c r="L664" s="2"/>
      <c r="M664" s="2"/>
      <c r="N664" s="2"/>
      <c r="O664" s="2"/>
    </row>
    <row r="665" customFormat="false" ht="15.75" hidden="false" customHeight="true" outlineLevel="0" collapsed="false">
      <c r="A665" s="2"/>
      <c r="B665" s="2"/>
      <c r="C665" s="2"/>
      <c r="D665" s="2"/>
      <c r="E665" s="2"/>
      <c r="F665" s="2"/>
      <c r="G665" s="2"/>
      <c r="H665" s="2"/>
      <c r="I665" s="2"/>
      <c r="J665" s="2"/>
      <c r="K665" s="2"/>
      <c r="L665" s="2"/>
      <c r="M665" s="2"/>
      <c r="N665" s="2"/>
      <c r="O665" s="2"/>
    </row>
    <row r="666" customFormat="false" ht="15.75" hidden="false" customHeight="true" outlineLevel="0" collapsed="false">
      <c r="A666" s="2"/>
      <c r="B666" s="2"/>
      <c r="C666" s="2"/>
      <c r="D666" s="2"/>
      <c r="E666" s="2"/>
      <c r="F666" s="2"/>
      <c r="G666" s="2"/>
      <c r="H666" s="2"/>
      <c r="I666" s="2"/>
      <c r="J666" s="2"/>
      <c r="K666" s="2"/>
      <c r="L666" s="2"/>
      <c r="M666" s="2"/>
      <c r="N666" s="2"/>
      <c r="O666" s="2"/>
    </row>
    <row r="667" customFormat="false" ht="15.75" hidden="false" customHeight="true" outlineLevel="0" collapsed="false">
      <c r="A667" s="2"/>
      <c r="B667" s="2"/>
      <c r="C667" s="2"/>
      <c r="D667" s="2"/>
      <c r="E667" s="2"/>
      <c r="F667" s="2"/>
      <c r="G667" s="2"/>
      <c r="H667" s="2"/>
      <c r="I667" s="2"/>
      <c r="J667" s="2"/>
      <c r="K667" s="2"/>
      <c r="L667" s="2"/>
      <c r="M667" s="2"/>
      <c r="N667" s="2"/>
      <c r="O667" s="2"/>
    </row>
    <row r="668" customFormat="false" ht="15.75" hidden="false" customHeight="true" outlineLevel="0" collapsed="false">
      <c r="A668" s="2"/>
      <c r="B668" s="2"/>
      <c r="C668" s="2"/>
      <c r="D668" s="2"/>
      <c r="E668" s="2"/>
      <c r="F668" s="2"/>
      <c r="G668" s="2"/>
      <c r="H668" s="2"/>
      <c r="I668" s="2"/>
      <c r="J668" s="2"/>
      <c r="K668" s="2"/>
      <c r="L668" s="2"/>
      <c r="M668" s="2"/>
      <c r="N668" s="2"/>
      <c r="O668" s="2"/>
    </row>
    <row r="669" customFormat="false" ht="15.75" hidden="false" customHeight="true" outlineLevel="0" collapsed="false">
      <c r="A669" s="2"/>
      <c r="B669" s="2"/>
      <c r="C669" s="2"/>
      <c r="D669" s="2"/>
      <c r="E669" s="2"/>
      <c r="F669" s="2"/>
      <c r="G669" s="2"/>
      <c r="H669" s="2"/>
      <c r="I669" s="2"/>
      <c r="J669" s="2"/>
      <c r="K669" s="2"/>
      <c r="L669" s="2"/>
      <c r="M669" s="2"/>
      <c r="N669" s="2"/>
      <c r="O669" s="2"/>
    </row>
    <row r="670" customFormat="false" ht="15.75" hidden="false" customHeight="true" outlineLevel="0" collapsed="false">
      <c r="A670" s="2"/>
      <c r="B670" s="2"/>
      <c r="C670" s="2"/>
      <c r="D670" s="2"/>
      <c r="E670" s="2"/>
      <c r="F670" s="2"/>
      <c r="G670" s="2"/>
      <c r="H670" s="2"/>
      <c r="I670" s="2"/>
      <c r="J670" s="2"/>
      <c r="K670" s="2"/>
      <c r="L670" s="2"/>
      <c r="M670" s="2"/>
      <c r="N670" s="2"/>
      <c r="O670" s="2"/>
    </row>
    <row r="671" customFormat="false" ht="15.75" hidden="false" customHeight="true" outlineLevel="0" collapsed="false">
      <c r="A671" s="2"/>
      <c r="B671" s="2"/>
      <c r="C671" s="2"/>
      <c r="D671" s="2"/>
      <c r="E671" s="2"/>
      <c r="F671" s="2"/>
      <c r="G671" s="2"/>
      <c r="H671" s="2"/>
      <c r="I671" s="2"/>
      <c r="J671" s="2"/>
      <c r="K671" s="2"/>
      <c r="L671" s="2"/>
      <c r="M671" s="2"/>
      <c r="N671" s="2"/>
      <c r="O671" s="2"/>
    </row>
    <row r="672" customFormat="false" ht="15.75" hidden="false" customHeight="true" outlineLevel="0" collapsed="false">
      <c r="A672" s="2"/>
      <c r="B672" s="2"/>
      <c r="C672" s="2"/>
      <c r="D672" s="2"/>
      <c r="E672" s="2"/>
      <c r="F672" s="2"/>
      <c r="G672" s="2"/>
      <c r="H672" s="2"/>
      <c r="I672" s="2"/>
      <c r="J672" s="2"/>
      <c r="K672" s="2"/>
      <c r="L672" s="2"/>
      <c r="M672" s="2"/>
      <c r="N672" s="2"/>
      <c r="O672" s="2"/>
    </row>
    <row r="673" customFormat="false" ht="15.75" hidden="false" customHeight="true" outlineLevel="0" collapsed="false">
      <c r="A673" s="2"/>
      <c r="B673" s="2"/>
      <c r="C673" s="2"/>
      <c r="D673" s="2"/>
      <c r="E673" s="2"/>
      <c r="F673" s="2"/>
      <c r="G673" s="2"/>
      <c r="H673" s="2"/>
      <c r="I673" s="2"/>
      <c r="J673" s="2"/>
      <c r="K673" s="2"/>
      <c r="L673" s="2"/>
      <c r="M673" s="2"/>
      <c r="N673" s="2"/>
      <c r="O673" s="2"/>
    </row>
    <row r="674" customFormat="false" ht="15.75" hidden="false" customHeight="true" outlineLevel="0" collapsed="false">
      <c r="A674" s="2"/>
      <c r="B674" s="2"/>
      <c r="C674" s="2"/>
      <c r="D674" s="2"/>
      <c r="E674" s="2"/>
      <c r="F674" s="2"/>
      <c r="G674" s="2"/>
      <c r="H674" s="2"/>
      <c r="I674" s="2"/>
      <c r="J674" s="2"/>
      <c r="K674" s="2"/>
      <c r="L674" s="2"/>
      <c r="M674" s="2"/>
      <c r="N674" s="2"/>
      <c r="O674" s="2"/>
    </row>
    <row r="675" customFormat="false" ht="15.75" hidden="false" customHeight="true" outlineLevel="0" collapsed="false">
      <c r="A675" s="2"/>
      <c r="B675" s="2"/>
      <c r="C675" s="2"/>
      <c r="D675" s="2"/>
      <c r="E675" s="2"/>
      <c r="F675" s="2"/>
      <c r="G675" s="2"/>
      <c r="H675" s="2"/>
      <c r="I675" s="2"/>
      <c r="J675" s="2"/>
      <c r="K675" s="2"/>
      <c r="L675" s="2"/>
      <c r="M675" s="2"/>
      <c r="N675" s="2"/>
      <c r="O675" s="2"/>
    </row>
    <row r="676" customFormat="false" ht="15.75" hidden="false" customHeight="true" outlineLevel="0" collapsed="false">
      <c r="A676" s="2"/>
      <c r="B676" s="2"/>
      <c r="C676" s="2"/>
      <c r="D676" s="2"/>
      <c r="E676" s="2"/>
      <c r="F676" s="2"/>
      <c r="G676" s="2"/>
      <c r="H676" s="2"/>
      <c r="I676" s="2"/>
      <c r="J676" s="2"/>
      <c r="K676" s="2"/>
      <c r="L676" s="2"/>
      <c r="M676" s="2"/>
      <c r="N676" s="2"/>
      <c r="O676" s="2"/>
    </row>
    <row r="677" customFormat="false" ht="15.75" hidden="false" customHeight="true" outlineLevel="0" collapsed="false">
      <c r="A677" s="2"/>
      <c r="B677" s="2"/>
      <c r="C677" s="2"/>
      <c r="D677" s="2"/>
      <c r="E677" s="2"/>
      <c r="F677" s="2"/>
      <c r="G677" s="2"/>
      <c r="H677" s="2"/>
      <c r="I677" s="2"/>
      <c r="J677" s="2"/>
      <c r="K677" s="2"/>
      <c r="L677" s="2"/>
      <c r="M677" s="2"/>
      <c r="N677" s="2"/>
      <c r="O677" s="2"/>
    </row>
    <row r="678" customFormat="false" ht="15.75" hidden="false" customHeight="true" outlineLevel="0" collapsed="false">
      <c r="A678" s="2"/>
      <c r="B678" s="2"/>
      <c r="C678" s="2"/>
      <c r="D678" s="2"/>
      <c r="E678" s="2"/>
      <c r="F678" s="2"/>
      <c r="G678" s="2"/>
      <c r="H678" s="2"/>
      <c r="I678" s="2"/>
      <c r="J678" s="2"/>
      <c r="K678" s="2"/>
      <c r="L678" s="2"/>
      <c r="M678" s="2"/>
      <c r="N678" s="2"/>
      <c r="O678" s="2"/>
    </row>
    <row r="679" customFormat="false" ht="15.75" hidden="false" customHeight="true" outlineLevel="0" collapsed="false">
      <c r="A679" s="2"/>
      <c r="B679" s="2"/>
      <c r="C679" s="2"/>
      <c r="D679" s="2"/>
      <c r="E679" s="2"/>
      <c r="F679" s="2"/>
      <c r="G679" s="2"/>
      <c r="H679" s="2"/>
      <c r="I679" s="2"/>
      <c r="J679" s="2"/>
      <c r="K679" s="2"/>
      <c r="L679" s="2"/>
      <c r="M679" s="2"/>
      <c r="N679" s="2"/>
      <c r="O679" s="2"/>
    </row>
    <row r="680" customFormat="false" ht="15.75" hidden="false" customHeight="true" outlineLevel="0" collapsed="false">
      <c r="A680" s="2"/>
      <c r="B680" s="2"/>
      <c r="C680" s="2"/>
      <c r="D680" s="2"/>
      <c r="E680" s="2"/>
      <c r="F680" s="2"/>
      <c r="G680" s="2"/>
      <c r="H680" s="2"/>
      <c r="I680" s="2"/>
      <c r="J680" s="2"/>
      <c r="K680" s="2"/>
      <c r="L680" s="2"/>
      <c r="M680" s="2"/>
      <c r="N680" s="2"/>
      <c r="O680" s="2"/>
    </row>
    <row r="681" customFormat="false" ht="15.75" hidden="false" customHeight="true" outlineLevel="0" collapsed="false">
      <c r="A681" s="2"/>
      <c r="B681" s="2"/>
      <c r="C681" s="2"/>
      <c r="D681" s="2"/>
      <c r="E681" s="2"/>
      <c r="F681" s="2"/>
      <c r="G681" s="2"/>
      <c r="H681" s="2"/>
      <c r="I681" s="2"/>
      <c r="J681" s="2"/>
      <c r="K681" s="2"/>
      <c r="L681" s="2"/>
      <c r="M681" s="2"/>
      <c r="N681" s="2"/>
      <c r="O681" s="2"/>
    </row>
    <row r="682" customFormat="false" ht="15.75" hidden="false" customHeight="true" outlineLevel="0" collapsed="false">
      <c r="A682" s="2"/>
      <c r="B682" s="2"/>
      <c r="C682" s="2"/>
      <c r="D682" s="2"/>
      <c r="E682" s="2"/>
      <c r="F682" s="2"/>
      <c r="G682" s="2"/>
      <c r="H682" s="2"/>
      <c r="I682" s="2"/>
      <c r="J682" s="2"/>
      <c r="K682" s="2"/>
      <c r="L682" s="2"/>
      <c r="M682" s="2"/>
      <c r="N682" s="2"/>
      <c r="O682" s="2"/>
    </row>
    <row r="683" customFormat="false" ht="15.75" hidden="false" customHeight="true" outlineLevel="0" collapsed="false">
      <c r="A683" s="2"/>
      <c r="B683" s="2"/>
      <c r="C683" s="2"/>
      <c r="D683" s="2"/>
      <c r="E683" s="2"/>
      <c r="F683" s="2"/>
      <c r="G683" s="2"/>
      <c r="H683" s="2"/>
      <c r="I683" s="2"/>
      <c r="J683" s="2"/>
      <c r="K683" s="2"/>
      <c r="L683" s="2"/>
      <c r="M683" s="2"/>
      <c r="N683" s="2"/>
      <c r="O683" s="2"/>
    </row>
    <row r="684" customFormat="false" ht="15.75" hidden="false" customHeight="true" outlineLevel="0" collapsed="false">
      <c r="A684" s="2"/>
      <c r="B684" s="2"/>
      <c r="C684" s="2"/>
      <c r="D684" s="2"/>
      <c r="E684" s="2"/>
      <c r="F684" s="2"/>
      <c r="G684" s="2"/>
      <c r="H684" s="2"/>
      <c r="I684" s="2"/>
      <c r="J684" s="2"/>
      <c r="K684" s="2"/>
      <c r="L684" s="2"/>
      <c r="M684" s="2"/>
      <c r="N684" s="2"/>
      <c r="O684" s="2"/>
    </row>
    <row r="685" customFormat="false" ht="15.75" hidden="false" customHeight="true" outlineLevel="0" collapsed="false">
      <c r="A685" s="2"/>
      <c r="B685" s="2"/>
      <c r="C685" s="2"/>
      <c r="D685" s="2"/>
      <c r="E685" s="2"/>
      <c r="F685" s="2"/>
      <c r="G685" s="2"/>
      <c r="H685" s="2"/>
      <c r="I685" s="2"/>
      <c r="J685" s="2"/>
      <c r="K685" s="2"/>
      <c r="L685" s="2"/>
      <c r="M685" s="2"/>
      <c r="N685" s="2"/>
      <c r="O685" s="2"/>
    </row>
    <row r="686" customFormat="false" ht="15.75" hidden="false" customHeight="true" outlineLevel="0" collapsed="false">
      <c r="A686" s="2"/>
      <c r="B686" s="2"/>
      <c r="C686" s="2"/>
      <c r="D686" s="2"/>
      <c r="E686" s="2"/>
      <c r="F686" s="2"/>
      <c r="G686" s="2"/>
      <c r="H686" s="2"/>
      <c r="I686" s="2"/>
      <c r="J686" s="2"/>
      <c r="K686" s="2"/>
      <c r="L686" s="2"/>
      <c r="M686" s="2"/>
      <c r="N686" s="2"/>
      <c r="O686" s="2"/>
    </row>
    <row r="687" customFormat="false" ht="15.75" hidden="false" customHeight="true" outlineLevel="0" collapsed="false">
      <c r="A687" s="2"/>
      <c r="B687" s="2"/>
      <c r="C687" s="2"/>
      <c r="D687" s="2"/>
      <c r="E687" s="2"/>
      <c r="F687" s="2"/>
      <c r="G687" s="2"/>
      <c r="H687" s="2"/>
      <c r="I687" s="2"/>
      <c r="J687" s="2"/>
      <c r="K687" s="2"/>
      <c r="L687" s="2"/>
      <c r="M687" s="2"/>
      <c r="N687" s="2"/>
      <c r="O687" s="2"/>
    </row>
    <row r="688" customFormat="false" ht="15.75" hidden="false" customHeight="true" outlineLevel="0" collapsed="false">
      <c r="A688" s="2"/>
      <c r="B688" s="2"/>
      <c r="C688" s="2"/>
      <c r="D688" s="2"/>
      <c r="E688" s="2"/>
      <c r="F688" s="2"/>
      <c r="G688" s="2"/>
      <c r="H688" s="2"/>
      <c r="I688" s="2"/>
      <c r="J688" s="2"/>
      <c r="K688" s="2"/>
      <c r="L688" s="2"/>
      <c r="M688" s="2"/>
      <c r="N688" s="2"/>
      <c r="O688" s="2"/>
    </row>
    <row r="689" customFormat="false" ht="15.75" hidden="false" customHeight="true" outlineLevel="0" collapsed="false">
      <c r="A689" s="2"/>
      <c r="B689" s="2"/>
      <c r="C689" s="2"/>
      <c r="D689" s="2"/>
      <c r="E689" s="2"/>
      <c r="F689" s="2"/>
      <c r="G689" s="2"/>
      <c r="H689" s="2"/>
      <c r="I689" s="2"/>
      <c r="J689" s="2"/>
      <c r="K689" s="2"/>
      <c r="L689" s="2"/>
      <c r="M689" s="2"/>
      <c r="N689" s="2"/>
      <c r="O689" s="2"/>
    </row>
    <row r="690" customFormat="false" ht="15.75" hidden="false" customHeight="true" outlineLevel="0" collapsed="false">
      <c r="A690" s="2"/>
      <c r="B690" s="2"/>
      <c r="C690" s="2"/>
      <c r="D690" s="2"/>
      <c r="E690" s="2"/>
      <c r="F690" s="2"/>
      <c r="G690" s="2"/>
      <c r="H690" s="2"/>
      <c r="I690" s="2"/>
      <c r="J690" s="2"/>
      <c r="K690" s="2"/>
      <c r="L690" s="2"/>
      <c r="M690" s="2"/>
      <c r="N690" s="2"/>
      <c r="O690" s="2"/>
    </row>
    <row r="691" customFormat="false" ht="15.75" hidden="false" customHeight="true" outlineLevel="0" collapsed="false">
      <c r="A691" s="2"/>
      <c r="B691" s="2"/>
      <c r="C691" s="2"/>
      <c r="D691" s="2"/>
      <c r="E691" s="2"/>
      <c r="F691" s="2"/>
      <c r="G691" s="2"/>
      <c r="H691" s="2"/>
      <c r="I691" s="2"/>
      <c r="J691" s="2"/>
      <c r="K691" s="2"/>
      <c r="L691" s="2"/>
      <c r="M691" s="2"/>
      <c r="N691" s="2"/>
      <c r="O691" s="2"/>
    </row>
    <row r="692" customFormat="false" ht="15.75" hidden="false" customHeight="true" outlineLevel="0" collapsed="false">
      <c r="A692" s="2"/>
      <c r="B692" s="2"/>
      <c r="C692" s="2"/>
      <c r="D692" s="2"/>
      <c r="E692" s="2"/>
      <c r="F692" s="2"/>
      <c r="G692" s="2"/>
      <c r="H692" s="2"/>
      <c r="I692" s="2"/>
      <c r="J692" s="2"/>
      <c r="K692" s="2"/>
      <c r="L692" s="2"/>
      <c r="M692" s="2"/>
      <c r="N692" s="2"/>
      <c r="O692" s="2"/>
    </row>
    <row r="693" customFormat="false" ht="15.75" hidden="false" customHeight="true" outlineLevel="0" collapsed="false">
      <c r="A693" s="2"/>
      <c r="B693" s="2"/>
      <c r="C693" s="2"/>
      <c r="D693" s="2"/>
      <c r="E693" s="2"/>
      <c r="F693" s="2"/>
      <c r="G693" s="2"/>
      <c r="H693" s="2"/>
      <c r="I693" s="2"/>
      <c r="J693" s="2"/>
      <c r="K693" s="2"/>
      <c r="L693" s="2"/>
      <c r="M693" s="2"/>
      <c r="N693" s="2"/>
      <c r="O693" s="2"/>
    </row>
    <row r="694" customFormat="false" ht="15.75" hidden="false" customHeight="true" outlineLevel="0" collapsed="false">
      <c r="A694" s="2"/>
      <c r="B694" s="2"/>
      <c r="C694" s="2"/>
      <c r="D694" s="2"/>
      <c r="E694" s="2"/>
      <c r="F694" s="2"/>
      <c r="G694" s="2"/>
      <c r="H694" s="2"/>
      <c r="I694" s="2"/>
      <c r="J694" s="2"/>
      <c r="K694" s="2"/>
      <c r="L694" s="2"/>
      <c r="M694" s="2"/>
      <c r="N694" s="2"/>
      <c r="O694" s="2"/>
    </row>
    <row r="695" customFormat="false" ht="15.75" hidden="false" customHeight="true" outlineLevel="0" collapsed="false">
      <c r="A695" s="2"/>
      <c r="B695" s="2"/>
      <c r="C695" s="2"/>
      <c r="D695" s="2"/>
      <c r="E695" s="2"/>
      <c r="F695" s="2"/>
      <c r="G695" s="2"/>
      <c r="H695" s="2"/>
      <c r="I695" s="2"/>
      <c r="J695" s="2"/>
      <c r="K695" s="2"/>
      <c r="L695" s="2"/>
      <c r="M695" s="2"/>
      <c r="N695" s="2"/>
      <c r="O695" s="2"/>
    </row>
    <row r="696" customFormat="false" ht="15.75" hidden="false" customHeight="true" outlineLevel="0" collapsed="false">
      <c r="A696" s="2"/>
      <c r="B696" s="2"/>
      <c r="C696" s="2"/>
      <c r="D696" s="2"/>
      <c r="E696" s="2"/>
      <c r="F696" s="2"/>
      <c r="G696" s="2"/>
      <c r="H696" s="2"/>
      <c r="I696" s="2"/>
      <c r="J696" s="2"/>
      <c r="K696" s="2"/>
      <c r="L696" s="2"/>
      <c r="M696" s="2"/>
      <c r="N696" s="2"/>
      <c r="O696" s="2"/>
    </row>
    <row r="697" customFormat="false" ht="15.75" hidden="false" customHeight="true" outlineLevel="0" collapsed="false">
      <c r="A697" s="2"/>
      <c r="B697" s="2"/>
      <c r="C697" s="2"/>
      <c r="D697" s="2"/>
      <c r="E697" s="2"/>
      <c r="F697" s="2"/>
      <c r="G697" s="2"/>
      <c r="H697" s="2"/>
      <c r="I697" s="2"/>
      <c r="J697" s="2"/>
      <c r="K697" s="2"/>
      <c r="L697" s="2"/>
      <c r="M697" s="2"/>
      <c r="N697" s="2"/>
      <c r="O697" s="2"/>
    </row>
    <row r="698" customFormat="false" ht="15.75" hidden="false" customHeight="true" outlineLevel="0" collapsed="false">
      <c r="A698" s="2"/>
      <c r="B698" s="2"/>
      <c r="C698" s="2"/>
      <c r="D698" s="2"/>
      <c r="E698" s="2"/>
      <c r="F698" s="2"/>
      <c r="G698" s="2"/>
      <c r="H698" s="2"/>
      <c r="I698" s="2"/>
      <c r="J698" s="2"/>
      <c r="K698" s="2"/>
      <c r="L698" s="2"/>
      <c r="M698" s="2"/>
      <c r="N698" s="2"/>
      <c r="O698" s="2"/>
    </row>
    <row r="699" customFormat="false" ht="15.75" hidden="false" customHeight="true" outlineLevel="0" collapsed="false">
      <c r="A699" s="2"/>
      <c r="B699" s="2"/>
      <c r="C699" s="2"/>
      <c r="D699" s="2"/>
      <c r="E699" s="2"/>
      <c r="F699" s="2"/>
      <c r="G699" s="2"/>
      <c r="H699" s="2"/>
      <c r="I699" s="2"/>
      <c r="J699" s="2"/>
      <c r="K699" s="2"/>
      <c r="L699" s="2"/>
      <c r="M699" s="2"/>
      <c r="N699" s="2"/>
      <c r="O699" s="2"/>
    </row>
    <row r="700" customFormat="false" ht="15.75" hidden="false" customHeight="true" outlineLevel="0" collapsed="false">
      <c r="A700" s="2"/>
      <c r="B700" s="2"/>
      <c r="C700" s="2"/>
      <c r="D700" s="2"/>
      <c r="E700" s="2"/>
      <c r="F700" s="2"/>
      <c r="G700" s="2"/>
      <c r="H700" s="2"/>
      <c r="I700" s="2"/>
      <c r="J700" s="2"/>
      <c r="K700" s="2"/>
      <c r="L700" s="2"/>
      <c r="M700" s="2"/>
      <c r="N700" s="2"/>
      <c r="O700" s="2"/>
    </row>
    <row r="701" customFormat="false" ht="15.75" hidden="false" customHeight="true" outlineLevel="0" collapsed="false">
      <c r="A701" s="2"/>
      <c r="B701" s="2"/>
      <c r="C701" s="2"/>
      <c r="D701" s="2"/>
      <c r="E701" s="2"/>
      <c r="F701" s="2"/>
      <c r="G701" s="2"/>
      <c r="H701" s="2"/>
      <c r="I701" s="2"/>
      <c r="J701" s="2"/>
      <c r="K701" s="2"/>
      <c r="L701" s="2"/>
      <c r="M701" s="2"/>
      <c r="N701" s="2"/>
      <c r="O701" s="2"/>
    </row>
    <row r="702" customFormat="false" ht="15.75" hidden="false" customHeight="true" outlineLevel="0" collapsed="false">
      <c r="A702" s="2"/>
      <c r="B702" s="2"/>
      <c r="C702" s="2"/>
      <c r="D702" s="2"/>
      <c r="E702" s="2"/>
      <c r="F702" s="2"/>
      <c r="G702" s="2"/>
      <c r="H702" s="2"/>
      <c r="I702" s="2"/>
      <c r="J702" s="2"/>
      <c r="K702" s="2"/>
      <c r="L702" s="2"/>
      <c r="M702" s="2"/>
      <c r="N702" s="2"/>
      <c r="O702" s="2"/>
    </row>
    <row r="703" customFormat="false" ht="15.75" hidden="false" customHeight="true" outlineLevel="0" collapsed="false">
      <c r="A703" s="2"/>
      <c r="B703" s="2"/>
      <c r="C703" s="2"/>
      <c r="D703" s="2"/>
      <c r="E703" s="2"/>
      <c r="F703" s="2"/>
      <c r="G703" s="2"/>
      <c r="H703" s="2"/>
      <c r="I703" s="2"/>
      <c r="J703" s="2"/>
      <c r="K703" s="2"/>
      <c r="L703" s="2"/>
      <c r="M703" s="2"/>
      <c r="N703" s="2"/>
      <c r="O703" s="2"/>
    </row>
    <row r="704" customFormat="false" ht="15.75" hidden="false" customHeight="true" outlineLevel="0" collapsed="false">
      <c r="A704" s="2"/>
      <c r="B704" s="2"/>
      <c r="C704" s="2"/>
      <c r="D704" s="2"/>
      <c r="E704" s="2"/>
      <c r="F704" s="2"/>
      <c r="G704" s="2"/>
      <c r="H704" s="2"/>
      <c r="I704" s="2"/>
      <c r="J704" s="2"/>
      <c r="K704" s="2"/>
      <c r="L704" s="2"/>
      <c r="M704" s="2"/>
      <c r="N704" s="2"/>
      <c r="O704" s="2"/>
    </row>
    <row r="705" customFormat="false" ht="15.75" hidden="false" customHeight="true" outlineLevel="0" collapsed="false">
      <c r="A705" s="2"/>
      <c r="B705" s="2"/>
      <c r="C705" s="2"/>
      <c r="D705" s="2"/>
      <c r="E705" s="2"/>
      <c r="F705" s="2"/>
      <c r="G705" s="2"/>
      <c r="H705" s="2"/>
      <c r="I705" s="2"/>
      <c r="J705" s="2"/>
      <c r="K705" s="2"/>
      <c r="L705" s="2"/>
      <c r="M705" s="2"/>
      <c r="N705" s="2"/>
      <c r="O705" s="2"/>
    </row>
    <row r="706" customFormat="false" ht="15.75" hidden="false" customHeight="true" outlineLevel="0" collapsed="false">
      <c r="A706" s="2"/>
      <c r="B706" s="2"/>
      <c r="C706" s="2"/>
      <c r="D706" s="2"/>
      <c r="E706" s="2"/>
      <c r="F706" s="2"/>
      <c r="G706" s="2"/>
      <c r="H706" s="2"/>
      <c r="I706" s="2"/>
      <c r="J706" s="2"/>
      <c r="K706" s="2"/>
      <c r="L706" s="2"/>
      <c r="M706" s="2"/>
      <c r="N706" s="2"/>
      <c r="O706" s="2"/>
    </row>
    <row r="707" customFormat="false" ht="15.75" hidden="false" customHeight="true" outlineLevel="0" collapsed="false">
      <c r="A707" s="2"/>
      <c r="B707" s="2"/>
      <c r="C707" s="2"/>
      <c r="D707" s="2"/>
      <c r="E707" s="2"/>
      <c r="F707" s="2"/>
      <c r="G707" s="2"/>
      <c r="H707" s="2"/>
      <c r="I707" s="2"/>
      <c r="J707" s="2"/>
      <c r="K707" s="2"/>
      <c r="L707" s="2"/>
      <c r="M707" s="2"/>
      <c r="N707" s="2"/>
      <c r="O707" s="2"/>
    </row>
    <row r="708" customFormat="false" ht="15.75" hidden="false" customHeight="true" outlineLevel="0" collapsed="false">
      <c r="A708" s="2"/>
      <c r="B708" s="2"/>
      <c r="C708" s="2"/>
      <c r="D708" s="2"/>
      <c r="E708" s="2"/>
      <c r="F708" s="2"/>
      <c r="G708" s="2"/>
      <c r="H708" s="2"/>
      <c r="I708" s="2"/>
      <c r="J708" s="2"/>
      <c r="K708" s="2"/>
      <c r="L708" s="2"/>
      <c r="M708" s="2"/>
      <c r="N708" s="2"/>
      <c r="O708" s="2"/>
    </row>
    <row r="709" customFormat="false" ht="15.75" hidden="false" customHeight="true" outlineLevel="0" collapsed="false">
      <c r="A709" s="2"/>
      <c r="B709" s="2"/>
      <c r="C709" s="2"/>
      <c r="D709" s="2"/>
      <c r="E709" s="2"/>
      <c r="F709" s="2"/>
      <c r="G709" s="2"/>
      <c r="H709" s="2"/>
      <c r="I709" s="2"/>
      <c r="J709" s="2"/>
      <c r="K709" s="2"/>
      <c r="L709" s="2"/>
      <c r="M709" s="2"/>
      <c r="N709" s="2"/>
      <c r="O709" s="2"/>
    </row>
    <row r="710" customFormat="false" ht="15.75" hidden="false" customHeight="true" outlineLevel="0" collapsed="false">
      <c r="A710" s="2"/>
      <c r="B710" s="2"/>
      <c r="C710" s="2"/>
      <c r="D710" s="2"/>
      <c r="E710" s="2"/>
      <c r="F710" s="2"/>
      <c r="G710" s="2"/>
      <c r="H710" s="2"/>
      <c r="I710" s="2"/>
      <c r="J710" s="2"/>
      <c r="K710" s="2"/>
      <c r="L710" s="2"/>
      <c r="M710" s="2"/>
      <c r="N710" s="2"/>
      <c r="O710" s="2"/>
    </row>
    <row r="711" customFormat="false" ht="15.75" hidden="false" customHeight="true" outlineLevel="0" collapsed="false">
      <c r="A711" s="2"/>
      <c r="B711" s="2"/>
      <c r="C711" s="2"/>
      <c r="D711" s="2"/>
      <c r="E711" s="2"/>
      <c r="F711" s="2"/>
      <c r="G711" s="2"/>
      <c r="H711" s="2"/>
      <c r="I711" s="2"/>
      <c r="J711" s="2"/>
      <c r="K711" s="2"/>
      <c r="L711" s="2"/>
      <c r="M711" s="2"/>
      <c r="N711" s="2"/>
      <c r="O711" s="2"/>
    </row>
    <row r="712" customFormat="false" ht="15.75" hidden="false" customHeight="true" outlineLevel="0" collapsed="false">
      <c r="A712" s="2"/>
      <c r="B712" s="2"/>
      <c r="C712" s="2"/>
      <c r="D712" s="2"/>
      <c r="E712" s="2"/>
      <c r="F712" s="2"/>
      <c r="G712" s="2"/>
      <c r="H712" s="2"/>
      <c r="I712" s="2"/>
      <c r="J712" s="2"/>
      <c r="K712" s="2"/>
      <c r="L712" s="2"/>
      <c r="M712" s="2"/>
      <c r="N712" s="2"/>
      <c r="O712" s="2"/>
    </row>
    <row r="713" customFormat="false" ht="15.75" hidden="false" customHeight="true" outlineLevel="0" collapsed="false">
      <c r="A713" s="2"/>
      <c r="B713" s="2"/>
      <c r="C713" s="2"/>
      <c r="D713" s="2"/>
      <c r="E713" s="2"/>
      <c r="F713" s="2"/>
      <c r="G713" s="2"/>
      <c r="H713" s="2"/>
      <c r="I713" s="2"/>
      <c r="J713" s="2"/>
      <c r="K713" s="2"/>
      <c r="L713" s="2"/>
      <c r="M713" s="2"/>
      <c r="N713" s="2"/>
      <c r="O713" s="2"/>
    </row>
    <row r="714" customFormat="false" ht="15.75" hidden="false" customHeight="true" outlineLevel="0" collapsed="false">
      <c r="A714" s="2"/>
      <c r="B714" s="2"/>
      <c r="C714" s="2"/>
      <c r="D714" s="2"/>
      <c r="E714" s="2"/>
      <c r="F714" s="2"/>
      <c r="G714" s="2"/>
      <c r="H714" s="2"/>
      <c r="I714" s="2"/>
      <c r="J714" s="2"/>
      <c r="K714" s="2"/>
      <c r="L714" s="2"/>
      <c r="M714" s="2"/>
      <c r="N714" s="2"/>
      <c r="O714" s="2"/>
    </row>
    <row r="715" customFormat="false" ht="15.75" hidden="false" customHeight="true" outlineLevel="0" collapsed="false">
      <c r="A715" s="2"/>
      <c r="B715" s="2"/>
      <c r="C715" s="2"/>
      <c r="D715" s="2"/>
      <c r="E715" s="2"/>
      <c r="F715" s="2"/>
      <c r="G715" s="2"/>
      <c r="H715" s="2"/>
      <c r="I715" s="2"/>
      <c r="J715" s="2"/>
      <c r="K715" s="2"/>
      <c r="L715" s="2"/>
      <c r="M715" s="2"/>
      <c r="N715" s="2"/>
      <c r="O715" s="2"/>
    </row>
    <row r="716" customFormat="false" ht="15.75" hidden="false" customHeight="true" outlineLevel="0" collapsed="false">
      <c r="A716" s="2"/>
      <c r="B716" s="2"/>
      <c r="C716" s="2"/>
      <c r="D716" s="2"/>
      <c r="E716" s="2"/>
      <c r="F716" s="2"/>
      <c r="G716" s="2"/>
      <c r="H716" s="2"/>
      <c r="I716" s="2"/>
      <c r="J716" s="2"/>
      <c r="K716" s="2"/>
      <c r="L716" s="2"/>
      <c r="M716" s="2"/>
      <c r="N716" s="2"/>
      <c r="O716" s="2"/>
    </row>
    <row r="717" customFormat="false" ht="15.75" hidden="false" customHeight="true" outlineLevel="0" collapsed="false">
      <c r="A717" s="2"/>
      <c r="B717" s="2"/>
      <c r="C717" s="2"/>
      <c r="D717" s="2"/>
      <c r="E717" s="2"/>
      <c r="F717" s="2"/>
      <c r="G717" s="2"/>
      <c r="H717" s="2"/>
      <c r="I717" s="2"/>
      <c r="J717" s="2"/>
      <c r="K717" s="2"/>
      <c r="L717" s="2"/>
      <c r="M717" s="2"/>
      <c r="N717" s="2"/>
      <c r="O717" s="2"/>
    </row>
    <row r="718" customFormat="false" ht="15.75" hidden="false" customHeight="true" outlineLevel="0" collapsed="false">
      <c r="A718" s="2"/>
      <c r="B718" s="2"/>
      <c r="C718" s="2"/>
      <c r="D718" s="2"/>
      <c r="E718" s="2"/>
      <c r="F718" s="2"/>
      <c r="G718" s="2"/>
      <c r="H718" s="2"/>
      <c r="I718" s="2"/>
      <c r="J718" s="2"/>
      <c r="K718" s="2"/>
      <c r="L718" s="2"/>
      <c r="M718" s="2"/>
      <c r="N718" s="2"/>
      <c r="O718" s="2"/>
    </row>
    <row r="719" customFormat="false" ht="15.75" hidden="false" customHeight="true" outlineLevel="0" collapsed="false">
      <c r="A719" s="2"/>
      <c r="B719" s="2"/>
      <c r="C719" s="2"/>
      <c r="D719" s="2"/>
      <c r="E719" s="2"/>
      <c r="F719" s="2"/>
      <c r="G719" s="2"/>
      <c r="H719" s="2"/>
      <c r="I719" s="2"/>
      <c r="J719" s="2"/>
      <c r="K719" s="2"/>
      <c r="L719" s="2"/>
      <c r="M719" s="2"/>
      <c r="N719" s="2"/>
      <c r="O719" s="2"/>
    </row>
    <row r="720" customFormat="false" ht="15.75" hidden="false" customHeight="true" outlineLevel="0" collapsed="false">
      <c r="A720" s="2"/>
      <c r="B720" s="2"/>
      <c r="C720" s="2"/>
      <c r="D720" s="2"/>
      <c r="E720" s="2"/>
      <c r="F720" s="2"/>
      <c r="G720" s="2"/>
      <c r="H720" s="2"/>
      <c r="I720" s="2"/>
      <c r="J720" s="2"/>
      <c r="K720" s="2"/>
      <c r="L720" s="2"/>
      <c r="M720" s="2"/>
      <c r="N720" s="2"/>
      <c r="O720" s="2"/>
    </row>
    <row r="721" customFormat="false" ht="15.75" hidden="false" customHeight="true" outlineLevel="0" collapsed="false">
      <c r="A721" s="2"/>
      <c r="B721" s="2"/>
      <c r="C721" s="2"/>
      <c r="D721" s="2"/>
      <c r="E721" s="2"/>
      <c r="F721" s="2"/>
      <c r="G721" s="2"/>
      <c r="H721" s="2"/>
      <c r="I721" s="2"/>
      <c r="J721" s="2"/>
      <c r="K721" s="2"/>
      <c r="L721" s="2"/>
      <c r="M721" s="2"/>
      <c r="N721" s="2"/>
      <c r="O721" s="2"/>
    </row>
    <row r="722" customFormat="false" ht="15.75" hidden="false" customHeight="true" outlineLevel="0" collapsed="false">
      <c r="A722" s="2"/>
      <c r="B722" s="2"/>
      <c r="C722" s="2"/>
      <c r="D722" s="2"/>
      <c r="E722" s="2"/>
      <c r="F722" s="2"/>
      <c r="G722" s="2"/>
      <c r="H722" s="2"/>
      <c r="I722" s="2"/>
      <c r="J722" s="2"/>
      <c r="K722" s="2"/>
      <c r="L722" s="2"/>
      <c r="M722" s="2"/>
      <c r="N722" s="2"/>
      <c r="O722" s="2"/>
    </row>
    <row r="723" customFormat="false" ht="15.75" hidden="false" customHeight="true" outlineLevel="0" collapsed="false">
      <c r="A723" s="2"/>
      <c r="B723" s="2"/>
      <c r="C723" s="2"/>
      <c r="D723" s="2"/>
      <c r="E723" s="2"/>
      <c r="F723" s="2"/>
      <c r="G723" s="2"/>
      <c r="H723" s="2"/>
      <c r="I723" s="2"/>
      <c r="J723" s="2"/>
      <c r="K723" s="2"/>
      <c r="L723" s="2"/>
      <c r="M723" s="2"/>
      <c r="N723" s="2"/>
      <c r="O723" s="2"/>
    </row>
    <row r="724" customFormat="false" ht="15.75" hidden="false" customHeight="true" outlineLevel="0" collapsed="false">
      <c r="A724" s="2"/>
      <c r="B724" s="2"/>
      <c r="C724" s="2"/>
      <c r="D724" s="2"/>
      <c r="E724" s="2"/>
      <c r="F724" s="2"/>
      <c r="G724" s="2"/>
      <c r="H724" s="2"/>
      <c r="I724" s="2"/>
      <c r="J724" s="2"/>
      <c r="K724" s="2"/>
      <c r="L724" s="2"/>
      <c r="M724" s="2"/>
      <c r="N724" s="2"/>
      <c r="O724" s="2"/>
    </row>
    <row r="725" customFormat="false" ht="15.75" hidden="false" customHeight="true" outlineLevel="0" collapsed="false">
      <c r="A725" s="2"/>
      <c r="B725" s="2"/>
      <c r="C725" s="2"/>
      <c r="D725" s="2"/>
      <c r="E725" s="2"/>
      <c r="F725" s="2"/>
      <c r="G725" s="2"/>
      <c r="H725" s="2"/>
      <c r="I725" s="2"/>
      <c r="J725" s="2"/>
      <c r="K725" s="2"/>
      <c r="L725" s="2"/>
      <c r="M725" s="2"/>
      <c r="N725" s="2"/>
      <c r="O725" s="2"/>
    </row>
    <row r="726" customFormat="false" ht="15.75" hidden="false" customHeight="true" outlineLevel="0" collapsed="false">
      <c r="A726" s="2"/>
      <c r="B726" s="2"/>
      <c r="C726" s="2"/>
      <c r="D726" s="2"/>
      <c r="E726" s="2"/>
      <c r="F726" s="2"/>
      <c r="G726" s="2"/>
      <c r="H726" s="2"/>
      <c r="I726" s="2"/>
      <c r="J726" s="2"/>
      <c r="K726" s="2"/>
      <c r="L726" s="2"/>
      <c r="M726" s="2"/>
      <c r="N726" s="2"/>
      <c r="O726" s="2"/>
    </row>
    <row r="727" customFormat="false" ht="15.75" hidden="false" customHeight="true" outlineLevel="0" collapsed="false">
      <c r="A727" s="2"/>
      <c r="B727" s="2"/>
      <c r="C727" s="2"/>
      <c r="D727" s="2"/>
      <c r="E727" s="2"/>
      <c r="F727" s="2"/>
      <c r="G727" s="2"/>
      <c r="H727" s="2"/>
      <c r="I727" s="2"/>
      <c r="J727" s="2"/>
      <c r="K727" s="2"/>
      <c r="L727" s="2"/>
      <c r="M727" s="2"/>
      <c r="N727" s="2"/>
      <c r="O727" s="2"/>
    </row>
    <row r="728" customFormat="false" ht="15.75" hidden="false" customHeight="true" outlineLevel="0" collapsed="false">
      <c r="A728" s="2"/>
      <c r="B728" s="2"/>
      <c r="C728" s="2"/>
      <c r="D728" s="2"/>
      <c r="E728" s="2"/>
      <c r="F728" s="2"/>
      <c r="G728" s="2"/>
      <c r="H728" s="2"/>
      <c r="I728" s="2"/>
      <c r="J728" s="2"/>
      <c r="K728" s="2"/>
      <c r="L728" s="2"/>
      <c r="M728" s="2"/>
      <c r="N728" s="2"/>
      <c r="O728" s="2"/>
    </row>
    <row r="729" customFormat="false" ht="15.75" hidden="false" customHeight="true" outlineLevel="0" collapsed="false">
      <c r="A729" s="2"/>
      <c r="B729" s="2"/>
      <c r="C729" s="2"/>
      <c r="D729" s="2"/>
      <c r="E729" s="2"/>
      <c r="F729" s="2"/>
      <c r="G729" s="2"/>
      <c r="H729" s="2"/>
      <c r="I729" s="2"/>
      <c r="J729" s="2"/>
      <c r="K729" s="2"/>
      <c r="L729" s="2"/>
      <c r="M729" s="2"/>
      <c r="N729" s="2"/>
      <c r="O729" s="2"/>
    </row>
    <row r="730" customFormat="false" ht="15.75" hidden="false" customHeight="true" outlineLevel="0" collapsed="false">
      <c r="A730" s="2"/>
      <c r="B730" s="2"/>
      <c r="C730" s="2"/>
      <c r="D730" s="2"/>
      <c r="E730" s="2"/>
      <c r="F730" s="2"/>
      <c r="G730" s="2"/>
      <c r="H730" s="2"/>
      <c r="I730" s="2"/>
      <c r="J730" s="2"/>
      <c r="K730" s="2"/>
      <c r="L730" s="2"/>
      <c r="M730" s="2"/>
      <c r="N730" s="2"/>
      <c r="O730" s="2"/>
    </row>
    <row r="731" customFormat="false" ht="15.75" hidden="false" customHeight="true" outlineLevel="0" collapsed="false">
      <c r="A731" s="2"/>
      <c r="B731" s="2"/>
      <c r="C731" s="2"/>
      <c r="D731" s="2"/>
      <c r="E731" s="2"/>
      <c r="F731" s="2"/>
      <c r="G731" s="2"/>
      <c r="H731" s="2"/>
      <c r="I731" s="2"/>
      <c r="J731" s="2"/>
      <c r="K731" s="2"/>
      <c r="L731" s="2"/>
      <c r="M731" s="2"/>
      <c r="N731" s="2"/>
      <c r="O731" s="2"/>
    </row>
    <row r="732" customFormat="false" ht="15.75" hidden="false" customHeight="true" outlineLevel="0" collapsed="false">
      <c r="A732" s="2"/>
      <c r="B732" s="2"/>
      <c r="C732" s="2"/>
      <c r="D732" s="2"/>
      <c r="E732" s="2"/>
      <c r="F732" s="2"/>
      <c r="G732" s="2"/>
      <c r="H732" s="2"/>
      <c r="I732" s="2"/>
      <c r="J732" s="2"/>
      <c r="K732" s="2"/>
      <c r="L732" s="2"/>
      <c r="M732" s="2"/>
      <c r="N732" s="2"/>
      <c r="O732" s="2"/>
    </row>
    <row r="733" customFormat="false" ht="15.75" hidden="false" customHeight="true" outlineLevel="0" collapsed="false">
      <c r="A733" s="2"/>
      <c r="B733" s="2"/>
      <c r="C733" s="2"/>
      <c r="D733" s="2"/>
      <c r="E733" s="2"/>
      <c r="F733" s="2"/>
      <c r="G733" s="2"/>
      <c r="H733" s="2"/>
      <c r="I733" s="2"/>
      <c r="J733" s="2"/>
      <c r="K733" s="2"/>
      <c r="L733" s="2"/>
      <c r="M733" s="2"/>
      <c r="N733" s="2"/>
      <c r="O733" s="2"/>
    </row>
    <row r="734" customFormat="false" ht="15.75" hidden="false" customHeight="true" outlineLevel="0" collapsed="false">
      <c r="A734" s="2"/>
      <c r="B734" s="2"/>
      <c r="C734" s="2"/>
      <c r="D734" s="2"/>
      <c r="E734" s="2"/>
      <c r="F734" s="2"/>
      <c r="G734" s="2"/>
      <c r="H734" s="2"/>
      <c r="I734" s="2"/>
      <c r="J734" s="2"/>
      <c r="K734" s="2"/>
      <c r="L734" s="2"/>
      <c r="M734" s="2"/>
      <c r="N734" s="2"/>
      <c r="O734" s="2"/>
    </row>
    <row r="735" customFormat="false" ht="15.75" hidden="false" customHeight="true" outlineLevel="0" collapsed="false">
      <c r="A735" s="2"/>
      <c r="B735" s="2"/>
      <c r="C735" s="2"/>
      <c r="D735" s="2"/>
      <c r="E735" s="2"/>
      <c r="F735" s="2"/>
      <c r="G735" s="2"/>
      <c r="H735" s="2"/>
      <c r="I735" s="2"/>
      <c r="J735" s="2"/>
      <c r="K735" s="2"/>
      <c r="L735" s="2"/>
      <c r="M735" s="2"/>
      <c r="N735" s="2"/>
      <c r="O735" s="2"/>
    </row>
    <row r="736" customFormat="false" ht="15.75" hidden="false" customHeight="true" outlineLevel="0" collapsed="false">
      <c r="A736" s="2"/>
      <c r="B736" s="2"/>
      <c r="C736" s="2"/>
      <c r="D736" s="2"/>
      <c r="E736" s="2"/>
      <c r="F736" s="2"/>
      <c r="G736" s="2"/>
      <c r="H736" s="2"/>
      <c r="I736" s="2"/>
      <c r="J736" s="2"/>
      <c r="K736" s="2"/>
      <c r="L736" s="2"/>
      <c r="M736" s="2"/>
      <c r="N736" s="2"/>
      <c r="O736" s="2"/>
    </row>
    <row r="737" customFormat="false" ht="15.75" hidden="false" customHeight="true" outlineLevel="0" collapsed="false">
      <c r="A737" s="2"/>
      <c r="B737" s="2"/>
      <c r="C737" s="2"/>
      <c r="D737" s="2"/>
      <c r="E737" s="2"/>
      <c r="F737" s="2"/>
      <c r="G737" s="2"/>
      <c r="H737" s="2"/>
      <c r="I737" s="2"/>
      <c r="J737" s="2"/>
      <c r="K737" s="2"/>
      <c r="L737" s="2"/>
      <c r="M737" s="2"/>
      <c r="N737" s="2"/>
      <c r="O737" s="2"/>
    </row>
    <row r="738" customFormat="false" ht="15.75" hidden="false" customHeight="true" outlineLevel="0" collapsed="false">
      <c r="A738" s="2"/>
      <c r="B738" s="2"/>
      <c r="C738" s="2"/>
      <c r="D738" s="2"/>
      <c r="E738" s="2"/>
      <c r="F738" s="2"/>
      <c r="G738" s="2"/>
      <c r="H738" s="2"/>
      <c r="I738" s="2"/>
      <c r="J738" s="2"/>
      <c r="K738" s="2"/>
      <c r="L738" s="2"/>
      <c r="M738" s="2"/>
      <c r="N738" s="2"/>
      <c r="O738" s="2"/>
    </row>
    <row r="739" customFormat="false" ht="15.75" hidden="false" customHeight="true" outlineLevel="0" collapsed="false">
      <c r="A739" s="2"/>
      <c r="B739" s="2"/>
      <c r="C739" s="2"/>
      <c r="D739" s="2"/>
      <c r="E739" s="2"/>
      <c r="F739" s="2"/>
      <c r="G739" s="2"/>
      <c r="H739" s="2"/>
      <c r="I739" s="2"/>
      <c r="J739" s="2"/>
      <c r="K739" s="2"/>
      <c r="L739" s="2"/>
      <c r="M739" s="2"/>
      <c r="N739" s="2"/>
      <c r="O739" s="2"/>
    </row>
    <row r="740" customFormat="false" ht="15.75" hidden="false" customHeight="true" outlineLevel="0" collapsed="false">
      <c r="A740" s="2"/>
      <c r="B740" s="2"/>
      <c r="C740" s="2"/>
      <c r="D740" s="2"/>
      <c r="E740" s="2"/>
      <c r="F740" s="2"/>
      <c r="G740" s="2"/>
      <c r="H740" s="2"/>
      <c r="I740" s="2"/>
      <c r="J740" s="2"/>
      <c r="K740" s="2"/>
      <c r="L740" s="2"/>
      <c r="M740" s="2"/>
      <c r="N740" s="2"/>
      <c r="O740" s="2"/>
    </row>
    <row r="741" customFormat="false" ht="15.75" hidden="false" customHeight="true" outlineLevel="0" collapsed="false">
      <c r="A741" s="2"/>
      <c r="B741" s="2"/>
      <c r="C741" s="2"/>
      <c r="D741" s="2"/>
      <c r="E741" s="2"/>
      <c r="F741" s="2"/>
      <c r="G741" s="2"/>
      <c r="H741" s="2"/>
      <c r="I741" s="2"/>
      <c r="J741" s="2"/>
      <c r="K741" s="2"/>
      <c r="L741" s="2"/>
      <c r="M741" s="2"/>
      <c r="N741" s="2"/>
      <c r="O741" s="2"/>
    </row>
    <row r="742" customFormat="false" ht="15.75" hidden="false" customHeight="true" outlineLevel="0" collapsed="false">
      <c r="A742" s="2"/>
      <c r="B742" s="2"/>
      <c r="C742" s="2"/>
      <c r="D742" s="2"/>
      <c r="E742" s="2"/>
      <c r="F742" s="2"/>
      <c r="G742" s="2"/>
      <c r="H742" s="2"/>
      <c r="I742" s="2"/>
      <c r="J742" s="2"/>
      <c r="K742" s="2"/>
      <c r="L742" s="2"/>
      <c r="M742" s="2"/>
      <c r="N742" s="2"/>
      <c r="O742" s="2"/>
    </row>
    <row r="743" customFormat="false" ht="15.75" hidden="false" customHeight="true" outlineLevel="0" collapsed="false">
      <c r="A743" s="2"/>
      <c r="B743" s="2"/>
      <c r="C743" s="2"/>
      <c r="D743" s="2"/>
      <c r="E743" s="2"/>
      <c r="F743" s="2"/>
      <c r="G743" s="2"/>
      <c r="H743" s="2"/>
      <c r="I743" s="2"/>
      <c r="J743" s="2"/>
      <c r="K743" s="2"/>
      <c r="L743" s="2"/>
      <c r="M743" s="2"/>
      <c r="N743" s="2"/>
      <c r="O743" s="2"/>
    </row>
    <row r="744" customFormat="false" ht="15.75" hidden="false" customHeight="true" outlineLevel="0" collapsed="false">
      <c r="A744" s="2"/>
      <c r="B744" s="2"/>
      <c r="C744" s="2"/>
      <c r="D744" s="2"/>
      <c r="E744" s="2"/>
      <c r="F744" s="2"/>
      <c r="G744" s="2"/>
      <c r="H744" s="2"/>
      <c r="I744" s="2"/>
      <c r="J744" s="2"/>
      <c r="K744" s="2"/>
      <c r="L744" s="2"/>
      <c r="M744" s="2"/>
      <c r="N744" s="2"/>
      <c r="O744" s="2"/>
    </row>
    <row r="745" customFormat="false" ht="15.75" hidden="false" customHeight="true" outlineLevel="0" collapsed="false">
      <c r="A745" s="2"/>
      <c r="B745" s="2"/>
      <c r="C745" s="2"/>
      <c r="D745" s="2"/>
      <c r="E745" s="2"/>
      <c r="F745" s="2"/>
      <c r="G745" s="2"/>
      <c r="H745" s="2"/>
      <c r="I745" s="2"/>
      <c r="J745" s="2"/>
      <c r="K745" s="2"/>
      <c r="L745" s="2"/>
      <c r="M745" s="2"/>
      <c r="N745" s="2"/>
      <c r="O745" s="2"/>
    </row>
    <row r="746" customFormat="false" ht="15.75" hidden="false" customHeight="true" outlineLevel="0" collapsed="false">
      <c r="A746" s="2"/>
      <c r="B746" s="2"/>
      <c r="C746" s="2"/>
      <c r="D746" s="2"/>
      <c r="E746" s="2"/>
      <c r="F746" s="2"/>
      <c r="G746" s="2"/>
      <c r="H746" s="2"/>
      <c r="I746" s="2"/>
      <c r="J746" s="2"/>
      <c r="K746" s="2"/>
      <c r="L746" s="2"/>
      <c r="M746" s="2"/>
      <c r="N746" s="2"/>
      <c r="O746" s="2"/>
    </row>
    <row r="747" customFormat="false" ht="15.75" hidden="false" customHeight="true" outlineLevel="0" collapsed="false">
      <c r="A747" s="2"/>
      <c r="B747" s="2"/>
      <c r="C747" s="2"/>
      <c r="D747" s="2"/>
      <c r="E747" s="2"/>
      <c r="F747" s="2"/>
      <c r="G747" s="2"/>
      <c r="H747" s="2"/>
      <c r="I747" s="2"/>
      <c r="J747" s="2"/>
      <c r="K747" s="2"/>
      <c r="L747" s="2"/>
      <c r="M747" s="2"/>
      <c r="N747" s="2"/>
      <c r="O747" s="2"/>
    </row>
    <row r="748" customFormat="false" ht="15.75" hidden="false" customHeight="true" outlineLevel="0" collapsed="false">
      <c r="A748" s="2"/>
      <c r="B748" s="2"/>
      <c r="C748" s="2"/>
      <c r="D748" s="2"/>
      <c r="E748" s="2"/>
      <c r="F748" s="2"/>
      <c r="G748" s="2"/>
      <c r="H748" s="2"/>
      <c r="I748" s="2"/>
      <c r="J748" s="2"/>
      <c r="K748" s="2"/>
      <c r="L748" s="2"/>
      <c r="M748" s="2"/>
      <c r="N748" s="2"/>
      <c r="O748" s="2"/>
    </row>
    <row r="749" customFormat="false" ht="15.75" hidden="false" customHeight="true" outlineLevel="0" collapsed="false">
      <c r="A749" s="2"/>
      <c r="B749" s="2"/>
      <c r="C749" s="2"/>
      <c r="D749" s="2"/>
      <c r="E749" s="2"/>
      <c r="F749" s="2"/>
      <c r="G749" s="2"/>
      <c r="H749" s="2"/>
      <c r="I749" s="2"/>
      <c r="J749" s="2"/>
      <c r="K749" s="2"/>
      <c r="L749" s="2"/>
      <c r="M749" s="2"/>
      <c r="N749" s="2"/>
      <c r="O749" s="2"/>
    </row>
    <row r="750" customFormat="false" ht="15.75" hidden="false" customHeight="true" outlineLevel="0" collapsed="false">
      <c r="A750" s="2"/>
      <c r="B750" s="2"/>
      <c r="C750" s="2"/>
      <c r="D750" s="2"/>
      <c r="E750" s="2"/>
      <c r="F750" s="2"/>
      <c r="G750" s="2"/>
      <c r="H750" s="2"/>
      <c r="I750" s="2"/>
      <c r="J750" s="2"/>
      <c r="K750" s="2"/>
      <c r="L750" s="2"/>
      <c r="M750" s="2"/>
      <c r="N750" s="2"/>
      <c r="O750" s="2"/>
    </row>
    <row r="751" customFormat="false" ht="15.75" hidden="false" customHeight="true" outlineLevel="0" collapsed="false">
      <c r="A751" s="2"/>
      <c r="B751" s="2"/>
      <c r="C751" s="2"/>
      <c r="D751" s="2"/>
      <c r="E751" s="2"/>
      <c r="F751" s="2"/>
      <c r="G751" s="2"/>
      <c r="H751" s="2"/>
      <c r="I751" s="2"/>
      <c r="J751" s="2"/>
      <c r="K751" s="2"/>
      <c r="L751" s="2"/>
      <c r="M751" s="2"/>
      <c r="N751" s="2"/>
      <c r="O751" s="2"/>
    </row>
    <row r="752" customFormat="false" ht="15.75" hidden="false" customHeight="true" outlineLevel="0" collapsed="false">
      <c r="A752" s="2"/>
      <c r="B752" s="2"/>
      <c r="C752" s="2"/>
      <c r="D752" s="2"/>
      <c r="E752" s="2"/>
      <c r="F752" s="2"/>
      <c r="G752" s="2"/>
      <c r="H752" s="2"/>
      <c r="I752" s="2"/>
      <c r="J752" s="2"/>
      <c r="K752" s="2"/>
      <c r="L752" s="2"/>
      <c r="M752" s="2"/>
      <c r="N752" s="2"/>
      <c r="O752" s="2"/>
    </row>
    <row r="753" customFormat="false" ht="15.75" hidden="false" customHeight="true" outlineLevel="0" collapsed="false">
      <c r="A753" s="2"/>
      <c r="B753" s="2"/>
      <c r="C753" s="2"/>
      <c r="D753" s="2"/>
      <c r="E753" s="2"/>
      <c r="F753" s="2"/>
      <c r="G753" s="2"/>
      <c r="H753" s="2"/>
      <c r="I753" s="2"/>
      <c r="J753" s="2"/>
      <c r="K753" s="2"/>
      <c r="L753" s="2"/>
      <c r="M753" s="2"/>
      <c r="N753" s="2"/>
      <c r="O753" s="2"/>
    </row>
    <row r="754" customFormat="false" ht="15.75" hidden="false" customHeight="true" outlineLevel="0" collapsed="false">
      <c r="A754" s="2"/>
      <c r="B754" s="2"/>
      <c r="C754" s="2"/>
      <c r="D754" s="2"/>
      <c r="E754" s="2"/>
      <c r="F754" s="2"/>
      <c r="G754" s="2"/>
      <c r="H754" s="2"/>
      <c r="I754" s="2"/>
      <c r="J754" s="2"/>
      <c r="K754" s="2"/>
      <c r="L754" s="2"/>
      <c r="M754" s="2"/>
      <c r="N754" s="2"/>
      <c r="O754" s="2"/>
    </row>
    <row r="755" customFormat="false" ht="15.75" hidden="false" customHeight="true" outlineLevel="0" collapsed="false">
      <c r="A755" s="2"/>
      <c r="B755" s="2"/>
      <c r="C755" s="2"/>
      <c r="D755" s="2"/>
      <c r="E755" s="2"/>
      <c r="F755" s="2"/>
      <c r="G755" s="2"/>
      <c r="H755" s="2"/>
      <c r="I755" s="2"/>
      <c r="J755" s="2"/>
      <c r="K755" s="2"/>
      <c r="L755" s="2"/>
      <c r="M755" s="2"/>
      <c r="N755" s="2"/>
      <c r="O755" s="2"/>
    </row>
    <row r="756" customFormat="false" ht="15.75" hidden="false" customHeight="true" outlineLevel="0" collapsed="false">
      <c r="A756" s="2"/>
      <c r="B756" s="2"/>
      <c r="C756" s="2"/>
      <c r="D756" s="2"/>
      <c r="E756" s="2"/>
      <c r="F756" s="2"/>
      <c r="G756" s="2"/>
      <c r="H756" s="2"/>
      <c r="I756" s="2"/>
      <c r="J756" s="2"/>
      <c r="K756" s="2"/>
      <c r="L756" s="2"/>
      <c r="M756" s="2"/>
      <c r="N756" s="2"/>
      <c r="O756" s="2"/>
    </row>
    <row r="757" customFormat="false" ht="15.75" hidden="false" customHeight="true" outlineLevel="0" collapsed="false">
      <c r="A757" s="2"/>
      <c r="B757" s="2"/>
      <c r="C757" s="2"/>
      <c r="D757" s="2"/>
      <c r="E757" s="2"/>
      <c r="F757" s="2"/>
      <c r="G757" s="2"/>
      <c r="H757" s="2"/>
      <c r="I757" s="2"/>
      <c r="J757" s="2"/>
      <c r="K757" s="2"/>
      <c r="L757" s="2"/>
      <c r="M757" s="2"/>
      <c r="N757" s="2"/>
      <c r="O757" s="2"/>
    </row>
    <row r="758" customFormat="false" ht="15.75" hidden="false" customHeight="true" outlineLevel="0" collapsed="false">
      <c r="A758" s="2"/>
      <c r="B758" s="2"/>
      <c r="C758" s="2"/>
      <c r="D758" s="2"/>
      <c r="E758" s="2"/>
      <c r="F758" s="2"/>
      <c r="G758" s="2"/>
      <c r="H758" s="2"/>
      <c r="I758" s="2"/>
      <c r="J758" s="2"/>
      <c r="K758" s="2"/>
      <c r="L758" s="2"/>
      <c r="M758" s="2"/>
      <c r="N758" s="2"/>
      <c r="O758" s="2"/>
    </row>
    <row r="759" customFormat="false" ht="15.75" hidden="false" customHeight="true" outlineLevel="0" collapsed="false">
      <c r="A759" s="2"/>
      <c r="B759" s="2"/>
      <c r="C759" s="2"/>
      <c r="D759" s="2"/>
      <c r="E759" s="2"/>
      <c r="F759" s="2"/>
      <c r="G759" s="2"/>
      <c r="H759" s="2"/>
      <c r="I759" s="2"/>
      <c r="J759" s="2"/>
      <c r="K759" s="2"/>
      <c r="L759" s="2"/>
      <c r="M759" s="2"/>
      <c r="N759" s="2"/>
      <c r="O759" s="2"/>
    </row>
    <row r="760" customFormat="false" ht="15.75" hidden="false" customHeight="true" outlineLevel="0" collapsed="false">
      <c r="A760" s="2"/>
      <c r="B760" s="2"/>
      <c r="C760" s="2"/>
      <c r="D760" s="2"/>
      <c r="E760" s="2"/>
      <c r="F760" s="2"/>
      <c r="G760" s="2"/>
      <c r="H760" s="2"/>
      <c r="I760" s="2"/>
      <c r="J760" s="2"/>
      <c r="K760" s="2"/>
      <c r="L760" s="2"/>
      <c r="M760" s="2"/>
      <c r="N760" s="2"/>
      <c r="O760" s="2"/>
    </row>
    <row r="761" customFormat="false" ht="15.75" hidden="false" customHeight="true" outlineLevel="0" collapsed="false">
      <c r="A761" s="2"/>
      <c r="B761" s="2"/>
      <c r="C761" s="2"/>
      <c r="D761" s="2"/>
      <c r="E761" s="2"/>
      <c r="F761" s="2"/>
      <c r="G761" s="2"/>
      <c r="H761" s="2"/>
      <c r="I761" s="2"/>
      <c r="J761" s="2"/>
      <c r="K761" s="2"/>
      <c r="L761" s="2"/>
      <c r="M761" s="2"/>
      <c r="N761" s="2"/>
      <c r="O761" s="2"/>
    </row>
    <row r="762" customFormat="false" ht="15.75" hidden="false" customHeight="true" outlineLevel="0" collapsed="false">
      <c r="A762" s="2"/>
      <c r="B762" s="2"/>
      <c r="C762" s="2"/>
      <c r="D762" s="2"/>
      <c r="E762" s="2"/>
      <c r="F762" s="2"/>
      <c r="G762" s="2"/>
      <c r="H762" s="2"/>
      <c r="I762" s="2"/>
      <c r="J762" s="2"/>
      <c r="K762" s="2"/>
      <c r="L762" s="2"/>
      <c r="M762" s="2"/>
      <c r="N762" s="2"/>
      <c r="O762" s="2"/>
    </row>
    <row r="763" customFormat="false" ht="15.75" hidden="false" customHeight="true" outlineLevel="0" collapsed="false">
      <c r="A763" s="2"/>
      <c r="B763" s="2"/>
      <c r="C763" s="2"/>
      <c r="D763" s="2"/>
      <c r="E763" s="2"/>
      <c r="F763" s="2"/>
      <c r="G763" s="2"/>
      <c r="H763" s="2"/>
      <c r="I763" s="2"/>
      <c r="J763" s="2"/>
      <c r="K763" s="2"/>
      <c r="L763" s="2"/>
      <c r="M763" s="2"/>
      <c r="N763" s="2"/>
      <c r="O763" s="2"/>
    </row>
    <row r="764" customFormat="false" ht="15.75" hidden="false" customHeight="true" outlineLevel="0" collapsed="false">
      <c r="A764" s="2"/>
      <c r="B764" s="2"/>
      <c r="C764" s="2"/>
      <c r="D764" s="2"/>
      <c r="E764" s="2"/>
      <c r="F764" s="2"/>
      <c r="G764" s="2"/>
      <c r="H764" s="2"/>
      <c r="I764" s="2"/>
      <c r="J764" s="2"/>
      <c r="K764" s="2"/>
      <c r="L764" s="2"/>
      <c r="M764" s="2"/>
      <c r="N764" s="2"/>
      <c r="O764" s="2"/>
    </row>
    <row r="765" customFormat="false" ht="15.75" hidden="false" customHeight="true" outlineLevel="0" collapsed="false">
      <c r="A765" s="2"/>
      <c r="B765" s="2"/>
      <c r="C765" s="2"/>
      <c r="D765" s="2"/>
      <c r="E765" s="2"/>
      <c r="F765" s="2"/>
      <c r="G765" s="2"/>
      <c r="H765" s="2"/>
      <c r="I765" s="2"/>
      <c r="J765" s="2"/>
      <c r="K765" s="2"/>
      <c r="L765" s="2"/>
      <c r="M765" s="2"/>
      <c r="N765" s="2"/>
      <c r="O765" s="2"/>
    </row>
    <row r="766" customFormat="false" ht="15.75" hidden="false" customHeight="true" outlineLevel="0" collapsed="false">
      <c r="A766" s="2"/>
      <c r="B766" s="2"/>
      <c r="C766" s="2"/>
      <c r="D766" s="2"/>
      <c r="E766" s="2"/>
      <c r="F766" s="2"/>
      <c r="G766" s="2"/>
      <c r="H766" s="2"/>
      <c r="I766" s="2"/>
      <c r="J766" s="2"/>
      <c r="K766" s="2"/>
      <c r="L766" s="2"/>
      <c r="M766" s="2"/>
      <c r="N766" s="2"/>
      <c r="O766" s="2"/>
    </row>
    <row r="767" customFormat="false" ht="15.75" hidden="false" customHeight="true" outlineLevel="0" collapsed="false">
      <c r="A767" s="2"/>
      <c r="B767" s="2"/>
      <c r="C767" s="2"/>
      <c r="D767" s="2"/>
      <c r="E767" s="2"/>
      <c r="F767" s="2"/>
      <c r="G767" s="2"/>
      <c r="H767" s="2"/>
      <c r="I767" s="2"/>
      <c r="J767" s="2"/>
      <c r="K767" s="2"/>
      <c r="L767" s="2"/>
      <c r="M767" s="2"/>
      <c r="N767" s="2"/>
      <c r="O767" s="2"/>
    </row>
    <row r="768" customFormat="false" ht="15.75" hidden="false" customHeight="true" outlineLevel="0" collapsed="false">
      <c r="A768" s="2"/>
      <c r="B768" s="2"/>
      <c r="C768" s="2"/>
      <c r="D768" s="2"/>
      <c r="E768" s="2"/>
      <c r="F768" s="2"/>
      <c r="G768" s="2"/>
      <c r="H768" s="2"/>
      <c r="I768" s="2"/>
      <c r="J768" s="2"/>
      <c r="K768" s="2"/>
      <c r="L768" s="2"/>
      <c r="M768" s="2"/>
      <c r="N768" s="2"/>
      <c r="O768" s="2"/>
    </row>
    <row r="769" customFormat="false" ht="15.75" hidden="false" customHeight="true" outlineLevel="0" collapsed="false">
      <c r="A769" s="2"/>
      <c r="B769" s="2"/>
      <c r="C769" s="2"/>
      <c r="D769" s="2"/>
      <c r="E769" s="2"/>
      <c r="F769" s="2"/>
      <c r="G769" s="2"/>
      <c r="H769" s="2"/>
      <c r="I769" s="2"/>
      <c r="J769" s="2"/>
      <c r="K769" s="2"/>
      <c r="L769" s="2"/>
      <c r="M769" s="2"/>
      <c r="N769" s="2"/>
      <c r="O769" s="2"/>
    </row>
    <row r="770" customFormat="false" ht="15.75" hidden="false" customHeight="true" outlineLevel="0" collapsed="false">
      <c r="A770" s="2"/>
      <c r="B770" s="2"/>
      <c r="C770" s="2"/>
      <c r="D770" s="2"/>
      <c r="E770" s="2"/>
      <c r="F770" s="2"/>
      <c r="G770" s="2"/>
      <c r="H770" s="2"/>
      <c r="I770" s="2"/>
      <c r="J770" s="2"/>
      <c r="K770" s="2"/>
      <c r="L770" s="2"/>
      <c r="M770" s="2"/>
      <c r="N770" s="2"/>
      <c r="O770" s="2"/>
    </row>
    <row r="771" customFormat="false" ht="15.75" hidden="false" customHeight="true" outlineLevel="0" collapsed="false">
      <c r="A771" s="2"/>
      <c r="B771" s="2"/>
      <c r="C771" s="2"/>
      <c r="D771" s="2"/>
      <c r="E771" s="2"/>
      <c r="F771" s="2"/>
      <c r="G771" s="2"/>
      <c r="H771" s="2"/>
      <c r="I771" s="2"/>
      <c r="J771" s="2"/>
      <c r="K771" s="2"/>
      <c r="L771" s="2"/>
      <c r="M771" s="2"/>
      <c r="N771" s="2"/>
      <c r="O771" s="2"/>
    </row>
    <row r="772" customFormat="false" ht="15.75" hidden="false" customHeight="true" outlineLevel="0" collapsed="false">
      <c r="A772" s="2"/>
      <c r="B772" s="2"/>
      <c r="C772" s="2"/>
      <c r="D772" s="2"/>
      <c r="E772" s="2"/>
      <c r="F772" s="2"/>
      <c r="G772" s="2"/>
      <c r="H772" s="2"/>
      <c r="I772" s="2"/>
      <c r="J772" s="2"/>
      <c r="K772" s="2"/>
      <c r="L772" s="2"/>
      <c r="M772" s="2"/>
      <c r="N772" s="2"/>
      <c r="O772" s="2"/>
    </row>
    <row r="773" customFormat="false" ht="15.75" hidden="false" customHeight="true" outlineLevel="0" collapsed="false">
      <c r="A773" s="2"/>
      <c r="B773" s="2"/>
      <c r="C773" s="2"/>
      <c r="D773" s="2"/>
      <c r="E773" s="2"/>
      <c r="F773" s="2"/>
      <c r="G773" s="2"/>
      <c r="H773" s="2"/>
      <c r="I773" s="2"/>
      <c r="J773" s="2"/>
      <c r="K773" s="2"/>
      <c r="L773" s="2"/>
      <c r="M773" s="2"/>
      <c r="N773" s="2"/>
      <c r="O773" s="2"/>
    </row>
    <row r="774" customFormat="false" ht="15.75" hidden="false" customHeight="true" outlineLevel="0" collapsed="false">
      <c r="A774" s="2"/>
      <c r="B774" s="2"/>
      <c r="C774" s="2"/>
      <c r="D774" s="2"/>
      <c r="E774" s="2"/>
      <c r="F774" s="2"/>
      <c r="G774" s="2"/>
      <c r="H774" s="2"/>
      <c r="I774" s="2"/>
      <c r="J774" s="2"/>
      <c r="K774" s="2"/>
      <c r="L774" s="2"/>
      <c r="M774" s="2"/>
      <c r="N774" s="2"/>
      <c r="O774" s="2"/>
    </row>
    <row r="775" customFormat="false" ht="15.75" hidden="false" customHeight="true" outlineLevel="0" collapsed="false">
      <c r="A775" s="2"/>
      <c r="B775" s="2"/>
      <c r="C775" s="2"/>
      <c r="D775" s="2"/>
      <c r="E775" s="2"/>
      <c r="F775" s="2"/>
      <c r="G775" s="2"/>
      <c r="H775" s="2"/>
      <c r="I775" s="2"/>
      <c r="J775" s="2"/>
      <c r="K775" s="2"/>
      <c r="L775" s="2"/>
      <c r="M775" s="2"/>
      <c r="N775" s="2"/>
      <c r="O775" s="2"/>
    </row>
    <row r="776" customFormat="false" ht="15.75" hidden="false" customHeight="true" outlineLevel="0" collapsed="false">
      <c r="A776" s="2"/>
      <c r="B776" s="2"/>
      <c r="C776" s="2"/>
      <c r="D776" s="2"/>
      <c r="E776" s="2"/>
      <c r="F776" s="2"/>
      <c r="G776" s="2"/>
      <c r="H776" s="2"/>
      <c r="I776" s="2"/>
      <c r="J776" s="2"/>
      <c r="K776" s="2"/>
      <c r="L776" s="2"/>
      <c r="M776" s="2"/>
      <c r="N776" s="2"/>
      <c r="O776" s="2"/>
    </row>
    <row r="777" customFormat="false" ht="15.75" hidden="false" customHeight="true" outlineLevel="0" collapsed="false">
      <c r="A777" s="2"/>
      <c r="B777" s="2"/>
      <c r="C777" s="2"/>
      <c r="D777" s="2"/>
      <c r="E777" s="2"/>
      <c r="F777" s="2"/>
      <c r="G777" s="2"/>
      <c r="H777" s="2"/>
      <c r="I777" s="2"/>
      <c r="J777" s="2"/>
      <c r="K777" s="2"/>
      <c r="L777" s="2"/>
      <c r="M777" s="2"/>
      <c r="N777" s="2"/>
      <c r="O777" s="2"/>
    </row>
    <row r="778" customFormat="false" ht="15.75" hidden="false" customHeight="true" outlineLevel="0" collapsed="false">
      <c r="A778" s="2"/>
      <c r="B778" s="2"/>
      <c r="C778" s="2"/>
      <c r="D778" s="2"/>
      <c r="E778" s="2"/>
      <c r="F778" s="2"/>
      <c r="G778" s="2"/>
      <c r="H778" s="2"/>
      <c r="I778" s="2"/>
      <c r="J778" s="2"/>
      <c r="K778" s="2"/>
      <c r="L778" s="2"/>
      <c r="M778" s="2"/>
      <c r="N778" s="2"/>
      <c r="O778" s="2"/>
    </row>
    <row r="779" customFormat="false" ht="15.75" hidden="false" customHeight="true" outlineLevel="0" collapsed="false">
      <c r="A779" s="2"/>
      <c r="B779" s="2"/>
      <c r="C779" s="2"/>
      <c r="D779" s="2"/>
      <c r="E779" s="2"/>
      <c r="F779" s="2"/>
      <c r="G779" s="2"/>
      <c r="H779" s="2"/>
      <c r="I779" s="2"/>
      <c r="J779" s="2"/>
      <c r="K779" s="2"/>
      <c r="L779" s="2"/>
      <c r="M779" s="2"/>
      <c r="N779" s="2"/>
      <c r="O779" s="2"/>
    </row>
    <row r="780" customFormat="false" ht="15.75" hidden="false" customHeight="true" outlineLevel="0" collapsed="false">
      <c r="A780" s="2"/>
      <c r="B780" s="2"/>
      <c r="C780" s="2"/>
      <c r="D780" s="2"/>
      <c r="E780" s="2"/>
      <c r="F780" s="2"/>
      <c r="G780" s="2"/>
      <c r="H780" s="2"/>
      <c r="I780" s="2"/>
      <c r="J780" s="2"/>
      <c r="K780" s="2"/>
      <c r="L780" s="2"/>
      <c r="M780" s="2"/>
      <c r="N780" s="2"/>
      <c r="O780" s="2"/>
    </row>
    <row r="781" customFormat="false" ht="15.75" hidden="false" customHeight="true" outlineLevel="0" collapsed="false">
      <c r="A781" s="2"/>
      <c r="B781" s="2"/>
      <c r="C781" s="2"/>
      <c r="D781" s="2"/>
      <c r="E781" s="2"/>
      <c r="F781" s="2"/>
      <c r="G781" s="2"/>
      <c r="H781" s="2"/>
      <c r="I781" s="2"/>
      <c r="J781" s="2"/>
      <c r="K781" s="2"/>
      <c r="L781" s="2"/>
      <c r="M781" s="2"/>
      <c r="N781" s="2"/>
      <c r="O781" s="2"/>
    </row>
    <row r="782" customFormat="false" ht="15.75" hidden="false" customHeight="true" outlineLevel="0" collapsed="false">
      <c r="A782" s="2"/>
      <c r="B782" s="2"/>
      <c r="C782" s="2"/>
      <c r="D782" s="2"/>
      <c r="E782" s="2"/>
      <c r="F782" s="2"/>
      <c r="G782" s="2"/>
      <c r="H782" s="2"/>
      <c r="I782" s="2"/>
      <c r="J782" s="2"/>
      <c r="K782" s="2"/>
      <c r="L782" s="2"/>
      <c r="M782" s="2"/>
      <c r="N782" s="2"/>
      <c r="O782" s="2"/>
    </row>
    <row r="783" customFormat="false" ht="15.75" hidden="false" customHeight="true" outlineLevel="0" collapsed="false">
      <c r="A783" s="2"/>
      <c r="B783" s="2"/>
      <c r="C783" s="2"/>
      <c r="D783" s="2"/>
      <c r="E783" s="2"/>
      <c r="F783" s="2"/>
      <c r="G783" s="2"/>
      <c r="H783" s="2"/>
      <c r="I783" s="2"/>
      <c r="J783" s="2"/>
      <c r="K783" s="2"/>
      <c r="L783" s="2"/>
      <c r="M783" s="2"/>
      <c r="N783" s="2"/>
      <c r="O783" s="2"/>
    </row>
    <row r="784" customFormat="false" ht="15.75" hidden="false" customHeight="true" outlineLevel="0" collapsed="false">
      <c r="A784" s="2"/>
      <c r="B784" s="2"/>
      <c r="C784" s="2"/>
      <c r="D784" s="2"/>
      <c r="E784" s="2"/>
      <c r="F784" s="2"/>
      <c r="G784" s="2"/>
      <c r="H784" s="2"/>
      <c r="I784" s="2"/>
      <c r="J784" s="2"/>
      <c r="K784" s="2"/>
      <c r="L784" s="2"/>
      <c r="M784" s="2"/>
      <c r="N784" s="2"/>
      <c r="O784" s="2"/>
    </row>
    <row r="785" customFormat="false" ht="15.75" hidden="false" customHeight="true" outlineLevel="0" collapsed="false">
      <c r="A785" s="2"/>
      <c r="B785" s="2"/>
      <c r="C785" s="2"/>
      <c r="D785" s="2"/>
      <c r="E785" s="2"/>
      <c r="F785" s="2"/>
      <c r="G785" s="2"/>
      <c r="H785" s="2"/>
      <c r="I785" s="2"/>
      <c r="J785" s="2"/>
      <c r="K785" s="2"/>
      <c r="L785" s="2"/>
      <c r="M785" s="2"/>
      <c r="N785" s="2"/>
      <c r="O785" s="2"/>
    </row>
    <row r="786" customFormat="false" ht="15.75" hidden="false" customHeight="true" outlineLevel="0" collapsed="false">
      <c r="A786" s="2"/>
      <c r="B786" s="2"/>
      <c r="C786" s="2"/>
      <c r="D786" s="2"/>
      <c r="E786" s="2"/>
      <c r="F786" s="2"/>
      <c r="G786" s="2"/>
      <c r="H786" s="2"/>
      <c r="I786" s="2"/>
      <c r="J786" s="2"/>
      <c r="K786" s="2"/>
      <c r="L786" s="2"/>
      <c r="M786" s="2"/>
      <c r="N786" s="2"/>
      <c r="O786" s="2"/>
    </row>
    <row r="787" customFormat="false" ht="15.75" hidden="false" customHeight="true" outlineLevel="0" collapsed="false">
      <c r="A787" s="2"/>
      <c r="B787" s="2"/>
      <c r="C787" s="2"/>
      <c r="D787" s="2"/>
      <c r="E787" s="2"/>
      <c r="F787" s="2"/>
      <c r="G787" s="2"/>
      <c r="H787" s="2"/>
      <c r="I787" s="2"/>
      <c r="J787" s="2"/>
      <c r="K787" s="2"/>
      <c r="L787" s="2"/>
      <c r="M787" s="2"/>
      <c r="N787" s="2"/>
      <c r="O787" s="2"/>
    </row>
    <row r="788" customFormat="false" ht="15.75" hidden="false" customHeight="true" outlineLevel="0" collapsed="false">
      <c r="A788" s="2"/>
      <c r="B788" s="2"/>
      <c r="C788" s="2"/>
      <c r="D788" s="2"/>
      <c r="E788" s="2"/>
      <c r="F788" s="2"/>
      <c r="G788" s="2"/>
      <c r="H788" s="2"/>
      <c r="I788" s="2"/>
      <c r="J788" s="2"/>
      <c r="K788" s="2"/>
      <c r="L788" s="2"/>
      <c r="M788" s="2"/>
      <c r="N788" s="2"/>
      <c r="O788" s="2"/>
    </row>
    <row r="789" customFormat="false" ht="15.75" hidden="false" customHeight="true" outlineLevel="0" collapsed="false">
      <c r="A789" s="2"/>
      <c r="B789" s="2"/>
      <c r="C789" s="2"/>
      <c r="D789" s="2"/>
      <c r="E789" s="2"/>
      <c r="F789" s="2"/>
      <c r="G789" s="2"/>
      <c r="H789" s="2"/>
      <c r="I789" s="2"/>
      <c r="J789" s="2"/>
      <c r="K789" s="2"/>
      <c r="L789" s="2"/>
      <c r="M789" s="2"/>
      <c r="N789" s="2"/>
      <c r="O789" s="2"/>
    </row>
    <row r="790" customFormat="false" ht="15.75" hidden="false" customHeight="true" outlineLevel="0" collapsed="false">
      <c r="A790" s="2"/>
      <c r="B790" s="2"/>
      <c r="C790" s="2"/>
      <c r="D790" s="2"/>
      <c r="E790" s="2"/>
      <c r="F790" s="2"/>
      <c r="G790" s="2"/>
      <c r="H790" s="2"/>
      <c r="I790" s="2"/>
      <c r="J790" s="2"/>
      <c r="K790" s="2"/>
      <c r="L790" s="2"/>
      <c r="M790" s="2"/>
      <c r="N790" s="2"/>
      <c r="O790" s="2"/>
    </row>
    <row r="791" customFormat="false" ht="15.75" hidden="false" customHeight="true" outlineLevel="0" collapsed="false">
      <c r="A791" s="2"/>
      <c r="B791" s="2"/>
      <c r="C791" s="2"/>
      <c r="D791" s="2"/>
      <c r="E791" s="2"/>
      <c r="F791" s="2"/>
      <c r="G791" s="2"/>
      <c r="H791" s="2"/>
      <c r="I791" s="2"/>
      <c r="J791" s="2"/>
      <c r="K791" s="2"/>
      <c r="L791" s="2"/>
      <c r="M791" s="2"/>
      <c r="N791" s="2"/>
      <c r="O791" s="2"/>
    </row>
    <row r="792" customFormat="false" ht="15.75" hidden="false" customHeight="true" outlineLevel="0" collapsed="false">
      <c r="A792" s="2"/>
      <c r="B792" s="2"/>
      <c r="C792" s="2"/>
      <c r="D792" s="2"/>
      <c r="E792" s="2"/>
      <c r="F792" s="2"/>
      <c r="G792" s="2"/>
      <c r="H792" s="2"/>
      <c r="I792" s="2"/>
      <c r="J792" s="2"/>
      <c r="K792" s="2"/>
      <c r="L792" s="2"/>
      <c r="M792" s="2"/>
      <c r="N792" s="2"/>
      <c r="O792" s="2"/>
    </row>
    <row r="793" customFormat="false" ht="15.75" hidden="false" customHeight="true" outlineLevel="0" collapsed="false">
      <c r="A793" s="2"/>
      <c r="B793" s="2"/>
      <c r="C793" s="2"/>
      <c r="D793" s="2"/>
      <c r="E793" s="2"/>
      <c r="F793" s="2"/>
      <c r="G793" s="2"/>
      <c r="H793" s="2"/>
      <c r="I793" s="2"/>
      <c r="J793" s="2"/>
      <c r="K793" s="2"/>
      <c r="L793" s="2"/>
      <c r="M793" s="2"/>
      <c r="N793" s="2"/>
      <c r="O793" s="2"/>
    </row>
    <row r="794" customFormat="false" ht="15.75" hidden="false" customHeight="true" outlineLevel="0" collapsed="false">
      <c r="A794" s="2"/>
      <c r="B794" s="2"/>
      <c r="C794" s="2"/>
      <c r="D794" s="2"/>
      <c r="E794" s="2"/>
      <c r="F794" s="2"/>
      <c r="G794" s="2"/>
      <c r="H794" s="2"/>
      <c r="I794" s="2"/>
      <c r="J794" s="2"/>
      <c r="K794" s="2"/>
      <c r="L794" s="2"/>
      <c r="M794" s="2"/>
      <c r="N794" s="2"/>
      <c r="O794" s="2"/>
    </row>
    <row r="795" customFormat="false" ht="15.75" hidden="false" customHeight="true" outlineLevel="0" collapsed="false">
      <c r="A795" s="2"/>
      <c r="B795" s="2"/>
      <c r="C795" s="2"/>
      <c r="D795" s="2"/>
      <c r="E795" s="2"/>
      <c r="F795" s="2"/>
      <c r="G795" s="2"/>
      <c r="H795" s="2"/>
      <c r="I795" s="2"/>
      <c r="J795" s="2"/>
      <c r="K795" s="2"/>
      <c r="L795" s="2"/>
      <c r="M795" s="2"/>
      <c r="N795" s="2"/>
      <c r="O795" s="2"/>
    </row>
    <row r="796" customFormat="false" ht="15.75" hidden="false" customHeight="true" outlineLevel="0" collapsed="false">
      <c r="A796" s="2"/>
      <c r="B796" s="2"/>
      <c r="C796" s="2"/>
      <c r="D796" s="2"/>
      <c r="E796" s="2"/>
      <c r="F796" s="2"/>
      <c r="G796" s="2"/>
      <c r="H796" s="2"/>
      <c r="I796" s="2"/>
      <c r="J796" s="2"/>
      <c r="K796" s="2"/>
      <c r="L796" s="2"/>
      <c r="M796" s="2"/>
      <c r="N796" s="2"/>
      <c r="O796" s="2"/>
    </row>
    <row r="797" customFormat="false" ht="15.75" hidden="false" customHeight="true" outlineLevel="0" collapsed="false">
      <c r="A797" s="2"/>
      <c r="B797" s="2"/>
      <c r="C797" s="2"/>
      <c r="D797" s="2"/>
      <c r="E797" s="2"/>
      <c r="F797" s="2"/>
      <c r="G797" s="2"/>
      <c r="H797" s="2"/>
      <c r="I797" s="2"/>
      <c r="J797" s="2"/>
      <c r="K797" s="2"/>
      <c r="L797" s="2"/>
      <c r="M797" s="2"/>
      <c r="N797" s="2"/>
      <c r="O797" s="2"/>
    </row>
    <row r="798" customFormat="false" ht="15.75" hidden="false" customHeight="true" outlineLevel="0" collapsed="false">
      <c r="A798" s="2"/>
      <c r="B798" s="2"/>
      <c r="C798" s="2"/>
      <c r="D798" s="2"/>
      <c r="E798" s="2"/>
      <c r="F798" s="2"/>
      <c r="G798" s="2"/>
      <c r="H798" s="2"/>
      <c r="I798" s="2"/>
      <c r="J798" s="2"/>
      <c r="K798" s="2"/>
      <c r="L798" s="2"/>
      <c r="M798" s="2"/>
      <c r="N798" s="2"/>
      <c r="O798" s="2"/>
    </row>
    <row r="799" customFormat="false" ht="15.75" hidden="false" customHeight="true" outlineLevel="0" collapsed="false">
      <c r="A799" s="2"/>
      <c r="B799" s="2"/>
      <c r="C799" s="2"/>
      <c r="D799" s="2"/>
      <c r="E799" s="2"/>
      <c r="F799" s="2"/>
      <c r="G799" s="2"/>
      <c r="H799" s="2"/>
      <c r="I799" s="2"/>
      <c r="J799" s="2"/>
      <c r="K799" s="2"/>
      <c r="L799" s="2"/>
      <c r="M799" s="2"/>
      <c r="N799" s="2"/>
      <c r="O799" s="2"/>
    </row>
    <row r="800" customFormat="false" ht="15.75" hidden="false" customHeight="true" outlineLevel="0" collapsed="false">
      <c r="A800" s="2"/>
      <c r="B800" s="2"/>
      <c r="C800" s="2"/>
      <c r="D800" s="2"/>
      <c r="E800" s="2"/>
      <c r="F800" s="2"/>
      <c r="G800" s="2"/>
      <c r="H800" s="2"/>
      <c r="I800" s="2"/>
      <c r="J800" s="2"/>
      <c r="K800" s="2"/>
      <c r="L800" s="2"/>
      <c r="M800" s="2"/>
      <c r="N800" s="2"/>
      <c r="O800" s="2"/>
    </row>
    <row r="801" customFormat="false" ht="15.75" hidden="false" customHeight="true" outlineLevel="0" collapsed="false">
      <c r="A801" s="2"/>
      <c r="B801" s="2"/>
      <c r="C801" s="2"/>
      <c r="D801" s="2"/>
      <c r="E801" s="2"/>
      <c r="F801" s="2"/>
      <c r="G801" s="2"/>
      <c r="H801" s="2"/>
      <c r="I801" s="2"/>
      <c r="J801" s="2"/>
      <c r="K801" s="2"/>
      <c r="L801" s="2"/>
      <c r="M801" s="2"/>
      <c r="N801" s="2"/>
      <c r="O801" s="2"/>
    </row>
    <row r="802" customFormat="false" ht="15.75" hidden="false" customHeight="true" outlineLevel="0" collapsed="false">
      <c r="A802" s="2"/>
      <c r="B802" s="2"/>
      <c r="C802" s="2"/>
      <c r="D802" s="2"/>
      <c r="E802" s="2"/>
      <c r="F802" s="2"/>
      <c r="G802" s="2"/>
      <c r="H802" s="2"/>
      <c r="I802" s="2"/>
      <c r="J802" s="2"/>
      <c r="K802" s="2"/>
      <c r="L802" s="2"/>
      <c r="M802" s="2"/>
      <c r="N802" s="2"/>
      <c r="O802" s="2"/>
    </row>
    <row r="803" customFormat="false" ht="15.75" hidden="false" customHeight="true" outlineLevel="0" collapsed="false">
      <c r="A803" s="2"/>
      <c r="B803" s="2"/>
      <c r="C803" s="2"/>
      <c r="D803" s="2"/>
      <c r="E803" s="2"/>
      <c r="F803" s="2"/>
      <c r="G803" s="2"/>
      <c r="H803" s="2"/>
      <c r="I803" s="2"/>
      <c r="J803" s="2"/>
      <c r="K803" s="2"/>
      <c r="L803" s="2"/>
      <c r="M803" s="2"/>
      <c r="N803" s="2"/>
      <c r="O803" s="2"/>
    </row>
    <row r="804" customFormat="false" ht="15.75" hidden="false" customHeight="true" outlineLevel="0" collapsed="false">
      <c r="A804" s="2"/>
      <c r="B804" s="2"/>
      <c r="C804" s="2"/>
      <c r="D804" s="2"/>
      <c r="E804" s="2"/>
      <c r="F804" s="2"/>
      <c r="G804" s="2"/>
      <c r="H804" s="2"/>
      <c r="I804" s="2"/>
      <c r="J804" s="2"/>
      <c r="K804" s="2"/>
      <c r="L804" s="2"/>
      <c r="M804" s="2"/>
      <c r="N804" s="2"/>
      <c r="O804" s="2"/>
    </row>
    <row r="805" customFormat="false" ht="15.75" hidden="false" customHeight="true" outlineLevel="0" collapsed="false">
      <c r="A805" s="2"/>
      <c r="B805" s="2"/>
      <c r="C805" s="2"/>
      <c r="D805" s="2"/>
      <c r="E805" s="2"/>
      <c r="F805" s="2"/>
      <c r="G805" s="2"/>
      <c r="H805" s="2"/>
      <c r="I805" s="2"/>
      <c r="J805" s="2"/>
      <c r="K805" s="2"/>
      <c r="L805" s="2"/>
      <c r="M805" s="2"/>
      <c r="N805" s="2"/>
      <c r="O805" s="2"/>
    </row>
    <row r="806" customFormat="false" ht="15.75" hidden="false" customHeight="true" outlineLevel="0" collapsed="false">
      <c r="A806" s="2"/>
      <c r="B806" s="2"/>
      <c r="C806" s="2"/>
      <c r="D806" s="2"/>
      <c r="E806" s="2"/>
      <c r="F806" s="2"/>
      <c r="G806" s="2"/>
      <c r="H806" s="2"/>
      <c r="I806" s="2"/>
      <c r="J806" s="2"/>
      <c r="K806" s="2"/>
      <c r="L806" s="2"/>
      <c r="M806" s="2"/>
      <c r="N806" s="2"/>
      <c r="O806" s="2"/>
    </row>
    <row r="807" customFormat="false" ht="15.75" hidden="false" customHeight="true" outlineLevel="0" collapsed="false">
      <c r="A807" s="2"/>
      <c r="B807" s="2"/>
      <c r="C807" s="2"/>
      <c r="D807" s="2"/>
      <c r="E807" s="2"/>
      <c r="F807" s="2"/>
      <c r="G807" s="2"/>
      <c r="H807" s="2"/>
      <c r="I807" s="2"/>
      <c r="J807" s="2"/>
      <c r="K807" s="2"/>
      <c r="L807" s="2"/>
      <c r="M807" s="2"/>
      <c r="N807" s="2"/>
      <c r="O807" s="2"/>
    </row>
    <row r="808" customFormat="false" ht="15.75" hidden="false" customHeight="true" outlineLevel="0" collapsed="false">
      <c r="A808" s="2"/>
      <c r="B808" s="2"/>
      <c r="C808" s="2"/>
      <c r="D808" s="2"/>
      <c r="E808" s="2"/>
      <c r="F808" s="2"/>
      <c r="G808" s="2"/>
      <c r="H808" s="2"/>
      <c r="I808" s="2"/>
      <c r="J808" s="2"/>
      <c r="K808" s="2"/>
      <c r="L808" s="2"/>
      <c r="M808" s="2"/>
      <c r="N808" s="2"/>
      <c r="O808" s="2"/>
    </row>
    <row r="809" customFormat="false" ht="15.75" hidden="false" customHeight="true" outlineLevel="0" collapsed="false">
      <c r="A809" s="2"/>
      <c r="B809" s="2"/>
      <c r="C809" s="2"/>
      <c r="D809" s="2"/>
      <c r="E809" s="2"/>
      <c r="F809" s="2"/>
      <c r="G809" s="2"/>
      <c r="H809" s="2"/>
      <c r="I809" s="2"/>
      <c r="J809" s="2"/>
      <c r="K809" s="2"/>
      <c r="L809" s="2"/>
      <c r="M809" s="2"/>
      <c r="N809" s="2"/>
      <c r="O809" s="2"/>
    </row>
    <row r="810" customFormat="false" ht="15.75" hidden="false" customHeight="true" outlineLevel="0" collapsed="false">
      <c r="A810" s="2"/>
      <c r="B810" s="2"/>
      <c r="C810" s="2"/>
      <c r="D810" s="2"/>
      <c r="E810" s="2"/>
      <c r="F810" s="2"/>
      <c r="G810" s="2"/>
      <c r="H810" s="2"/>
      <c r="I810" s="2"/>
      <c r="J810" s="2"/>
      <c r="K810" s="2"/>
      <c r="L810" s="2"/>
      <c r="M810" s="2"/>
      <c r="N810" s="2"/>
      <c r="O810" s="2"/>
    </row>
    <row r="811" customFormat="false" ht="15.75" hidden="false" customHeight="true" outlineLevel="0" collapsed="false">
      <c r="A811" s="2"/>
      <c r="B811" s="2"/>
      <c r="C811" s="2"/>
      <c r="D811" s="2"/>
      <c r="E811" s="2"/>
      <c r="F811" s="2"/>
      <c r="G811" s="2"/>
      <c r="H811" s="2"/>
      <c r="I811" s="2"/>
      <c r="J811" s="2"/>
      <c r="K811" s="2"/>
      <c r="L811" s="2"/>
      <c r="M811" s="2"/>
      <c r="N811" s="2"/>
      <c r="O811" s="2"/>
    </row>
    <row r="812" customFormat="false" ht="15.75" hidden="false" customHeight="true" outlineLevel="0" collapsed="false">
      <c r="A812" s="2"/>
      <c r="B812" s="2"/>
      <c r="C812" s="2"/>
      <c r="D812" s="2"/>
      <c r="E812" s="2"/>
      <c r="F812" s="2"/>
      <c r="G812" s="2"/>
      <c r="H812" s="2"/>
      <c r="I812" s="2"/>
      <c r="J812" s="2"/>
      <c r="K812" s="2"/>
      <c r="L812" s="2"/>
      <c r="M812" s="2"/>
      <c r="N812" s="2"/>
      <c r="O812" s="2"/>
    </row>
    <row r="813" customFormat="false" ht="15.75" hidden="false" customHeight="true" outlineLevel="0" collapsed="false">
      <c r="A813" s="2"/>
      <c r="B813" s="2"/>
      <c r="C813" s="2"/>
      <c r="D813" s="2"/>
      <c r="E813" s="2"/>
      <c r="F813" s="2"/>
      <c r="G813" s="2"/>
      <c r="H813" s="2"/>
      <c r="I813" s="2"/>
      <c r="J813" s="2"/>
      <c r="K813" s="2"/>
      <c r="L813" s="2"/>
      <c r="M813" s="2"/>
      <c r="N813" s="2"/>
      <c r="O813" s="2"/>
    </row>
    <row r="814" customFormat="false" ht="15.75" hidden="false" customHeight="true" outlineLevel="0" collapsed="false">
      <c r="A814" s="2"/>
      <c r="B814" s="2"/>
      <c r="C814" s="2"/>
      <c r="D814" s="2"/>
      <c r="E814" s="2"/>
      <c r="F814" s="2"/>
      <c r="G814" s="2"/>
      <c r="H814" s="2"/>
      <c r="I814" s="2"/>
      <c r="J814" s="2"/>
      <c r="K814" s="2"/>
      <c r="L814" s="2"/>
      <c r="M814" s="2"/>
      <c r="N814" s="2"/>
      <c r="O814" s="2"/>
    </row>
    <row r="815" customFormat="false" ht="15.75" hidden="false" customHeight="true" outlineLevel="0" collapsed="false">
      <c r="A815" s="2"/>
      <c r="B815" s="2"/>
      <c r="C815" s="2"/>
      <c r="D815" s="2"/>
      <c r="E815" s="2"/>
      <c r="F815" s="2"/>
      <c r="G815" s="2"/>
      <c r="H815" s="2"/>
      <c r="I815" s="2"/>
      <c r="J815" s="2"/>
      <c r="K815" s="2"/>
      <c r="L815" s="2"/>
      <c r="M815" s="2"/>
      <c r="N815" s="2"/>
      <c r="O815" s="2"/>
    </row>
    <row r="816" customFormat="false" ht="15.75" hidden="false" customHeight="true" outlineLevel="0" collapsed="false">
      <c r="A816" s="2"/>
      <c r="B816" s="2"/>
      <c r="C816" s="2"/>
      <c r="D816" s="2"/>
      <c r="E816" s="2"/>
      <c r="F816" s="2"/>
      <c r="G816" s="2"/>
      <c r="H816" s="2"/>
      <c r="I816" s="2"/>
      <c r="J816" s="2"/>
      <c r="K816" s="2"/>
      <c r="L816" s="2"/>
      <c r="M816" s="2"/>
      <c r="N816" s="2"/>
      <c r="O816" s="2"/>
    </row>
    <row r="817" customFormat="false" ht="15.75" hidden="false" customHeight="true" outlineLevel="0" collapsed="false">
      <c r="A817" s="2"/>
      <c r="B817" s="2"/>
      <c r="C817" s="2"/>
      <c r="D817" s="2"/>
      <c r="E817" s="2"/>
      <c r="F817" s="2"/>
      <c r="G817" s="2"/>
      <c r="H817" s="2"/>
      <c r="I817" s="2"/>
      <c r="J817" s="2"/>
      <c r="K817" s="2"/>
      <c r="L817" s="2"/>
      <c r="M817" s="2"/>
      <c r="N817" s="2"/>
      <c r="O817" s="2"/>
    </row>
    <row r="818" customFormat="false" ht="15.75" hidden="false" customHeight="true" outlineLevel="0" collapsed="false">
      <c r="A818" s="2"/>
      <c r="B818" s="2"/>
      <c r="C818" s="2"/>
      <c r="D818" s="2"/>
      <c r="E818" s="2"/>
      <c r="F818" s="2"/>
      <c r="G818" s="2"/>
      <c r="H818" s="2"/>
      <c r="I818" s="2"/>
      <c r="J818" s="2"/>
      <c r="K818" s="2"/>
      <c r="L818" s="2"/>
      <c r="M818" s="2"/>
      <c r="N818" s="2"/>
      <c r="O818" s="2"/>
    </row>
    <row r="819" customFormat="false" ht="15.75" hidden="false" customHeight="true" outlineLevel="0" collapsed="false">
      <c r="A819" s="2"/>
      <c r="B819" s="2"/>
      <c r="C819" s="2"/>
      <c r="D819" s="2"/>
      <c r="E819" s="2"/>
      <c r="F819" s="2"/>
      <c r="G819" s="2"/>
      <c r="H819" s="2"/>
      <c r="I819" s="2"/>
      <c r="J819" s="2"/>
      <c r="K819" s="2"/>
      <c r="L819" s="2"/>
      <c r="M819" s="2"/>
      <c r="N819" s="2"/>
      <c r="O819" s="2"/>
    </row>
    <row r="820" customFormat="false" ht="15.75" hidden="false" customHeight="true" outlineLevel="0" collapsed="false">
      <c r="A820" s="2"/>
      <c r="B820" s="2"/>
      <c r="C820" s="2"/>
      <c r="D820" s="2"/>
      <c r="E820" s="2"/>
      <c r="F820" s="2"/>
      <c r="G820" s="2"/>
      <c r="H820" s="2"/>
      <c r="I820" s="2"/>
      <c r="J820" s="2"/>
      <c r="K820" s="2"/>
      <c r="L820" s="2"/>
      <c r="M820" s="2"/>
      <c r="N820" s="2"/>
      <c r="O820" s="2"/>
    </row>
    <row r="821" customFormat="false" ht="15.75" hidden="false" customHeight="true" outlineLevel="0" collapsed="false">
      <c r="A821" s="2"/>
      <c r="B821" s="2"/>
      <c r="C821" s="2"/>
      <c r="D821" s="2"/>
      <c r="E821" s="2"/>
      <c r="F821" s="2"/>
      <c r="G821" s="2"/>
      <c r="H821" s="2"/>
      <c r="I821" s="2"/>
      <c r="J821" s="2"/>
      <c r="K821" s="2"/>
      <c r="L821" s="2"/>
      <c r="M821" s="2"/>
      <c r="N821" s="2"/>
      <c r="O821" s="2"/>
    </row>
    <row r="822" customFormat="false" ht="15.75" hidden="false" customHeight="true" outlineLevel="0" collapsed="false">
      <c r="A822" s="2"/>
      <c r="B822" s="2"/>
      <c r="C822" s="2"/>
      <c r="D822" s="2"/>
      <c r="E822" s="2"/>
      <c r="F822" s="2"/>
      <c r="G822" s="2"/>
      <c r="H822" s="2"/>
      <c r="I822" s="2"/>
      <c r="J822" s="2"/>
      <c r="K822" s="2"/>
      <c r="L822" s="2"/>
      <c r="M822" s="2"/>
      <c r="N822" s="2"/>
      <c r="O822" s="2"/>
    </row>
    <row r="823" customFormat="false" ht="15.75" hidden="false" customHeight="true" outlineLevel="0" collapsed="false">
      <c r="A823" s="2"/>
      <c r="B823" s="2"/>
      <c r="C823" s="2"/>
      <c r="D823" s="2"/>
      <c r="E823" s="2"/>
      <c r="F823" s="2"/>
      <c r="G823" s="2"/>
      <c r="H823" s="2"/>
      <c r="I823" s="2"/>
      <c r="J823" s="2"/>
      <c r="K823" s="2"/>
      <c r="L823" s="2"/>
      <c r="M823" s="2"/>
      <c r="N823" s="2"/>
      <c r="O823" s="2"/>
    </row>
    <row r="824" customFormat="false" ht="15.75" hidden="false" customHeight="true" outlineLevel="0" collapsed="false">
      <c r="A824" s="2"/>
      <c r="B824" s="2"/>
      <c r="C824" s="2"/>
      <c r="D824" s="2"/>
      <c r="E824" s="2"/>
      <c r="F824" s="2"/>
      <c r="G824" s="2"/>
      <c r="H824" s="2"/>
      <c r="I824" s="2"/>
      <c r="J824" s="2"/>
      <c r="K824" s="2"/>
      <c r="L824" s="2"/>
      <c r="M824" s="2"/>
      <c r="N824" s="2"/>
      <c r="O824" s="2"/>
    </row>
    <row r="825" customFormat="false" ht="15.75" hidden="false" customHeight="true" outlineLevel="0" collapsed="false">
      <c r="A825" s="2"/>
      <c r="B825" s="2"/>
      <c r="C825" s="2"/>
      <c r="D825" s="2"/>
      <c r="E825" s="2"/>
      <c r="F825" s="2"/>
      <c r="G825" s="2"/>
      <c r="H825" s="2"/>
      <c r="I825" s="2"/>
      <c r="J825" s="2"/>
      <c r="K825" s="2"/>
      <c r="L825" s="2"/>
      <c r="M825" s="2"/>
      <c r="N825" s="2"/>
      <c r="O825" s="2"/>
    </row>
    <row r="826" customFormat="false" ht="15.75" hidden="false" customHeight="true" outlineLevel="0" collapsed="false">
      <c r="A826" s="2"/>
      <c r="B826" s="2"/>
      <c r="C826" s="2"/>
      <c r="D826" s="2"/>
      <c r="E826" s="2"/>
      <c r="F826" s="2"/>
      <c r="G826" s="2"/>
      <c r="H826" s="2"/>
      <c r="I826" s="2"/>
      <c r="J826" s="2"/>
      <c r="K826" s="2"/>
      <c r="L826" s="2"/>
      <c r="M826" s="2"/>
      <c r="N826" s="2"/>
      <c r="O826" s="2"/>
    </row>
    <row r="827" customFormat="false" ht="15.75" hidden="false" customHeight="true" outlineLevel="0" collapsed="false">
      <c r="A827" s="2"/>
      <c r="B827" s="2"/>
      <c r="C827" s="2"/>
      <c r="D827" s="2"/>
      <c r="E827" s="2"/>
      <c r="F827" s="2"/>
      <c r="G827" s="2"/>
      <c r="H827" s="2"/>
      <c r="I827" s="2"/>
      <c r="J827" s="2"/>
      <c r="K827" s="2"/>
      <c r="L827" s="2"/>
      <c r="M827" s="2"/>
      <c r="N827" s="2"/>
      <c r="O827" s="2"/>
    </row>
    <row r="828" customFormat="false" ht="15.75" hidden="false" customHeight="true" outlineLevel="0" collapsed="false">
      <c r="A828" s="2"/>
      <c r="B828" s="2"/>
      <c r="C828" s="2"/>
      <c r="D828" s="2"/>
      <c r="E828" s="2"/>
      <c r="F828" s="2"/>
      <c r="G828" s="2"/>
      <c r="H828" s="2"/>
      <c r="I828" s="2"/>
      <c r="J828" s="2"/>
      <c r="K828" s="2"/>
      <c r="L828" s="2"/>
      <c r="M828" s="2"/>
      <c r="N828" s="2"/>
      <c r="O828" s="2"/>
    </row>
    <row r="829" customFormat="false" ht="15.75" hidden="false" customHeight="true" outlineLevel="0" collapsed="false">
      <c r="A829" s="2"/>
      <c r="B829" s="2"/>
      <c r="C829" s="2"/>
      <c r="D829" s="2"/>
      <c r="E829" s="2"/>
      <c r="F829" s="2"/>
      <c r="G829" s="2"/>
      <c r="H829" s="2"/>
      <c r="I829" s="2"/>
      <c r="J829" s="2"/>
      <c r="K829" s="2"/>
      <c r="L829" s="2"/>
      <c r="M829" s="2"/>
      <c r="N829" s="2"/>
      <c r="O829" s="2"/>
    </row>
    <row r="830" customFormat="false" ht="15.75" hidden="false" customHeight="true" outlineLevel="0" collapsed="false">
      <c r="A830" s="2"/>
      <c r="B830" s="2"/>
      <c r="C830" s="2"/>
      <c r="D830" s="2"/>
      <c r="E830" s="2"/>
      <c r="F830" s="2"/>
      <c r="G830" s="2"/>
      <c r="H830" s="2"/>
      <c r="I830" s="2"/>
      <c r="J830" s="2"/>
      <c r="K830" s="2"/>
      <c r="L830" s="2"/>
      <c r="M830" s="2"/>
      <c r="N830" s="2"/>
      <c r="O830" s="2"/>
    </row>
    <row r="831" customFormat="false" ht="15.75" hidden="false" customHeight="true" outlineLevel="0" collapsed="false">
      <c r="A831" s="2"/>
      <c r="B831" s="2"/>
      <c r="C831" s="2"/>
      <c r="D831" s="2"/>
      <c r="E831" s="2"/>
      <c r="F831" s="2"/>
      <c r="G831" s="2"/>
      <c r="H831" s="2"/>
      <c r="I831" s="2"/>
      <c r="J831" s="2"/>
      <c r="K831" s="2"/>
      <c r="L831" s="2"/>
      <c r="M831" s="2"/>
      <c r="N831" s="2"/>
      <c r="O831" s="2"/>
    </row>
    <row r="832" customFormat="false" ht="15.75" hidden="false" customHeight="true" outlineLevel="0" collapsed="false">
      <c r="A832" s="2"/>
      <c r="B832" s="2"/>
      <c r="C832" s="2"/>
      <c r="D832" s="2"/>
      <c r="E832" s="2"/>
      <c r="F832" s="2"/>
      <c r="G832" s="2"/>
      <c r="H832" s="2"/>
      <c r="I832" s="2"/>
      <c r="J832" s="2"/>
      <c r="K832" s="2"/>
      <c r="L832" s="2"/>
      <c r="M832" s="2"/>
      <c r="N832" s="2"/>
      <c r="O832" s="2"/>
    </row>
    <row r="833" customFormat="false" ht="15.75" hidden="false" customHeight="true" outlineLevel="0" collapsed="false">
      <c r="A833" s="2"/>
      <c r="B833" s="2"/>
      <c r="C833" s="2"/>
      <c r="D833" s="2"/>
      <c r="E833" s="2"/>
      <c r="F833" s="2"/>
      <c r="G833" s="2"/>
      <c r="H833" s="2"/>
      <c r="I833" s="2"/>
      <c r="J833" s="2"/>
      <c r="K833" s="2"/>
      <c r="L833" s="2"/>
      <c r="M833" s="2"/>
      <c r="N833" s="2"/>
      <c r="O833" s="2"/>
    </row>
    <row r="834" customFormat="false" ht="15.75" hidden="false" customHeight="true" outlineLevel="0" collapsed="false">
      <c r="A834" s="2"/>
      <c r="B834" s="2"/>
      <c r="C834" s="2"/>
      <c r="D834" s="2"/>
      <c r="E834" s="2"/>
      <c r="F834" s="2"/>
      <c r="G834" s="2"/>
      <c r="H834" s="2"/>
      <c r="I834" s="2"/>
      <c r="J834" s="2"/>
      <c r="K834" s="2"/>
      <c r="L834" s="2"/>
      <c r="M834" s="2"/>
      <c r="N834" s="2"/>
      <c r="O834" s="2"/>
    </row>
    <row r="835" customFormat="false" ht="15.75" hidden="false" customHeight="true" outlineLevel="0" collapsed="false">
      <c r="A835" s="2"/>
      <c r="B835" s="2"/>
      <c r="C835" s="2"/>
      <c r="D835" s="2"/>
      <c r="E835" s="2"/>
      <c r="F835" s="2"/>
      <c r="G835" s="2"/>
      <c r="H835" s="2"/>
      <c r="I835" s="2"/>
      <c r="J835" s="2"/>
      <c r="K835" s="2"/>
      <c r="L835" s="2"/>
      <c r="M835" s="2"/>
      <c r="N835" s="2"/>
      <c r="O835" s="2"/>
    </row>
    <row r="836" customFormat="false" ht="15.75" hidden="false" customHeight="true" outlineLevel="0" collapsed="false">
      <c r="A836" s="2"/>
      <c r="B836" s="2"/>
      <c r="C836" s="2"/>
      <c r="D836" s="2"/>
      <c r="E836" s="2"/>
      <c r="F836" s="2"/>
      <c r="G836" s="2"/>
      <c r="H836" s="2"/>
      <c r="I836" s="2"/>
      <c r="J836" s="2"/>
      <c r="K836" s="2"/>
      <c r="L836" s="2"/>
      <c r="M836" s="2"/>
      <c r="N836" s="2"/>
      <c r="O836" s="2"/>
    </row>
    <row r="837" customFormat="false" ht="15.75" hidden="false" customHeight="true" outlineLevel="0" collapsed="false">
      <c r="A837" s="2"/>
      <c r="B837" s="2"/>
      <c r="C837" s="2"/>
      <c r="D837" s="2"/>
      <c r="E837" s="2"/>
      <c r="F837" s="2"/>
      <c r="G837" s="2"/>
      <c r="H837" s="2"/>
      <c r="I837" s="2"/>
      <c r="J837" s="2"/>
      <c r="K837" s="2"/>
      <c r="L837" s="2"/>
      <c r="M837" s="2"/>
      <c r="N837" s="2"/>
      <c r="O837" s="2"/>
    </row>
    <row r="838" customFormat="false" ht="15.75" hidden="false" customHeight="true" outlineLevel="0" collapsed="false">
      <c r="A838" s="2"/>
      <c r="B838" s="2"/>
      <c r="C838" s="2"/>
      <c r="D838" s="2"/>
      <c r="E838" s="2"/>
      <c r="F838" s="2"/>
      <c r="G838" s="2"/>
      <c r="H838" s="2"/>
      <c r="I838" s="2"/>
      <c r="J838" s="2"/>
      <c r="K838" s="2"/>
      <c r="L838" s="2"/>
      <c r="M838" s="2"/>
      <c r="N838" s="2"/>
      <c r="O838" s="2"/>
    </row>
    <row r="839" customFormat="false" ht="15.75" hidden="false" customHeight="true" outlineLevel="0" collapsed="false">
      <c r="A839" s="2"/>
      <c r="B839" s="2"/>
      <c r="C839" s="2"/>
      <c r="D839" s="2"/>
      <c r="E839" s="2"/>
      <c r="F839" s="2"/>
      <c r="G839" s="2"/>
      <c r="H839" s="2"/>
      <c r="I839" s="2"/>
      <c r="J839" s="2"/>
      <c r="K839" s="2"/>
      <c r="L839" s="2"/>
      <c r="M839" s="2"/>
      <c r="N839" s="2"/>
      <c r="O839" s="2"/>
    </row>
    <row r="840" customFormat="false" ht="15.75" hidden="false" customHeight="true" outlineLevel="0" collapsed="false">
      <c r="A840" s="2"/>
      <c r="B840" s="2"/>
      <c r="C840" s="2"/>
      <c r="D840" s="2"/>
      <c r="E840" s="2"/>
      <c r="F840" s="2"/>
      <c r="G840" s="2"/>
      <c r="H840" s="2"/>
      <c r="I840" s="2"/>
      <c r="J840" s="2"/>
      <c r="K840" s="2"/>
      <c r="L840" s="2"/>
      <c r="M840" s="2"/>
      <c r="N840" s="2"/>
      <c r="O840" s="2"/>
    </row>
    <row r="841" customFormat="false" ht="15.75" hidden="false" customHeight="true" outlineLevel="0" collapsed="false">
      <c r="A841" s="2"/>
      <c r="B841" s="2"/>
      <c r="C841" s="2"/>
      <c r="D841" s="2"/>
      <c r="E841" s="2"/>
      <c r="F841" s="2"/>
      <c r="G841" s="2"/>
      <c r="H841" s="2"/>
      <c r="I841" s="2"/>
      <c r="J841" s="2"/>
      <c r="K841" s="2"/>
      <c r="L841" s="2"/>
      <c r="M841" s="2"/>
      <c r="N841" s="2"/>
      <c r="O841" s="2"/>
    </row>
    <row r="842" customFormat="false" ht="15.75" hidden="false" customHeight="true" outlineLevel="0" collapsed="false">
      <c r="A842" s="2"/>
      <c r="B842" s="2"/>
      <c r="C842" s="2"/>
      <c r="D842" s="2"/>
      <c r="E842" s="2"/>
      <c r="F842" s="2"/>
      <c r="G842" s="2"/>
      <c r="H842" s="2"/>
      <c r="I842" s="2"/>
      <c r="J842" s="2"/>
      <c r="K842" s="2"/>
      <c r="L842" s="2"/>
      <c r="M842" s="2"/>
      <c r="N842" s="2"/>
      <c r="O842" s="2"/>
    </row>
    <row r="843" customFormat="false" ht="15.75" hidden="false" customHeight="true" outlineLevel="0" collapsed="false">
      <c r="A843" s="2"/>
      <c r="B843" s="2"/>
      <c r="C843" s="2"/>
      <c r="D843" s="2"/>
      <c r="E843" s="2"/>
      <c r="F843" s="2"/>
      <c r="G843" s="2"/>
      <c r="H843" s="2"/>
      <c r="I843" s="2"/>
      <c r="J843" s="2"/>
      <c r="K843" s="2"/>
      <c r="L843" s="2"/>
      <c r="M843" s="2"/>
      <c r="N843" s="2"/>
      <c r="O843" s="2"/>
    </row>
    <row r="844" customFormat="false" ht="15.75" hidden="false" customHeight="true" outlineLevel="0" collapsed="false">
      <c r="A844" s="2"/>
      <c r="B844" s="2"/>
      <c r="C844" s="2"/>
      <c r="D844" s="2"/>
      <c r="E844" s="2"/>
      <c r="F844" s="2"/>
      <c r="G844" s="2"/>
      <c r="H844" s="2"/>
      <c r="I844" s="2"/>
      <c r="J844" s="2"/>
      <c r="K844" s="2"/>
      <c r="L844" s="2"/>
      <c r="M844" s="2"/>
      <c r="N844" s="2"/>
      <c r="O844" s="2"/>
    </row>
    <row r="845" customFormat="false" ht="15.75" hidden="false" customHeight="true" outlineLevel="0" collapsed="false">
      <c r="A845" s="2"/>
      <c r="B845" s="2"/>
      <c r="C845" s="2"/>
      <c r="D845" s="2"/>
      <c r="E845" s="2"/>
      <c r="F845" s="2"/>
      <c r="G845" s="2"/>
      <c r="H845" s="2"/>
      <c r="I845" s="2"/>
      <c r="J845" s="2"/>
      <c r="K845" s="2"/>
      <c r="L845" s="2"/>
      <c r="M845" s="2"/>
      <c r="N845" s="2"/>
      <c r="O845" s="2"/>
    </row>
    <row r="846" customFormat="false" ht="15.75" hidden="false" customHeight="true" outlineLevel="0" collapsed="false">
      <c r="A846" s="2"/>
      <c r="B846" s="2"/>
      <c r="C846" s="2"/>
      <c r="D846" s="2"/>
      <c r="E846" s="2"/>
      <c r="F846" s="2"/>
      <c r="G846" s="2"/>
      <c r="H846" s="2"/>
      <c r="I846" s="2"/>
      <c r="J846" s="2"/>
      <c r="K846" s="2"/>
      <c r="L846" s="2"/>
      <c r="M846" s="2"/>
      <c r="N846" s="2"/>
      <c r="O846" s="2"/>
    </row>
    <row r="847" customFormat="false" ht="15.75" hidden="false" customHeight="true" outlineLevel="0" collapsed="false">
      <c r="A847" s="2"/>
      <c r="B847" s="2"/>
      <c r="C847" s="2"/>
      <c r="D847" s="2"/>
      <c r="E847" s="2"/>
      <c r="F847" s="2"/>
      <c r="G847" s="2"/>
      <c r="H847" s="2"/>
      <c r="I847" s="2"/>
      <c r="J847" s="2"/>
      <c r="K847" s="2"/>
      <c r="L847" s="2"/>
      <c r="M847" s="2"/>
      <c r="N847" s="2"/>
      <c r="O847" s="2"/>
    </row>
    <row r="848" customFormat="false" ht="15.75" hidden="false" customHeight="true" outlineLevel="0" collapsed="false">
      <c r="A848" s="2"/>
      <c r="B848" s="2"/>
      <c r="C848" s="2"/>
      <c r="D848" s="2"/>
      <c r="E848" s="2"/>
      <c r="F848" s="2"/>
      <c r="G848" s="2"/>
      <c r="H848" s="2"/>
      <c r="I848" s="2"/>
      <c r="J848" s="2"/>
      <c r="K848" s="2"/>
      <c r="L848" s="2"/>
      <c r="M848" s="2"/>
      <c r="N848" s="2"/>
      <c r="O848" s="2"/>
    </row>
    <row r="849" customFormat="false" ht="15.75" hidden="false" customHeight="true" outlineLevel="0" collapsed="false">
      <c r="A849" s="2"/>
      <c r="B849" s="2"/>
      <c r="C849" s="2"/>
      <c r="D849" s="2"/>
      <c r="E849" s="2"/>
      <c r="F849" s="2"/>
      <c r="G849" s="2"/>
      <c r="H849" s="2"/>
      <c r="I849" s="2"/>
      <c r="J849" s="2"/>
      <c r="K849" s="2"/>
      <c r="L849" s="2"/>
      <c r="M849" s="2"/>
      <c r="N849" s="2"/>
      <c r="O849" s="2"/>
    </row>
    <row r="850" customFormat="false" ht="15.75" hidden="false" customHeight="true" outlineLevel="0" collapsed="false">
      <c r="A850" s="2"/>
      <c r="B850" s="2"/>
      <c r="C850" s="2"/>
      <c r="D850" s="2"/>
      <c r="E850" s="2"/>
      <c r="F850" s="2"/>
      <c r="G850" s="2"/>
      <c r="H850" s="2"/>
      <c r="I850" s="2"/>
      <c r="J850" s="2"/>
      <c r="K850" s="2"/>
      <c r="L850" s="2"/>
      <c r="M850" s="2"/>
      <c r="N850" s="2"/>
      <c r="O850" s="2"/>
    </row>
    <row r="851" customFormat="false" ht="15.75" hidden="false" customHeight="true" outlineLevel="0" collapsed="false">
      <c r="A851" s="2"/>
      <c r="B851" s="2"/>
      <c r="C851" s="2"/>
      <c r="D851" s="2"/>
      <c r="E851" s="2"/>
      <c r="F851" s="2"/>
      <c r="G851" s="2"/>
      <c r="H851" s="2"/>
      <c r="I851" s="2"/>
      <c r="J851" s="2"/>
      <c r="K851" s="2"/>
      <c r="L851" s="2"/>
      <c r="M851" s="2"/>
      <c r="N851" s="2"/>
      <c r="O851" s="2"/>
    </row>
    <row r="852" customFormat="false" ht="15.75" hidden="false" customHeight="true" outlineLevel="0" collapsed="false">
      <c r="A852" s="2"/>
      <c r="B852" s="2"/>
      <c r="C852" s="2"/>
      <c r="D852" s="2"/>
      <c r="E852" s="2"/>
      <c r="F852" s="2"/>
      <c r="G852" s="2"/>
      <c r="H852" s="2"/>
      <c r="I852" s="2"/>
      <c r="J852" s="2"/>
      <c r="K852" s="2"/>
      <c r="L852" s="2"/>
      <c r="M852" s="2"/>
      <c r="N852" s="2"/>
      <c r="O852" s="2"/>
    </row>
    <row r="853" customFormat="false" ht="15.75" hidden="false" customHeight="true" outlineLevel="0" collapsed="false">
      <c r="A853" s="2"/>
      <c r="B853" s="2"/>
      <c r="C853" s="2"/>
      <c r="D853" s="2"/>
      <c r="E853" s="2"/>
      <c r="F853" s="2"/>
      <c r="G853" s="2"/>
      <c r="H853" s="2"/>
      <c r="I853" s="2"/>
      <c r="J853" s="2"/>
      <c r="K853" s="2"/>
      <c r="L853" s="2"/>
      <c r="M853" s="2"/>
      <c r="N853" s="2"/>
      <c r="O853" s="2"/>
    </row>
    <row r="854" customFormat="false" ht="15.75" hidden="false" customHeight="true" outlineLevel="0" collapsed="false">
      <c r="A854" s="2"/>
      <c r="B854" s="2"/>
      <c r="C854" s="2"/>
      <c r="D854" s="2"/>
      <c r="E854" s="2"/>
      <c r="F854" s="2"/>
      <c r="G854" s="2"/>
      <c r="H854" s="2"/>
      <c r="I854" s="2"/>
      <c r="J854" s="2"/>
      <c r="K854" s="2"/>
      <c r="L854" s="2"/>
      <c r="M854" s="2"/>
      <c r="N854" s="2"/>
      <c r="O854" s="2"/>
    </row>
    <row r="855" customFormat="false" ht="15.75" hidden="false" customHeight="true" outlineLevel="0" collapsed="false">
      <c r="A855" s="2"/>
      <c r="B855" s="2"/>
      <c r="C855" s="2"/>
      <c r="D855" s="2"/>
      <c r="E855" s="2"/>
      <c r="F855" s="2"/>
      <c r="G855" s="2"/>
      <c r="H855" s="2"/>
      <c r="I855" s="2"/>
      <c r="J855" s="2"/>
      <c r="K855" s="2"/>
      <c r="L855" s="2"/>
      <c r="M855" s="2"/>
      <c r="N855" s="2"/>
      <c r="O855" s="2"/>
    </row>
    <row r="856" customFormat="false" ht="15.75" hidden="false" customHeight="true" outlineLevel="0" collapsed="false">
      <c r="A856" s="2"/>
      <c r="B856" s="2"/>
      <c r="C856" s="2"/>
      <c r="D856" s="2"/>
      <c r="E856" s="2"/>
      <c r="F856" s="2"/>
      <c r="G856" s="2"/>
      <c r="H856" s="2"/>
      <c r="I856" s="2"/>
      <c r="J856" s="2"/>
      <c r="K856" s="2"/>
      <c r="L856" s="2"/>
      <c r="M856" s="2"/>
      <c r="N856" s="2"/>
      <c r="O856" s="2"/>
    </row>
    <row r="857" customFormat="false" ht="15.75" hidden="false" customHeight="true" outlineLevel="0" collapsed="false">
      <c r="A857" s="2"/>
      <c r="B857" s="2"/>
      <c r="C857" s="2"/>
      <c r="D857" s="2"/>
      <c r="E857" s="2"/>
      <c r="F857" s="2"/>
      <c r="G857" s="2"/>
      <c r="H857" s="2"/>
      <c r="I857" s="2"/>
      <c r="J857" s="2"/>
      <c r="K857" s="2"/>
      <c r="L857" s="2"/>
      <c r="M857" s="2"/>
      <c r="N857" s="2"/>
      <c r="O857" s="2"/>
    </row>
    <row r="858" customFormat="false" ht="15.75" hidden="false" customHeight="true" outlineLevel="0" collapsed="false">
      <c r="A858" s="2"/>
      <c r="B858" s="2"/>
      <c r="C858" s="2"/>
      <c r="D858" s="2"/>
      <c r="E858" s="2"/>
      <c r="F858" s="2"/>
      <c r="G858" s="2"/>
      <c r="H858" s="2"/>
      <c r="I858" s="2"/>
      <c r="J858" s="2"/>
      <c r="K858" s="2"/>
      <c r="L858" s="2"/>
      <c r="M858" s="2"/>
      <c r="N858" s="2"/>
      <c r="O858" s="2"/>
    </row>
    <row r="859" customFormat="false" ht="15.75" hidden="false" customHeight="true" outlineLevel="0" collapsed="false">
      <c r="A859" s="2"/>
      <c r="B859" s="2"/>
      <c r="C859" s="2"/>
      <c r="D859" s="2"/>
      <c r="E859" s="2"/>
      <c r="F859" s="2"/>
      <c r="G859" s="2"/>
      <c r="H859" s="2"/>
      <c r="I859" s="2"/>
      <c r="J859" s="2"/>
      <c r="K859" s="2"/>
      <c r="L859" s="2"/>
      <c r="M859" s="2"/>
      <c r="N859" s="2"/>
      <c r="O859" s="2"/>
    </row>
    <row r="860" customFormat="false" ht="15.75" hidden="false" customHeight="true" outlineLevel="0" collapsed="false">
      <c r="A860" s="2"/>
      <c r="B860" s="2"/>
      <c r="C860" s="2"/>
      <c r="D860" s="2"/>
      <c r="E860" s="2"/>
      <c r="F860" s="2"/>
      <c r="G860" s="2"/>
      <c r="H860" s="2"/>
      <c r="I860" s="2"/>
      <c r="J860" s="2"/>
      <c r="K860" s="2"/>
      <c r="L860" s="2"/>
      <c r="M860" s="2"/>
      <c r="N860" s="2"/>
      <c r="O860" s="2"/>
    </row>
    <row r="861" customFormat="false" ht="15.75" hidden="false" customHeight="true" outlineLevel="0" collapsed="false">
      <c r="A861" s="2"/>
      <c r="B861" s="2"/>
      <c r="C861" s="2"/>
      <c r="D861" s="2"/>
      <c r="E861" s="2"/>
      <c r="F861" s="2"/>
      <c r="G861" s="2"/>
      <c r="H861" s="2"/>
      <c r="I861" s="2"/>
      <c r="J861" s="2"/>
      <c r="K861" s="2"/>
      <c r="L861" s="2"/>
      <c r="M861" s="2"/>
      <c r="N861" s="2"/>
      <c r="O861" s="2"/>
    </row>
    <row r="862" customFormat="false" ht="15.75" hidden="false" customHeight="true" outlineLevel="0" collapsed="false">
      <c r="A862" s="2"/>
      <c r="B862" s="2"/>
      <c r="C862" s="2"/>
      <c r="D862" s="2"/>
      <c r="E862" s="2"/>
      <c r="F862" s="2"/>
      <c r="G862" s="2"/>
      <c r="H862" s="2"/>
      <c r="I862" s="2"/>
      <c r="J862" s="2"/>
      <c r="K862" s="2"/>
      <c r="L862" s="2"/>
      <c r="M862" s="2"/>
      <c r="N862" s="2"/>
      <c r="O862" s="2"/>
    </row>
    <row r="863" customFormat="false" ht="15.75" hidden="false" customHeight="true" outlineLevel="0" collapsed="false">
      <c r="A863" s="2"/>
      <c r="B863" s="2"/>
      <c r="C863" s="2"/>
      <c r="D863" s="2"/>
      <c r="E863" s="2"/>
      <c r="F863" s="2"/>
      <c r="G863" s="2"/>
      <c r="H863" s="2"/>
      <c r="I863" s="2"/>
      <c r="J863" s="2"/>
      <c r="K863" s="2"/>
      <c r="L863" s="2"/>
      <c r="M863" s="2"/>
      <c r="N863" s="2"/>
      <c r="O863" s="2"/>
    </row>
    <row r="864" customFormat="false" ht="15.75" hidden="false" customHeight="true" outlineLevel="0" collapsed="false">
      <c r="A864" s="2"/>
      <c r="B864" s="2"/>
      <c r="C864" s="2"/>
      <c r="D864" s="2"/>
      <c r="E864" s="2"/>
      <c r="F864" s="2"/>
      <c r="G864" s="2"/>
      <c r="H864" s="2"/>
      <c r="I864" s="2"/>
      <c r="J864" s="2"/>
      <c r="K864" s="2"/>
      <c r="L864" s="2"/>
      <c r="M864" s="2"/>
      <c r="N864" s="2"/>
      <c r="O864" s="2"/>
    </row>
    <row r="865" customFormat="false" ht="15.75" hidden="false" customHeight="true" outlineLevel="0" collapsed="false">
      <c r="A865" s="2"/>
      <c r="B865" s="2"/>
      <c r="C865" s="2"/>
      <c r="D865" s="2"/>
      <c r="E865" s="2"/>
      <c r="F865" s="2"/>
      <c r="G865" s="2"/>
      <c r="H865" s="2"/>
      <c r="I865" s="2"/>
      <c r="J865" s="2"/>
      <c r="K865" s="2"/>
      <c r="L865" s="2"/>
      <c r="M865" s="2"/>
      <c r="N865" s="2"/>
      <c r="O865" s="2"/>
    </row>
    <row r="866" customFormat="false" ht="15.75" hidden="false" customHeight="true" outlineLevel="0" collapsed="false">
      <c r="A866" s="2"/>
      <c r="B866" s="2"/>
      <c r="C866" s="2"/>
      <c r="D866" s="2"/>
      <c r="E866" s="2"/>
      <c r="F866" s="2"/>
      <c r="G866" s="2"/>
      <c r="H866" s="2"/>
      <c r="I866" s="2"/>
      <c r="J866" s="2"/>
      <c r="K866" s="2"/>
      <c r="L866" s="2"/>
      <c r="M866" s="2"/>
      <c r="N866" s="2"/>
      <c r="O866" s="2"/>
    </row>
    <row r="867" customFormat="false" ht="15.75" hidden="false" customHeight="true" outlineLevel="0" collapsed="false">
      <c r="A867" s="2"/>
      <c r="B867" s="2"/>
      <c r="C867" s="2"/>
      <c r="D867" s="2"/>
      <c r="E867" s="2"/>
      <c r="F867" s="2"/>
      <c r="G867" s="2"/>
      <c r="H867" s="2"/>
      <c r="I867" s="2"/>
      <c r="J867" s="2"/>
      <c r="K867" s="2"/>
      <c r="L867" s="2"/>
      <c r="M867" s="2"/>
      <c r="N867" s="2"/>
      <c r="O867" s="2"/>
    </row>
    <row r="868" customFormat="false" ht="15.75" hidden="false" customHeight="true" outlineLevel="0" collapsed="false">
      <c r="A868" s="2"/>
      <c r="B868" s="2"/>
      <c r="C868" s="2"/>
      <c r="D868" s="2"/>
      <c r="E868" s="2"/>
      <c r="F868" s="2"/>
      <c r="G868" s="2"/>
      <c r="H868" s="2"/>
      <c r="I868" s="2"/>
      <c r="J868" s="2"/>
      <c r="K868" s="2"/>
      <c r="L868" s="2"/>
      <c r="M868" s="2"/>
      <c r="N868" s="2"/>
      <c r="O868" s="2"/>
    </row>
    <row r="869" customFormat="false" ht="15.75" hidden="false" customHeight="true" outlineLevel="0" collapsed="false">
      <c r="A869" s="2"/>
      <c r="B869" s="2"/>
      <c r="C869" s="2"/>
      <c r="D869" s="2"/>
      <c r="E869" s="2"/>
      <c r="F869" s="2"/>
      <c r="G869" s="2"/>
      <c r="H869" s="2"/>
      <c r="I869" s="2"/>
      <c r="J869" s="2"/>
      <c r="K869" s="2"/>
      <c r="L869" s="2"/>
      <c r="M869" s="2"/>
      <c r="N869" s="2"/>
      <c r="O869" s="2"/>
    </row>
    <row r="870" customFormat="false" ht="15.75" hidden="false" customHeight="true" outlineLevel="0" collapsed="false">
      <c r="A870" s="2"/>
      <c r="B870" s="2"/>
      <c r="C870" s="2"/>
      <c r="D870" s="2"/>
      <c r="E870" s="2"/>
      <c r="F870" s="2"/>
      <c r="G870" s="2"/>
      <c r="H870" s="2"/>
      <c r="I870" s="2"/>
      <c r="J870" s="2"/>
      <c r="K870" s="2"/>
      <c r="L870" s="2"/>
      <c r="M870" s="2"/>
      <c r="N870" s="2"/>
      <c r="O870" s="2"/>
    </row>
    <row r="871" customFormat="false" ht="15.75" hidden="false" customHeight="true" outlineLevel="0" collapsed="false">
      <c r="A871" s="2"/>
      <c r="B871" s="2"/>
      <c r="C871" s="2"/>
      <c r="D871" s="2"/>
      <c r="E871" s="2"/>
      <c r="F871" s="2"/>
      <c r="G871" s="2"/>
      <c r="H871" s="2"/>
      <c r="I871" s="2"/>
      <c r="J871" s="2"/>
      <c r="K871" s="2"/>
      <c r="L871" s="2"/>
      <c r="M871" s="2"/>
      <c r="N871" s="2"/>
      <c r="O871" s="2"/>
    </row>
    <row r="872" customFormat="false" ht="15.75" hidden="false" customHeight="true" outlineLevel="0" collapsed="false">
      <c r="A872" s="2"/>
      <c r="B872" s="2"/>
      <c r="C872" s="2"/>
      <c r="D872" s="2"/>
      <c r="E872" s="2"/>
      <c r="F872" s="2"/>
      <c r="G872" s="2"/>
      <c r="H872" s="2"/>
      <c r="I872" s="2"/>
      <c r="J872" s="2"/>
      <c r="K872" s="2"/>
      <c r="L872" s="2"/>
      <c r="M872" s="2"/>
      <c r="N872" s="2"/>
      <c r="O872" s="2"/>
    </row>
    <row r="873" customFormat="false" ht="15.75" hidden="false" customHeight="true" outlineLevel="0" collapsed="false">
      <c r="A873" s="2"/>
      <c r="B873" s="2"/>
      <c r="C873" s="2"/>
      <c r="D873" s="2"/>
      <c r="E873" s="2"/>
      <c r="F873" s="2"/>
      <c r="G873" s="2"/>
      <c r="H873" s="2"/>
      <c r="I873" s="2"/>
      <c r="J873" s="2"/>
      <c r="K873" s="2"/>
      <c r="L873" s="2"/>
      <c r="M873" s="2"/>
      <c r="N873" s="2"/>
      <c r="O873" s="2"/>
    </row>
    <row r="874" customFormat="false" ht="15.75" hidden="false" customHeight="true" outlineLevel="0" collapsed="false">
      <c r="A874" s="2"/>
      <c r="B874" s="2"/>
      <c r="C874" s="2"/>
      <c r="D874" s="2"/>
      <c r="E874" s="2"/>
      <c r="F874" s="2"/>
      <c r="G874" s="2"/>
      <c r="H874" s="2"/>
      <c r="I874" s="2"/>
      <c r="J874" s="2"/>
      <c r="K874" s="2"/>
      <c r="L874" s="2"/>
      <c r="M874" s="2"/>
      <c r="N874" s="2"/>
      <c r="O874" s="2"/>
    </row>
    <row r="875" customFormat="false" ht="15.75" hidden="false" customHeight="true" outlineLevel="0" collapsed="false">
      <c r="A875" s="2"/>
      <c r="B875" s="2"/>
      <c r="C875" s="2"/>
      <c r="D875" s="2"/>
      <c r="E875" s="2"/>
      <c r="F875" s="2"/>
      <c r="G875" s="2"/>
      <c r="H875" s="2"/>
      <c r="I875" s="2"/>
      <c r="J875" s="2"/>
      <c r="K875" s="2"/>
      <c r="L875" s="2"/>
      <c r="M875" s="2"/>
      <c r="N875" s="2"/>
      <c r="O875" s="2"/>
    </row>
    <row r="876" customFormat="false" ht="15.75" hidden="false" customHeight="true" outlineLevel="0" collapsed="false">
      <c r="A876" s="2"/>
      <c r="B876" s="2"/>
      <c r="C876" s="2"/>
      <c r="D876" s="2"/>
      <c r="E876" s="2"/>
      <c r="F876" s="2"/>
      <c r="G876" s="2"/>
      <c r="H876" s="2"/>
      <c r="I876" s="2"/>
      <c r="J876" s="2"/>
      <c r="K876" s="2"/>
      <c r="L876" s="2"/>
      <c r="M876" s="2"/>
      <c r="N876" s="2"/>
      <c r="O876" s="2"/>
    </row>
    <row r="877" customFormat="false" ht="15.75" hidden="false" customHeight="true" outlineLevel="0" collapsed="false">
      <c r="A877" s="2"/>
      <c r="B877" s="2"/>
      <c r="C877" s="2"/>
      <c r="D877" s="2"/>
      <c r="E877" s="2"/>
      <c r="F877" s="2"/>
      <c r="G877" s="2"/>
      <c r="H877" s="2"/>
      <c r="I877" s="2"/>
      <c r="J877" s="2"/>
      <c r="K877" s="2"/>
      <c r="L877" s="2"/>
      <c r="M877" s="2"/>
      <c r="N877" s="2"/>
      <c r="O877" s="2"/>
    </row>
    <row r="878" customFormat="false" ht="15.75" hidden="false" customHeight="true" outlineLevel="0" collapsed="false">
      <c r="A878" s="2"/>
      <c r="B878" s="2"/>
      <c r="C878" s="2"/>
      <c r="D878" s="2"/>
      <c r="E878" s="2"/>
      <c r="F878" s="2"/>
      <c r="G878" s="2"/>
      <c r="H878" s="2"/>
      <c r="I878" s="2"/>
      <c r="J878" s="2"/>
      <c r="K878" s="2"/>
      <c r="L878" s="2"/>
      <c r="M878" s="2"/>
      <c r="N878" s="2"/>
      <c r="O878" s="2"/>
    </row>
    <row r="879" customFormat="false" ht="15.75" hidden="false" customHeight="true" outlineLevel="0" collapsed="false">
      <c r="A879" s="2"/>
      <c r="B879" s="2"/>
      <c r="C879" s="2"/>
      <c r="D879" s="2"/>
      <c r="E879" s="2"/>
      <c r="F879" s="2"/>
      <c r="G879" s="2"/>
      <c r="H879" s="2"/>
      <c r="I879" s="2"/>
      <c r="J879" s="2"/>
      <c r="K879" s="2"/>
      <c r="L879" s="2"/>
      <c r="M879" s="2"/>
      <c r="N879" s="2"/>
      <c r="O879" s="2"/>
    </row>
    <row r="880" customFormat="false" ht="15.75" hidden="false" customHeight="true" outlineLevel="0" collapsed="false">
      <c r="A880" s="2"/>
      <c r="B880" s="2"/>
      <c r="C880" s="2"/>
      <c r="D880" s="2"/>
      <c r="E880" s="2"/>
      <c r="F880" s="2"/>
      <c r="G880" s="2"/>
      <c r="H880" s="2"/>
      <c r="I880" s="2"/>
      <c r="J880" s="2"/>
      <c r="K880" s="2"/>
      <c r="L880" s="2"/>
      <c r="M880" s="2"/>
      <c r="N880" s="2"/>
      <c r="O880" s="2"/>
    </row>
    <row r="881" customFormat="false" ht="15.75" hidden="false" customHeight="true" outlineLevel="0" collapsed="false">
      <c r="A881" s="2"/>
      <c r="B881" s="2"/>
      <c r="C881" s="2"/>
      <c r="D881" s="2"/>
      <c r="E881" s="2"/>
      <c r="F881" s="2"/>
      <c r="G881" s="2"/>
      <c r="H881" s="2"/>
      <c r="I881" s="2"/>
      <c r="J881" s="2"/>
      <c r="K881" s="2"/>
      <c r="L881" s="2"/>
      <c r="M881" s="2"/>
      <c r="N881" s="2"/>
      <c r="O881" s="2"/>
    </row>
    <row r="882" customFormat="false" ht="15.75" hidden="false" customHeight="true" outlineLevel="0" collapsed="false">
      <c r="A882" s="2"/>
      <c r="B882" s="2"/>
      <c r="C882" s="2"/>
      <c r="D882" s="2"/>
      <c r="E882" s="2"/>
      <c r="F882" s="2"/>
      <c r="G882" s="2"/>
      <c r="H882" s="2"/>
      <c r="I882" s="2"/>
      <c r="J882" s="2"/>
      <c r="K882" s="2"/>
      <c r="L882" s="2"/>
      <c r="M882" s="2"/>
      <c r="N882" s="2"/>
      <c r="O882" s="2"/>
    </row>
    <row r="883" customFormat="false" ht="15.75" hidden="false" customHeight="true" outlineLevel="0" collapsed="false">
      <c r="A883" s="2"/>
      <c r="B883" s="2"/>
      <c r="C883" s="2"/>
      <c r="D883" s="2"/>
      <c r="E883" s="2"/>
      <c r="F883" s="2"/>
      <c r="G883" s="2"/>
      <c r="H883" s="2"/>
      <c r="I883" s="2"/>
      <c r="J883" s="2"/>
      <c r="K883" s="2"/>
      <c r="L883" s="2"/>
      <c r="M883" s="2"/>
      <c r="N883" s="2"/>
      <c r="O883" s="2"/>
    </row>
    <row r="884" customFormat="false" ht="15.75" hidden="false" customHeight="true" outlineLevel="0" collapsed="false">
      <c r="A884" s="2"/>
      <c r="B884" s="2"/>
      <c r="C884" s="2"/>
      <c r="D884" s="2"/>
      <c r="E884" s="2"/>
      <c r="F884" s="2"/>
      <c r="G884" s="2"/>
      <c r="H884" s="2"/>
      <c r="I884" s="2"/>
      <c r="J884" s="2"/>
      <c r="K884" s="2"/>
      <c r="L884" s="2"/>
      <c r="M884" s="2"/>
      <c r="N884" s="2"/>
      <c r="O884" s="2"/>
    </row>
    <row r="885" customFormat="false" ht="15.75" hidden="false" customHeight="true" outlineLevel="0" collapsed="false">
      <c r="A885" s="2"/>
      <c r="B885" s="2"/>
      <c r="C885" s="2"/>
      <c r="D885" s="2"/>
      <c r="E885" s="2"/>
      <c r="F885" s="2"/>
      <c r="G885" s="2"/>
      <c r="H885" s="2"/>
      <c r="I885" s="2"/>
      <c r="J885" s="2"/>
      <c r="K885" s="2"/>
      <c r="L885" s="2"/>
      <c r="M885" s="2"/>
      <c r="N885" s="2"/>
      <c r="O885" s="2"/>
    </row>
    <row r="886" customFormat="false" ht="15.75" hidden="false" customHeight="true" outlineLevel="0" collapsed="false">
      <c r="A886" s="2"/>
      <c r="B886" s="2"/>
      <c r="C886" s="2"/>
      <c r="D886" s="2"/>
      <c r="E886" s="2"/>
      <c r="F886" s="2"/>
      <c r="G886" s="2"/>
      <c r="H886" s="2"/>
      <c r="I886" s="2"/>
      <c r="J886" s="2"/>
      <c r="K886" s="2"/>
      <c r="L886" s="2"/>
      <c r="M886" s="2"/>
      <c r="N886" s="2"/>
      <c r="O886" s="2"/>
    </row>
    <row r="887" customFormat="false" ht="15.75" hidden="false" customHeight="true" outlineLevel="0" collapsed="false">
      <c r="A887" s="2"/>
      <c r="B887" s="2"/>
      <c r="C887" s="2"/>
      <c r="D887" s="2"/>
      <c r="E887" s="2"/>
      <c r="F887" s="2"/>
      <c r="G887" s="2"/>
      <c r="H887" s="2"/>
      <c r="I887" s="2"/>
      <c r="J887" s="2"/>
      <c r="K887" s="2"/>
      <c r="L887" s="2"/>
      <c r="M887" s="2"/>
      <c r="N887" s="2"/>
      <c r="O887" s="2"/>
    </row>
    <row r="888" customFormat="false" ht="15.75" hidden="false" customHeight="true" outlineLevel="0" collapsed="false">
      <c r="A888" s="2"/>
      <c r="B888" s="2"/>
      <c r="C888" s="2"/>
      <c r="D888" s="2"/>
      <c r="E888" s="2"/>
      <c r="F888" s="2"/>
      <c r="G888" s="2"/>
      <c r="H888" s="2"/>
      <c r="I888" s="2"/>
      <c r="J888" s="2"/>
      <c r="K888" s="2"/>
      <c r="L888" s="2"/>
      <c r="M888" s="2"/>
      <c r="N888" s="2"/>
      <c r="O888" s="2"/>
    </row>
    <row r="889" customFormat="false" ht="15.75" hidden="false" customHeight="true" outlineLevel="0" collapsed="false">
      <c r="A889" s="2"/>
      <c r="B889" s="2"/>
      <c r="C889" s="2"/>
      <c r="D889" s="2"/>
      <c r="E889" s="2"/>
      <c r="F889" s="2"/>
      <c r="G889" s="2"/>
      <c r="H889" s="2"/>
      <c r="I889" s="2"/>
      <c r="J889" s="2"/>
      <c r="K889" s="2"/>
      <c r="L889" s="2"/>
      <c r="M889" s="2"/>
      <c r="N889" s="2"/>
      <c r="O889" s="2"/>
    </row>
    <row r="890" customFormat="false" ht="15.75" hidden="false" customHeight="true" outlineLevel="0" collapsed="false">
      <c r="A890" s="2"/>
      <c r="B890" s="2"/>
      <c r="C890" s="2"/>
      <c r="D890" s="2"/>
      <c r="E890" s="2"/>
      <c r="F890" s="2"/>
      <c r="G890" s="2"/>
      <c r="H890" s="2"/>
      <c r="I890" s="2"/>
      <c r="J890" s="2"/>
      <c r="K890" s="2"/>
      <c r="L890" s="2"/>
      <c r="M890" s="2"/>
      <c r="N890" s="2"/>
      <c r="O890" s="2"/>
    </row>
    <row r="891" customFormat="false" ht="15.75" hidden="false" customHeight="true" outlineLevel="0" collapsed="false">
      <c r="A891" s="2"/>
      <c r="B891" s="2"/>
      <c r="C891" s="2"/>
      <c r="D891" s="2"/>
      <c r="E891" s="2"/>
      <c r="F891" s="2"/>
      <c r="G891" s="2"/>
      <c r="H891" s="2"/>
      <c r="I891" s="2"/>
      <c r="J891" s="2"/>
      <c r="K891" s="2"/>
      <c r="L891" s="2"/>
      <c r="M891" s="2"/>
      <c r="N891" s="2"/>
      <c r="O891" s="2"/>
    </row>
    <row r="892" customFormat="false" ht="15.75" hidden="false" customHeight="true" outlineLevel="0" collapsed="false">
      <c r="A892" s="2"/>
      <c r="B892" s="2"/>
      <c r="C892" s="2"/>
      <c r="D892" s="2"/>
      <c r="E892" s="2"/>
      <c r="F892" s="2"/>
      <c r="G892" s="2"/>
      <c r="H892" s="2"/>
      <c r="I892" s="2"/>
      <c r="J892" s="2"/>
      <c r="K892" s="2"/>
      <c r="L892" s="2"/>
      <c r="M892" s="2"/>
      <c r="N892" s="2"/>
      <c r="O892" s="2"/>
    </row>
    <row r="893" customFormat="false" ht="15.75" hidden="false" customHeight="true" outlineLevel="0" collapsed="false">
      <c r="A893" s="2"/>
      <c r="B893" s="2"/>
      <c r="C893" s="2"/>
      <c r="D893" s="2"/>
      <c r="E893" s="2"/>
      <c r="F893" s="2"/>
      <c r="G893" s="2"/>
      <c r="H893" s="2"/>
      <c r="I893" s="2"/>
      <c r="J893" s="2"/>
      <c r="K893" s="2"/>
      <c r="L893" s="2"/>
      <c r="M893" s="2"/>
      <c r="N893" s="2"/>
      <c r="O893" s="2"/>
    </row>
    <row r="894" customFormat="false" ht="15.75" hidden="false" customHeight="true" outlineLevel="0" collapsed="false">
      <c r="A894" s="2"/>
      <c r="B894" s="2"/>
      <c r="C894" s="2"/>
      <c r="D894" s="2"/>
      <c r="E894" s="2"/>
      <c r="F894" s="2"/>
      <c r="G894" s="2"/>
      <c r="H894" s="2"/>
      <c r="I894" s="2"/>
      <c r="J894" s="2"/>
      <c r="K894" s="2"/>
      <c r="L894" s="2"/>
      <c r="M894" s="2"/>
      <c r="N894" s="2"/>
      <c r="O894" s="2"/>
    </row>
    <row r="895" customFormat="false" ht="15.75" hidden="false" customHeight="true" outlineLevel="0" collapsed="false">
      <c r="A895" s="2"/>
      <c r="B895" s="2"/>
      <c r="C895" s="2"/>
      <c r="D895" s="2"/>
      <c r="E895" s="2"/>
      <c r="F895" s="2"/>
      <c r="G895" s="2"/>
      <c r="H895" s="2"/>
      <c r="I895" s="2"/>
      <c r="J895" s="2"/>
      <c r="K895" s="2"/>
      <c r="L895" s="2"/>
      <c r="M895" s="2"/>
      <c r="N895" s="2"/>
      <c r="O895" s="2"/>
    </row>
    <row r="896" customFormat="false" ht="15.75" hidden="false" customHeight="true" outlineLevel="0" collapsed="false">
      <c r="A896" s="2"/>
      <c r="B896" s="2"/>
      <c r="C896" s="2"/>
      <c r="D896" s="2"/>
      <c r="E896" s="2"/>
      <c r="F896" s="2"/>
      <c r="G896" s="2"/>
      <c r="H896" s="2"/>
      <c r="I896" s="2"/>
      <c r="J896" s="2"/>
      <c r="K896" s="2"/>
      <c r="L896" s="2"/>
      <c r="M896" s="2"/>
      <c r="N896" s="2"/>
      <c r="O896" s="2"/>
    </row>
    <row r="897" customFormat="false" ht="15.75" hidden="false" customHeight="true" outlineLevel="0" collapsed="false">
      <c r="A897" s="2"/>
      <c r="B897" s="2"/>
      <c r="C897" s="2"/>
      <c r="D897" s="2"/>
      <c r="E897" s="2"/>
      <c r="F897" s="2"/>
      <c r="G897" s="2"/>
      <c r="H897" s="2"/>
      <c r="I897" s="2"/>
      <c r="J897" s="2"/>
      <c r="K897" s="2"/>
      <c r="L897" s="2"/>
      <c r="M897" s="2"/>
      <c r="N897" s="2"/>
      <c r="O897" s="2"/>
    </row>
    <row r="898" customFormat="false" ht="15.75" hidden="false" customHeight="true" outlineLevel="0" collapsed="false">
      <c r="A898" s="2"/>
      <c r="B898" s="2"/>
      <c r="C898" s="2"/>
      <c r="D898" s="2"/>
      <c r="E898" s="2"/>
      <c r="F898" s="2"/>
      <c r="G898" s="2"/>
      <c r="H898" s="2"/>
      <c r="I898" s="2"/>
      <c r="J898" s="2"/>
      <c r="K898" s="2"/>
      <c r="L898" s="2"/>
      <c r="M898" s="2"/>
      <c r="N898" s="2"/>
      <c r="O898" s="2"/>
    </row>
    <row r="899" customFormat="false" ht="15.75" hidden="false" customHeight="true" outlineLevel="0" collapsed="false">
      <c r="A899" s="2"/>
      <c r="B899" s="2"/>
      <c r="C899" s="2"/>
      <c r="D899" s="2"/>
      <c r="E899" s="2"/>
      <c r="F899" s="2"/>
      <c r="G899" s="2"/>
      <c r="H899" s="2"/>
      <c r="I899" s="2"/>
      <c r="J899" s="2"/>
      <c r="K899" s="2"/>
      <c r="L899" s="2"/>
      <c r="M899" s="2"/>
      <c r="N899" s="2"/>
      <c r="O899" s="2"/>
    </row>
    <row r="900" customFormat="false" ht="15.75" hidden="false" customHeight="true" outlineLevel="0" collapsed="false">
      <c r="A900" s="2"/>
      <c r="B900" s="2"/>
      <c r="C900" s="2"/>
      <c r="D900" s="2"/>
      <c r="E900" s="2"/>
      <c r="F900" s="2"/>
      <c r="G900" s="2"/>
      <c r="H900" s="2"/>
      <c r="I900" s="2"/>
      <c r="J900" s="2"/>
      <c r="K900" s="2"/>
      <c r="L900" s="2"/>
      <c r="M900" s="2"/>
      <c r="N900" s="2"/>
      <c r="O900" s="2"/>
    </row>
    <row r="901" customFormat="false" ht="15.75" hidden="false" customHeight="true" outlineLevel="0" collapsed="false">
      <c r="A901" s="2"/>
      <c r="B901" s="2"/>
      <c r="C901" s="2"/>
      <c r="D901" s="2"/>
      <c r="E901" s="2"/>
      <c r="F901" s="2"/>
      <c r="G901" s="2"/>
      <c r="H901" s="2"/>
      <c r="I901" s="2"/>
      <c r="J901" s="2"/>
      <c r="K901" s="2"/>
      <c r="L901" s="2"/>
      <c r="M901" s="2"/>
      <c r="N901" s="2"/>
      <c r="O901" s="2"/>
    </row>
    <row r="902" customFormat="false" ht="15.75" hidden="false" customHeight="true" outlineLevel="0" collapsed="false">
      <c r="A902" s="2"/>
      <c r="B902" s="2"/>
      <c r="C902" s="2"/>
      <c r="D902" s="2"/>
      <c r="E902" s="2"/>
      <c r="F902" s="2"/>
      <c r="G902" s="2"/>
      <c r="H902" s="2"/>
      <c r="I902" s="2"/>
      <c r="J902" s="2"/>
      <c r="K902" s="2"/>
      <c r="L902" s="2"/>
      <c r="M902" s="2"/>
      <c r="N902" s="2"/>
      <c r="O902" s="2"/>
    </row>
    <row r="903" customFormat="false" ht="15.75" hidden="false" customHeight="true" outlineLevel="0" collapsed="false">
      <c r="A903" s="2"/>
      <c r="B903" s="2"/>
      <c r="C903" s="2"/>
      <c r="D903" s="2"/>
      <c r="E903" s="2"/>
      <c r="F903" s="2"/>
      <c r="G903" s="2"/>
      <c r="H903" s="2"/>
      <c r="I903" s="2"/>
      <c r="J903" s="2"/>
      <c r="K903" s="2"/>
      <c r="L903" s="2"/>
      <c r="M903" s="2"/>
      <c r="N903" s="2"/>
      <c r="O903" s="2"/>
    </row>
    <row r="904" customFormat="false" ht="15.75" hidden="false" customHeight="true" outlineLevel="0" collapsed="false">
      <c r="A904" s="2"/>
      <c r="B904" s="2"/>
      <c r="C904" s="2"/>
      <c r="D904" s="2"/>
      <c r="E904" s="2"/>
      <c r="F904" s="2"/>
      <c r="G904" s="2"/>
      <c r="H904" s="2"/>
      <c r="I904" s="2"/>
      <c r="J904" s="2"/>
      <c r="K904" s="2"/>
      <c r="L904" s="2"/>
      <c r="M904" s="2"/>
      <c r="N904" s="2"/>
      <c r="O904" s="2"/>
    </row>
    <row r="905" customFormat="false" ht="15.75" hidden="false" customHeight="true" outlineLevel="0" collapsed="false">
      <c r="A905" s="2"/>
      <c r="B905" s="2"/>
      <c r="C905" s="2"/>
      <c r="D905" s="2"/>
      <c r="E905" s="2"/>
      <c r="F905" s="2"/>
      <c r="G905" s="2"/>
      <c r="H905" s="2"/>
      <c r="I905" s="2"/>
      <c r="J905" s="2"/>
      <c r="K905" s="2"/>
      <c r="L905" s="2"/>
      <c r="M905" s="2"/>
      <c r="N905" s="2"/>
      <c r="O905" s="2"/>
    </row>
    <row r="906" customFormat="false" ht="15.75" hidden="false" customHeight="true" outlineLevel="0" collapsed="false">
      <c r="A906" s="2"/>
      <c r="B906" s="2"/>
      <c r="C906" s="2"/>
      <c r="D906" s="2"/>
      <c r="E906" s="2"/>
      <c r="F906" s="2"/>
      <c r="G906" s="2"/>
      <c r="H906" s="2"/>
      <c r="I906" s="2"/>
      <c r="J906" s="2"/>
      <c r="K906" s="2"/>
      <c r="L906" s="2"/>
      <c r="M906" s="2"/>
      <c r="N906" s="2"/>
      <c r="O906" s="2"/>
    </row>
    <row r="907" customFormat="false" ht="15.75" hidden="false" customHeight="true" outlineLevel="0" collapsed="false">
      <c r="A907" s="2"/>
      <c r="B907" s="2"/>
      <c r="C907" s="2"/>
      <c r="D907" s="2"/>
      <c r="E907" s="2"/>
      <c r="F907" s="2"/>
      <c r="G907" s="2"/>
      <c r="H907" s="2"/>
      <c r="I907" s="2"/>
      <c r="J907" s="2"/>
      <c r="K907" s="2"/>
      <c r="L907" s="2"/>
      <c r="M907" s="2"/>
      <c r="N907" s="2"/>
      <c r="O907" s="2"/>
    </row>
    <row r="908" customFormat="false" ht="15.75" hidden="false" customHeight="true" outlineLevel="0" collapsed="false">
      <c r="A908" s="2"/>
      <c r="B908" s="2"/>
      <c r="C908" s="2"/>
      <c r="D908" s="2"/>
      <c r="E908" s="2"/>
      <c r="F908" s="2"/>
      <c r="G908" s="2"/>
      <c r="H908" s="2"/>
      <c r="I908" s="2"/>
      <c r="J908" s="2"/>
      <c r="K908" s="2"/>
      <c r="L908" s="2"/>
      <c r="M908" s="2"/>
      <c r="N908" s="2"/>
      <c r="O908" s="2"/>
    </row>
    <row r="909" customFormat="false" ht="15.75" hidden="false" customHeight="true" outlineLevel="0" collapsed="false">
      <c r="A909" s="2"/>
      <c r="B909" s="2"/>
      <c r="C909" s="2"/>
      <c r="D909" s="2"/>
      <c r="E909" s="2"/>
      <c r="F909" s="2"/>
      <c r="G909" s="2"/>
      <c r="H909" s="2"/>
      <c r="I909" s="2"/>
      <c r="J909" s="2"/>
      <c r="K909" s="2"/>
      <c r="L909" s="2"/>
      <c r="M909" s="2"/>
      <c r="N909" s="2"/>
      <c r="O909" s="2"/>
    </row>
    <row r="910" customFormat="false" ht="15.75" hidden="false" customHeight="true" outlineLevel="0" collapsed="false">
      <c r="A910" s="2"/>
      <c r="B910" s="2"/>
      <c r="C910" s="2"/>
      <c r="D910" s="2"/>
      <c r="E910" s="2"/>
      <c r="F910" s="2"/>
      <c r="G910" s="2"/>
      <c r="H910" s="2"/>
      <c r="I910" s="2"/>
      <c r="J910" s="2"/>
      <c r="K910" s="2"/>
      <c r="L910" s="2"/>
      <c r="M910" s="2"/>
      <c r="N910" s="2"/>
      <c r="O910" s="2"/>
    </row>
    <row r="911" customFormat="false" ht="15.75" hidden="false" customHeight="true" outlineLevel="0" collapsed="false">
      <c r="A911" s="2"/>
      <c r="B911" s="2"/>
      <c r="C911" s="2"/>
      <c r="D911" s="2"/>
      <c r="E911" s="2"/>
      <c r="F911" s="2"/>
      <c r="G911" s="2"/>
      <c r="H911" s="2"/>
      <c r="I911" s="2"/>
      <c r="J911" s="2"/>
      <c r="K911" s="2"/>
      <c r="L911" s="2"/>
      <c r="M911" s="2"/>
      <c r="N911" s="2"/>
      <c r="O911" s="2"/>
    </row>
    <row r="912" customFormat="false" ht="15.75" hidden="false" customHeight="true" outlineLevel="0" collapsed="false">
      <c r="A912" s="2"/>
      <c r="B912" s="2"/>
      <c r="C912" s="2"/>
      <c r="D912" s="2"/>
      <c r="E912" s="2"/>
      <c r="F912" s="2"/>
      <c r="G912" s="2"/>
      <c r="H912" s="2"/>
      <c r="I912" s="2"/>
      <c r="J912" s="2"/>
      <c r="K912" s="2"/>
      <c r="L912" s="2"/>
      <c r="M912" s="2"/>
      <c r="N912" s="2"/>
      <c r="O912" s="2"/>
    </row>
    <row r="913" customFormat="false" ht="15.75" hidden="false" customHeight="true" outlineLevel="0" collapsed="false">
      <c r="A913" s="2"/>
      <c r="B913" s="2"/>
      <c r="C913" s="2"/>
      <c r="D913" s="2"/>
      <c r="E913" s="2"/>
      <c r="F913" s="2"/>
      <c r="G913" s="2"/>
      <c r="H913" s="2"/>
      <c r="I913" s="2"/>
      <c r="J913" s="2"/>
      <c r="K913" s="2"/>
      <c r="L913" s="2"/>
      <c r="M913" s="2"/>
      <c r="N913" s="2"/>
      <c r="O913" s="2"/>
    </row>
    <row r="914" customFormat="false" ht="15.75" hidden="false" customHeight="true" outlineLevel="0" collapsed="false">
      <c r="A914" s="2"/>
      <c r="B914" s="2"/>
      <c r="C914" s="2"/>
      <c r="D914" s="2"/>
      <c r="E914" s="2"/>
      <c r="F914" s="2"/>
      <c r="G914" s="2"/>
      <c r="H914" s="2"/>
      <c r="I914" s="2"/>
      <c r="J914" s="2"/>
      <c r="K914" s="2"/>
      <c r="L914" s="2"/>
      <c r="M914" s="2"/>
      <c r="N914" s="2"/>
      <c r="O914" s="2"/>
    </row>
    <row r="915" customFormat="false" ht="15.75" hidden="false" customHeight="true" outlineLevel="0" collapsed="false">
      <c r="A915" s="2"/>
      <c r="B915" s="2"/>
      <c r="C915" s="2"/>
      <c r="D915" s="2"/>
      <c r="E915" s="2"/>
      <c r="F915" s="2"/>
      <c r="G915" s="2"/>
      <c r="H915" s="2"/>
      <c r="I915" s="2"/>
      <c r="J915" s="2"/>
      <c r="K915" s="2"/>
      <c r="L915" s="2"/>
      <c r="M915" s="2"/>
      <c r="N915" s="2"/>
      <c r="O915" s="2"/>
    </row>
    <row r="916" customFormat="false" ht="15.75" hidden="false" customHeight="true" outlineLevel="0" collapsed="false">
      <c r="A916" s="2"/>
      <c r="B916" s="2"/>
      <c r="C916" s="2"/>
      <c r="D916" s="2"/>
      <c r="E916" s="2"/>
      <c r="F916" s="2"/>
      <c r="G916" s="2"/>
      <c r="H916" s="2"/>
      <c r="I916" s="2"/>
      <c r="J916" s="2"/>
      <c r="K916" s="2"/>
      <c r="L916" s="2"/>
      <c r="M916" s="2"/>
      <c r="N916" s="2"/>
      <c r="O916" s="2"/>
    </row>
    <row r="917" customFormat="false" ht="15.75" hidden="false" customHeight="true" outlineLevel="0" collapsed="false">
      <c r="A917" s="2"/>
      <c r="B917" s="2"/>
      <c r="C917" s="2"/>
      <c r="D917" s="2"/>
      <c r="E917" s="2"/>
      <c r="F917" s="2"/>
      <c r="G917" s="2"/>
      <c r="H917" s="2"/>
      <c r="I917" s="2"/>
      <c r="J917" s="2"/>
      <c r="K917" s="2"/>
      <c r="L917" s="2"/>
      <c r="M917" s="2"/>
      <c r="N917" s="2"/>
      <c r="O917" s="2"/>
    </row>
    <row r="918" customFormat="false" ht="15.75" hidden="false" customHeight="true" outlineLevel="0" collapsed="false">
      <c r="A918" s="2"/>
      <c r="B918" s="2"/>
      <c r="C918" s="2"/>
      <c r="D918" s="2"/>
      <c r="E918" s="2"/>
      <c r="F918" s="2"/>
      <c r="G918" s="2"/>
      <c r="H918" s="2"/>
      <c r="I918" s="2"/>
      <c r="J918" s="2"/>
      <c r="K918" s="2"/>
      <c r="L918" s="2"/>
      <c r="M918" s="2"/>
      <c r="N918" s="2"/>
      <c r="O918" s="2"/>
    </row>
    <row r="919" customFormat="false" ht="15.75" hidden="false" customHeight="true" outlineLevel="0" collapsed="false">
      <c r="A919" s="2"/>
      <c r="B919" s="2"/>
      <c r="C919" s="2"/>
      <c r="D919" s="2"/>
      <c r="E919" s="2"/>
      <c r="F919" s="2"/>
      <c r="G919" s="2"/>
      <c r="H919" s="2"/>
      <c r="I919" s="2"/>
      <c r="J919" s="2"/>
      <c r="K919" s="2"/>
      <c r="L919" s="2"/>
      <c r="M919" s="2"/>
      <c r="N919" s="2"/>
      <c r="O919" s="2"/>
    </row>
    <row r="920" customFormat="false" ht="15.75" hidden="false" customHeight="true" outlineLevel="0" collapsed="false">
      <c r="A920" s="2"/>
      <c r="B920" s="2"/>
      <c r="C920" s="2"/>
      <c r="D920" s="2"/>
      <c r="E920" s="2"/>
      <c r="F920" s="2"/>
      <c r="G920" s="2"/>
      <c r="H920" s="2"/>
      <c r="I920" s="2"/>
      <c r="J920" s="2"/>
      <c r="K920" s="2"/>
      <c r="L920" s="2"/>
      <c r="M920" s="2"/>
      <c r="N920" s="2"/>
      <c r="O920" s="2"/>
    </row>
    <row r="921" customFormat="false" ht="15.75" hidden="false" customHeight="true" outlineLevel="0" collapsed="false">
      <c r="A921" s="2"/>
      <c r="B921" s="2"/>
      <c r="C921" s="2"/>
      <c r="D921" s="2"/>
      <c r="E921" s="2"/>
      <c r="F921" s="2"/>
      <c r="G921" s="2"/>
      <c r="H921" s="2"/>
      <c r="I921" s="2"/>
      <c r="J921" s="2"/>
      <c r="K921" s="2"/>
      <c r="L921" s="2"/>
      <c r="M921" s="2"/>
      <c r="N921" s="2"/>
      <c r="O921" s="2"/>
    </row>
    <row r="922" customFormat="false" ht="15.75" hidden="false" customHeight="true" outlineLevel="0" collapsed="false">
      <c r="A922" s="2"/>
      <c r="B922" s="2"/>
      <c r="C922" s="2"/>
      <c r="D922" s="2"/>
      <c r="E922" s="2"/>
      <c r="F922" s="2"/>
      <c r="G922" s="2"/>
      <c r="H922" s="2"/>
      <c r="I922" s="2"/>
      <c r="J922" s="2"/>
      <c r="K922" s="2"/>
      <c r="L922" s="2"/>
      <c r="M922" s="2"/>
      <c r="N922" s="2"/>
      <c r="O922" s="2"/>
    </row>
    <row r="923" customFormat="false" ht="15.75" hidden="false" customHeight="true" outlineLevel="0" collapsed="false">
      <c r="A923" s="2"/>
      <c r="B923" s="2"/>
      <c r="C923" s="2"/>
      <c r="D923" s="2"/>
      <c r="E923" s="2"/>
      <c r="F923" s="2"/>
      <c r="G923" s="2"/>
      <c r="H923" s="2"/>
      <c r="I923" s="2"/>
      <c r="J923" s="2"/>
      <c r="K923" s="2"/>
      <c r="L923" s="2"/>
      <c r="M923" s="2"/>
      <c r="N923" s="2"/>
      <c r="O923" s="2"/>
    </row>
    <row r="924" customFormat="false" ht="15.75" hidden="false" customHeight="true" outlineLevel="0" collapsed="false">
      <c r="A924" s="2"/>
      <c r="B924" s="2"/>
      <c r="C924" s="2"/>
      <c r="D924" s="2"/>
      <c r="E924" s="2"/>
      <c r="F924" s="2"/>
      <c r="G924" s="2"/>
      <c r="H924" s="2"/>
      <c r="I924" s="2"/>
      <c r="J924" s="2"/>
      <c r="K924" s="2"/>
      <c r="L924" s="2"/>
      <c r="M924" s="2"/>
      <c r="N924" s="2"/>
      <c r="O924" s="2"/>
    </row>
    <row r="925" customFormat="false" ht="15.75" hidden="false" customHeight="true" outlineLevel="0" collapsed="false">
      <c r="A925" s="2"/>
      <c r="B925" s="2"/>
      <c r="C925" s="2"/>
      <c r="D925" s="2"/>
      <c r="E925" s="2"/>
      <c r="F925" s="2"/>
      <c r="G925" s="2"/>
      <c r="H925" s="2"/>
      <c r="I925" s="2"/>
      <c r="J925" s="2"/>
      <c r="K925" s="2"/>
      <c r="L925" s="2"/>
      <c r="M925" s="2"/>
      <c r="N925" s="2"/>
      <c r="O925" s="2"/>
    </row>
    <row r="926" customFormat="false" ht="15.75" hidden="false" customHeight="true" outlineLevel="0" collapsed="false">
      <c r="A926" s="2"/>
      <c r="B926" s="2"/>
      <c r="C926" s="2"/>
      <c r="D926" s="2"/>
      <c r="E926" s="2"/>
      <c r="F926" s="2"/>
      <c r="G926" s="2"/>
      <c r="H926" s="2"/>
      <c r="I926" s="2"/>
      <c r="J926" s="2"/>
      <c r="K926" s="2"/>
      <c r="L926" s="2"/>
      <c r="M926" s="2"/>
      <c r="N926" s="2"/>
      <c r="O926" s="2"/>
    </row>
    <row r="927" customFormat="false" ht="15.75" hidden="false" customHeight="true" outlineLevel="0" collapsed="false">
      <c r="A927" s="2"/>
      <c r="B927" s="2"/>
      <c r="C927" s="2"/>
      <c r="D927" s="2"/>
      <c r="E927" s="2"/>
      <c r="F927" s="2"/>
      <c r="G927" s="2"/>
      <c r="H927" s="2"/>
      <c r="I927" s="2"/>
      <c r="J927" s="2"/>
      <c r="K927" s="2"/>
      <c r="L927" s="2"/>
      <c r="M927" s="2"/>
      <c r="N927" s="2"/>
      <c r="O927" s="2"/>
    </row>
    <row r="928" customFormat="false" ht="15.75" hidden="false" customHeight="true" outlineLevel="0" collapsed="false">
      <c r="A928" s="2"/>
      <c r="B928" s="2"/>
      <c r="C928" s="2"/>
      <c r="D928" s="2"/>
      <c r="E928" s="2"/>
      <c r="F928" s="2"/>
      <c r="G928" s="2"/>
      <c r="H928" s="2"/>
      <c r="I928" s="2"/>
      <c r="J928" s="2"/>
      <c r="K928" s="2"/>
      <c r="L928" s="2"/>
      <c r="M928" s="2"/>
      <c r="N928" s="2"/>
      <c r="O928" s="2"/>
    </row>
    <row r="929" customFormat="false" ht="15.75" hidden="false" customHeight="true" outlineLevel="0" collapsed="false">
      <c r="A929" s="2"/>
      <c r="B929" s="2"/>
      <c r="C929" s="2"/>
      <c r="D929" s="2"/>
      <c r="E929" s="2"/>
      <c r="F929" s="2"/>
      <c r="G929" s="2"/>
      <c r="H929" s="2"/>
      <c r="I929" s="2"/>
      <c r="J929" s="2"/>
      <c r="K929" s="2"/>
      <c r="L929" s="2"/>
      <c r="M929" s="2"/>
      <c r="N929" s="2"/>
      <c r="O929" s="2"/>
    </row>
    <row r="930" customFormat="false" ht="15.75" hidden="false" customHeight="true" outlineLevel="0" collapsed="false">
      <c r="A930" s="2"/>
      <c r="B930" s="2"/>
      <c r="C930" s="2"/>
      <c r="D930" s="2"/>
      <c r="E930" s="2"/>
      <c r="F930" s="2"/>
      <c r="G930" s="2"/>
      <c r="H930" s="2"/>
      <c r="I930" s="2"/>
      <c r="J930" s="2"/>
      <c r="K930" s="2"/>
      <c r="L930" s="2"/>
      <c r="M930" s="2"/>
      <c r="N930" s="2"/>
      <c r="O930" s="2"/>
    </row>
    <row r="931" customFormat="false" ht="15.75" hidden="false" customHeight="true" outlineLevel="0" collapsed="false">
      <c r="A931" s="2"/>
      <c r="B931" s="2"/>
      <c r="C931" s="2"/>
      <c r="D931" s="2"/>
      <c r="E931" s="2"/>
      <c r="F931" s="2"/>
      <c r="G931" s="2"/>
      <c r="H931" s="2"/>
      <c r="I931" s="2"/>
      <c r="J931" s="2"/>
      <c r="K931" s="2"/>
      <c r="L931" s="2"/>
      <c r="M931" s="2"/>
      <c r="N931" s="2"/>
      <c r="O931" s="2"/>
    </row>
    <row r="932" customFormat="false" ht="15.75" hidden="false" customHeight="true" outlineLevel="0" collapsed="false">
      <c r="A932" s="2"/>
      <c r="B932" s="2"/>
      <c r="C932" s="2"/>
      <c r="D932" s="2"/>
      <c r="E932" s="2"/>
      <c r="F932" s="2"/>
      <c r="G932" s="2"/>
      <c r="H932" s="2"/>
      <c r="I932" s="2"/>
      <c r="J932" s="2"/>
      <c r="K932" s="2"/>
      <c r="L932" s="2"/>
      <c r="M932" s="2"/>
      <c r="N932" s="2"/>
      <c r="O932" s="2"/>
    </row>
    <row r="933" customFormat="false" ht="15.75" hidden="false" customHeight="true" outlineLevel="0" collapsed="false">
      <c r="A933" s="2"/>
      <c r="B933" s="2"/>
      <c r="C933" s="2"/>
      <c r="D933" s="2"/>
      <c r="E933" s="2"/>
      <c r="F933" s="2"/>
      <c r="G933" s="2"/>
      <c r="H933" s="2"/>
      <c r="I933" s="2"/>
      <c r="J933" s="2"/>
      <c r="K933" s="2"/>
      <c r="L933" s="2"/>
      <c r="M933" s="2"/>
      <c r="N933" s="2"/>
      <c r="O933" s="2"/>
    </row>
    <row r="934" customFormat="false" ht="15.75" hidden="false" customHeight="true" outlineLevel="0" collapsed="false">
      <c r="A934" s="2"/>
      <c r="B934" s="2"/>
      <c r="C934" s="2"/>
      <c r="D934" s="2"/>
      <c r="E934" s="2"/>
      <c r="F934" s="2"/>
      <c r="G934" s="2"/>
      <c r="H934" s="2"/>
      <c r="I934" s="2"/>
      <c r="J934" s="2"/>
      <c r="K934" s="2"/>
      <c r="L934" s="2"/>
      <c r="M934" s="2"/>
      <c r="N934" s="2"/>
      <c r="O934" s="2"/>
    </row>
    <row r="935" customFormat="false" ht="15.75" hidden="false" customHeight="true" outlineLevel="0" collapsed="false">
      <c r="A935" s="2"/>
      <c r="B935" s="2"/>
      <c r="C935" s="2"/>
      <c r="D935" s="2"/>
      <c r="E935" s="2"/>
      <c r="F935" s="2"/>
      <c r="G935" s="2"/>
      <c r="H935" s="2"/>
      <c r="I935" s="2"/>
      <c r="J935" s="2"/>
      <c r="K935" s="2"/>
      <c r="L935" s="2"/>
      <c r="M935" s="2"/>
      <c r="N935" s="2"/>
      <c r="O935" s="2"/>
    </row>
    <row r="936" customFormat="false" ht="15.75" hidden="false" customHeight="true" outlineLevel="0" collapsed="false">
      <c r="A936" s="2"/>
      <c r="B936" s="2"/>
      <c r="C936" s="2"/>
      <c r="D936" s="2"/>
      <c r="E936" s="2"/>
      <c r="F936" s="2"/>
      <c r="G936" s="2"/>
      <c r="H936" s="2"/>
      <c r="I936" s="2"/>
      <c r="J936" s="2"/>
      <c r="K936" s="2"/>
      <c r="L936" s="2"/>
      <c r="M936" s="2"/>
      <c r="N936" s="2"/>
      <c r="O936" s="2"/>
    </row>
    <row r="937" customFormat="false" ht="15.75" hidden="false" customHeight="true" outlineLevel="0" collapsed="false">
      <c r="A937" s="2"/>
      <c r="B937" s="2"/>
      <c r="C937" s="2"/>
      <c r="D937" s="2"/>
      <c r="E937" s="2"/>
      <c r="F937" s="2"/>
      <c r="G937" s="2"/>
      <c r="H937" s="2"/>
      <c r="I937" s="2"/>
      <c r="J937" s="2"/>
      <c r="K937" s="2"/>
      <c r="L937" s="2"/>
      <c r="M937" s="2"/>
      <c r="N937" s="2"/>
      <c r="O937" s="2"/>
    </row>
    <row r="938" customFormat="false" ht="15.75" hidden="false" customHeight="true" outlineLevel="0" collapsed="false">
      <c r="A938" s="2"/>
      <c r="B938" s="2"/>
      <c r="C938" s="2"/>
      <c r="D938" s="2"/>
      <c r="E938" s="2"/>
      <c r="F938" s="2"/>
      <c r="G938" s="2"/>
      <c r="H938" s="2"/>
      <c r="I938" s="2"/>
      <c r="J938" s="2"/>
      <c r="K938" s="2"/>
      <c r="L938" s="2"/>
      <c r="M938" s="2"/>
      <c r="N938" s="2"/>
      <c r="O938" s="2"/>
    </row>
    <row r="939" customFormat="false" ht="15.75" hidden="false" customHeight="true" outlineLevel="0" collapsed="false">
      <c r="A939" s="2"/>
      <c r="B939" s="2"/>
      <c r="C939" s="2"/>
      <c r="D939" s="2"/>
      <c r="E939" s="2"/>
      <c r="F939" s="2"/>
      <c r="G939" s="2"/>
      <c r="H939" s="2"/>
      <c r="I939" s="2"/>
      <c r="J939" s="2"/>
      <c r="K939" s="2"/>
      <c r="L939" s="2"/>
      <c r="M939" s="2"/>
      <c r="N939" s="2"/>
      <c r="O939" s="2"/>
    </row>
    <row r="940" customFormat="false" ht="15.75" hidden="false" customHeight="true" outlineLevel="0" collapsed="false">
      <c r="A940" s="2"/>
      <c r="B940" s="2"/>
      <c r="C940" s="2"/>
      <c r="D940" s="2"/>
      <c r="E940" s="2"/>
      <c r="F940" s="2"/>
      <c r="G940" s="2"/>
      <c r="H940" s="2"/>
      <c r="I940" s="2"/>
      <c r="J940" s="2"/>
      <c r="K940" s="2"/>
      <c r="L940" s="2"/>
      <c r="M940" s="2"/>
      <c r="N940" s="2"/>
      <c r="O940" s="2"/>
    </row>
    <row r="941" customFormat="false" ht="15.75" hidden="false" customHeight="true" outlineLevel="0" collapsed="false">
      <c r="A941" s="2"/>
      <c r="B941" s="2"/>
      <c r="C941" s="2"/>
      <c r="D941" s="2"/>
      <c r="E941" s="2"/>
      <c r="F941" s="2"/>
      <c r="G941" s="2"/>
      <c r="H941" s="2"/>
      <c r="I941" s="2"/>
      <c r="J941" s="2"/>
      <c r="K941" s="2"/>
      <c r="L941" s="2"/>
      <c r="M941" s="2"/>
      <c r="N941" s="2"/>
      <c r="O941" s="2"/>
    </row>
    <row r="942" customFormat="false" ht="15.75" hidden="false" customHeight="true" outlineLevel="0" collapsed="false">
      <c r="A942" s="2"/>
      <c r="B942" s="2"/>
      <c r="C942" s="2"/>
      <c r="D942" s="2"/>
      <c r="E942" s="2"/>
      <c r="F942" s="2"/>
      <c r="G942" s="2"/>
      <c r="H942" s="2"/>
      <c r="I942" s="2"/>
      <c r="J942" s="2"/>
      <c r="K942" s="2"/>
      <c r="L942" s="2"/>
      <c r="M942" s="2"/>
      <c r="N942" s="2"/>
      <c r="O942" s="2"/>
    </row>
    <row r="943" customFormat="false" ht="15.75" hidden="false" customHeight="true" outlineLevel="0" collapsed="false">
      <c r="A943" s="2"/>
      <c r="B943" s="2"/>
      <c r="C943" s="2"/>
      <c r="D943" s="2"/>
      <c r="E943" s="2"/>
      <c r="F943" s="2"/>
      <c r="G943" s="2"/>
      <c r="H943" s="2"/>
      <c r="I943" s="2"/>
      <c r="J943" s="2"/>
      <c r="K943" s="2"/>
      <c r="L943" s="2"/>
      <c r="M943" s="2"/>
      <c r="N943" s="2"/>
      <c r="O943" s="2"/>
    </row>
    <row r="944" customFormat="false" ht="15.75" hidden="false" customHeight="true" outlineLevel="0" collapsed="false">
      <c r="A944" s="2"/>
      <c r="B944" s="2"/>
      <c r="C944" s="2"/>
      <c r="D944" s="2"/>
      <c r="E944" s="2"/>
      <c r="F944" s="2"/>
      <c r="G944" s="2"/>
      <c r="H944" s="2"/>
      <c r="I944" s="2"/>
      <c r="J944" s="2"/>
      <c r="K944" s="2"/>
      <c r="L944" s="2"/>
      <c r="M944" s="2"/>
      <c r="N944" s="2"/>
      <c r="O944" s="2"/>
    </row>
    <row r="945" customFormat="false" ht="15.75" hidden="false" customHeight="true" outlineLevel="0" collapsed="false">
      <c r="A945" s="2"/>
      <c r="B945" s="2"/>
      <c r="C945" s="2"/>
      <c r="D945" s="2"/>
      <c r="E945" s="2"/>
      <c r="F945" s="2"/>
      <c r="G945" s="2"/>
      <c r="H945" s="2"/>
      <c r="I945" s="2"/>
      <c r="J945" s="2"/>
      <c r="K945" s="2"/>
      <c r="L945" s="2"/>
      <c r="M945" s="2"/>
      <c r="N945" s="2"/>
      <c r="O945" s="2"/>
    </row>
    <row r="946" customFormat="false" ht="15.75" hidden="false" customHeight="true" outlineLevel="0" collapsed="false">
      <c r="A946" s="2"/>
      <c r="B946" s="2"/>
      <c r="C946" s="2"/>
      <c r="D946" s="2"/>
      <c r="E946" s="2"/>
      <c r="F946" s="2"/>
      <c r="G946" s="2"/>
      <c r="H946" s="2"/>
      <c r="I946" s="2"/>
      <c r="J946" s="2"/>
      <c r="K946" s="2"/>
      <c r="L946" s="2"/>
      <c r="M946" s="2"/>
      <c r="N946" s="2"/>
      <c r="O946" s="2"/>
    </row>
    <row r="947" customFormat="false" ht="15.75" hidden="false" customHeight="true" outlineLevel="0" collapsed="false">
      <c r="A947" s="2"/>
      <c r="B947" s="2"/>
      <c r="C947" s="2"/>
      <c r="D947" s="2"/>
      <c r="E947" s="2"/>
      <c r="F947" s="2"/>
      <c r="G947" s="2"/>
      <c r="H947" s="2"/>
      <c r="I947" s="2"/>
      <c r="J947" s="2"/>
      <c r="K947" s="2"/>
      <c r="L947" s="2"/>
      <c r="M947" s="2"/>
      <c r="N947" s="2"/>
      <c r="O947" s="2"/>
    </row>
    <row r="948" customFormat="false" ht="15.75" hidden="false" customHeight="true" outlineLevel="0" collapsed="false">
      <c r="A948" s="2"/>
      <c r="B948" s="2"/>
      <c r="C948" s="2"/>
      <c r="D948" s="2"/>
      <c r="E948" s="2"/>
      <c r="F948" s="2"/>
      <c r="G948" s="2"/>
      <c r="H948" s="2"/>
      <c r="I948" s="2"/>
      <c r="J948" s="2"/>
      <c r="K948" s="2"/>
      <c r="L948" s="2"/>
      <c r="M948" s="2"/>
      <c r="N948" s="2"/>
      <c r="O948" s="2"/>
    </row>
    <row r="949" customFormat="false" ht="15.75" hidden="false" customHeight="true" outlineLevel="0" collapsed="false">
      <c r="A949" s="2"/>
      <c r="B949" s="2"/>
      <c r="C949" s="2"/>
      <c r="D949" s="2"/>
      <c r="E949" s="2"/>
      <c r="F949" s="2"/>
      <c r="G949" s="2"/>
      <c r="H949" s="2"/>
      <c r="I949" s="2"/>
      <c r="J949" s="2"/>
      <c r="K949" s="2"/>
      <c r="L949" s="2"/>
      <c r="M949" s="2"/>
      <c r="N949" s="2"/>
      <c r="O949" s="2"/>
    </row>
    <row r="950" customFormat="false" ht="15.75" hidden="false" customHeight="true" outlineLevel="0" collapsed="false">
      <c r="A950" s="2"/>
      <c r="B950" s="2"/>
      <c r="C950" s="2"/>
      <c r="D950" s="2"/>
      <c r="E950" s="2"/>
      <c r="F950" s="2"/>
      <c r="G950" s="2"/>
      <c r="H950" s="2"/>
      <c r="I950" s="2"/>
      <c r="J950" s="2"/>
      <c r="K950" s="2"/>
      <c r="L950" s="2"/>
      <c r="M950" s="2"/>
      <c r="N950" s="2"/>
      <c r="O950" s="2"/>
    </row>
    <row r="951" customFormat="false" ht="15.75" hidden="false" customHeight="true" outlineLevel="0" collapsed="false">
      <c r="A951" s="2"/>
      <c r="B951" s="2"/>
      <c r="C951" s="2"/>
      <c r="D951" s="2"/>
      <c r="E951" s="2"/>
      <c r="F951" s="2"/>
      <c r="G951" s="2"/>
      <c r="H951" s="2"/>
      <c r="I951" s="2"/>
      <c r="J951" s="2"/>
      <c r="K951" s="2"/>
      <c r="L951" s="2"/>
      <c r="M951" s="2"/>
      <c r="N951" s="2"/>
      <c r="O951" s="2"/>
    </row>
    <row r="952" customFormat="false" ht="15.75" hidden="false" customHeight="true" outlineLevel="0" collapsed="false">
      <c r="A952" s="2"/>
      <c r="B952" s="2"/>
      <c r="C952" s="2"/>
      <c r="D952" s="2"/>
      <c r="E952" s="2"/>
      <c r="F952" s="2"/>
      <c r="G952" s="2"/>
      <c r="H952" s="2"/>
      <c r="I952" s="2"/>
      <c r="J952" s="2"/>
      <c r="K952" s="2"/>
      <c r="L952" s="2"/>
      <c r="M952" s="2"/>
      <c r="N952" s="2"/>
      <c r="O952" s="2"/>
    </row>
    <row r="953" customFormat="false" ht="15.75" hidden="false" customHeight="true" outlineLevel="0" collapsed="false">
      <c r="A953" s="2"/>
      <c r="B953" s="2"/>
      <c r="C953" s="2"/>
      <c r="D953" s="2"/>
      <c r="E953" s="2"/>
      <c r="F953" s="2"/>
      <c r="G953" s="2"/>
      <c r="H953" s="2"/>
      <c r="I953" s="2"/>
      <c r="J953" s="2"/>
      <c r="K953" s="2"/>
      <c r="L953" s="2"/>
      <c r="M953" s="2"/>
      <c r="N953" s="2"/>
      <c r="O953" s="2"/>
    </row>
    <row r="954" customFormat="false" ht="15.75" hidden="false" customHeight="true" outlineLevel="0" collapsed="false">
      <c r="A954" s="2"/>
      <c r="B954" s="2"/>
      <c r="C954" s="2"/>
      <c r="D954" s="2"/>
      <c r="E954" s="2"/>
      <c r="F954" s="2"/>
      <c r="G954" s="2"/>
      <c r="H954" s="2"/>
      <c r="I954" s="2"/>
      <c r="J954" s="2"/>
      <c r="K954" s="2"/>
      <c r="L954" s="2"/>
      <c r="M954" s="2"/>
      <c r="N954" s="2"/>
      <c r="O954" s="2"/>
    </row>
    <row r="955" customFormat="false" ht="15.75" hidden="false" customHeight="true" outlineLevel="0" collapsed="false">
      <c r="A955" s="2"/>
      <c r="B955" s="2"/>
      <c r="C955" s="2"/>
      <c r="D955" s="2"/>
      <c r="E955" s="2"/>
      <c r="F955" s="2"/>
      <c r="G955" s="2"/>
      <c r="H955" s="2"/>
      <c r="I955" s="2"/>
      <c r="J955" s="2"/>
      <c r="K955" s="2"/>
      <c r="L955" s="2"/>
      <c r="M955" s="2"/>
      <c r="N955" s="2"/>
      <c r="O955" s="2"/>
    </row>
    <row r="956" customFormat="false" ht="15.75" hidden="false" customHeight="true" outlineLevel="0" collapsed="false">
      <c r="A956" s="2"/>
      <c r="B956" s="2"/>
      <c r="C956" s="2"/>
      <c r="D956" s="2"/>
      <c r="E956" s="2"/>
      <c r="F956" s="2"/>
      <c r="G956" s="2"/>
      <c r="H956" s="2"/>
      <c r="I956" s="2"/>
      <c r="J956" s="2"/>
      <c r="K956" s="2"/>
      <c r="L956" s="2"/>
      <c r="M956" s="2"/>
      <c r="N956" s="2"/>
      <c r="O956" s="2"/>
    </row>
    <row r="957" customFormat="false" ht="15.75" hidden="false" customHeight="true" outlineLevel="0" collapsed="false">
      <c r="A957" s="2"/>
      <c r="B957" s="2"/>
      <c r="C957" s="2"/>
      <c r="D957" s="2"/>
      <c r="E957" s="2"/>
      <c r="F957" s="2"/>
      <c r="G957" s="2"/>
      <c r="H957" s="2"/>
      <c r="I957" s="2"/>
      <c r="J957" s="2"/>
      <c r="K957" s="2"/>
      <c r="L957" s="2"/>
      <c r="M957" s="2"/>
      <c r="N957" s="2"/>
      <c r="O957" s="2"/>
    </row>
    <row r="958" customFormat="false" ht="15.75" hidden="false" customHeight="true" outlineLevel="0" collapsed="false">
      <c r="A958" s="2"/>
      <c r="B958" s="2"/>
      <c r="C958" s="2"/>
      <c r="D958" s="2"/>
      <c r="E958" s="2"/>
      <c r="F958" s="2"/>
      <c r="G958" s="2"/>
      <c r="H958" s="2"/>
      <c r="I958" s="2"/>
      <c r="J958" s="2"/>
      <c r="K958" s="2"/>
      <c r="L958" s="2"/>
      <c r="M958" s="2"/>
      <c r="N958" s="2"/>
      <c r="O958" s="2"/>
    </row>
    <row r="959" customFormat="false" ht="15.75" hidden="false" customHeight="true" outlineLevel="0" collapsed="false">
      <c r="A959" s="2"/>
      <c r="B959" s="2"/>
      <c r="C959" s="2"/>
      <c r="D959" s="2"/>
      <c r="E959" s="2"/>
      <c r="F959" s="2"/>
      <c r="G959" s="2"/>
      <c r="H959" s="2"/>
      <c r="I959" s="2"/>
      <c r="J959" s="2"/>
      <c r="K959" s="2"/>
      <c r="L959" s="2"/>
      <c r="M959" s="2"/>
      <c r="N959" s="2"/>
      <c r="O959" s="2"/>
    </row>
    <row r="960" customFormat="false" ht="15.75" hidden="false" customHeight="true" outlineLevel="0" collapsed="false">
      <c r="A960" s="2"/>
      <c r="B960" s="2"/>
      <c r="C960" s="2"/>
      <c r="D960" s="2"/>
      <c r="E960" s="2"/>
      <c r="F960" s="2"/>
      <c r="G960" s="2"/>
      <c r="H960" s="2"/>
      <c r="I960" s="2"/>
      <c r="J960" s="2"/>
      <c r="K960" s="2"/>
      <c r="L960" s="2"/>
      <c r="M960" s="2"/>
      <c r="N960" s="2"/>
      <c r="O960" s="2"/>
    </row>
    <row r="961" customFormat="false" ht="15.75" hidden="false" customHeight="true" outlineLevel="0" collapsed="false">
      <c r="A961" s="2"/>
      <c r="B961" s="2"/>
      <c r="C961" s="2"/>
      <c r="D961" s="2"/>
      <c r="E961" s="2"/>
      <c r="F961" s="2"/>
      <c r="G961" s="2"/>
      <c r="H961" s="2"/>
      <c r="I961" s="2"/>
      <c r="J961" s="2"/>
      <c r="K961" s="2"/>
      <c r="L961" s="2"/>
      <c r="M961" s="2"/>
      <c r="N961" s="2"/>
      <c r="O961" s="2"/>
    </row>
    <row r="962" customFormat="false" ht="15.75" hidden="false" customHeight="true" outlineLevel="0" collapsed="false">
      <c r="A962" s="2"/>
      <c r="B962" s="2"/>
      <c r="C962" s="2"/>
      <c r="D962" s="2"/>
      <c r="E962" s="2"/>
      <c r="F962" s="2"/>
      <c r="G962" s="2"/>
      <c r="H962" s="2"/>
      <c r="I962" s="2"/>
      <c r="J962" s="2"/>
      <c r="K962" s="2"/>
      <c r="L962" s="2"/>
      <c r="M962" s="2"/>
      <c r="N962" s="2"/>
      <c r="O962" s="2"/>
    </row>
    <row r="963" customFormat="false" ht="15.75" hidden="false" customHeight="true" outlineLevel="0" collapsed="false">
      <c r="A963" s="2"/>
      <c r="B963" s="2"/>
      <c r="C963" s="2"/>
      <c r="D963" s="2"/>
      <c r="E963" s="2"/>
      <c r="F963" s="2"/>
      <c r="G963" s="2"/>
      <c r="H963" s="2"/>
      <c r="I963" s="2"/>
      <c r="J963" s="2"/>
      <c r="K963" s="2"/>
      <c r="L963" s="2"/>
      <c r="M963" s="2"/>
      <c r="N963" s="2"/>
      <c r="O963" s="2"/>
    </row>
    <row r="964" customFormat="false" ht="15.75" hidden="false" customHeight="true" outlineLevel="0" collapsed="false">
      <c r="A964" s="2"/>
      <c r="B964" s="2"/>
      <c r="C964" s="2"/>
      <c r="D964" s="2"/>
      <c r="E964" s="2"/>
      <c r="F964" s="2"/>
      <c r="G964" s="2"/>
      <c r="H964" s="2"/>
      <c r="I964" s="2"/>
      <c r="J964" s="2"/>
      <c r="K964" s="2"/>
      <c r="L964" s="2"/>
      <c r="M964" s="2"/>
      <c r="N964" s="2"/>
      <c r="O964" s="2"/>
    </row>
    <row r="965" customFormat="false" ht="15.75" hidden="false" customHeight="true" outlineLevel="0" collapsed="false">
      <c r="A965" s="2"/>
      <c r="B965" s="2"/>
      <c r="C965" s="2"/>
      <c r="D965" s="2"/>
      <c r="E965" s="2"/>
      <c r="F965" s="2"/>
      <c r="G965" s="2"/>
      <c r="H965" s="2"/>
      <c r="I965" s="2"/>
      <c r="J965" s="2"/>
      <c r="K965" s="2"/>
      <c r="L965" s="2"/>
      <c r="M965" s="2"/>
      <c r="N965" s="2"/>
      <c r="O965" s="2"/>
    </row>
    <row r="966" customFormat="false" ht="15.75" hidden="false" customHeight="true" outlineLevel="0" collapsed="false">
      <c r="A966" s="2"/>
      <c r="B966" s="2"/>
      <c r="C966" s="2"/>
      <c r="D966" s="2"/>
      <c r="E966" s="2"/>
      <c r="F966" s="2"/>
      <c r="G966" s="2"/>
      <c r="H966" s="2"/>
      <c r="I966" s="2"/>
      <c r="J966" s="2"/>
      <c r="K966" s="2"/>
      <c r="L966" s="2"/>
      <c r="M966" s="2"/>
      <c r="N966" s="2"/>
      <c r="O966" s="2"/>
    </row>
    <row r="967" customFormat="false" ht="15.75" hidden="false" customHeight="true" outlineLevel="0" collapsed="false">
      <c r="A967" s="2"/>
      <c r="B967" s="2"/>
      <c r="C967" s="2"/>
      <c r="D967" s="2"/>
      <c r="E967" s="2"/>
      <c r="F967" s="2"/>
      <c r="G967" s="2"/>
      <c r="H967" s="2"/>
      <c r="I967" s="2"/>
      <c r="J967" s="2"/>
      <c r="K967" s="2"/>
      <c r="L967" s="2"/>
      <c r="M967" s="2"/>
      <c r="N967" s="2"/>
      <c r="O967" s="2"/>
    </row>
    <row r="968" customFormat="false" ht="15.75" hidden="false" customHeight="true" outlineLevel="0" collapsed="false">
      <c r="A968" s="2"/>
      <c r="B968" s="2"/>
      <c r="C968" s="2"/>
      <c r="D968" s="2"/>
      <c r="E968" s="2"/>
      <c r="F968" s="2"/>
      <c r="G968" s="2"/>
      <c r="H968" s="2"/>
      <c r="I968" s="2"/>
      <c r="J968" s="2"/>
      <c r="K968" s="2"/>
      <c r="L968" s="2"/>
      <c r="M968" s="2"/>
      <c r="N968" s="2"/>
      <c r="O968" s="2"/>
    </row>
    <row r="969" customFormat="false" ht="15.75" hidden="false" customHeight="true" outlineLevel="0" collapsed="false">
      <c r="A969" s="2"/>
      <c r="B969" s="2"/>
      <c r="C969" s="2"/>
      <c r="D969" s="2"/>
      <c r="E969" s="2"/>
      <c r="F969" s="2"/>
      <c r="G969" s="2"/>
      <c r="H969" s="2"/>
      <c r="I969" s="2"/>
      <c r="J969" s="2"/>
      <c r="K969" s="2"/>
      <c r="L969" s="2"/>
      <c r="M969" s="2"/>
      <c r="N969" s="2"/>
      <c r="O969" s="2"/>
    </row>
    <row r="970" customFormat="false" ht="15.75" hidden="false" customHeight="true" outlineLevel="0" collapsed="false">
      <c r="A970" s="2"/>
      <c r="B970" s="2"/>
      <c r="C970" s="2"/>
      <c r="D970" s="2"/>
      <c r="E970" s="2"/>
      <c r="F970" s="2"/>
      <c r="G970" s="2"/>
      <c r="H970" s="2"/>
      <c r="I970" s="2"/>
      <c r="J970" s="2"/>
      <c r="K970" s="2"/>
      <c r="L970" s="2"/>
      <c r="M970" s="2"/>
      <c r="N970" s="2"/>
      <c r="O970" s="2"/>
    </row>
    <row r="971" customFormat="false" ht="15.75" hidden="false" customHeight="true" outlineLevel="0" collapsed="false">
      <c r="A971" s="2"/>
      <c r="B971" s="2"/>
      <c r="C971" s="2"/>
      <c r="D971" s="2"/>
      <c r="E971" s="2"/>
      <c r="F971" s="2"/>
      <c r="G971" s="2"/>
      <c r="H971" s="2"/>
      <c r="I971" s="2"/>
      <c r="J971" s="2"/>
      <c r="K971" s="2"/>
      <c r="L971" s="2"/>
      <c r="M971" s="2"/>
      <c r="N971" s="2"/>
      <c r="O971" s="2"/>
    </row>
    <row r="972" customFormat="false" ht="15.75" hidden="false" customHeight="true" outlineLevel="0" collapsed="false">
      <c r="A972" s="2"/>
      <c r="B972" s="2"/>
      <c r="C972" s="2"/>
      <c r="D972" s="2"/>
      <c r="E972" s="2"/>
      <c r="F972" s="2"/>
      <c r="G972" s="2"/>
      <c r="H972" s="2"/>
      <c r="I972" s="2"/>
      <c r="J972" s="2"/>
      <c r="K972" s="2"/>
      <c r="L972" s="2"/>
      <c r="M972" s="2"/>
      <c r="N972" s="2"/>
      <c r="O972" s="2"/>
    </row>
    <row r="973" customFormat="false" ht="15.75" hidden="false" customHeight="true" outlineLevel="0" collapsed="false">
      <c r="A973" s="2"/>
      <c r="B973" s="2"/>
      <c r="C973" s="2"/>
      <c r="D973" s="2"/>
      <c r="E973" s="2"/>
      <c r="F973" s="2"/>
      <c r="G973" s="2"/>
      <c r="H973" s="2"/>
      <c r="I973" s="2"/>
      <c r="J973" s="2"/>
      <c r="K973" s="2"/>
      <c r="L973" s="2"/>
      <c r="M973" s="2"/>
      <c r="N973" s="2"/>
      <c r="O973" s="2"/>
    </row>
    <row r="974" customFormat="false" ht="15.75" hidden="false" customHeight="true" outlineLevel="0" collapsed="false">
      <c r="A974" s="2"/>
      <c r="B974" s="2"/>
      <c r="C974" s="2"/>
      <c r="D974" s="2"/>
      <c r="E974" s="2"/>
      <c r="F974" s="2"/>
      <c r="G974" s="2"/>
      <c r="H974" s="2"/>
      <c r="I974" s="2"/>
      <c r="J974" s="2"/>
      <c r="K974" s="2"/>
      <c r="L974" s="2"/>
      <c r="M974" s="2"/>
      <c r="N974" s="2"/>
      <c r="O974" s="2"/>
    </row>
    <row r="975" customFormat="false" ht="15.75" hidden="false" customHeight="true" outlineLevel="0" collapsed="false">
      <c r="A975" s="2"/>
      <c r="B975" s="2"/>
      <c r="C975" s="2"/>
      <c r="D975" s="2"/>
      <c r="E975" s="2"/>
      <c r="F975" s="2"/>
      <c r="G975" s="2"/>
      <c r="H975" s="2"/>
      <c r="I975" s="2"/>
      <c r="J975" s="2"/>
      <c r="K975" s="2"/>
      <c r="L975" s="2"/>
      <c r="M975" s="2"/>
      <c r="N975" s="2"/>
      <c r="O975" s="2"/>
    </row>
    <row r="976" customFormat="false" ht="15.75" hidden="false" customHeight="true" outlineLevel="0" collapsed="false">
      <c r="A976" s="2"/>
      <c r="B976" s="2"/>
      <c r="C976" s="2"/>
      <c r="D976" s="2"/>
      <c r="E976" s="2"/>
      <c r="F976" s="2"/>
      <c r="G976" s="2"/>
      <c r="H976" s="2"/>
      <c r="I976" s="2"/>
      <c r="J976" s="2"/>
      <c r="K976" s="2"/>
      <c r="L976" s="2"/>
      <c r="M976" s="2"/>
      <c r="N976" s="2"/>
      <c r="O976" s="2"/>
    </row>
    <row r="977" customFormat="false" ht="15.75" hidden="false" customHeight="true" outlineLevel="0" collapsed="false">
      <c r="A977" s="2"/>
      <c r="B977" s="2"/>
      <c r="C977" s="2"/>
      <c r="D977" s="2"/>
      <c r="E977" s="2"/>
      <c r="F977" s="2"/>
      <c r="G977" s="2"/>
      <c r="H977" s="2"/>
      <c r="I977" s="2"/>
      <c r="J977" s="2"/>
      <c r="K977" s="2"/>
      <c r="L977" s="2"/>
      <c r="M977" s="2"/>
      <c r="N977" s="2"/>
      <c r="O977" s="2"/>
    </row>
    <row r="978" customFormat="false" ht="15.75" hidden="false" customHeight="true" outlineLevel="0" collapsed="false">
      <c r="A978" s="2"/>
      <c r="B978" s="2"/>
      <c r="C978" s="2"/>
      <c r="D978" s="2"/>
      <c r="E978" s="2"/>
      <c r="F978" s="2"/>
      <c r="G978" s="2"/>
      <c r="H978" s="2"/>
      <c r="I978" s="2"/>
      <c r="J978" s="2"/>
      <c r="K978" s="2"/>
      <c r="L978" s="2"/>
      <c r="M978" s="2"/>
      <c r="N978" s="2"/>
      <c r="O978" s="2"/>
    </row>
    <row r="979" customFormat="false" ht="15.75" hidden="false" customHeight="true" outlineLevel="0" collapsed="false">
      <c r="A979" s="2"/>
      <c r="B979" s="2"/>
      <c r="C979" s="2"/>
      <c r="D979" s="2"/>
      <c r="E979" s="2"/>
      <c r="F979" s="2"/>
      <c r="G979" s="2"/>
      <c r="H979" s="2"/>
      <c r="I979" s="2"/>
      <c r="J979" s="2"/>
      <c r="K979" s="2"/>
      <c r="L979" s="2"/>
      <c r="M979" s="2"/>
      <c r="N979" s="2"/>
      <c r="O979" s="2"/>
    </row>
    <row r="980" customFormat="false" ht="15.75" hidden="false" customHeight="true" outlineLevel="0" collapsed="false">
      <c r="A980" s="2"/>
      <c r="B980" s="2"/>
      <c r="C980" s="2"/>
      <c r="D980" s="2"/>
      <c r="E980" s="2"/>
      <c r="F980" s="2"/>
      <c r="G980" s="2"/>
      <c r="H980" s="2"/>
      <c r="I980" s="2"/>
      <c r="J980" s="2"/>
      <c r="K980" s="2"/>
      <c r="L980" s="2"/>
      <c r="M980" s="2"/>
      <c r="N980" s="2"/>
      <c r="O980" s="2"/>
    </row>
    <row r="981" customFormat="false" ht="15.75" hidden="false" customHeight="true" outlineLevel="0" collapsed="false">
      <c r="A981" s="2"/>
      <c r="B981" s="2"/>
      <c r="C981" s="2"/>
      <c r="D981" s="2"/>
      <c r="E981" s="2"/>
      <c r="F981" s="2"/>
      <c r="G981" s="2"/>
      <c r="H981" s="2"/>
      <c r="I981" s="2"/>
      <c r="J981" s="2"/>
      <c r="K981" s="2"/>
      <c r="L981" s="2"/>
      <c r="M981" s="2"/>
      <c r="N981" s="2"/>
      <c r="O981" s="2"/>
    </row>
    <row r="982" customFormat="false" ht="15.75" hidden="false" customHeight="true" outlineLevel="0" collapsed="false">
      <c r="A982" s="2"/>
      <c r="B982" s="2"/>
      <c r="C982" s="2"/>
      <c r="D982" s="2"/>
      <c r="E982" s="2"/>
      <c r="F982" s="2"/>
      <c r="G982" s="2"/>
      <c r="H982" s="2"/>
      <c r="I982" s="2"/>
      <c r="J982" s="2"/>
      <c r="K982" s="2"/>
      <c r="L982" s="2"/>
      <c r="M982" s="2"/>
      <c r="N982" s="2"/>
      <c r="O982" s="2"/>
    </row>
    <row r="983" customFormat="false" ht="15.75" hidden="false" customHeight="true" outlineLevel="0" collapsed="false">
      <c r="A983" s="2"/>
      <c r="B983" s="2"/>
      <c r="C983" s="2"/>
      <c r="D983" s="2"/>
      <c r="E983" s="2"/>
      <c r="F983" s="2"/>
      <c r="G983" s="2"/>
      <c r="H983" s="2"/>
      <c r="I983" s="2"/>
      <c r="J983" s="2"/>
      <c r="K983" s="2"/>
      <c r="L983" s="2"/>
      <c r="M983" s="2"/>
      <c r="N983" s="2"/>
      <c r="O983" s="2"/>
    </row>
    <row r="984" customFormat="false" ht="15.75" hidden="false" customHeight="true" outlineLevel="0" collapsed="false">
      <c r="A984" s="2"/>
      <c r="B984" s="2"/>
      <c r="C984" s="2"/>
      <c r="D984" s="2"/>
      <c r="E984" s="2"/>
      <c r="F984" s="2"/>
      <c r="G984" s="2"/>
      <c r="H984" s="2"/>
      <c r="I984" s="2"/>
      <c r="J984" s="2"/>
      <c r="K984" s="2"/>
      <c r="L984" s="2"/>
      <c r="M984" s="2"/>
      <c r="N984" s="2"/>
      <c r="O984" s="2"/>
    </row>
    <row r="985" customFormat="false" ht="15.75" hidden="false" customHeight="true" outlineLevel="0" collapsed="false">
      <c r="A985" s="2"/>
      <c r="B985" s="2"/>
      <c r="C985" s="2"/>
      <c r="D985" s="2"/>
      <c r="E985" s="2"/>
      <c r="F985" s="2"/>
      <c r="G985" s="2"/>
      <c r="H985" s="2"/>
      <c r="I985" s="2"/>
      <c r="J985" s="2"/>
      <c r="K985" s="2"/>
      <c r="L985" s="2"/>
      <c r="M985" s="2"/>
      <c r="N985" s="2"/>
      <c r="O985" s="2"/>
    </row>
    <row r="986" customFormat="false" ht="15.75" hidden="false" customHeight="true" outlineLevel="0" collapsed="false">
      <c r="A986" s="2"/>
      <c r="B986" s="2"/>
      <c r="C986" s="2"/>
      <c r="D986" s="2"/>
      <c r="E986" s="2"/>
      <c r="F986" s="2"/>
      <c r="G986" s="2"/>
      <c r="H986" s="2"/>
      <c r="I986" s="2"/>
      <c r="J986" s="2"/>
      <c r="K986" s="2"/>
      <c r="L986" s="2"/>
      <c r="M986" s="2"/>
      <c r="N986" s="2"/>
      <c r="O986" s="2"/>
    </row>
    <row r="987" customFormat="false" ht="15.75" hidden="false" customHeight="true" outlineLevel="0" collapsed="false">
      <c r="A987" s="2"/>
      <c r="B987" s="2"/>
      <c r="C987" s="2"/>
      <c r="D987" s="2"/>
      <c r="E987" s="2"/>
      <c r="F987" s="2"/>
      <c r="G987" s="2"/>
      <c r="H987" s="2"/>
      <c r="I987" s="2"/>
      <c r="J987" s="2"/>
      <c r="K987" s="2"/>
      <c r="L987" s="2"/>
      <c r="M987" s="2"/>
      <c r="N987" s="2"/>
      <c r="O987" s="2"/>
    </row>
    <row r="988" customFormat="false" ht="15.75" hidden="false" customHeight="true" outlineLevel="0" collapsed="false">
      <c r="A988" s="2"/>
      <c r="B988" s="2"/>
      <c r="C988" s="2"/>
      <c r="D988" s="2"/>
      <c r="E988" s="2"/>
      <c r="F988" s="2"/>
      <c r="G988" s="2"/>
      <c r="H988" s="2"/>
      <c r="I988" s="2"/>
      <c r="J988" s="2"/>
      <c r="K988" s="2"/>
      <c r="L988" s="2"/>
      <c r="M988" s="2"/>
      <c r="N988" s="2"/>
      <c r="O988" s="2"/>
    </row>
    <row r="989" customFormat="false" ht="15.75" hidden="false" customHeight="true" outlineLevel="0" collapsed="false">
      <c r="A989" s="2"/>
      <c r="B989" s="2"/>
      <c r="C989" s="2"/>
      <c r="D989" s="2"/>
      <c r="E989" s="2"/>
      <c r="F989" s="2"/>
      <c r="G989" s="2"/>
      <c r="H989" s="2"/>
      <c r="I989" s="2"/>
      <c r="J989" s="2"/>
      <c r="K989" s="2"/>
      <c r="L989" s="2"/>
      <c r="M989" s="2"/>
      <c r="N989" s="2"/>
      <c r="O989" s="2"/>
    </row>
    <row r="990" customFormat="false" ht="15.75" hidden="false" customHeight="true" outlineLevel="0" collapsed="false">
      <c r="A990" s="2"/>
      <c r="B990" s="2"/>
      <c r="C990" s="2"/>
      <c r="D990" s="2"/>
      <c r="E990" s="2"/>
      <c r="F990" s="2"/>
      <c r="G990" s="2"/>
      <c r="H990" s="2"/>
      <c r="I990" s="2"/>
      <c r="J990" s="2"/>
      <c r="K990" s="2"/>
      <c r="L990" s="2"/>
      <c r="M990" s="2"/>
      <c r="N990" s="2"/>
      <c r="O990" s="2"/>
    </row>
    <row r="991" customFormat="false" ht="15.75" hidden="false" customHeight="true" outlineLevel="0" collapsed="false">
      <c r="A991" s="2"/>
      <c r="B991" s="2"/>
      <c r="C991" s="2"/>
      <c r="D991" s="2"/>
      <c r="E991" s="2"/>
      <c r="F991" s="2"/>
      <c r="G991" s="2"/>
      <c r="H991" s="2"/>
      <c r="I991" s="2"/>
      <c r="J991" s="2"/>
      <c r="K991" s="2"/>
      <c r="L991" s="2"/>
      <c r="M991" s="2"/>
      <c r="N991" s="2"/>
      <c r="O991" s="2"/>
    </row>
    <row r="992" customFormat="false" ht="15.75" hidden="false" customHeight="true" outlineLevel="0" collapsed="false">
      <c r="A992" s="2"/>
      <c r="B992" s="2"/>
      <c r="C992" s="2"/>
      <c r="D992" s="2"/>
      <c r="E992" s="2"/>
      <c r="F992" s="2"/>
      <c r="G992" s="2"/>
      <c r="H992" s="2"/>
      <c r="I992" s="2"/>
      <c r="J992" s="2"/>
      <c r="K992" s="2"/>
      <c r="L992" s="2"/>
      <c r="M992" s="2"/>
      <c r="N992" s="2"/>
      <c r="O992" s="2"/>
    </row>
    <row r="993" customFormat="false" ht="15.75" hidden="false" customHeight="true" outlineLevel="0" collapsed="false">
      <c r="A993" s="2"/>
      <c r="B993" s="2"/>
      <c r="C993" s="2"/>
      <c r="D993" s="2"/>
      <c r="E993" s="2"/>
      <c r="F993" s="2"/>
      <c r="G993" s="2"/>
      <c r="H993" s="2"/>
      <c r="I993" s="2"/>
      <c r="J993" s="2"/>
      <c r="K993" s="2"/>
      <c r="L993" s="2"/>
      <c r="M993" s="2"/>
      <c r="N993" s="2"/>
      <c r="O993" s="2"/>
    </row>
    <row r="994" customFormat="false" ht="15.75" hidden="false" customHeight="true" outlineLevel="0" collapsed="false">
      <c r="A994" s="2"/>
      <c r="B994" s="2"/>
      <c r="C994" s="2"/>
      <c r="D994" s="2"/>
      <c r="E994" s="2"/>
      <c r="F994" s="2"/>
      <c r="G994" s="2"/>
      <c r="H994" s="2"/>
      <c r="I994" s="2"/>
      <c r="J994" s="2"/>
      <c r="K994" s="2"/>
      <c r="L994" s="2"/>
      <c r="M994" s="2"/>
      <c r="N994" s="2"/>
      <c r="O994" s="2"/>
    </row>
    <row r="995" customFormat="false" ht="15.75" hidden="false" customHeight="true" outlineLevel="0" collapsed="false">
      <c r="A995" s="2"/>
      <c r="B995" s="2"/>
      <c r="C995" s="2"/>
      <c r="D995" s="2"/>
      <c r="E995" s="2"/>
      <c r="F995" s="2"/>
      <c r="G995" s="2"/>
      <c r="H995" s="2"/>
      <c r="I995" s="2"/>
      <c r="J995" s="2"/>
      <c r="K995" s="2"/>
      <c r="L995" s="2"/>
      <c r="M995" s="2"/>
      <c r="N995" s="2"/>
      <c r="O995" s="2"/>
    </row>
    <row r="996" customFormat="false" ht="15.75" hidden="false" customHeight="true" outlineLevel="0" collapsed="false">
      <c r="A996" s="2"/>
      <c r="B996" s="2"/>
      <c r="C996" s="2"/>
      <c r="D996" s="2"/>
      <c r="E996" s="2"/>
      <c r="F996" s="2"/>
      <c r="G996" s="2"/>
      <c r="H996" s="2"/>
      <c r="I996" s="2"/>
      <c r="J996" s="2"/>
      <c r="K996" s="2"/>
      <c r="L996" s="2"/>
      <c r="M996" s="2"/>
      <c r="N996" s="2"/>
      <c r="O996" s="2"/>
    </row>
    <row r="997" customFormat="false" ht="15.75" hidden="false" customHeight="true" outlineLevel="0" collapsed="false">
      <c r="A997" s="2"/>
      <c r="B997" s="2"/>
      <c r="C997" s="2"/>
      <c r="D997" s="2"/>
      <c r="E997" s="2"/>
      <c r="F997" s="2"/>
      <c r="G997" s="2"/>
      <c r="H997" s="2"/>
      <c r="I997" s="2"/>
      <c r="J997" s="2"/>
      <c r="K997" s="2"/>
      <c r="L997" s="2"/>
      <c r="M997" s="2"/>
      <c r="N997" s="2"/>
      <c r="O997" s="2"/>
    </row>
    <row r="998" customFormat="false" ht="15.75" hidden="false" customHeight="true" outlineLevel="0" collapsed="false">
      <c r="A998" s="2"/>
      <c r="B998" s="2"/>
      <c r="C998" s="2"/>
      <c r="D998" s="2"/>
      <c r="E998" s="2"/>
      <c r="F998" s="2"/>
      <c r="G998" s="2"/>
      <c r="H998" s="2"/>
      <c r="I998" s="2"/>
      <c r="J998" s="2"/>
      <c r="K998" s="2"/>
      <c r="L998" s="2"/>
      <c r="M998" s="2"/>
      <c r="N998" s="2"/>
      <c r="O998" s="2"/>
    </row>
    <row r="999" customFormat="false" ht="15.75" hidden="false" customHeight="true" outlineLevel="0" collapsed="false">
      <c r="A999" s="2"/>
      <c r="B999" s="2"/>
      <c r="C999" s="2"/>
      <c r="D999" s="2"/>
      <c r="E999" s="2"/>
      <c r="F999" s="2"/>
      <c r="G999" s="2"/>
      <c r="H999" s="2"/>
      <c r="I999" s="2"/>
      <c r="J999" s="2"/>
      <c r="K999" s="2"/>
      <c r="L999" s="2"/>
      <c r="M999" s="2"/>
      <c r="N999" s="2"/>
      <c r="O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row>
  </sheetData>
  <mergeCells count="21">
    <mergeCell ref="A4:L6"/>
    <mergeCell ref="A7:E7"/>
    <mergeCell ref="F7:L7"/>
    <mergeCell ref="A8:B8"/>
    <mergeCell ref="D8:E8"/>
    <mergeCell ref="F8:G8"/>
    <mergeCell ref="A9:E9"/>
    <mergeCell ref="F9:L9"/>
    <mergeCell ref="F10:G10"/>
    <mergeCell ref="H10:J10"/>
    <mergeCell ref="K10:L10"/>
    <mergeCell ref="A11:B12"/>
    <mergeCell ref="C11:F12"/>
    <mergeCell ref="G11:G12"/>
    <mergeCell ref="H11:H12"/>
    <mergeCell ref="I11:J12"/>
    <mergeCell ref="K11:L12"/>
    <mergeCell ref="B57:D57"/>
    <mergeCell ref="B58:D58"/>
    <mergeCell ref="B59:D59"/>
    <mergeCell ref="B60:D60"/>
  </mergeCell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&amp;R&amp;F - &amp;A</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2026-05-05T17:34:11Z</dcterms:created>
  <dc:creator>openpyxl</dc:creator>
  <dc:description/>
  <dc:language>pt-BR</dc:language>
  <cp:lastModifiedBy/>
  <dcterms:modified xsi:type="dcterms:W3CDTF">2026-10-08T19:28:32Z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