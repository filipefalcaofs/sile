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drawings/drawing2.xml" ContentType="application/vnd.openxmlformats-officedocument.drawing+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xmlns:r="http://schemas.openxmlformats.org/officeDocument/2006/relationships" name="Contagem" sheetId="1" state="visible" r:id="rId1"/>
    <sheet xmlns:r="http://schemas.openxmlformats.org/officeDocument/2006/relationships" name="Funções" sheetId="2" state="visible" r:id="rId2"/>
    <sheet xmlns:r="http://schemas.openxmlformats.org/officeDocument/2006/relationships" name="Sumário" sheetId="3" state="visible" r:id="rId3"/>
  </sheets>
  <definedNames>
    <definedName name="CF">Funções!$L$12:$L$1000</definedName>
    <definedName name="Data">Contagem!$Z$11</definedName>
    <definedName name="Projeto">Contagem!$F$9</definedName>
    <definedName name="Responsável">Contagem!$F$11</definedName>
    <definedName name="Revisão">Contagem!$Z$12</definedName>
    <definedName name="Revisor">Contagem!$F$12</definedName>
    <definedName name="UFPB">Contagem!$AA$16</definedName>
    <definedName name="VAF">#REF!</definedName>
    <definedName name="VAFA">#REF!</definedName>
    <definedName name="VAFB">#REF!</definedName>
  </definedNames>
  <calcPr calcId="191029" fullCalcOnLoad="1"/>
</workbook>
</file>

<file path=xl/styles.xml><?xml version="1.0" encoding="utf-8"?>
<styleSheet xmlns="http://schemas.openxmlformats.org/spreadsheetml/2006/main">
  <numFmts count="5">
    <numFmt numFmtId="164" formatCode="0.0%"/>
    <numFmt numFmtId="165" formatCode="d\.m"/>
    <numFmt numFmtId="166" formatCode="_(* #,##0.00_);_(* \(#,##0.00\);_(* \-??_);_(@_)"/>
    <numFmt numFmtId="167" formatCode="_(&quot;R$&quot;* #,##0.00_);_(&quot;R$&quot;* \(#,##0.00\);_(&quot;R$&quot;* \-??_);_(@_)"/>
    <numFmt numFmtId="168" formatCode="dd/mm/yy"/>
  </numFmts>
  <fonts count="19">
    <font>
      <name val="Calibri"/>
      <color rgb="FF000000"/>
      <sz val="10"/>
      <scheme val="minor"/>
    </font>
    <font>
      <name val="Libre Franklin"/>
      <color theme="1"/>
      <sz val="10"/>
    </font>
    <font>
      <name val="Libre Franklin"/>
      <color theme="1"/>
      <sz val="6"/>
    </font>
    <font>
      <name val="Libre Franklin"/>
      <b val="1"/>
      <color theme="1"/>
      <sz val="10"/>
    </font>
    <font>
      <name val="Calibri"/>
      <sz val="10"/>
    </font>
    <font>
      <name val="Libre Franklin"/>
      <color rgb="FF0000FF"/>
      <sz val="9"/>
    </font>
    <font>
      <name val="Libre Franklin"/>
      <color theme="1"/>
      <sz val="9"/>
    </font>
    <font>
      <name val="Libre Franklin"/>
      <b val="1"/>
      <color rgb="FF0000FF"/>
      <sz val="9"/>
    </font>
    <font>
      <name val="Libre Franklin"/>
      <b val="1"/>
      <color theme="1"/>
      <sz val="9"/>
    </font>
    <font>
      <name val="Libre Franklin"/>
      <color rgb="FF0000FF"/>
      <sz val="10"/>
    </font>
    <font>
      <name val="Libre Franklin"/>
      <b val="1"/>
      <color theme="1"/>
      <sz val="12"/>
    </font>
    <font>
      <name val="Libre Franklin"/>
      <color theme="1"/>
      <sz val="8"/>
    </font>
    <font>
      <name val="Libre Franklin"/>
      <color rgb="FFFFFFFF"/>
      <sz val="8"/>
    </font>
    <font>
      <name val="Verdana"/>
      <color rgb="FF000000"/>
      <sz val="10"/>
    </font>
    <font>
      <name val="Calibri"/>
      <color theme="1"/>
      <sz val="10"/>
    </font>
    <font>
      <name val="&quot;Libre Franklin&quot;"/>
      <color theme="1"/>
      <sz val="8"/>
    </font>
    <font>
      <name val="&quot;Libre Franklin&quot;"/>
      <color rgb="FF008000"/>
      <sz val="8"/>
    </font>
    <font>
      <name val="Libre Franklin"/>
      <color rgb="FFFFFFFF"/>
      <sz val="9"/>
    </font>
    <font>
      <name val="Calibri"/>
      <family val="2"/>
      <sz val="10"/>
    </font>
  </fonts>
  <fills count="12">
    <fill>
      <patternFill/>
    </fill>
    <fill>
      <patternFill patternType="gray125"/>
    </fill>
    <fill>
      <patternFill patternType="solid">
        <fgColor rgb="FFC0C0C0"/>
        <bgColor rgb="FFC0C0C0"/>
      </patternFill>
    </fill>
    <fill>
      <patternFill patternType="solid">
        <fgColor rgb="FF808080"/>
        <bgColor rgb="FF808080"/>
      </patternFill>
    </fill>
    <fill>
      <patternFill patternType="solid">
        <fgColor rgb="FFCCFFFF"/>
        <bgColor rgb="FFCCFFFF"/>
      </patternFill>
    </fill>
    <fill>
      <patternFill patternType="solid">
        <fgColor rgb="FFFFFF99"/>
        <bgColor rgb="FFFFFF99"/>
      </patternFill>
    </fill>
    <fill>
      <patternFill patternType="solid">
        <fgColor rgb="FFFFFF00"/>
        <bgColor rgb="FFFFFF00"/>
      </patternFill>
    </fill>
    <fill>
      <patternFill patternType="solid">
        <fgColor rgb="FF99CCFF"/>
        <bgColor rgb="FF99CCFF"/>
      </patternFill>
    </fill>
    <fill>
      <patternFill patternType="solid">
        <fgColor rgb="FFCC99FF"/>
        <bgColor rgb="FFCC99FF"/>
      </patternFill>
    </fill>
    <fill>
      <patternFill patternType="solid">
        <fgColor rgb="FF00FFFF"/>
        <bgColor rgb="FF00FFFF"/>
      </patternFill>
    </fill>
    <fill>
      <patternFill patternType="solid">
        <fgColor rgb="FF993366"/>
        <bgColor rgb="FF993366"/>
      </patternFill>
    </fill>
    <fill>
      <patternFill patternType="solid">
        <fgColor theme="0" tint="-0.249977111117893"/>
        <bgColor indexed="64"/>
      </patternFill>
    </fill>
  </fills>
  <borders count="3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style="thin">
        <color rgb="FF000000"/>
      </right>
      <top/>
      <bottom/>
      <diagonal/>
    </border>
    <border>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top style="thin">
        <color indexed="64"/>
      </top>
      <bottom/>
      <diagonal/>
    </border>
    <border>
      <left/>
      <right style="thin">
        <color indexed="64"/>
      </right>
      <top style="thin">
        <color indexed="64"/>
      </top>
      <bottom/>
      <diagonal/>
    </border>
  </borders>
  <cellStyleXfs count="1">
    <xf numFmtId="0" fontId="0" fillId="0" borderId="24"/>
  </cellStyleXfs>
  <cellXfs count="162">
    <xf numFmtId="0" fontId="0" fillId="0" borderId="0" pivotButton="0" quotePrefix="0" xfId="0"/>
    <xf numFmtId="0" fontId="1" fillId="0" borderId="0" pivotButton="0" quotePrefix="0" xfId="0"/>
    <xf numFmtId="0" fontId="2" fillId="0" borderId="0" pivotButton="0" quotePrefix="0" xfId="0"/>
    <xf numFmtId="0" fontId="6" fillId="0" borderId="1" pivotButton="0" quotePrefix="0" xfId="0"/>
    <xf numFmtId="0" fontId="8" fillId="0" borderId="12" applyAlignment="1" pivotButton="0" quotePrefix="0" xfId="0">
      <alignment horizontal="center"/>
    </xf>
    <xf numFmtId="0" fontId="6" fillId="0" borderId="0" pivotButton="0" quotePrefix="0" xfId="0"/>
    <xf numFmtId="0" fontId="9" fillId="0" borderId="0" applyAlignment="1" pivotButton="0" quotePrefix="0" xfId="0">
      <alignment horizontal="center"/>
    </xf>
    <xf numFmtId="0" fontId="9" fillId="0" borderId="0" applyAlignment="1" pivotButton="0" quotePrefix="0" xfId="0">
      <alignment horizontal="right"/>
    </xf>
    <xf numFmtId="0" fontId="10" fillId="0" borderId="0" applyAlignment="1" pivotButton="0" quotePrefix="0" xfId="0">
      <alignment horizontal="center"/>
    </xf>
    <xf numFmtId="0" fontId="11" fillId="0" borderId="0" pivotButton="0" quotePrefix="0" xfId="0"/>
    <xf numFmtId="0" fontId="6" fillId="2" borderId="14" applyAlignment="1" pivotButton="0" quotePrefix="0" xfId="0">
      <alignment horizontal="left" vertical="center"/>
    </xf>
    <xf numFmtId="0" fontId="6" fillId="2" borderId="14" applyAlignment="1" pivotButton="0" quotePrefix="0" xfId="0">
      <alignment vertical="center"/>
    </xf>
    <xf numFmtId="0" fontId="1" fillId="0" borderId="0" applyAlignment="1" pivotButton="0" quotePrefix="0" xfId="0">
      <alignment vertical="center"/>
    </xf>
    <xf numFmtId="0" fontId="11" fillId="0" borderId="0" applyAlignment="1" pivotButton="0" quotePrefix="0" xfId="0">
      <alignment vertical="center"/>
    </xf>
    <xf numFmtId="0" fontId="13" fillId="0" borderId="0" pivotButton="0" quotePrefix="0" xfId="0"/>
    <xf numFmtId="0" fontId="6" fillId="2" borderId="19" applyAlignment="1" pivotButton="0" quotePrefix="0" xfId="0">
      <alignment horizontal="left" vertical="center"/>
    </xf>
    <xf numFmtId="0" fontId="6" fillId="2" borderId="20" applyAlignment="1" pivotButton="0" quotePrefix="0" xfId="0">
      <alignment horizontal="left" vertical="center"/>
    </xf>
    <xf numFmtId="0" fontId="6" fillId="2" borderId="21" applyAlignment="1" pivotButton="0" quotePrefix="0" xfId="0">
      <alignment vertical="center"/>
    </xf>
    <xf numFmtId="0" fontId="6" fillId="2" borderId="19" pivotButton="0" quotePrefix="0" xfId="0"/>
    <xf numFmtId="0" fontId="6" fillId="0" borderId="2" pivotButton="0" quotePrefix="0" xfId="0"/>
    <xf numFmtId="0" fontId="6" fillId="0" borderId="3" pivotButton="0" quotePrefix="0" xfId="0"/>
    <xf numFmtId="0" fontId="6" fillId="0" borderId="4" pivotButton="0" quotePrefix="0" xfId="0"/>
    <xf numFmtId="0" fontId="6" fillId="0" borderId="7" pivotButton="0" quotePrefix="0" xfId="0"/>
    <xf numFmtId="0" fontId="6" fillId="0" borderId="0" applyAlignment="1" pivotButton="0" quotePrefix="0" xfId="0">
      <alignment vertical="center"/>
    </xf>
    <xf numFmtId="164" fontId="6" fillId="0" borderId="0" pivotButton="0" quotePrefix="0" xfId="0"/>
    <xf numFmtId="0" fontId="6" fillId="0" borderId="5" pivotButton="0" quotePrefix="0" xfId="0"/>
    <xf numFmtId="10" fontId="6" fillId="0" borderId="5" pivotButton="0" quotePrefix="0" xfId="0"/>
    <xf numFmtId="0" fontId="8" fillId="0" borderId="0" pivotButton="0" quotePrefix="0" xfId="0"/>
    <xf numFmtId="164" fontId="6" fillId="7" borderId="19" pivotButton="0" quotePrefix="0" xfId="0"/>
    <xf numFmtId="9" fontId="6" fillId="0" borderId="0" pivotButton="0" quotePrefix="0" xfId="0"/>
    <xf numFmtId="0" fontId="6" fillId="0" borderId="6" pivotButton="0" quotePrefix="0" xfId="0"/>
    <xf numFmtId="0" fontId="6" fillId="0" borderId="8" pivotButton="0" quotePrefix="0" xfId="0"/>
    <xf numFmtId="164" fontId="6" fillId="8" borderId="19" pivotButton="0" quotePrefix="0" xfId="0"/>
    <xf numFmtId="164" fontId="6" fillId="5" borderId="19" pivotButton="0" quotePrefix="0" xfId="0"/>
    <xf numFmtId="164" fontId="6" fillId="9" borderId="19" pivotButton="0" quotePrefix="0" xfId="0"/>
    <xf numFmtId="164" fontId="6" fillId="10" borderId="19" pivotButton="0" quotePrefix="0" xfId="0"/>
    <xf numFmtId="0" fontId="6" fillId="0" borderId="12" applyAlignment="1" pivotButton="0" quotePrefix="0" xfId="0">
      <alignment horizontal="center"/>
    </xf>
    <xf numFmtId="2" fontId="6" fillId="2" borderId="12" applyAlignment="1" pivotButton="0" quotePrefix="0" xfId="0">
      <alignment horizontal="center"/>
    </xf>
    <xf numFmtId="2" fontId="6" fillId="0" borderId="0" pivotButton="0" quotePrefix="0" xfId="0"/>
    <xf numFmtId="2" fontId="6" fillId="0" borderId="12" applyAlignment="1" pivotButton="0" quotePrefix="0" xfId="0">
      <alignment horizontal="center"/>
    </xf>
    <xf numFmtId="2" fontId="8" fillId="6" borderId="12" pivotButton="0" quotePrefix="0" xfId="0"/>
    <xf numFmtId="0" fontId="6" fillId="2" borderId="28" applyAlignment="1" pivotButton="0" quotePrefix="0" xfId="0">
      <alignment horizontal="left" vertical="center"/>
    </xf>
    <xf numFmtId="165" fontId="6" fillId="2" borderId="28" applyAlignment="1" pivotButton="0" quotePrefix="0" xfId="0">
      <alignment horizontal="left" vertical="center"/>
    </xf>
    <xf numFmtId="0" fontId="6" fillId="2" borderId="28" applyAlignment="1" pivotButton="0" quotePrefix="0" xfId="0">
      <alignment vertical="center"/>
    </xf>
    <xf numFmtId="0" fontId="6" fillId="11" borderId="28" applyAlignment="1" pivotButton="0" quotePrefix="0" xfId="0">
      <alignment horizontal="center" vertical="center"/>
    </xf>
    <xf numFmtId="0" fontId="12" fillId="3" borderId="28" applyAlignment="1" pivotButton="0" quotePrefix="0" xfId="0">
      <alignment horizontal="center" vertical="center" wrapText="1"/>
    </xf>
    <xf numFmtId="0" fontId="12" fillId="3" borderId="28" applyAlignment="1" pivotButton="0" quotePrefix="0" xfId="0">
      <alignment horizontal="center" vertical="center"/>
    </xf>
    <xf numFmtId="0" fontId="12" fillId="3" borderId="28" applyAlignment="1" pivotButton="0" quotePrefix="0" xfId="0">
      <alignment horizontal="center"/>
    </xf>
    <xf numFmtId="0" fontId="13" fillId="0" borderId="28" pivotButton="0" quotePrefix="0" xfId="0"/>
    <xf numFmtId="0" fontId="14" fillId="0" borderId="28" pivotButton="0" quotePrefix="0" xfId="0"/>
    <xf numFmtId="0" fontId="11" fillId="0" borderId="28" applyAlignment="1" pivotButton="0" quotePrefix="0" xfId="0">
      <alignment horizontal="center"/>
    </xf>
    <xf numFmtId="0" fontId="11" fillId="0" borderId="28" applyAlignment="1" pivotButton="0" quotePrefix="0" xfId="0">
      <alignment horizontal="center" wrapText="1"/>
    </xf>
    <xf numFmtId="0" fontId="11" fillId="2" borderId="28" applyAlignment="1" pivotButton="0" quotePrefix="0" xfId="0">
      <alignment horizontal="center" wrapText="1"/>
    </xf>
    <xf numFmtId="0" fontId="11" fillId="2" borderId="28" applyAlignment="1" pivotButton="0" quotePrefix="0" xfId="0">
      <alignment horizontal="center"/>
    </xf>
    <xf numFmtId="4" fontId="11" fillId="2" borderId="28" applyAlignment="1" pivotButton="0" quotePrefix="0" xfId="0">
      <alignment horizontal="center"/>
    </xf>
    <xf numFmtId="0" fontId="11" fillId="0" borderId="28" applyAlignment="1" pivotButton="0" quotePrefix="0" xfId="0">
      <alignment vertical="center"/>
    </xf>
    <xf numFmtId="0" fontId="15" fillId="0" borderId="28" applyAlignment="1" pivotButton="0" quotePrefix="0" xfId="0">
      <alignment horizontal="center"/>
    </xf>
    <xf numFmtId="0" fontId="16" fillId="4" borderId="28" applyAlignment="1" pivotButton="0" quotePrefix="0" xfId="0">
      <alignment horizontal="center"/>
    </xf>
    <xf numFmtId="0" fontId="5" fillId="0" borderId="10" pivotButton="0" quotePrefix="0" xfId="0"/>
    <xf numFmtId="0" fontId="4" fillId="0" borderId="10" pivotButton="0" quotePrefix="0" xfId="0"/>
    <xf numFmtId="0" fontId="4" fillId="0" borderId="11" pivotButton="0" quotePrefix="0" xfId="0"/>
    <xf numFmtId="0" fontId="5" fillId="0" borderId="9" applyAlignment="1" pivotButton="0" quotePrefix="0" xfId="0">
      <alignment horizontal="right"/>
    </xf>
    <xf numFmtId="0" fontId="5" fillId="0" borderId="9" applyAlignment="1" pivotButton="0" quotePrefix="0" xfId="0">
      <alignment horizontal="left" vertical="center"/>
    </xf>
    <xf numFmtId="0" fontId="6" fillId="0" borderId="9" pivotButton="0" quotePrefix="0" xfId="0"/>
    <xf numFmtId="0" fontId="5" fillId="0" borderId="9" applyAlignment="1" pivotButton="0" quotePrefix="0" xfId="0">
      <alignment horizontal="center"/>
    </xf>
    <xf numFmtId="165" fontId="6" fillId="0" borderId="10" pivotButton="0" quotePrefix="0" xfId="0"/>
    <xf numFmtId="0" fontId="6" fillId="0" borderId="10" pivotButton="0" quotePrefix="0" xfId="0"/>
    <xf numFmtId="166" fontId="6" fillId="2" borderId="9" pivotButton="0" quotePrefix="0" xfId="0"/>
    <xf numFmtId="0" fontId="6" fillId="0" borderId="1" pivotButton="0" quotePrefix="0" xfId="0"/>
    <xf numFmtId="0" fontId="4" fillId="0" borderId="2" pivotButton="0" quotePrefix="0" xfId="0"/>
    <xf numFmtId="0" fontId="4" fillId="0" borderId="3" pivotButton="0" quotePrefix="0" xfId="0"/>
    <xf numFmtId="0" fontId="3" fillId="0" borderId="1" applyAlignment="1" pivotButton="0" quotePrefix="0" xfId="0">
      <alignment horizontal="center" vertical="center"/>
    </xf>
    <xf numFmtId="0" fontId="4" fillId="0" borderId="4" pivotButton="0" quotePrefix="0" xfId="0"/>
    <xf numFmtId="0" fontId="0" fillId="0" borderId="0" pivotButton="0" quotePrefix="0" xfId="0"/>
    <xf numFmtId="0" fontId="4" fillId="0" borderId="5" pivotButton="0" quotePrefix="0" xfId="0"/>
    <xf numFmtId="0" fontId="4" fillId="0" borderId="6" pivotButton="0" quotePrefix="0" xfId="0"/>
    <xf numFmtId="0" fontId="4" fillId="0" borderId="7" pivotButton="0" quotePrefix="0" xfId="0"/>
    <xf numFmtId="0" fontId="4" fillId="0" borderId="8" pivotButton="0" quotePrefix="0" xfId="0"/>
    <xf numFmtId="2" fontId="6" fillId="0" borderId="9" applyAlignment="1" pivotButton="0" quotePrefix="0" xfId="0">
      <alignment horizontal="right"/>
    </xf>
    <xf numFmtId="167" fontId="6" fillId="2" borderId="9" applyAlignment="1" pivotButton="0" quotePrefix="0" xfId="0">
      <alignment horizontal="right"/>
    </xf>
    <xf numFmtId="0" fontId="3" fillId="0" borderId="7" applyAlignment="1" pivotButton="0" quotePrefix="0" xfId="0">
      <alignment horizontal="center" vertical="center"/>
    </xf>
    <xf numFmtId="0" fontId="1" fillId="0" borderId="1" applyAlignment="1" pivotButton="0" quotePrefix="0" xfId="0">
      <alignment horizontal="left" vertical="top" wrapText="1"/>
    </xf>
    <xf numFmtId="2" fontId="6" fillId="0" borderId="9" applyAlignment="1" pivotButton="0" quotePrefix="0" xfId="0">
      <alignment horizontal="center"/>
    </xf>
    <xf numFmtId="0" fontId="7" fillId="0" borderId="1" applyAlignment="1" pivotButton="0" quotePrefix="0" xfId="0">
      <alignment horizontal="center" vertical="center" textRotation="90" wrapText="1"/>
    </xf>
    <xf numFmtId="168" fontId="6" fillId="0" borderId="9" applyAlignment="1" pivotButton="0" quotePrefix="0" xfId="0">
      <alignment horizontal="right"/>
    </xf>
    <xf numFmtId="0" fontId="15" fillId="0" borderId="28" pivotButton="0" quotePrefix="0" xfId="0"/>
    <xf numFmtId="0" fontId="4" fillId="0" borderId="28" pivotButton="0" quotePrefix="0" xfId="0"/>
    <xf numFmtId="0" fontId="6" fillId="2" borderId="29" applyAlignment="1" pivotButton="0" quotePrefix="0" xfId="0">
      <alignment horizontal="left" vertical="center"/>
    </xf>
    <xf numFmtId="0" fontId="6" fillId="2" borderId="30" applyAlignment="1" pivotButton="0" quotePrefix="0" xfId="0">
      <alignment horizontal="left" vertical="center"/>
    </xf>
    <xf numFmtId="0" fontId="6" fillId="2" borderId="31" applyAlignment="1" pivotButton="0" quotePrefix="0" xfId="0">
      <alignment horizontal="left" vertical="center"/>
    </xf>
    <xf numFmtId="0" fontId="3" fillId="0" borderId="24" applyAlignment="1" pivotButton="0" quotePrefix="0" xfId="0">
      <alignment horizontal="center" vertical="center"/>
    </xf>
    <xf numFmtId="0" fontId="4" fillId="0" borderId="24" pivotButton="0" quotePrefix="0" xfId="0"/>
    <xf numFmtId="0" fontId="0" fillId="0" borderId="24" pivotButton="0" quotePrefix="0" xfId="0"/>
    <xf numFmtId="0" fontId="6" fillId="2" borderId="28" applyAlignment="1" pivotButton="0" quotePrefix="0" xfId="0">
      <alignment horizontal="left" vertical="center"/>
    </xf>
    <xf numFmtId="0" fontId="6" fillId="2" borderId="28" applyAlignment="1" pivotButton="0" quotePrefix="0" xfId="0">
      <alignment vertical="center"/>
    </xf>
    <xf numFmtId="0" fontId="6" fillId="2" borderId="28" applyAlignment="1" pivotButton="0" quotePrefix="0" xfId="0">
      <alignment horizontal="center" vertical="center"/>
    </xf>
    <xf numFmtId="0" fontId="12" fillId="3" borderId="28" applyAlignment="1" pivotButton="0" quotePrefix="0" xfId="0">
      <alignment horizontal="center" vertical="center" wrapText="1"/>
    </xf>
    <xf numFmtId="0" fontId="6" fillId="2" borderId="9" applyAlignment="1" pivotButton="0" quotePrefix="0" xfId="0">
      <alignment horizontal="left" vertical="center"/>
    </xf>
    <xf numFmtId="0" fontId="6" fillId="2" borderId="17" applyAlignment="1" pivotButton="0" quotePrefix="0" xfId="0">
      <alignment horizontal="left" vertical="center"/>
    </xf>
    <xf numFmtId="0" fontId="4" fillId="0" borderId="18" pivotButton="0" quotePrefix="0" xfId="0"/>
    <xf numFmtId="0" fontId="6" fillId="2" borderId="13" applyAlignment="1" pivotButton="0" quotePrefix="0" xfId="0">
      <alignment horizontal="left" vertical="center"/>
    </xf>
    <xf numFmtId="165" fontId="6" fillId="2" borderId="17" applyAlignment="1" pivotButton="0" quotePrefix="0" xfId="0">
      <alignment horizontal="left" vertical="center"/>
    </xf>
    <xf numFmtId="0" fontId="6" fillId="0" borderId="9" applyAlignment="1" pivotButton="0" quotePrefix="0" xfId="0">
      <alignment horizontal="left"/>
    </xf>
    <xf numFmtId="0" fontId="17" fillId="3" borderId="1" applyAlignment="1" pivotButton="0" quotePrefix="0" xfId="0">
      <alignment horizontal="center" vertical="center" wrapText="1"/>
    </xf>
    <xf numFmtId="0" fontId="17" fillId="3" borderId="16" applyAlignment="1" pivotButton="0" quotePrefix="0" xfId="0">
      <alignment horizontal="center" vertical="center"/>
    </xf>
    <xf numFmtId="0" fontId="4" fillId="0" borderId="26" pivotButton="0" quotePrefix="0" xfId="0"/>
    <xf numFmtId="0" fontId="17" fillId="3" borderId="23" applyAlignment="1" pivotButton="0" quotePrefix="0" xfId="0">
      <alignment horizontal="center" vertical="center" wrapText="1"/>
    </xf>
    <xf numFmtId="0" fontId="4" fillId="0" borderId="27" pivotButton="0" quotePrefix="0" xfId="0"/>
    <xf numFmtId="0" fontId="17" fillId="3" borderId="24" applyAlignment="1" pivotButton="0" quotePrefix="0" xfId="0">
      <alignment horizontal="center" vertical="center" wrapText="1"/>
    </xf>
    <xf numFmtId="0" fontId="4" fillId="0" borderId="25" pivotButton="0" quotePrefix="0" xfId="0"/>
    <xf numFmtId="0" fontId="17" fillId="3" borderId="16" applyAlignment="1" pivotButton="0" quotePrefix="0" xfId="0">
      <alignment horizontal="center" vertical="center" wrapText="1"/>
    </xf>
    <xf numFmtId="0" fontId="6" fillId="2" borderId="13" applyAlignment="1" pivotButton="0" quotePrefix="0" xfId="0">
      <alignment horizontal="center" vertical="center"/>
    </xf>
    <xf numFmtId="0" fontId="6" fillId="6" borderId="15" applyAlignment="1" pivotButton="0" quotePrefix="0" xfId="0">
      <alignment horizontal="center" vertical="center"/>
    </xf>
    <xf numFmtId="0" fontId="4" fillId="0" borderId="22" pivotButton="0" quotePrefix="0" xfId="0"/>
    <xf numFmtId="0" fontId="18" fillId="0" borderId="28" pivotButton="0" quotePrefix="0" xfId="0"/>
    <xf numFmtId="0" fontId="3" fillId="0" borderId="12" applyAlignment="1" pivotButton="0" quotePrefix="0" xfId="0">
      <alignment horizontal="center" vertical="center"/>
    </xf>
    <xf numFmtId="0" fontId="0" fillId="0" borderId="18" pivotButton="0" quotePrefix="0" xfId="0"/>
    <xf numFmtId="0" fontId="0" fillId="0" borderId="3" pivotButton="0" quotePrefix="0" xfId="0"/>
    <xf numFmtId="0" fontId="0" fillId="0" borderId="4" pivotButton="0" quotePrefix="0" xfId="0"/>
    <xf numFmtId="0" fontId="0" fillId="0" borderId="25" pivotButton="0" quotePrefix="0" xfId="0"/>
    <xf numFmtId="0" fontId="0" fillId="0" borderId="6" pivotButton="0" quotePrefix="0" xfId="0"/>
    <xf numFmtId="0" fontId="0" fillId="0" borderId="27" pivotButton="0" quotePrefix="0" xfId="0"/>
    <xf numFmtId="0" fontId="0" fillId="0" borderId="22" pivotButton="0" quotePrefix="0" xfId="0"/>
    <xf numFmtId="0" fontId="5" fillId="0" borderId="21" applyAlignment="1" pivotButton="0" quotePrefix="0" xfId="0">
      <alignment horizontal="left" vertical="center"/>
    </xf>
    <xf numFmtId="0" fontId="0" fillId="0" borderId="14" pivotButton="0" quotePrefix="0" xfId="0"/>
    <xf numFmtId="0" fontId="6" fillId="0" borderId="12" pivotButton="0" quotePrefix="0" xfId="0"/>
    <xf numFmtId="0" fontId="0" fillId="0" borderId="11" pivotButton="0" quotePrefix="0" xfId="0"/>
    <xf numFmtId="0" fontId="5" fillId="0" borderId="12" applyAlignment="1" pivotButton="0" quotePrefix="0" xfId="0">
      <alignment horizontal="center"/>
    </xf>
    <xf numFmtId="2" fontId="6" fillId="0" borderId="12" applyAlignment="1" pivotButton="0" quotePrefix="0" xfId="0">
      <alignment horizontal="right"/>
    </xf>
    <xf numFmtId="167" fontId="6" fillId="2" borderId="12" applyAlignment="1" pivotButton="0" quotePrefix="0" xfId="0">
      <alignment horizontal="right"/>
    </xf>
    <xf numFmtId="166" fontId="6" fillId="2" borderId="12" pivotButton="0" quotePrefix="0" xfId="0"/>
    <xf numFmtId="0" fontId="6" fillId="0" borderId="32" pivotButton="0" quotePrefix="0" xfId="0"/>
    <xf numFmtId="165" fontId="6" fillId="0" borderId="14" pivotButton="0" quotePrefix="0" xfId="0"/>
    <xf numFmtId="0" fontId="6" fillId="0" borderId="11" pivotButton="0" quotePrefix="0" xfId="0"/>
    <xf numFmtId="0" fontId="5" fillId="0" borderId="12" applyAlignment="1" pivotButton="0" quotePrefix="0" xfId="0">
      <alignment horizontal="right"/>
    </xf>
    <xf numFmtId="168" fontId="6" fillId="0" borderId="12" applyAlignment="1" pivotButton="0" quotePrefix="0" xfId="0">
      <alignment horizontal="right"/>
    </xf>
    <xf numFmtId="0" fontId="7" fillId="0" borderId="12" applyAlignment="1" pivotButton="0" quotePrefix="0" xfId="0">
      <alignment horizontal="center" vertical="center" textRotation="90" wrapText="1"/>
    </xf>
    <xf numFmtId="0" fontId="5" fillId="0" borderId="11" pivotButton="0" quotePrefix="0" xfId="0"/>
    <xf numFmtId="0" fontId="7" fillId="0" borderId="21" applyAlignment="1" pivotButton="0" quotePrefix="0" xfId="0">
      <alignment horizontal="center" vertical="center" textRotation="90" wrapText="1"/>
    </xf>
    <xf numFmtId="0" fontId="5" fillId="0" borderId="21" applyAlignment="1" pivotButton="0" quotePrefix="0" xfId="0">
      <alignment horizontal="right"/>
    </xf>
    <xf numFmtId="0" fontId="3" fillId="0" borderId="27" applyAlignment="1" pivotButton="0" quotePrefix="0" xfId="0">
      <alignment horizontal="center" vertical="center"/>
    </xf>
    <xf numFmtId="0" fontId="1" fillId="0" borderId="12" applyAlignment="1" pivotButton="0" quotePrefix="0" xfId="0">
      <alignment horizontal="left" vertical="top" wrapText="1"/>
    </xf>
    <xf numFmtId="0" fontId="0" fillId="0" borderId="30" pivotButton="0" quotePrefix="0" xfId="0"/>
    <xf numFmtId="0" fontId="0" fillId="0" borderId="31" pivotButton="0" quotePrefix="0" xfId="0"/>
    <xf numFmtId="165" fontId="6" fillId="2" borderId="28" applyAlignment="1" pivotButton="0" quotePrefix="0" xfId="0">
      <alignment horizontal="left" vertical="center"/>
    </xf>
    <xf numFmtId="0" fontId="6" fillId="2" borderId="21" applyAlignment="1" pivotButton="0" quotePrefix="0" xfId="0">
      <alignment horizontal="left" vertical="center"/>
    </xf>
    <xf numFmtId="0" fontId="6" fillId="2" borderId="18" applyAlignment="1" pivotButton="0" quotePrefix="0" xfId="0">
      <alignment horizontal="left" vertical="center"/>
    </xf>
    <xf numFmtId="165" fontId="6" fillId="2" borderId="18" applyAlignment="1" pivotButton="0" quotePrefix="0" xfId="0">
      <alignment horizontal="left" vertical="center"/>
    </xf>
    <xf numFmtId="0" fontId="6" fillId="2" borderId="14" applyAlignment="1" pivotButton="0" quotePrefix="0" xfId="0">
      <alignment horizontal="center" vertical="center"/>
    </xf>
    <xf numFmtId="0" fontId="6" fillId="6" borderId="22" applyAlignment="1" pivotButton="0" quotePrefix="0" xfId="0">
      <alignment horizontal="center" vertical="center"/>
    </xf>
    <xf numFmtId="0" fontId="17" fillId="3" borderId="21" applyAlignment="1" pivotButton="0" quotePrefix="0" xfId="0">
      <alignment horizontal="center" vertical="center" wrapText="1"/>
    </xf>
    <xf numFmtId="0" fontId="17" fillId="3" borderId="14" applyAlignment="1" pivotButton="0" quotePrefix="0" xfId="0">
      <alignment horizontal="center" vertical="center"/>
    </xf>
    <xf numFmtId="0" fontId="17" fillId="3" borderId="27" applyAlignment="1" pivotButton="0" quotePrefix="0" xfId="0">
      <alignment horizontal="center" vertical="center" wrapText="1"/>
    </xf>
    <xf numFmtId="0" fontId="17" fillId="3" borderId="22" applyAlignment="1" pivotButton="0" quotePrefix="0" xfId="0">
      <alignment horizontal="center" vertical="center" wrapText="1"/>
    </xf>
    <xf numFmtId="0" fontId="17" fillId="3" borderId="11" applyAlignment="1" pivotButton="0" quotePrefix="0" xfId="0">
      <alignment horizontal="center" vertical="center" wrapText="1"/>
    </xf>
    <xf numFmtId="164" fontId="6" fillId="0" borderId="0" pivotButton="0" quotePrefix="0" xfId="0"/>
    <xf numFmtId="164" fontId="6" fillId="7" borderId="19" pivotButton="0" quotePrefix="0" xfId="0"/>
    <xf numFmtId="164" fontId="6" fillId="8" borderId="19" pivotButton="0" quotePrefix="0" xfId="0"/>
    <xf numFmtId="164" fontId="6" fillId="5" borderId="19" pivotButton="0" quotePrefix="0" xfId="0"/>
    <xf numFmtId="164" fontId="6" fillId="9" borderId="19" pivotButton="0" quotePrefix="0" xfId="0"/>
    <xf numFmtId="164" fontId="6" fillId="10" borderId="19" pivotButton="0" quotePrefix="0" xfId="0"/>
    <xf numFmtId="0" fontId="6" fillId="0" borderId="12" applyAlignment="1" pivotButton="0" quotePrefix="0" xfId="0">
      <alignment horizontal="left"/>
    </xf>
  </cellXfs>
  <cellStyles count="1">
    <cellStyle name="Normal" xfId="0" builtinId="0"/>
  </cellStyles>
  <dxfs count="3">
    <dxf>
      <font>
        <color rgb="FFFF0000"/>
      </font>
      <fill>
        <patternFill patternType="solid">
          <fgColor rgb="FFFFCC99"/>
          <bgColor rgb="FFFFCC99"/>
        </patternFill>
      </fill>
    </dxf>
    <dxf>
      <font>
        <color rgb="FFFF6600"/>
      </font>
      <fill>
        <patternFill patternType="solid">
          <fgColor rgb="FFFFFF99"/>
          <bgColor rgb="FFFFFF99"/>
        </patternFill>
      </fill>
    </dxf>
    <dxf>
      <font>
        <color rgb="FF008000"/>
      </font>
      <fill>
        <patternFill patternType="solid">
          <fgColor rgb="FFCCFFFF"/>
          <bgColor rgb="FFCC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A10" authorId="0" shapeId="0">
      <text>
        <t>======
ID#AAABCFepmZM
    (2023-12-11 12:50:18)
Documento de Visão Número</t>
      </text>
    </comment>
    <comment ref="K10" authorId="0" shapeId="0">
      <text>
        <t>======
ID#AAABCFepmY0
    (2023-12-11 12:50:18)
Número da Versão do Documento de Visão</t>
      </text>
    </comment>
    <comment ref="K20" authorId="0" shapeId="0">
      <text>
        <t>======
ID#AAABCFepmYo
    (2023-12-11 12:50:18)
O propósito de uma contagem de pontos de função, é fornecer uma resposta a um problema de negócios.
Este propósito :  
- Determina o tipo de contagem de pontos de função e o escopo da contagem necessária à obtenção da resposta da questão em análise;
- Influencia o posicionamento da fronteira entre o sistema em análise e seu ambiente.</t>
      </text>
    </comment>
  </commentList>
</comments>
</file>

<file path=xl/comments/comment2.xml><?xml version="1.0" encoding="utf-8"?>
<comments xmlns="http://schemas.openxmlformats.org/spreadsheetml/2006/main">
  <authors>
    <author>None</author>
  </authors>
  <commentList>
    <comment ref="B11" authorId="0" shapeId="0">
      <text>
        <t>======
ID#AAABCFepmZA
    (2023-12-11 12:50:18)
Referenciar a funcionalidade do Documento de Visão. Caso não tenha Documento de Visão não informar.</t>
      </text>
    </comment>
    <comment ref="C11" authorId="0" shapeId="0">
      <text>
        <t>======
ID#AAABCFepmZE
    (2023-12-11 12:50:18)
Informar função transacional (EE, CE, SE) ou função de dados (ALI, AIE) referente à funcionalidade do Documento de Visão. 
Caso não tenha o Documento de Visão, simplesmente relacionar as funções transacionais e de dados identificadas através de outros tipos de levantamentos de requisitos funcionais.</t>
      </text>
    </comment>
    <comment ref="H11" authorId="0" shapeId="0">
      <text>
        <t>======
ID#AAABCFepmYs
Tipo de Função    (2023-12-11 12:50:18)
ALI, AIE, EE, SE, CE</t>
      </text>
    </comment>
    <comment ref="I11" authorId="0" shapeId="0">
      <text>
        <t>======
ID#AAABCFepmYg
Tipo de Manutenção na função    (2023-12-11 12:50:18)
I - Inclusão
A - Alteração  
E - Exclusão  
T- Teste</t>
      </text>
    </comment>
    <comment ref="J11" authorId="0" shapeId="0">
      <text>
        <t>======
ID#AAABCFepmZQ
    (2023-12-11 12:50:18)
Tipos de Dados (DETs)</t>
      </text>
    </comment>
    <comment ref="K11" authorId="0" shapeId="0">
      <text>
        <t>======
ID#AAABCFepmYk
    (2023-12-11 12:50:18)
Arquivos Referenciados/ Tipos de Registro</t>
      </text>
    </comment>
  </commentList>
</comments>
</file>

<file path=xl/comments/comment3.xml><?xml version="1.0" encoding="utf-8"?>
<comments xmlns="http://schemas.openxmlformats.org/spreadsheetml/2006/main">
  <authors>
    <author>None</author>
  </authors>
  <commentList>
    <comment ref="B14" authorId="0" shapeId="0">
      <text>
        <t>======
ID#AAABCFepmZI
    (2023-12-11 12:50:18)
Entrada Externa</t>
      </text>
    </comment>
    <comment ref="B21" authorId="0" shapeId="0">
      <text>
        <t>======
ID#AAABCFepmYc
    (2023-12-11 12:50:18)
Saída Externa</t>
      </text>
    </comment>
    <comment ref="B28" authorId="0" shapeId="0">
      <text>
        <t>======
ID#AAABCFepmY4
    (2023-12-11 12:50:18)
Consulta Externa</t>
      </text>
    </comment>
    <comment ref="B35" authorId="0" shapeId="0">
      <text>
        <t>======
ID#AAABCFepmZU
    (2023-12-11 12:50:18)
Arquivo Lógico Interno</t>
      </text>
    </comment>
    <comment ref="B42" authorId="0" shapeId="0">
      <text>
        <t>======
ID#AAABCFepmYw
    (2023-12-11 12:50:18)
Arquivo de Interface Externa</t>
      </text>
    </comment>
    <comment ref="B50" authorId="0" shapeId="0">
      <text>
        <t>======
ID#AAABCFepmY8
    (2023-12-11 12:50:18)
Técnica de estimativa do tamanho desenvolvida pela NESMA. Assume que os arquivos lógicos são de complexidade baixa e as transações são de complexidade média.</t>
      </text>
    </comment>
    <comment ref="B51" authorId="0" shapeId="0">
      <text>
        <t>======
ID#AAABCFepmZY
    (2023-12-11 12:50:18)
Técnica de estimativa do tamanho desenvolvida pela NESMA. Basie-se apenas nos arquivos lógicos. Assume que cada ALI tem um peso de 35 PF e cada AIE um peso de 15 PF</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drawing1.xml><?xml version="1.0" encoding="utf-8"?>
<wsDr xmlns="http://schemas.openxmlformats.org/drawingml/2006/spreadsheetDrawing">
  <oneCellAnchor>
    <from>
      <col>0</col>
      <colOff>28575</colOff>
      <row>0</row>
      <rowOff>85725</rowOff>
    </from>
    <ext cx="485775" cy="314325"/>
    <pic>
      <nvPicPr>
        <cNvPr id="2" name="image1.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28575</colOff>
      <row>0</row>
      <rowOff>85725</rowOff>
    </from>
    <ext cx="485775" cy="314325"/>
    <pic>
      <nvPicPr>
        <cNvPr id="2" name="image1.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U100"/>
  <sheetViews>
    <sheetView showGridLines="0" workbookViewId="0">
      <selection activeCell="AQ16" sqref="AQ16"/>
    </sheetView>
  </sheetViews>
  <sheetFormatPr baseColWidth="8" defaultColWidth="14.42578125" defaultRowHeight="15" customHeight="1"/>
  <cols>
    <col width="2.7109375" customWidth="1" style="73" min="1" max="17"/>
    <col width="4.28515625" customWidth="1" style="73" min="18" max="18"/>
    <col width="3.42578125" customWidth="1" style="73" min="19" max="19"/>
    <col width="2.7109375" customWidth="1" style="73" min="20" max="47"/>
  </cols>
  <sheetData>
    <row r="1" ht="13.5" customHeight="1" s="73">
      <c r="A1" s="1" t="n"/>
      <c r="B1" s="1" t="n"/>
      <c r="C1" s="1" t="n"/>
      <c r="D1" s="1" t="inlineStr">
        <is>
          <t>Sudoeste Informática</t>
        </is>
      </c>
      <c r="E1" s="1" t="n"/>
      <c r="F1" s="1" t="n"/>
      <c r="G1" s="1" t="n"/>
      <c r="H1" s="1" t="n"/>
      <c r="I1" s="1" t="n"/>
      <c r="J1" s="1" t="n"/>
      <c r="K1" s="1" t="n"/>
      <c r="L1" s="1" t="n"/>
      <c r="M1" s="1" t="n"/>
      <c r="N1" s="1" t="n"/>
      <c r="O1" s="1" t="n"/>
      <c r="P1" s="1" t="n"/>
      <c r="Q1" s="1" t="n"/>
      <c r="R1" s="1" t="n"/>
      <c r="S1" s="1" t="n"/>
      <c r="T1" s="1" t="n"/>
      <c r="U1" s="1" t="n"/>
      <c r="V1" s="1" t="n"/>
      <c r="W1" s="1" t="n"/>
      <c r="X1" s="1" t="n"/>
    </row>
    <row r="2" ht="13.5" customHeight="1" s="73">
      <c r="A2" s="1" t="n"/>
      <c r="B2" s="1" t="n"/>
      <c r="C2" s="1" t="n"/>
      <c r="D2" s="1" t="inlineStr">
        <is>
          <t>Sudoeste Informática e Consultoria</t>
        </is>
      </c>
      <c r="E2" s="1" t="n"/>
      <c r="F2" s="1" t="n"/>
      <c r="G2" s="1" t="n"/>
      <c r="H2" s="1" t="n"/>
      <c r="I2" s="1" t="n"/>
      <c r="J2" s="1" t="n"/>
      <c r="K2" s="1" t="n"/>
      <c r="L2" s="1" t="n"/>
      <c r="M2" s="1" t="n"/>
      <c r="N2" s="1" t="n"/>
      <c r="O2" s="1" t="n"/>
      <c r="P2" s="1" t="n"/>
      <c r="Q2" s="1" t="n"/>
      <c r="R2" s="1" t="n"/>
      <c r="S2" s="1" t="n"/>
      <c r="T2" s="1" t="n"/>
      <c r="U2" s="1" t="n"/>
      <c r="V2" s="1" t="n"/>
      <c r="W2" s="1" t="n"/>
      <c r="X2" s="1" t="n"/>
    </row>
    <row r="3" ht="13.5" customHeight="1" s="73">
      <c r="A3" s="1" t="n"/>
      <c r="B3" s="1" t="n"/>
      <c r="C3" s="1" t="n"/>
      <c r="D3" s="2" t="inlineStr">
        <is>
          <t>Missão: "Ser a mais completa solução na área de Tecnologia da Informação, de forma a contribuir para a modernização da Gestão pública."</t>
        </is>
      </c>
      <c r="E3" s="1" t="n"/>
      <c r="F3" s="1" t="n"/>
      <c r="G3" s="1" t="n"/>
      <c r="H3" s="1" t="n"/>
      <c r="I3" s="1" t="n"/>
      <c r="J3" s="1" t="n"/>
      <c r="K3" s="1" t="n"/>
      <c r="L3" s="1" t="n"/>
      <c r="M3" s="1" t="n"/>
      <c r="N3" s="1" t="n"/>
      <c r="O3" s="1" t="n"/>
      <c r="P3" s="1" t="n"/>
      <c r="Q3" s="1" t="n"/>
      <c r="R3" s="1" t="n"/>
      <c r="S3" s="1" t="n"/>
      <c r="T3" s="1" t="n"/>
      <c r="U3" s="1" t="n"/>
      <c r="V3" s="1" t="n"/>
      <c r="W3" s="1" t="n"/>
      <c r="X3" s="1" t="n"/>
    </row>
    <row r="4" ht="12" customHeight="1" s="73">
      <c r="A4" s="115" t="inlineStr">
        <is>
          <t>Identificação da Contagem</t>
        </is>
      </c>
      <c r="B4" s="116" t="n"/>
      <c r="C4" s="116" t="n"/>
      <c r="D4" s="116" t="n"/>
      <c r="E4" s="116" t="n"/>
      <c r="F4" s="116" t="n"/>
      <c r="G4" s="116" t="n"/>
      <c r="H4" s="116" t="n"/>
      <c r="I4" s="116" t="n"/>
      <c r="J4" s="116" t="n"/>
      <c r="K4" s="116" t="n"/>
      <c r="L4" s="116" t="n"/>
      <c r="M4" s="116" t="n"/>
      <c r="N4" s="116" t="n"/>
      <c r="O4" s="116" t="n"/>
      <c r="P4" s="116" t="n"/>
      <c r="Q4" s="116" t="n"/>
      <c r="R4" s="116" t="n"/>
      <c r="S4" s="116" t="n"/>
      <c r="T4" s="116" t="n"/>
      <c r="U4" s="116" t="n"/>
      <c r="V4" s="116" t="n"/>
      <c r="W4" s="116" t="n"/>
      <c r="X4" s="116" t="n"/>
      <c r="Y4" s="116" t="n"/>
      <c r="Z4" s="116" t="n"/>
      <c r="AA4" s="116" t="n"/>
      <c r="AB4" s="116" t="n"/>
      <c r="AC4" s="116" t="n"/>
      <c r="AD4" s="117" t="n"/>
    </row>
    <row r="5" ht="12" customHeight="1" s="73">
      <c r="A5" s="118" t="n"/>
      <c r="AD5" s="119" t="n"/>
    </row>
    <row r="6" ht="12" customHeight="1" s="73">
      <c r="A6" s="120" t="n"/>
      <c r="B6" s="121" t="n"/>
      <c r="C6" s="121" t="n"/>
      <c r="D6" s="121" t="n"/>
      <c r="E6" s="121" t="n"/>
      <c r="F6" s="121" t="n"/>
      <c r="G6" s="121" t="n"/>
      <c r="H6" s="121" t="n"/>
      <c r="I6" s="121" t="n"/>
      <c r="J6" s="121" t="n"/>
      <c r="K6" s="121" t="n"/>
      <c r="L6" s="121" t="n"/>
      <c r="M6" s="121" t="n"/>
      <c r="N6" s="121" t="n"/>
      <c r="O6" s="121" t="n"/>
      <c r="P6" s="121" t="n"/>
      <c r="Q6" s="121" t="n"/>
      <c r="R6" s="121" t="n"/>
      <c r="S6" s="121" t="n"/>
      <c r="T6" s="121" t="n"/>
      <c r="U6" s="121" t="n"/>
      <c r="V6" s="121" t="n"/>
      <c r="W6" s="121" t="n"/>
      <c r="X6" s="121" t="n"/>
      <c r="Y6" s="121" t="n"/>
      <c r="Z6" s="121" t="n"/>
      <c r="AA6" s="121" t="n"/>
      <c r="AB6" s="121" t="n"/>
      <c r="AC6" s="121" t="n"/>
      <c r="AD6" s="122" t="n"/>
      <c r="AE6" s="1" t="n"/>
      <c r="AF6" s="1" t="n"/>
      <c r="AG6" s="1" t="n"/>
      <c r="AH6" s="1" t="n"/>
      <c r="AI6" s="1" t="n"/>
      <c r="AJ6" s="1" t="n"/>
      <c r="AK6" s="1" t="n"/>
      <c r="AL6" s="1" t="n"/>
      <c r="AM6" s="1" t="n"/>
      <c r="AN6" s="1" t="n"/>
      <c r="AO6" s="1" t="n"/>
      <c r="AP6" s="1" t="n"/>
      <c r="AQ6" s="1" t="n"/>
      <c r="AR6" s="1" t="n"/>
      <c r="AS6" s="1" t="n"/>
      <c r="AT6" s="1" t="n"/>
      <c r="AU6" s="1" t="n"/>
    </row>
    <row r="7" ht="13.5" customHeight="1" s="73">
      <c r="A7" s="123" t="inlineStr">
        <is>
          <t>Empresa</t>
        </is>
      </c>
      <c r="B7" s="124" t="n"/>
      <c r="C7" s="124" t="n"/>
      <c r="D7" s="124" t="n"/>
      <c r="E7" s="124" t="n"/>
      <c r="F7" s="125" t="inlineStr">
        <is>
          <t>Sudoeste Informática</t>
        </is>
      </c>
      <c r="G7" s="124" t="n"/>
      <c r="H7" s="124" t="n"/>
      <c r="I7" s="124" t="n"/>
      <c r="J7" s="124" t="n"/>
      <c r="K7" s="124" t="n"/>
      <c r="L7" s="124" t="n"/>
      <c r="M7" s="124" t="n"/>
      <c r="N7" s="124" t="n"/>
      <c r="O7" s="124" t="n"/>
      <c r="P7" s="124" t="n"/>
      <c r="Q7" s="126" t="n"/>
      <c r="R7" s="127" t="inlineStr">
        <is>
          <t>R$/PF</t>
        </is>
      </c>
      <c r="S7" s="126" t="n"/>
      <c r="T7" s="128" t="n">
        <v>700</v>
      </c>
      <c r="U7" s="124" t="n"/>
      <c r="V7" s="126" t="n"/>
      <c r="W7" s="127" t="inlineStr">
        <is>
          <t>Custo</t>
        </is>
      </c>
      <c r="X7" s="126" t="n"/>
      <c r="Y7" s="129">
        <f>Y8*T7</f>
        <v/>
      </c>
      <c r="Z7" s="124" t="n"/>
      <c r="AA7" s="124" t="n"/>
      <c r="AB7" s="124" t="n"/>
      <c r="AC7" s="124" t="n"/>
      <c r="AD7" s="126" t="n"/>
      <c r="AE7" s="1" t="n"/>
      <c r="AF7" s="1" t="n"/>
      <c r="AG7" s="1" t="n"/>
      <c r="AH7" s="1" t="n"/>
      <c r="AI7" s="1" t="n"/>
      <c r="AJ7" s="1" t="n"/>
      <c r="AK7" s="1" t="n"/>
      <c r="AL7" s="1" t="n"/>
      <c r="AM7" s="1" t="n"/>
      <c r="AN7" s="1" t="n"/>
      <c r="AO7" s="1" t="n"/>
      <c r="AP7" s="1" t="n"/>
      <c r="AQ7" s="1" t="n"/>
      <c r="AR7" s="1" t="n"/>
      <c r="AS7" s="1" t="n"/>
      <c r="AT7" s="1" t="n"/>
      <c r="AU7" s="1" t="n"/>
    </row>
    <row r="8" ht="13.5" customHeight="1" s="73">
      <c r="A8" s="123" t="inlineStr">
        <is>
          <t>Aplicação</t>
        </is>
      </c>
      <c r="B8" s="124" t="n"/>
      <c r="C8" s="124" t="n"/>
      <c r="D8" s="124" t="n"/>
      <c r="E8" s="124" t="n"/>
      <c r="F8" s="125" t="inlineStr">
        <is>
          <t>Viabiliza — Sistema de Licenciamento Eletrônico da SEDUR</t>
        </is>
      </c>
      <c r="G8" s="124" t="n"/>
      <c r="H8" s="124" t="n"/>
      <c r="I8" s="124" t="n"/>
      <c r="J8" s="124" t="n"/>
      <c r="K8" s="124" t="n"/>
      <c r="L8" s="124" t="n"/>
      <c r="M8" s="124" t="n"/>
      <c r="N8" s="124" t="n"/>
      <c r="O8" s="124" t="n"/>
      <c r="P8" s="124" t="n"/>
      <c r="Q8" s="124" t="n"/>
      <c r="R8" s="124" t="n"/>
      <c r="S8" s="124" t="n"/>
      <c r="T8" s="124" t="n"/>
      <c r="U8" s="124" t="n"/>
      <c r="V8" s="126" t="n"/>
      <c r="W8" s="127" t="inlineStr">
        <is>
          <t>PF</t>
        </is>
      </c>
      <c r="X8" s="126" t="n"/>
      <c r="Y8" s="130">
        <f>SUM(AA15:AA18)</f>
        <v/>
      </c>
      <c r="Z8" s="124" t="n"/>
      <c r="AA8" s="124" t="n"/>
      <c r="AB8" s="124" t="n"/>
      <c r="AC8" s="124" t="n"/>
      <c r="AD8" s="126" t="n"/>
      <c r="AE8" s="1" t="n"/>
      <c r="AF8" s="1" t="n"/>
      <c r="AG8" s="1" t="n"/>
      <c r="AH8" s="1" t="n"/>
      <c r="AI8" s="1" t="n"/>
      <c r="AJ8" s="1" t="n"/>
      <c r="AK8" s="1" t="n"/>
      <c r="AL8" s="1" t="n"/>
      <c r="AM8" s="1" t="n"/>
      <c r="AN8" s="1" t="n"/>
      <c r="AO8" s="1" t="n"/>
      <c r="AP8" s="1" t="n"/>
      <c r="AQ8" s="1" t="n"/>
      <c r="AR8" s="1" t="n"/>
      <c r="AS8" s="1" t="n"/>
      <c r="AT8" s="1" t="n"/>
      <c r="AU8" s="1" t="n"/>
    </row>
    <row r="9" ht="13.5" customHeight="1" s="73">
      <c r="A9" s="123" t="inlineStr">
        <is>
          <t>Projeto</t>
        </is>
      </c>
      <c r="B9" s="124" t="n"/>
      <c r="C9" s="124" t="n"/>
      <c r="D9" s="124" t="n"/>
      <c r="E9" s="124" t="n"/>
      <c r="F9" s="131" t="inlineStr">
        <is>
          <t>Recontagem IFPUG - Projeto de Desenvolvimento (aplicação completa)</t>
        </is>
      </c>
      <c r="G9" s="116" t="n"/>
      <c r="H9" s="116" t="n"/>
      <c r="I9" s="116" t="n"/>
      <c r="J9" s="116" t="n"/>
      <c r="K9" s="116" t="n"/>
      <c r="L9" s="116" t="n"/>
      <c r="M9" s="116" t="n"/>
      <c r="N9" s="116" t="n"/>
      <c r="O9" s="116" t="n"/>
      <c r="P9" s="116" t="n"/>
      <c r="Q9" s="116" t="n"/>
      <c r="R9" s="116" t="n"/>
      <c r="S9" s="116" t="n"/>
      <c r="T9" s="116" t="n"/>
      <c r="U9" s="116" t="n"/>
      <c r="V9" s="116" t="n"/>
      <c r="W9" s="116" t="n"/>
      <c r="X9" s="116" t="n"/>
      <c r="Y9" s="116" t="n"/>
      <c r="Z9" s="116" t="n"/>
      <c r="AA9" s="116" t="n"/>
      <c r="AB9" s="116" t="n"/>
      <c r="AC9" s="116" t="n"/>
      <c r="AD9" s="117" t="n"/>
      <c r="AE9" s="1" t="n"/>
      <c r="AF9" s="1" t="n"/>
      <c r="AG9" s="1" t="n"/>
      <c r="AH9" s="1" t="n"/>
      <c r="AI9" s="1" t="n"/>
      <c r="AJ9" s="1" t="n"/>
      <c r="AK9" s="1" t="n"/>
      <c r="AL9" s="1" t="n"/>
      <c r="AM9" s="1" t="n"/>
      <c r="AN9" s="1" t="n"/>
      <c r="AO9" s="1" t="n"/>
      <c r="AP9" s="1" t="n"/>
      <c r="AQ9" s="1" t="n"/>
      <c r="AR9" s="1" t="n"/>
      <c r="AS9" s="1" t="n"/>
      <c r="AT9" s="1" t="n"/>
      <c r="AU9" s="1" t="n"/>
    </row>
    <row r="10" ht="13.5" customHeight="1" s="73">
      <c r="A10" s="123" t="inlineStr">
        <is>
          <t>DV Número</t>
        </is>
      </c>
      <c r="B10" s="124" t="n"/>
      <c r="C10" s="124" t="n"/>
      <c r="D10" s="124" t="n"/>
      <c r="E10" s="124" t="n"/>
      <c r="F10" s="125" t="inlineStr">
        <is>
          <t>DV-SILE-003</t>
        </is>
      </c>
      <c r="G10" s="124" t="n"/>
      <c r="H10" s="124" t="n"/>
      <c r="I10" s="124" t="n"/>
      <c r="J10" s="126" t="n"/>
      <c r="K10" s="123" t="inlineStr">
        <is>
          <t>Versão</t>
        </is>
      </c>
      <c r="L10" s="124" t="n"/>
      <c r="M10" s="124" t="n"/>
      <c r="N10" s="132" t="inlineStr">
        <is>
          <t>4.0</t>
        </is>
      </c>
      <c r="O10" s="124" t="n"/>
      <c r="P10" s="124" t="n"/>
      <c r="Q10" s="133" t="n"/>
      <c r="R10" s="124" t="n"/>
      <c r="S10" s="124" t="n"/>
      <c r="T10" s="124" t="n"/>
      <c r="U10" s="124" t="n"/>
      <c r="V10" s="124" t="n"/>
      <c r="W10" s="124" t="n"/>
      <c r="X10" s="124" t="n"/>
      <c r="Y10" s="124" t="n"/>
      <c r="Z10" s="124" t="n"/>
      <c r="AA10" s="124" t="n"/>
      <c r="AB10" s="124" t="n"/>
      <c r="AC10" s="124" t="n"/>
      <c r="AD10" s="126" t="n"/>
      <c r="AE10" s="1" t="n"/>
      <c r="AF10" s="1" t="n"/>
      <c r="AG10" s="1" t="n"/>
      <c r="AH10" s="1" t="n"/>
      <c r="AI10" s="1" t="n"/>
      <c r="AJ10" s="1" t="n"/>
      <c r="AK10" s="1" t="n"/>
      <c r="AL10" s="1" t="n"/>
      <c r="AM10" s="1" t="n"/>
      <c r="AN10" s="1" t="n"/>
      <c r="AO10" s="1" t="n"/>
      <c r="AP10" s="1" t="n"/>
      <c r="AQ10" s="1" t="n"/>
      <c r="AR10" s="1" t="n"/>
      <c r="AS10" s="1" t="n"/>
      <c r="AT10" s="1" t="n"/>
      <c r="AU10" s="1" t="n"/>
    </row>
    <row r="11" ht="13.5" customHeight="1" s="73">
      <c r="A11" s="123" t="inlineStr">
        <is>
          <t>Responsável</t>
        </is>
      </c>
      <c r="B11" s="124" t="n"/>
      <c r="C11" s="124" t="n"/>
      <c r="D11" s="124" t="n"/>
      <c r="E11" s="124" t="n"/>
      <c r="F11" s="125" t="inlineStr">
        <is>
          <t>Equipe de Análise — Sudoeste Informática</t>
        </is>
      </c>
      <c r="G11" s="124" t="n"/>
      <c r="H11" s="124" t="n"/>
      <c r="I11" s="124" t="n"/>
      <c r="J11" s="124" t="n"/>
      <c r="K11" s="124" t="n"/>
      <c r="L11" s="124" t="n"/>
      <c r="M11" s="124" t="n"/>
      <c r="N11" s="124" t="n"/>
      <c r="O11" s="124" t="n"/>
      <c r="P11" s="124" t="n"/>
      <c r="Q11" s="124" t="n"/>
      <c r="R11" s="124" t="n"/>
      <c r="S11" s="124" t="n"/>
      <c r="T11" s="124" t="n"/>
      <c r="U11" s="124" t="n"/>
      <c r="V11" s="126" t="n"/>
      <c r="W11" s="134" t="inlineStr">
        <is>
          <t>Criação</t>
        </is>
      </c>
      <c r="X11" s="124" t="n"/>
      <c r="Y11" s="126" t="n"/>
      <c r="Z11" s="135" t="n">
        <v>46311</v>
      </c>
      <c r="AA11" s="124" t="n"/>
      <c r="AB11" s="124" t="n"/>
      <c r="AC11" s="124" t="n"/>
      <c r="AD11" s="126" t="n"/>
      <c r="AE11" s="1" t="n"/>
      <c r="AF11" s="1" t="n"/>
      <c r="AG11" s="1" t="n"/>
      <c r="AH11" s="1" t="n"/>
      <c r="AI11" s="1" t="n"/>
      <c r="AJ11" s="1" t="n"/>
      <c r="AK11" s="1" t="n"/>
      <c r="AL11" s="1" t="n"/>
      <c r="AM11" s="1" t="n"/>
      <c r="AN11" s="1" t="n"/>
      <c r="AO11" s="1" t="n"/>
      <c r="AP11" s="1" t="n"/>
      <c r="AQ11" s="1" t="n"/>
      <c r="AR11" s="1" t="n"/>
      <c r="AS11" s="1" t="n"/>
      <c r="AT11" s="1" t="n"/>
      <c r="AU11" s="1" t="n"/>
    </row>
    <row r="12" ht="13.5" customHeight="1" s="73">
      <c r="A12" s="123" t="inlineStr">
        <is>
          <t>Revisor</t>
        </is>
      </c>
      <c r="B12" s="124" t="n"/>
      <c r="C12" s="124" t="n"/>
      <c r="D12" s="124" t="n"/>
      <c r="E12" s="124" t="n"/>
      <c r="F12" s="125" t="n"/>
      <c r="G12" s="124" t="n"/>
      <c r="H12" s="124" t="n"/>
      <c r="I12" s="124" t="n"/>
      <c r="J12" s="124" t="n"/>
      <c r="K12" s="124" t="n"/>
      <c r="L12" s="124" t="n"/>
      <c r="M12" s="124" t="n"/>
      <c r="N12" s="124" t="n"/>
      <c r="O12" s="124" t="n"/>
      <c r="P12" s="124" t="n"/>
      <c r="Q12" s="124" t="n"/>
      <c r="R12" s="124" t="n"/>
      <c r="S12" s="124" t="n"/>
      <c r="T12" s="124" t="n"/>
      <c r="U12" s="124" t="n"/>
      <c r="V12" s="126" t="n"/>
      <c r="W12" s="134" t="inlineStr">
        <is>
          <t>Revisão</t>
        </is>
      </c>
      <c r="X12" s="124" t="n"/>
      <c r="Y12" s="126" t="n"/>
      <c r="Z12" s="135" t="n"/>
      <c r="AA12" s="124" t="n"/>
      <c r="AB12" s="124" t="n"/>
      <c r="AC12" s="124" t="n"/>
      <c r="AD12" s="126" t="n"/>
      <c r="AE12" s="1" t="n"/>
      <c r="AF12" s="1" t="n"/>
      <c r="AG12" s="1" t="n"/>
      <c r="AH12" s="1" t="n"/>
      <c r="AI12" s="1" t="n"/>
      <c r="AJ12" s="1" t="n"/>
      <c r="AK12" s="1" t="n"/>
      <c r="AL12" s="1" t="n"/>
      <c r="AM12" s="1" t="n"/>
      <c r="AN12" s="1" t="n"/>
      <c r="AO12" s="1" t="n"/>
      <c r="AP12" s="1" t="n"/>
      <c r="AQ12" s="1" t="n"/>
      <c r="AR12" s="1" t="n"/>
      <c r="AS12" s="1" t="n"/>
      <c r="AT12" s="1" t="n"/>
      <c r="AU12" s="1" t="n"/>
    </row>
    <row r="13" ht="13.5" customHeight="1" s="7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c r="AU13" s="1" t="n"/>
    </row>
    <row r="14" ht="13.5" customHeight="1" s="73">
      <c r="A14" s="136" t="inlineStr">
        <is>
          <t>Tipo de contagem</t>
        </is>
      </c>
      <c r="B14" s="117" t="n"/>
      <c r="C14" s="137" t="inlineStr">
        <is>
          <t>Estimativa</t>
        </is>
      </c>
      <c r="D14" s="124" t="n"/>
      <c r="E14" s="124" t="n"/>
      <c r="F14" s="124" t="n"/>
      <c r="G14" s="124" t="n"/>
      <c r="H14" s="124" t="n"/>
      <c r="I14" s="124" t="n"/>
      <c r="J14" s="124" t="n"/>
      <c r="K14" s="126" t="n"/>
      <c r="L14" s="4" t="n"/>
      <c r="M14" s="5" t="n"/>
      <c r="N14" s="5" t="n"/>
      <c r="O14" s="138" t="inlineStr">
        <is>
          <t>Sumário</t>
        </is>
      </c>
      <c r="P14" s="116" t="n"/>
      <c r="Q14" s="127" t="inlineStr">
        <is>
          <t>PF não Ajustado</t>
        </is>
      </c>
      <c r="R14" s="124" t="n"/>
      <c r="S14" s="124" t="n"/>
      <c r="T14" s="124" t="n"/>
      <c r="U14" s="124" t="n"/>
      <c r="V14" s="126" t="n"/>
      <c r="W14" s="127" t="inlineStr">
        <is>
          <t>Deflator</t>
        </is>
      </c>
      <c r="X14" s="124" t="n"/>
      <c r="Y14" s="124" t="n"/>
      <c r="Z14" s="126" t="n"/>
      <c r="AA14" s="127" t="inlineStr">
        <is>
          <t>PF Local</t>
        </is>
      </c>
      <c r="AB14" s="124" t="n"/>
      <c r="AC14" s="124" t="n"/>
      <c r="AD14" s="126" t="n"/>
      <c r="AE14" s="6" t="n"/>
      <c r="AF14" s="6" t="n"/>
      <c r="AG14" s="1" t="n"/>
      <c r="AH14" s="1" t="n"/>
      <c r="AI14" s="1" t="n"/>
      <c r="AJ14" s="1" t="n"/>
      <c r="AK14" s="1" t="n"/>
      <c r="AL14" s="1" t="n"/>
      <c r="AM14" s="1" t="n"/>
      <c r="AN14" s="1" t="n"/>
      <c r="AO14" s="1" t="n"/>
      <c r="AP14" s="1" t="n"/>
      <c r="AQ14" s="1" t="n"/>
      <c r="AR14" s="1" t="n"/>
      <c r="AS14" s="1" t="n"/>
      <c r="AT14" s="1" t="n"/>
      <c r="AU14" s="1" t="n"/>
    </row>
    <row r="15" ht="13.5" customHeight="1" s="73">
      <c r="A15" s="118" t="n"/>
      <c r="B15" s="119" t="n"/>
      <c r="C15" s="137" t="inlineStr">
        <is>
          <t>Projeto de Desenvolvimento</t>
        </is>
      </c>
      <c r="D15" s="124" t="n"/>
      <c r="E15" s="124" t="n"/>
      <c r="F15" s="124" t="n"/>
      <c r="G15" s="124" t="n"/>
      <c r="H15" s="124" t="n"/>
      <c r="I15" s="124" t="n"/>
      <c r="J15" s="124" t="n"/>
      <c r="K15" s="126" t="n"/>
      <c r="L15" s="4" t="inlineStr">
        <is>
          <t>x</t>
        </is>
      </c>
      <c r="M15" s="5" t="n"/>
      <c r="N15" s="5" t="n"/>
      <c r="O15" s="118" t="n"/>
      <c r="Q15" s="134" t="inlineStr">
        <is>
          <t>ADD</t>
        </is>
      </c>
      <c r="R15" s="126" t="n"/>
      <c r="S15" s="130">
        <f>Sumário!E57</f>
        <v/>
      </c>
      <c r="T15" s="124" t="n"/>
      <c r="U15" s="124" t="n"/>
      <c r="V15" s="126" t="n"/>
      <c r="W15" s="39" t="n">
        <v>1</v>
      </c>
      <c r="X15" s="124" t="n"/>
      <c r="Y15" s="124" t="n"/>
      <c r="Z15" s="126" t="n"/>
      <c r="AA15" s="130">
        <f>S15*W15</f>
        <v/>
      </c>
      <c r="AB15" s="124" t="n"/>
      <c r="AC15" s="124" t="n"/>
      <c r="AD15" s="126" t="n"/>
      <c r="AE15" s="1" t="n"/>
      <c r="AF15" s="1" t="n"/>
      <c r="AG15" s="1" t="n"/>
      <c r="AH15" s="1" t="n"/>
      <c r="AI15" s="1" t="n"/>
      <c r="AJ15" s="1" t="n"/>
      <c r="AK15" s="1" t="n"/>
      <c r="AL15" s="1" t="n"/>
      <c r="AM15" s="1" t="n"/>
      <c r="AN15" s="1" t="n"/>
      <c r="AO15" s="1" t="n"/>
      <c r="AP15" s="1" t="n"/>
      <c r="AQ15" s="1" t="n"/>
      <c r="AR15" s="1" t="n"/>
      <c r="AS15" s="1" t="n"/>
      <c r="AT15" s="1" t="n"/>
      <c r="AU15" s="1" t="n"/>
    </row>
    <row r="16" ht="13.5" customHeight="1" s="73">
      <c r="A16" s="118" t="n"/>
      <c r="B16" s="119" t="n"/>
      <c r="C16" s="137" t="inlineStr">
        <is>
          <t>Projeto de Melhoria</t>
        </is>
      </c>
      <c r="D16" s="124" t="n"/>
      <c r="E16" s="124" t="n"/>
      <c r="F16" s="124" t="n"/>
      <c r="G16" s="124" t="n"/>
      <c r="H16" s="124" t="n"/>
      <c r="I16" s="124" t="n"/>
      <c r="J16" s="124" t="n"/>
      <c r="K16" s="126" t="n"/>
      <c r="L16" s="4" t="n"/>
      <c r="M16" s="5" t="n"/>
      <c r="N16" s="5" t="n"/>
      <c r="O16" s="118" t="n"/>
      <c r="Q16" s="139" t="inlineStr">
        <is>
          <t>CHG</t>
        </is>
      </c>
      <c r="R16" s="124" t="n"/>
      <c r="S16" s="130">
        <f>Sumário!E58</f>
        <v/>
      </c>
      <c r="T16" s="124" t="n"/>
      <c r="U16" s="124" t="n"/>
      <c r="V16" s="126" t="n"/>
      <c r="W16" s="39" t="n">
        <v>0.8</v>
      </c>
      <c r="X16" s="124" t="n"/>
      <c r="Y16" s="124" t="n"/>
      <c r="Z16" s="126" t="n"/>
      <c r="AA16" s="130">
        <f>S16*W16</f>
        <v/>
      </c>
      <c r="AB16" s="124" t="n"/>
      <c r="AC16" s="124" t="n"/>
      <c r="AD16" s="126" t="n"/>
      <c r="AE16" s="1" t="n"/>
      <c r="AF16" s="1" t="n"/>
      <c r="AG16" s="1" t="n"/>
      <c r="AH16" s="1" t="n"/>
      <c r="AI16" s="1" t="n"/>
      <c r="AJ16" s="1" t="n"/>
      <c r="AK16" s="1" t="n"/>
      <c r="AL16" s="1" t="n"/>
      <c r="AM16" s="1" t="n"/>
      <c r="AN16" s="1" t="n"/>
      <c r="AO16" s="1" t="n"/>
      <c r="AP16" s="1" t="n"/>
      <c r="AQ16" s="1" t="n"/>
      <c r="AR16" s="1" t="n"/>
      <c r="AS16" s="1" t="n"/>
      <c r="AT16" s="1" t="n"/>
      <c r="AU16" s="1" t="n"/>
    </row>
    <row r="17" ht="13.5" customHeight="1" s="73">
      <c r="A17" s="118" t="n"/>
      <c r="B17" s="119" t="n"/>
      <c r="C17" s="137" t="inlineStr">
        <is>
          <t>Aplicação ( Baseline )</t>
        </is>
      </c>
      <c r="D17" s="124" t="n"/>
      <c r="E17" s="124" t="n"/>
      <c r="F17" s="124" t="n"/>
      <c r="G17" s="124" t="n"/>
      <c r="H17" s="124" t="n"/>
      <c r="I17" s="124" t="n"/>
      <c r="J17" s="124" t="n"/>
      <c r="K17" s="126" t="n"/>
      <c r="L17" s="4" t="n"/>
      <c r="M17" s="5" t="n"/>
      <c r="N17" s="5" t="n"/>
      <c r="O17" s="118" t="n"/>
      <c r="Q17" s="139" t="inlineStr">
        <is>
          <t>DEL</t>
        </is>
      </c>
      <c r="R17" s="124" t="n"/>
      <c r="S17" s="130">
        <f>Sumário!E59</f>
        <v/>
      </c>
      <c r="T17" s="124" t="n"/>
      <c r="U17" s="124" t="n"/>
      <c r="V17" s="126" t="n"/>
      <c r="W17" s="39" t="n">
        <v>0.3</v>
      </c>
      <c r="X17" s="124" t="n"/>
      <c r="Y17" s="124" t="n"/>
      <c r="Z17" s="126" t="n"/>
      <c r="AA17" s="130">
        <f>S17*W17</f>
        <v/>
      </c>
      <c r="AB17" s="124" t="n"/>
      <c r="AC17" s="124" t="n"/>
      <c r="AD17" s="126" t="n"/>
      <c r="AE17" s="1" t="n"/>
      <c r="AF17" s="1" t="n"/>
      <c r="AG17" s="1" t="n"/>
      <c r="AH17" s="1" t="n"/>
      <c r="AI17" s="1" t="n"/>
      <c r="AJ17" s="1" t="n"/>
      <c r="AK17" s="1" t="n"/>
      <c r="AL17" s="1" t="n"/>
      <c r="AM17" s="1" t="n"/>
      <c r="AN17" s="1" t="n"/>
      <c r="AO17" s="1" t="n"/>
      <c r="AP17" s="1" t="n"/>
      <c r="AQ17" s="1" t="n"/>
      <c r="AR17" s="1" t="n"/>
      <c r="AS17" s="1" t="n"/>
      <c r="AT17" s="1" t="n"/>
      <c r="AU17" s="1" t="n"/>
    </row>
    <row r="18" ht="13.5" customHeight="1" s="73">
      <c r="A18" s="120" t="n"/>
      <c r="B18" s="122" t="n"/>
      <c r="C18" s="1" t="n"/>
      <c r="D18" s="1" t="n"/>
      <c r="E18" s="1" t="n"/>
      <c r="F18" s="1" t="n"/>
      <c r="G18" s="1" t="n"/>
      <c r="H18" s="1" t="n"/>
      <c r="I18" s="1" t="n"/>
      <c r="J18" s="1" t="n"/>
      <c r="K18" s="1" t="n"/>
      <c r="L18" s="1" t="n"/>
      <c r="M18" s="5" t="n"/>
      <c r="N18" s="5" t="n"/>
      <c r="O18" s="120" t="n"/>
      <c r="P18" s="121" t="n"/>
      <c r="Q18" s="139" t="inlineStr">
        <is>
          <t>TST</t>
        </is>
      </c>
      <c r="R18" s="124" t="n"/>
      <c r="S18" s="130">
        <f>Sumário!E60</f>
        <v/>
      </c>
      <c r="T18" s="124" t="n"/>
      <c r="U18" s="124" t="n"/>
      <c r="V18" s="126" t="n"/>
      <c r="W18" s="39" t="n">
        <v>0.5</v>
      </c>
      <c r="X18" s="124" t="n"/>
      <c r="Y18" s="124" t="n"/>
      <c r="Z18" s="126" t="n"/>
      <c r="AA18" s="130">
        <f>S18*W18</f>
        <v/>
      </c>
      <c r="AB18" s="124" t="n"/>
      <c r="AC18" s="124" t="n"/>
      <c r="AD18" s="126" t="n"/>
      <c r="AE18" s="1" t="n"/>
      <c r="AF18" s="1" t="n"/>
      <c r="AG18" s="1" t="n"/>
      <c r="AH18" s="1" t="n"/>
      <c r="AI18" s="1" t="n"/>
      <c r="AJ18" s="1" t="n"/>
      <c r="AK18" s="1" t="n"/>
      <c r="AL18" s="1" t="n"/>
      <c r="AM18" s="1" t="n"/>
      <c r="AN18" s="1" t="n"/>
      <c r="AO18" s="1" t="n"/>
      <c r="AP18" s="1" t="n"/>
      <c r="AQ18" s="1" t="n"/>
      <c r="AR18" s="1" t="n"/>
      <c r="AS18" s="1" t="n"/>
      <c r="AT18" s="1" t="n"/>
      <c r="AU18" s="1" t="n"/>
    </row>
    <row r="19" ht="12" customHeight="1" s="73">
      <c r="A19" s="1" t="n"/>
      <c r="B19" s="1" t="n"/>
      <c r="C19" s="1" t="n"/>
      <c r="D19" s="1" t="n"/>
      <c r="E19" s="1" t="n"/>
      <c r="F19" s="1" t="n"/>
      <c r="G19" s="1" t="n"/>
      <c r="H19" s="1" t="n"/>
      <c r="I19" s="1" t="n"/>
      <c r="J19" s="1" t="n"/>
      <c r="K19" s="1" t="n"/>
      <c r="L19" s="1" t="n"/>
      <c r="M19" s="1" t="n"/>
      <c r="N19" s="1" t="n"/>
      <c r="O19" s="1" t="n"/>
      <c r="P19" s="1" t="n"/>
      <c r="Q19" s="1" t="n"/>
      <c r="R19" s="7"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c r="AU19" s="1" t="n"/>
    </row>
    <row r="20" ht="12" customHeight="1" s="73">
      <c r="A20" s="1" t="n"/>
      <c r="B20" s="8" t="n"/>
      <c r="C20" s="8" t="n"/>
      <c r="D20" s="1" t="n"/>
      <c r="E20" s="1" t="n"/>
      <c r="F20" s="8" t="n"/>
      <c r="G20" s="8" t="n"/>
      <c r="H20" s="8" t="n"/>
      <c r="I20" s="8" t="n"/>
      <c r="J20" s="1" t="n"/>
      <c r="K20" s="140" t="inlineStr">
        <is>
          <t>Propósito da Contagem</t>
        </is>
      </c>
      <c r="L20" s="121" t="n"/>
      <c r="M20" s="121" t="n"/>
      <c r="N20" s="121" t="n"/>
      <c r="O20" s="121" t="n"/>
      <c r="P20" s="121" t="n"/>
      <c r="Q20" s="121" t="n"/>
      <c r="R20" s="121" t="n"/>
      <c r="S20" s="12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c r="AU20" s="1" t="n"/>
    </row>
    <row r="21" ht="12" customHeight="1" s="73">
      <c r="A21" s="141" t="inlineStr">
        <is>
          <t>Recontagem integral do tamanho funcional do Viabiliza em 16/10/2026, como projeto de desenvolvimento, seguindo o Manual de Práticas de Contagem IFPUG CPM 4.3.1. A contagem foi refeita a partir do código-fonte atual (rotas, telas, serviços, models, migrations, comandos agendados e testes), sem presumir que as funções da contagem de 01/10/2026 (versão 3.3, 1.618 PF não ajustados) continuassem válidas: cada função anterior foi conferida no código e classificada como mantida, alterada ou removida, e as funções novas foram identificadas. A coluna Observações traz, para cada função, a prova no código, a justificativa de processo elementar ou de arquivo lógico, a classificação, a lista dos DER que formam o TD e dos arquivos que formam o AR/TR, e a situação em relação à contagem anterior. Resultado: 1713 PF não ajustados. As funções removidas, as correções e as premissas estão na memória de cálculo entregue com esta planilha.</t>
        </is>
      </c>
      <c r="B21" s="116" t="n"/>
      <c r="C21" s="116" t="n"/>
      <c r="D21" s="116" t="n"/>
      <c r="E21" s="116" t="n"/>
      <c r="F21" s="116" t="n"/>
      <c r="G21" s="116" t="n"/>
      <c r="H21" s="116" t="n"/>
      <c r="I21" s="116" t="n"/>
      <c r="J21" s="116" t="n"/>
      <c r="K21" s="116" t="n"/>
      <c r="L21" s="116" t="n"/>
      <c r="M21" s="116" t="n"/>
      <c r="N21" s="116" t="n"/>
      <c r="O21" s="116" t="n"/>
      <c r="P21" s="116" t="n"/>
      <c r="Q21" s="116" t="n"/>
      <c r="R21" s="116" t="n"/>
      <c r="S21" s="116" t="n"/>
      <c r="T21" s="116" t="n"/>
      <c r="U21" s="116" t="n"/>
      <c r="V21" s="116" t="n"/>
      <c r="W21" s="116" t="n"/>
      <c r="X21" s="116" t="n"/>
      <c r="Y21" s="116" t="n"/>
      <c r="Z21" s="116" t="n"/>
      <c r="AA21" s="116" t="n"/>
      <c r="AB21" s="116" t="n"/>
      <c r="AC21" s="116" t="n"/>
      <c r="AD21" s="117" t="n"/>
      <c r="AE21" s="1" t="n"/>
      <c r="AF21" s="1" t="n"/>
      <c r="AG21" s="1" t="n"/>
      <c r="AH21" s="1" t="n"/>
      <c r="AI21" s="1" t="n"/>
      <c r="AJ21" s="1" t="n"/>
      <c r="AK21" s="1" t="n"/>
      <c r="AL21" s="1" t="n"/>
      <c r="AM21" s="1" t="n"/>
      <c r="AN21" s="1" t="n"/>
      <c r="AO21" s="1" t="n"/>
      <c r="AP21" s="1" t="n"/>
      <c r="AQ21" s="1" t="n"/>
      <c r="AR21" s="1" t="n"/>
      <c r="AS21" s="1" t="n"/>
      <c r="AT21" s="1" t="n"/>
      <c r="AU21" s="1" t="n"/>
    </row>
    <row r="22" ht="12" customHeight="1" s="73">
      <c r="A22" s="118" t="n"/>
      <c r="AD22" s="119" t="n"/>
      <c r="AE22" s="1" t="n"/>
      <c r="AF22" s="1" t="n"/>
      <c r="AG22" s="1" t="n"/>
      <c r="AH22" s="1" t="n"/>
      <c r="AI22" s="1" t="n"/>
      <c r="AJ22" s="1" t="n"/>
      <c r="AK22" s="1" t="n"/>
      <c r="AL22" s="1" t="n"/>
      <c r="AM22" s="1" t="n"/>
      <c r="AN22" s="1" t="n"/>
      <c r="AO22" s="1" t="n"/>
      <c r="AP22" s="1" t="n"/>
      <c r="AQ22" s="1" t="n"/>
      <c r="AR22" s="1" t="n"/>
      <c r="AS22" s="1" t="n"/>
      <c r="AT22" s="1" t="n"/>
      <c r="AU22" s="1" t="n"/>
    </row>
    <row r="23" ht="12" customHeight="1" s="73">
      <c r="A23" s="118" t="n"/>
      <c r="AD23" s="119" t="n"/>
      <c r="AE23" s="1" t="n"/>
      <c r="AF23" s="1" t="n"/>
      <c r="AG23" s="1" t="n"/>
      <c r="AH23" s="1" t="n"/>
      <c r="AI23" s="1" t="n"/>
      <c r="AJ23" s="1" t="n"/>
      <c r="AK23" s="1" t="n"/>
      <c r="AL23" s="1" t="n"/>
      <c r="AM23" s="1" t="n"/>
      <c r="AN23" s="1" t="n"/>
      <c r="AO23" s="1" t="n"/>
      <c r="AP23" s="1" t="n"/>
      <c r="AQ23" s="1" t="n"/>
      <c r="AR23" s="1" t="n"/>
      <c r="AS23" s="1" t="n"/>
      <c r="AT23" s="1" t="n"/>
      <c r="AU23" s="1" t="n"/>
    </row>
    <row r="24" ht="12" customHeight="1" s="73">
      <c r="A24" s="118" t="n"/>
      <c r="AD24" s="119" t="n"/>
      <c r="AE24" s="1" t="n"/>
      <c r="AF24" s="1" t="n"/>
      <c r="AG24" s="1" t="n"/>
      <c r="AH24" s="1" t="n"/>
      <c r="AI24" s="1" t="n"/>
      <c r="AJ24" s="1" t="n"/>
      <c r="AK24" s="1" t="n"/>
      <c r="AL24" s="1" t="n"/>
      <c r="AM24" s="1" t="n"/>
      <c r="AN24" s="1" t="n"/>
      <c r="AO24" s="1" t="n"/>
      <c r="AP24" s="1" t="n"/>
      <c r="AQ24" s="1" t="n"/>
      <c r="AR24" s="1" t="n"/>
      <c r="AS24" s="1" t="n"/>
      <c r="AT24" s="1" t="n"/>
      <c r="AU24" s="1" t="n"/>
    </row>
    <row r="25" ht="12" customHeight="1" s="73">
      <c r="A25" s="118" t="n"/>
      <c r="AD25" s="119" t="n"/>
      <c r="AE25" s="1" t="n"/>
      <c r="AF25" s="1" t="n"/>
      <c r="AG25" s="1" t="n"/>
      <c r="AH25" s="1" t="n"/>
      <c r="AI25" s="1" t="n"/>
      <c r="AJ25" s="1" t="n"/>
      <c r="AK25" s="1" t="n"/>
      <c r="AL25" s="1" t="n"/>
      <c r="AM25" s="1" t="n"/>
      <c r="AN25" s="1" t="n"/>
      <c r="AO25" s="1" t="n"/>
      <c r="AP25" s="1" t="n"/>
      <c r="AQ25" s="1" t="n"/>
      <c r="AR25" s="1" t="n"/>
      <c r="AS25" s="1" t="n"/>
      <c r="AT25" s="1" t="n"/>
      <c r="AU25" s="1" t="n"/>
    </row>
    <row r="26" ht="12" customHeight="1" s="73">
      <c r="A26" s="118" t="n"/>
      <c r="AD26" s="119" t="n"/>
      <c r="AE26" s="1" t="n"/>
      <c r="AF26" s="1" t="n"/>
      <c r="AG26" s="1" t="n"/>
      <c r="AH26" s="1" t="n"/>
      <c r="AI26" s="1" t="n"/>
      <c r="AJ26" s="1" t="n"/>
      <c r="AK26" s="1" t="n"/>
      <c r="AL26" s="1" t="n"/>
      <c r="AM26" s="1" t="n"/>
      <c r="AN26" s="1" t="n"/>
      <c r="AO26" s="1" t="n"/>
      <c r="AP26" s="1" t="n"/>
      <c r="AQ26" s="1" t="n"/>
      <c r="AR26" s="1" t="n"/>
      <c r="AS26" s="1" t="n"/>
      <c r="AT26" s="1" t="n"/>
      <c r="AU26" s="1" t="n"/>
    </row>
    <row r="27" ht="12" customHeight="1" s="73">
      <c r="A27" s="118" t="n"/>
      <c r="AD27" s="119" t="n"/>
      <c r="AE27" s="1" t="n"/>
      <c r="AF27" s="1" t="n"/>
      <c r="AG27" s="1" t="n"/>
      <c r="AH27" s="1" t="n"/>
      <c r="AI27" s="1" t="n"/>
      <c r="AJ27" s="1" t="n"/>
      <c r="AK27" s="1" t="n"/>
      <c r="AL27" s="1" t="n"/>
      <c r="AM27" s="1" t="n"/>
      <c r="AN27" s="1" t="n"/>
      <c r="AO27" s="1" t="n"/>
      <c r="AP27" s="1" t="n"/>
      <c r="AQ27" s="1" t="n"/>
      <c r="AR27" s="1" t="n"/>
      <c r="AS27" s="1" t="n"/>
      <c r="AT27" s="1" t="n"/>
      <c r="AU27" s="1" t="n"/>
    </row>
    <row r="28" ht="12" customHeight="1" s="73">
      <c r="A28" s="118" t="n"/>
      <c r="AD28" s="119" t="n"/>
      <c r="AE28" s="1" t="n"/>
      <c r="AF28" s="1" t="n"/>
      <c r="AG28" s="1" t="n"/>
      <c r="AH28" s="1" t="n"/>
      <c r="AI28" s="1" t="n"/>
      <c r="AJ28" s="1" t="n"/>
      <c r="AK28" s="1" t="n"/>
      <c r="AL28" s="1" t="n"/>
      <c r="AM28" s="1" t="n"/>
      <c r="AN28" s="1" t="n"/>
      <c r="AO28" s="1" t="n"/>
      <c r="AP28" s="1" t="n"/>
      <c r="AQ28" s="1" t="n"/>
      <c r="AR28" s="1" t="n"/>
      <c r="AS28" s="1" t="n"/>
      <c r="AT28" s="1" t="n"/>
      <c r="AU28" s="1" t="n"/>
    </row>
    <row r="29" ht="12" customHeight="1" s="73">
      <c r="A29" s="118" t="n"/>
      <c r="AD29" s="119" t="n"/>
      <c r="AE29" s="1" t="n"/>
      <c r="AF29" s="1" t="n"/>
      <c r="AG29" s="1" t="n"/>
      <c r="AH29" s="1" t="n"/>
      <c r="AI29" s="1" t="n"/>
      <c r="AJ29" s="1" t="n"/>
      <c r="AK29" s="1" t="n"/>
      <c r="AL29" s="1" t="n"/>
      <c r="AM29" s="1" t="n"/>
      <c r="AN29" s="1" t="n"/>
      <c r="AO29" s="1" t="n"/>
      <c r="AP29" s="1" t="n"/>
      <c r="AQ29" s="1" t="n"/>
      <c r="AR29" s="1" t="n"/>
      <c r="AS29" s="1" t="n"/>
      <c r="AT29" s="1" t="n"/>
      <c r="AU29" s="1" t="n"/>
    </row>
    <row r="30" ht="12" customHeight="1" s="73">
      <c r="A30" s="118" t="n"/>
      <c r="AD30" s="119" t="n"/>
      <c r="AE30" s="1" t="n"/>
      <c r="AF30" s="1" t="n"/>
      <c r="AG30" s="1" t="n"/>
      <c r="AH30" s="1" t="n"/>
      <c r="AI30" s="1" t="n"/>
      <c r="AJ30" s="1" t="n"/>
      <c r="AK30" s="1" t="n"/>
      <c r="AL30" s="1" t="n"/>
      <c r="AM30" s="1" t="n"/>
      <c r="AN30" s="1" t="n"/>
      <c r="AO30" s="1" t="n"/>
      <c r="AP30" s="1" t="n"/>
      <c r="AQ30" s="1" t="n"/>
      <c r="AR30" s="1" t="n"/>
      <c r="AS30" s="1" t="n"/>
      <c r="AT30" s="1" t="n"/>
      <c r="AU30" s="1" t="n"/>
    </row>
    <row r="31" ht="12" customHeight="1" s="73">
      <c r="A31" s="118" t="n"/>
      <c r="AD31" s="119" t="n"/>
      <c r="AE31" s="1" t="n"/>
      <c r="AF31" s="1" t="n"/>
      <c r="AG31" s="1" t="n"/>
      <c r="AH31" s="1" t="n"/>
      <c r="AI31" s="1" t="n"/>
      <c r="AJ31" s="1" t="n"/>
      <c r="AK31" s="1" t="n"/>
      <c r="AL31" s="1" t="n"/>
      <c r="AM31" s="1" t="n"/>
      <c r="AN31" s="1" t="n"/>
      <c r="AO31" s="1" t="n"/>
      <c r="AP31" s="1" t="n"/>
      <c r="AQ31" s="1" t="n"/>
      <c r="AR31" s="1" t="n"/>
      <c r="AS31" s="1" t="n"/>
      <c r="AT31" s="1" t="n"/>
      <c r="AU31" s="1" t="n"/>
    </row>
    <row r="32" ht="12" customHeight="1" s="73">
      <c r="A32" s="118" t="n"/>
      <c r="AD32" s="119" t="n"/>
      <c r="AE32" s="1" t="n"/>
      <c r="AF32" s="1" t="n"/>
      <c r="AG32" s="1" t="n"/>
      <c r="AH32" s="1" t="n"/>
      <c r="AI32" s="1" t="n"/>
      <c r="AJ32" s="1" t="n"/>
      <c r="AK32" s="1" t="n"/>
      <c r="AL32" s="1" t="n"/>
      <c r="AM32" s="1" t="n"/>
      <c r="AN32" s="1" t="n"/>
      <c r="AO32" s="1" t="n"/>
      <c r="AP32" s="1" t="n"/>
      <c r="AQ32" s="1" t="n"/>
      <c r="AR32" s="1" t="n"/>
      <c r="AS32" s="1" t="n"/>
      <c r="AT32" s="1" t="n"/>
      <c r="AU32" s="1" t="n"/>
    </row>
    <row r="33" ht="12" customHeight="1" s="73">
      <c r="A33" s="118" t="n"/>
      <c r="AD33" s="119" t="n"/>
      <c r="AE33" s="1" t="n"/>
      <c r="AF33" s="1" t="n"/>
      <c r="AG33" s="1" t="n"/>
      <c r="AH33" s="1" t="n"/>
      <c r="AI33" s="1" t="n"/>
      <c r="AJ33" s="1" t="n"/>
      <c r="AK33" s="1" t="n"/>
      <c r="AL33" s="1" t="n"/>
      <c r="AM33" s="1" t="n"/>
      <c r="AN33" s="1" t="n"/>
      <c r="AO33" s="1" t="n"/>
      <c r="AP33" s="1" t="n"/>
      <c r="AQ33" s="1" t="n"/>
      <c r="AR33" s="1" t="n"/>
      <c r="AS33" s="1" t="n"/>
      <c r="AT33" s="1" t="n"/>
      <c r="AU33" s="1" t="n"/>
    </row>
    <row r="34" ht="12" customHeight="1" s="73">
      <c r="A34" s="118" t="n"/>
      <c r="AD34" s="119" t="n"/>
      <c r="AE34" s="1" t="n"/>
      <c r="AF34" s="1" t="n"/>
      <c r="AG34" s="1" t="n"/>
      <c r="AH34" s="1" t="n"/>
      <c r="AI34" s="1" t="n"/>
      <c r="AJ34" s="1" t="n"/>
      <c r="AK34" s="1" t="n"/>
      <c r="AL34" s="1" t="n"/>
      <c r="AM34" s="1" t="n"/>
      <c r="AN34" s="1" t="n"/>
      <c r="AO34" s="1" t="n"/>
      <c r="AP34" s="1" t="n"/>
      <c r="AQ34" s="1" t="n"/>
      <c r="AR34" s="1" t="n"/>
      <c r="AS34" s="1" t="n"/>
      <c r="AT34" s="1" t="n"/>
      <c r="AU34" s="1" t="n"/>
    </row>
    <row r="35" ht="12" customHeight="1" s="73">
      <c r="A35" s="118" t="n"/>
      <c r="AD35" s="119" t="n"/>
      <c r="AE35" s="1" t="n"/>
      <c r="AF35" s="1" t="n"/>
      <c r="AG35" s="1" t="n"/>
      <c r="AH35" s="1" t="n"/>
      <c r="AI35" s="1" t="n"/>
      <c r="AJ35" s="1" t="n"/>
      <c r="AK35" s="1" t="n"/>
      <c r="AL35" s="1" t="n"/>
      <c r="AM35" s="1" t="n"/>
      <c r="AN35" s="1" t="n"/>
      <c r="AO35" s="1" t="n"/>
      <c r="AP35" s="1" t="n"/>
      <c r="AQ35" s="1" t="n"/>
      <c r="AR35" s="1" t="n"/>
      <c r="AS35" s="1" t="n"/>
      <c r="AT35" s="1" t="n"/>
      <c r="AU35" s="1" t="n"/>
    </row>
    <row r="36" ht="12" customHeight="1" s="73">
      <c r="A36" s="118" t="n"/>
      <c r="AD36" s="119" t="n"/>
      <c r="AE36" s="1" t="n"/>
      <c r="AF36" s="1" t="n"/>
      <c r="AG36" s="1" t="n"/>
      <c r="AH36" s="1" t="n"/>
      <c r="AI36" s="1" t="n"/>
      <c r="AJ36" s="1" t="n"/>
      <c r="AK36" s="1" t="n"/>
      <c r="AL36" s="1" t="n"/>
      <c r="AM36" s="1" t="n"/>
      <c r="AN36" s="1" t="n"/>
      <c r="AO36" s="1" t="n"/>
      <c r="AP36" s="1" t="n"/>
      <c r="AQ36" s="1" t="n"/>
      <c r="AR36" s="1" t="n"/>
      <c r="AS36" s="1" t="n"/>
      <c r="AT36" s="1" t="n"/>
      <c r="AU36" s="1" t="n"/>
    </row>
    <row r="37" ht="12" customHeight="1" s="73">
      <c r="A37" s="118" t="n"/>
      <c r="AD37" s="119" t="n"/>
      <c r="AE37" s="1" t="n"/>
      <c r="AF37" s="1" t="n"/>
      <c r="AG37" s="1" t="n"/>
      <c r="AH37" s="1" t="n"/>
      <c r="AI37" s="1" t="n"/>
      <c r="AJ37" s="1" t="n"/>
      <c r="AK37" s="1" t="n"/>
      <c r="AL37" s="1" t="n"/>
      <c r="AM37" s="1" t="n"/>
      <c r="AN37" s="1" t="n"/>
      <c r="AO37" s="1" t="n"/>
      <c r="AP37" s="1" t="n"/>
      <c r="AQ37" s="1" t="n"/>
      <c r="AR37" s="1" t="n"/>
      <c r="AS37" s="1" t="n"/>
      <c r="AT37" s="1" t="n"/>
      <c r="AU37" s="1" t="n"/>
    </row>
    <row r="38" ht="12" customHeight="1" s="73">
      <c r="A38" s="118" t="n"/>
      <c r="AD38" s="119" t="n"/>
      <c r="AE38" s="1" t="n"/>
      <c r="AF38" s="1" t="n"/>
      <c r="AG38" s="1" t="n"/>
      <c r="AH38" s="1" t="n"/>
      <c r="AI38" s="1" t="n"/>
      <c r="AJ38" s="1" t="n"/>
      <c r="AK38" s="1" t="n"/>
      <c r="AL38" s="1" t="n"/>
      <c r="AM38" s="1" t="n"/>
      <c r="AN38" s="1" t="n"/>
      <c r="AO38" s="1" t="n"/>
      <c r="AP38" s="1" t="n"/>
      <c r="AQ38" s="1" t="n"/>
      <c r="AR38" s="1" t="n"/>
      <c r="AS38" s="1" t="n"/>
      <c r="AT38" s="1" t="n"/>
      <c r="AU38" s="1" t="n"/>
    </row>
    <row r="39" ht="12" customHeight="1" s="73">
      <c r="A39" s="118" t="n"/>
      <c r="AD39" s="119" t="n"/>
      <c r="AE39" s="1" t="n"/>
      <c r="AF39" s="1" t="n"/>
      <c r="AG39" s="1" t="n"/>
      <c r="AH39" s="1" t="n"/>
      <c r="AI39" s="1" t="n"/>
      <c r="AJ39" s="1" t="n"/>
      <c r="AK39" s="1" t="n"/>
      <c r="AL39" s="1" t="n"/>
      <c r="AM39" s="1" t="n"/>
      <c r="AN39" s="1" t="n"/>
      <c r="AO39" s="1" t="n"/>
      <c r="AP39" s="1" t="n"/>
      <c r="AQ39" s="1" t="n"/>
      <c r="AR39" s="1" t="n"/>
      <c r="AS39" s="1" t="n"/>
      <c r="AT39" s="1" t="n"/>
      <c r="AU39" s="1" t="n"/>
    </row>
    <row r="40" ht="12" customHeight="1" s="73">
      <c r="A40" s="118" t="n"/>
      <c r="AD40" s="119" t="n"/>
      <c r="AE40" s="1" t="n"/>
      <c r="AF40" s="1" t="n"/>
      <c r="AG40" s="1" t="n"/>
      <c r="AH40" s="1" t="n"/>
      <c r="AI40" s="1" t="n"/>
      <c r="AJ40" s="1" t="n"/>
      <c r="AK40" s="1" t="n"/>
      <c r="AL40" s="1" t="n"/>
      <c r="AM40" s="1" t="n"/>
      <c r="AN40" s="1" t="n"/>
      <c r="AO40" s="1" t="n"/>
      <c r="AP40" s="1" t="n"/>
      <c r="AQ40" s="1" t="n"/>
      <c r="AR40" s="1" t="n"/>
      <c r="AS40" s="1" t="n"/>
      <c r="AT40" s="1" t="n"/>
      <c r="AU40" s="1" t="n"/>
    </row>
    <row r="41" ht="12" customHeight="1" s="73">
      <c r="A41" s="118" t="n"/>
      <c r="AD41" s="119" t="n"/>
      <c r="AE41" s="1" t="n"/>
      <c r="AF41" s="1" t="n"/>
      <c r="AG41" s="1" t="n"/>
      <c r="AH41" s="1" t="n"/>
      <c r="AI41" s="1" t="n"/>
      <c r="AJ41" s="1" t="n"/>
      <c r="AK41" s="1" t="n"/>
      <c r="AL41" s="1" t="n"/>
      <c r="AM41" s="1" t="n"/>
      <c r="AN41" s="1" t="n"/>
      <c r="AO41" s="1" t="n"/>
      <c r="AP41" s="1" t="n"/>
      <c r="AQ41" s="1" t="n"/>
      <c r="AR41" s="1" t="n"/>
      <c r="AS41" s="1" t="n"/>
      <c r="AT41" s="1" t="n"/>
      <c r="AU41" s="1" t="n"/>
    </row>
    <row r="42" ht="12" customHeight="1" s="73">
      <c r="A42" s="120" t="n"/>
      <c r="B42" s="121" t="n"/>
      <c r="C42" s="121" t="n"/>
      <c r="D42" s="121" t="n"/>
      <c r="E42" s="121" t="n"/>
      <c r="F42" s="121" t="n"/>
      <c r="G42" s="121" t="n"/>
      <c r="H42" s="121" t="n"/>
      <c r="I42" s="121" t="n"/>
      <c r="J42" s="121" t="n"/>
      <c r="K42" s="121" t="n"/>
      <c r="L42" s="121" t="n"/>
      <c r="M42" s="121" t="n"/>
      <c r="N42" s="121" t="n"/>
      <c r="O42" s="121" t="n"/>
      <c r="P42" s="121" t="n"/>
      <c r="Q42" s="121" t="n"/>
      <c r="R42" s="121" t="n"/>
      <c r="S42" s="121" t="n"/>
      <c r="T42" s="121" t="n"/>
      <c r="U42" s="121" t="n"/>
      <c r="V42" s="121" t="n"/>
      <c r="W42" s="121" t="n"/>
      <c r="X42" s="121" t="n"/>
      <c r="Y42" s="121" t="n"/>
      <c r="Z42" s="121" t="n"/>
      <c r="AA42" s="121" t="n"/>
      <c r="AB42" s="121" t="n"/>
      <c r="AC42" s="121" t="n"/>
      <c r="AD42" s="122" t="n"/>
      <c r="AE42" s="1" t="n"/>
      <c r="AF42" s="1" t="n"/>
      <c r="AG42" s="1" t="n"/>
      <c r="AH42" s="1" t="n"/>
      <c r="AI42" s="1" t="n"/>
      <c r="AJ42" s="1" t="n"/>
      <c r="AK42" s="1" t="n"/>
      <c r="AL42" s="1" t="n"/>
      <c r="AM42" s="1" t="n"/>
      <c r="AN42" s="1" t="n"/>
      <c r="AO42" s="1" t="n"/>
      <c r="AP42" s="1" t="n"/>
      <c r="AQ42" s="1" t="n"/>
      <c r="AR42" s="1" t="n"/>
      <c r="AS42" s="1" t="n"/>
      <c r="AT42" s="1" t="n"/>
      <c r="AU42" s="1" t="n"/>
    </row>
    <row r="43" ht="12" customHeight="1" s="7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row>
    <row r="44" ht="12" customHeight="1" s="73">
      <c r="A44" s="1" t="n"/>
      <c r="B44" s="1" t="n"/>
      <c r="C44" s="1" t="n"/>
      <c r="D44" s="1" t="n"/>
      <c r="E44" s="1" t="n"/>
      <c r="F44" s="1" t="n"/>
      <c r="G44" s="1" t="n"/>
      <c r="H44" s="1" t="n"/>
      <c r="I44" s="1" t="n"/>
      <c r="J44" s="1" t="n"/>
      <c r="K44" s="140" t="inlineStr">
        <is>
          <t>Escopo da Contagem</t>
        </is>
      </c>
      <c r="L44" s="121" t="n"/>
      <c r="M44" s="121" t="n"/>
      <c r="N44" s="121" t="n"/>
      <c r="O44" s="121" t="n"/>
      <c r="P44" s="121" t="n"/>
      <c r="Q44" s="121" t="n"/>
      <c r="R44" s="121" t="n"/>
      <c r="S44" s="12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row>
    <row r="45" ht="12" customHeight="1" s="73">
      <c r="A45" s="141" t="inlineStr">
        <is>
          <t>Fronteira: aplicação Viabiliza (Sistema de Licenciamento Eletrônico da SEDUR) completa, no estado do código em 16/10/2026. Inclui o console de gestão da SEDUR, o Portal do Cidadão (conta, empresas, procurações, solicitação, renovação e acompanhamento), a consulta prévia de viabilidade, a consulta pública de protocolo, a verificação pública de documentos, o recebimento de declarações do REGIN/JUCEB, as rotinas automáticas de prazos e controle, a importação mensal do benchmark REDESIM e os dados externos efetivamente lidos (GeoServer da SEDUR, contatos cadastrais da SEDUR, cadastro imobiliário da SEFAZ, lotes do SEMAP, diretório da SEDUR e geocodificação).
Fora da contagem: login gov.br (implementado, mas desligado e sem credencial), envio à SEFAZ (bloqueado, HU-110), migração do legado, dados de código (CPM Parte 1 §5.4.2 d e Parte 3 Cap. 1: tipo de serviço, zona urbanística e via) e as transações que só os mantêm, funções técnicas sem efeito para o usuário (teste de conexão, ping, metadados, documentação OpenAPI, retenção de dados, reprocessamento técnico, comandos de suporte) e efeitos automáticos de outra função (envio do parecer à JUCEB, notificações e e-mails).
Critério de conferência: linhas F1, F2 etc. são grupos funcionais e não pontuam. Cada função contável tem tipo, TD, AR/TR e Observações com a prova e a lista de DER e de arquivos. Todo arquivo citado no AR é ALI ou AIE desta contagem; subgrupos aparecem pelo arquivo pai. Registros automáticos em arquivos de log (trilha de auditoria, registro de acesso, chamada de integração, envio de e-mail, notificação e comunicação) contam como arquivo referenciado quando gravados no mesmo processamento (CPM Parte 1 §5.5.3 e §5.5.4).</t>
        </is>
      </c>
      <c r="B45" s="116" t="n"/>
      <c r="C45" s="116" t="n"/>
      <c r="D45" s="116" t="n"/>
      <c r="E45" s="116" t="n"/>
      <c r="F45" s="116" t="n"/>
      <c r="G45" s="116" t="n"/>
      <c r="H45" s="116" t="n"/>
      <c r="I45" s="116" t="n"/>
      <c r="J45" s="116" t="n"/>
      <c r="K45" s="116" t="n"/>
      <c r="L45" s="116" t="n"/>
      <c r="M45" s="116" t="n"/>
      <c r="N45" s="116" t="n"/>
      <c r="O45" s="116" t="n"/>
      <c r="P45" s="116" t="n"/>
      <c r="Q45" s="116" t="n"/>
      <c r="R45" s="116" t="n"/>
      <c r="S45" s="116" t="n"/>
      <c r="T45" s="116" t="n"/>
      <c r="U45" s="116" t="n"/>
      <c r="V45" s="116" t="n"/>
      <c r="W45" s="116" t="n"/>
      <c r="X45" s="116" t="n"/>
      <c r="Y45" s="116" t="n"/>
      <c r="Z45" s="116" t="n"/>
      <c r="AA45" s="116" t="n"/>
      <c r="AB45" s="116" t="n"/>
      <c r="AC45" s="116" t="n"/>
      <c r="AD45" s="117" t="n"/>
      <c r="AE45" s="1" t="n"/>
      <c r="AF45" s="1" t="n"/>
      <c r="AG45" s="1" t="n"/>
      <c r="AH45" s="1" t="n"/>
      <c r="AI45" s="1" t="n"/>
      <c r="AJ45" s="1" t="n"/>
      <c r="AK45" s="1" t="n"/>
      <c r="AL45" s="1" t="n"/>
      <c r="AM45" s="1" t="n"/>
      <c r="AN45" s="1" t="n"/>
      <c r="AO45" s="1" t="n"/>
      <c r="AP45" s="1" t="n"/>
      <c r="AQ45" s="1" t="n"/>
      <c r="AR45" s="1" t="n"/>
      <c r="AS45" s="1" t="n"/>
      <c r="AT45" s="1" t="n"/>
      <c r="AU45" s="1" t="n"/>
    </row>
    <row r="46" ht="12" customHeight="1" s="73">
      <c r="A46" s="118" t="n"/>
      <c r="AD46" s="119" t="n"/>
      <c r="AE46" s="1" t="n"/>
      <c r="AF46" s="1" t="n"/>
      <c r="AG46" s="1" t="n"/>
      <c r="AH46" s="1" t="n"/>
      <c r="AI46" s="1" t="n"/>
      <c r="AJ46" s="1" t="n"/>
      <c r="AK46" s="1" t="n"/>
      <c r="AL46" s="1" t="n"/>
      <c r="AM46" s="1" t="n"/>
      <c r="AN46" s="1" t="n"/>
      <c r="AO46" s="1" t="n"/>
      <c r="AP46" s="1" t="n"/>
      <c r="AQ46" s="1" t="n"/>
      <c r="AR46" s="1" t="n"/>
      <c r="AS46" s="1" t="n"/>
      <c r="AT46" s="1" t="n"/>
      <c r="AU46" s="1" t="n"/>
    </row>
    <row r="47" ht="12" customHeight="1" s="73">
      <c r="A47" s="118" t="n"/>
      <c r="AD47" s="119" t="n"/>
      <c r="AE47" s="1" t="n"/>
      <c r="AF47" s="1" t="n"/>
      <c r="AG47" s="1" t="n"/>
      <c r="AH47" s="1" t="n"/>
      <c r="AI47" s="1" t="n"/>
      <c r="AJ47" s="1" t="n"/>
      <c r="AK47" s="1" t="n"/>
      <c r="AL47" s="1" t="n"/>
      <c r="AM47" s="1" t="n"/>
      <c r="AN47" s="1" t="n"/>
      <c r="AO47" s="1" t="n"/>
      <c r="AP47" s="1" t="n"/>
      <c r="AQ47" s="1" t="n"/>
      <c r="AR47" s="1" t="n"/>
      <c r="AS47" s="1" t="n"/>
      <c r="AT47" s="1" t="n"/>
      <c r="AU47" s="1" t="n"/>
    </row>
    <row r="48" ht="12" customHeight="1" s="73">
      <c r="A48" s="118" t="n"/>
      <c r="AD48" s="119" t="n"/>
      <c r="AE48" s="1" t="n"/>
      <c r="AF48" s="1" t="n"/>
      <c r="AG48" s="1" t="n"/>
      <c r="AH48" s="1" t="n"/>
      <c r="AI48" s="1" t="n"/>
      <c r="AJ48" s="1" t="n"/>
      <c r="AK48" s="1" t="n"/>
      <c r="AL48" s="1" t="n"/>
      <c r="AM48" s="1" t="n"/>
      <c r="AN48" s="1" t="n"/>
      <c r="AO48" s="1" t="n"/>
      <c r="AP48" s="1" t="n"/>
      <c r="AQ48" s="1" t="n"/>
      <c r="AR48" s="1" t="n"/>
      <c r="AS48" s="1" t="n"/>
      <c r="AT48" s="1" t="n"/>
      <c r="AU48" s="1" t="n"/>
    </row>
    <row r="49" ht="12" customHeight="1" s="73">
      <c r="A49" s="118" t="n"/>
      <c r="AD49" s="119" t="n"/>
      <c r="AE49" s="1" t="n"/>
      <c r="AF49" s="1" t="n"/>
      <c r="AG49" s="1" t="n"/>
      <c r="AH49" s="1" t="n"/>
      <c r="AI49" s="1" t="n"/>
      <c r="AJ49" s="1" t="n"/>
      <c r="AK49" s="1" t="n"/>
      <c r="AL49" s="1" t="n"/>
      <c r="AM49" s="1" t="n"/>
      <c r="AN49" s="1" t="n"/>
      <c r="AO49" s="1" t="n"/>
      <c r="AP49" s="1" t="n"/>
      <c r="AQ49" s="1" t="n"/>
      <c r="AR49" s="1" t="n"/>
      <c r="AS49" s="1" t="n"/>
      <c r="AT49" s="1" t="n"/>
      <c r="AU49" s="1" t="n"/>
    </row>
    <row r="50" ht="12" customHeight="1" s="73">
      <c r="A50" s="118" t="n"/>
      <c r="AD50" s="119" t="n"/>
      <c r="AE50" s="1" t="n"/>
      <c r="AF50" s="1" t="n"/>
      <c r="AG50" s="1" t="n"/>
      <c r="AH50" s="1" t="n"/>
      <c r="AI50" s="1" t="n"/>
      <c r="AJ50" s="1" t="n"/>
      <c r="AK50" s="1" t="n"/>
      <c r="AL50" s="1" t="n"/>
      <c r="AM50" s="1" t="n"/>
      <c r="AN50" s="1" t="n"/>
      <c r="AO50" s="1" t="n"/>
      <c r="AP50" s="1" t="n"/>
      <c r="AQ50" s="1" t="n"/>
      <c r="AR50" s="1" t="n"/>
      <c r="AS50" s="1" t="n"/>
      <c r="AT50" s="1" t="n"/>
      <c r="AU50" s="1" t="n"/>
    </row>
    <row r="51" ht="12" customHeight="1" s="73">
      <c r="A51" s="118" t="n"/>
      <c r="AD51" s="119" t="n"/>
      <c r="AE51" s="1" t="n"/>
      <c r="AF51" s="1" t="n"/>
      <c r="AG51" s="1" t="n"/>
      <c r="AH51" s="1" t="n"/>
      <c r="AI51" s="1" t="n"/>
      <c r="AJ51" s="1" t="n"/>
      <c r="AK51" s="1" t="n"/>
      <c r="AL51" s="1" t="n"/>
      <c r="AM51" s="1" t="n"/>
      <c r="AN51" s="1" t="n"/>
      <c r="AO51" s="1" t="n"/>
      <c r="AP51" s="1" t="n"/>
      <c r="AQ51" s="1" t="n"/>
      <c r="AR51" s="1" t="n"/>
      <c r="AS51" s="1" t="n"/>
      <c r="AT51" s="1" t="n"/>
      <c r="AU51" s="1" t="n"/>
    </row>
    <row r="52" ht="12" customHeight="1" s="73">
      <c r="A52" s="118" t="n"/>
      <c r="AD52" s="119" t="n"/>
      <c r="AE52" s="1" t="n"/>
      <c r="AF52" s="1" t="n"/>
      <c r="AG52" s="1" t="n"/>
      <c r="AH52" s="1" t="n"/>
      <c r="AI52" s="1" t="n"/>
      <c r="AJ52" s="1" t="n"/>
      <c r="AK52" s="1" t="n"/>
      <c r="AL52" s="1" t="n"/>
      <c r="AM52" s="1" t="n"/>
      <c r="AN52" s="1" t="n"/>
      <c r="AO52" s="1" t="n"/>
      <c r="AP52" s="1" t="n"/>
      <c r="AQ52" s="1" t="n"/>
      <c r="AR52" s="1" t="n"/>
      <c r="AS52" s="1" t="n"/>
      <c r="AT52" s="1" t="n"/>
      <c r="AU52" s="1" t="n"/>
    </row>
    <row r="53" ht="12" customHeight="1" s="73">
      <c r="A53" s="118" t="n"/>
      <c r="AD53" s="119" t="n"/>
      <c r="AE53" s="1" t="n"/>
      <c r="AF53" s="1" t="n"/>
      <c r="AG53" s="1" t="n"/>
      <c r="AH53" s="1" t="n"/>
      <c r="AI53" s="1" t="n"/>
      <c r="AJ53" s="1" t="n"/>
      <c r="AK53" s="1" t="n"/>
      <c r="AL53" s="1" t="n"/>
      <c r="AM53" s="1" t="n"/>
      <c r="AN53" s="1" t="n"/>
      <c r="AO53" s="1" t="n"/>
      <c r="AP53" s="1" t="n"/>
      <c r="AQ53" s="1" t="n"/>
      <c r="AR53" s="1" t="n"/>
      <c r="AS53" s="1" t="n"/>
      <c r="AT53" s="1" t="n"/>
      <c r="AU53" s="1" t="n"/>
    </row>
    <row r="54" ht="12" customHeight="1" s="73">
      <c r="A54" s="118" t="n"/>
      <c r="AD54" s="119" t="n"/>
      <c r="AE54" s="1" t="n"/>
      <c r="AF54" s="1" t="n"/>
      <c r="AG54" s="1" t="n"/>
      <c r="AH54" s="1" t="n"/>
      <c r="AI54" s="1" t="n"/>
      <c r="AJ54" s="1" t="n"/>
      <c r="AK54" s="1" t="n"/>
      <c r="AL54" s="1" t="n"/>
      <c r="AM54" s="1" t="n"/>
      <c r="AN54" s="1" t="n"/>
      <c r="AO54" s="1" t="n"/>
      <c r="AP54" s="1" t="n"/>
      <c r="AQ54" s="1" t="n"/>
      <c r="AR54" s="1" t="n"/>
      <c r="AS54" s="1" t="n"/>
      <c r="AT54" s="1" t="n"/>
      <c r="AU54" s="1" t="n"/>
    </row>
    <row r="55" ht="12" customHeight="1" s="73">
      <c r="A55" s="118" t="n"/>
      <c r="AD55" s="119" t="n"/>
      <c r="AE55" s="1" t="n"/>
      <c r="AF55" s="1" t="n"/>
      <c r="AG55" s="1" t="n"/>
      <c r="AH55" s="1" t="n"/>
      <c r="AI55" s="1" t="n"/>
      <c r="AJ55" s="1" t="n"/>
      <c r="AK55" s="1" t="n"/>
      <c r="AL55" s="1" t="n"/>
      <c r="AM55" s="1" t="n"/>
      <c r="AN55" s="1" t="n"/>
      <c r="AO55" s="1" t="n"/>
      <c r="AP55" s="1" t="n"/>
      <c r="AQ55" s="1" t="n"/>
      <c r="AR55" s="1" t="n"/>
      <c r="AS55" s="1" t="n"/>
      <c r="AT55" s="1" t="n"/>
      <c r="AU55" s="1" t="n"/>
    </row>
    <row r="56" ht="12" customHeight="1" s="73">
      <c r="A56" s="118" t="n"/>
      <c r="AD56" s="119" t="n"/>
      <c r="AE56" s="1" t="n"/>
      <c r="AF56" s="1" t="n"/>
      <c r="AG56" s="1" t="n"/>
      <c r="AH56" s="1" t="n"/>
      <c r="AI56" s="1" t="n"/>
      <c r="AJ56" s="1" t="n"/>
      <c r="AK56" s="1" t="n"/>
      <c r="AL56" s="1" t="n"/>
      <c r="AM56" s="1" t="n"/>
      <c r="AN56" s="1" t="n"/>
      <c r="AO56" s="1" t="n"/>
      <c r="AP56" s="1" t="n"/>
      <c r="AQ56" s="1" t="n"/>
      <c r="AR56" s="1" t="n"/>
      <c r="AS56" s="1" t="n"/>
      <c r="AT56" s="1" t="n"/>
      <c r="AU56" s="1" t="n"/>
    </row>
    <row r="57" ht="12" customHeight="1" s="73">
      <c r="A57" s="118" t="n"/>
      <c r="AD57" s="119" t="n"/>
      <c r="AE57" s="1" t="n"/>
      <c r="AF57" s="1" t="n"/>
      <c r="AG57" s="1" t="n"/>
      <c r="AH57" s="1" t="n"/>
      <c r="AI57" s="1" t="n"/>
      <c r="AJ57" s="1" t="n"/>
      <c r="AK57" s="1" t="n"/>
      <c r="AL57" s="1" t="n"/>
      <c r="AM57" s="1" t="n"/>
      <c r="AN57" s="1" t="n"/>
      <c r="AO57" s="1" t="n"/>
      <c r="AP57" s="1" t="n"/>
      <c r="AQ57" s="1" t="n"/>
      <c r="AR57" s="1" t="n"/>
      <c r="AS57" s="1" t="n"/>
      <c r="AT57" s="1" t="n"/>
      <c r="AU57" s="1" t="n"/>
    </row>
    <row r="58" ht="12" customHeight="1" s="73">
      <c r="A58" s="118" t="n"/>
      <c r="AD58" s="119" t="n"/>
      <c r="AE58" s="1" t="n"/>
      <c r="AF58" s="1" t="n"/>
      <c r="AG58" s="1" t="n"/>
      <c r="AH58" s="1" t="n"/>
      <c r="AI58" s="1" t="n"/>
      <c r="AJ58" s="1" t="n"/>
      <c r="AK58" s="1" t="n"/>
      <c r="AL58" s="1" t="n"/>
      <c r="AM58" s="1" t="n"/>
      <c r="AN58" s="1" t="n"/>
      <c r="AO58" s="1" t="n"/>
      <c r="AP58" s="1" t="n"/>
      <c r="AQ58" s="1" t="n"/>
      <c r="AR58" s="1" t="n"/>
      <c r="AS58" s="1" t="n"/>
      <c r="AT58" s="1" t="n"/>
      <c r="AU58" s="1" t="n"/>
    </row>
    <row r="59" ht="12" customHeight="1" s="73">
      <c r="A59" s="118" t="n"/>
      <c r="AD59" s="119" t="n"/>
      <c r="AE59" s="1" t="n"/>
      <c r="AF59" s="1" t="n"/>
      <c r="AG59" s="1" t="n"/>
      <c r="AH59" s="1" t="n"/>
      <c r="AI59" s="1" t="n"/>
      <c r="AJ59" s="1" t="n"/>
      <c r="AK59" s="1" t="n"/>
      <c r="AL59" s="1" t="n"/>
      <c r="AM59" s="1" t="n"/>
      <c r="AN59" s="1" t="n"/>
      <c r="AO59" s="1" t="n"/>
      <c r="AP59" s="1" t="n"/>
      <c r="AQ59" s="1" t="n"/>
      <c r="AR59" s="1" t="n"/>
      <c r="AS59" s="1" t="n"/>
      <c r="AT59" s="1" t="n"/>
      <c r="AU59" s="1" t="n"/>
    </row>
    <row r="60" ht="12" customHeight="1" s="73">
      <c r="A60" s="118" t="n"/>
      <c r="AD60" s="119" t="n"/>
      <c r="AE60" s="1" t="n"/>
      <c r="AF60" s="1" t="n"/>
      <c r="AG60" s="1" t="n"/>
      <c r="AH60" s="1" t="n"/>
      <c r="AI60" s="1" t="n"/>
      <c r="AJ60" s="1" t="n"/>
      <c r="AK60" s="1" t="n"/>
      <c r="AL60" s="1" t="n"/>
      <c r="AM60" s="1" t="n"/>
      <c r="AN60" s="1" t="n"/>
      <c r="AO60" s="1" t="n"/>
      <c r="AP60" s="1" t="n"/>
      <c r="AQ60" s="1" t="n"/>
      <c r="AR60" s="1" t="n"/>
      <c r="AS60" s="1" t="n"/>
      <c r="AT60" s="1" t="n"/>
      <c r="AU60" s="1" t="n"/>
    </row>
    <row r="61" ht="12" customHeight="1" s="73">
      <c r="A61" s="118" t="n"/>
      <c r="AD61" s="119" t="n"/>
      <c r="AE61" s="1" t="n"/>
      <c r="AF61" s="1" t="n"/>
      <c r="AG61" s="1" t="n"/>
      <c r="AH61" s="1" t="n"/>
      <c r="AI61" s="1" t="n"/>
      <c r="AJ61" s="1" t="n"/>
      <c r="AK61" s="1" t="n"/>
      <c r="AL61" s="1" t="n"/>
      <c r="AM61" s="1" t="n"/>
      <c r="AN61" s="1" t="n"/>
      <c r="AO61" s="1" t="n"/>
      <c r="AP61" s="1" t="n"/>
      <c r="AQ61" s="1" t="n"/>
      <c r="AR61" s="1" t="n"/>
      <c r="AS61" s="1" t="n"/>
      <c r="AT61" s="1" t="n"/>
      <c r="AU61" s="1" t="n"/>
    </row>
    <row r="62" ht="12" customHeight="1" s="73">
      <c r="A62" s="118" t="n"/>
      <c r="AD62" s="119" t="n"/>
      <c r="AE62" s="1" t="n"/>
      <c r="AF62" s="1" t="n"/>
      <c r="AG62" s="1" t="n"/>
      <c r="AH62" s="1" t="n"/>
      <c r="AI62" s="1" t="n"/>
      <c r="AJ62" s="1" t="n"/>
      <c r="AK62" s="1" t="n"/>
      <c r="AL62" s="1" t="n"/>
      <c r="AM62" s="1" t="n"/>
      <c r="AN62" s="1" t="n"/>
      <c r="AO62" s="1" t="n"/>
      <c r="AP62" s="1" t="n"/>
      <c r="AQ62" s="1" t="n"/>
      <c r="AR62" s="1" t="n"/>
      <c r="AS62" s="1" t="n"/>
      <c r="AT62" s="1" t="n"/>
      <c r="AU62" s="1" t="n"/>
    </row>
    <row r="63" ht="12" customHeight="1" s="73">
      <c r="A63" s="118" t="n"/>
      <c r="AD63" s="119" t="n"/>
      <c r="AE63" s="1" t="n"/>
      <c r="AF63" s="1" t="n"/>
      <c r="AG63" s="1" t="n"/>
      <c r="AH63" s="1" t="n"/>
      <c r="AI63" s="1" t="n"/>
      <c r="AJ63" s="1" t="n"/>
      <c r="AK63" s="1" t="n"/>
      <c r="AL63" s="1" t="n"/>
      <c r="AM63" s="1" t="n"/>
      <c r="AN63" s="1" t="n"/>
      <c r="AO63" s="1" t="n"/>
      <c r="AP63" s="1" t="n"/>
      <c r="AQ63" s="1" t="n"/>
      <c r="AR63" s="1" t="n"/>
      <c r="AS63" s="1" t="n"/>
      <c r="AT63" s="1" t="n"/>
      <c r="AU63" s="1" t="n"/>
    </row>
    <row r="64" ht="12" customHeight="1" s="73">
      <c r="A64" s="120" t="n"/>
      <c r="B64" s="121" t="n"/>
      <c r="C64" s="121" t="n"/>
      <c r="D64" s="121" t="n"/>
      <c r="E64" s="121" t="n"/>
      <c r="F64" s="121" t="n"/>
      <c r="G64" s="121" t="n"/>
      <c r="H64" s="121" t="n"/>
      <c r="I64" s="121" t="n"/>
      <c r="J64" s="121" t="n"/>
      <c r="K64" s="121" t="n"/>
      <c r="L64" s="121" t="n"/>
      <c r="M64" s="121" t="n"/>
      <c r="N64" s="121" t="n"/>
      <c r="O64" s="121" t="n"/>
      <c r="P64" s="121" t="n"/>
      <c r="Q64" s="121" t="n"/>
      <c r="R64" s="121" t="n"/>
      <c r="S64" s="121" t="n"/>
      <c r="T64" s="121" t="n"/>
      <c r="U64" s="121" t="n"/>
      <c r="V64" s="121" t="n"/>
      <c r="W64" s="121" t="n"/>
      <c r="X64" s="121" t="n"/>
      <c r="Y64" s="121" t="n"/>
      <c r="Z64" s="121" t="n"/>
      <c r="AA64" s="121" t="n"/>
      <c r="AB64" s="121" t="n"/>
      <c r="AC64" s="121" t="n"/>
      <c r="AD64" s="122" t="n"/>
      <c r="AE64" s="1" t="n"/>
      <c r="AF64" s="1" t="n"/>
      <c r="AG64" s="1" t="n"/>
      <c r="AH64" s="1" t="n"/>
      <c r="AI64" s="1" t="n"/>
      <c r="AJ64" s="1" t="n"/>
      <c r="AK64" s="1" t="n"/>
      <c r="AL64" s="1" t="n"/>
      <c r="AM64" s="1" t="n"/>
      <c r="AN64" s="1" t="n"/>
      <c r="AO64" s="1" t="n"/>
      <c r="AP64" s="1" t="n"/>
      <c r="AQ64" s="1" t="n"/>
      <c r="AR64" s="1" t="n"/>
      <c r="AS64" s="1" t="n"/>
      <c r="AT64" s="1" t="n"/>
      <c r="AU64" s="1" t="n"/>
    </row>
    <row r="65" ht="12" customHeight="1" s="73">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row>
    <row r="66" ht="12" customHeight="1" s="73">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row>
    <row r="67" ht="12" customHeight="1" s="73">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row>
    <row r="68" ht="12" customHeight="1" s="73">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row>
    <row r="69" ht="12" customHeight="1" s="73">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row>
    <row r="70" ht="12" customHeight="1" s="73">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row>
    <row r="71" ht="12" customHeight="1" s="73">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row>
    <row r="72" ht="12" customHeight="1" s="73">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row>
    <row r="73" ht="12" customHeight="1" s="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row>
    <row r="74" ht="12" customHeight="1" s="73">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row>
    <row r="75" ht="12" customHeight="1" s="73">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row>
    <row r="76" ht="12" customHeight="1" s="73">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row>
    <row r="77" ht="12" customHeight="1" s="73">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row>
    <row r="78" ht="12" customHeight="1" s="73">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row>
    <row r="79" ht="12" customHeight="1" s="73">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row>
    <row r="80" ht="12" customHeight="1" s="73">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row>
    <row r="81" ht="12" customHeight="1" s="73">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row>
    <row r="82" ht="12" customHeight="1" s="73">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row>
    <row r="83" ht="12" customHeight="1" s="7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row>
    <row r="84" ht="12" customHeight="1" s="73">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row>
    <row r="85" ht="12" customHeight="1" s="73">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row>
    <row r="86" ht="12" customHeight="1" s="73">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row>
    <row r="87" ht="12" customHeight="1" s="73">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row>
    <row r="88" ht="12" customHeight="1" s="73">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row>
    <row r="89" ht="12" customHeight="1" s="73">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row>
    <row r="90" ht="12" customHeight="1" s="73">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row>
    <row r="91" ht="12" customHeight="1" s="73">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row>
    <row r="92" ht="12" customHeight="1" s="73">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row>
    <row r="93" ht="12" customHeight="1" s="7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row>
    <row r="94" ht="12" customHeight="1" s="73">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row>
    <row r="95" ht="12" customHeight="1" s="73">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row>
    <row r="96" ht="12" customHeight="1" s="73">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row>
    <row r="97" ht="12" customHeight="1" s="73">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row>
    <row r="98" ht="12" customHeight="1" s="73">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row>
    <row r="99" ht="12" customHeight="1" s="73">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row>
    <row r="100" ht="12" customHeight="1" s="73">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row>
    <row r="101" ht="15.75" customHeight="1" s="73"/>
    <row r="102" ht="15.75" customHeight="1" s="73"/>
    <row r="103" ht="15.75" customHeight="1" s="73"/>
    <row r="104" ht="15.75" customHeight="1" s="73"/>
    <row r="105" ht="15.75" customHeight="1" s="73"/>
    <row r="106" ht="15.75" customHeight="1" s="73"/>
    <row r="107" ht="15.75" customHeight="1" s="73"/>
    <row r="108" ht="15.75" customHeight="1" s="73"/>
    <row r="109" ht="15.75" customHeight="1" s="73"/>
    <row r="110" ht="15.75" customHeight="1" s="73"/>
    <row r="111" ht="15.75" customHeight="1" s="73"/>
    <row r="112" ht="15.75" customHeight="1" s="73"/>
    <row r="113" ht="15.75" customHeight="1" s="73"/>
    <row r="114" ht="15.75" customHeight="1" s="73"/>
    <row r="115" ht="15.75" customHeight="1" s="73"/>
    <row r="116" ht="15.75" customHeight="1" s="73"/>
    <row r="117" ht="15.75" customHeight="1" s="73"/>
    <row r="118" ht="15.75" customHeight="1" s="73"/>
    <row r="119" ht="15.75" customHeight="1" s="73"/>
    <row r="120" ht="15.75" customHeight="1" s="73"/>
    <row r="121" ht="15.75" customHeight="1" s="73"/>
    <row r="122" ht="15.75" customHeight="1" s="73"/>
    <row r="123" ht="15.75" customHeight="1" s="73"/>
    <row r="124" ht="15.75" customHeight="1" s="73"/>
    <row r="125" ht="15.75" customHeight="1" s="73"/>
    <row r="126" ht="15.75" customHeight="1" s="73"/>
    <row r="127" ht="15.75" customHeight="1" s="73"/>
    <row r="128" ht="15.75" customHeight="1" s="73"/>
    <row r="129" ht="15.75" customHeight="1" s="73"/>
    <row r="130" ht="15.75" customHeight="1" s="73"/>
    <row r="131" ht="15.75" customHeight="1" s="73"/>
    <row r="132" ht="15.75" customHeight="1" s="73"/>
    <row r="133" ht="15.75" customHeight="1" s="73"/>
    <row r="134" ht="15.75" customHeight="1" s="73"/>
    <row r="135" ht="15.75" customHeight="1" s="73"/>
    <row r="136" ht="15.75" customHeight="1" s="73"/>
    <row r="137" ht="15.75" customHeight="1" s="73"/>
    <row r="138" ht="15.75" customHeight="1" s="73"/>
    <row r="139" ht="15.75" customHeight="1" s="73"/>
    <row r="140" ht="15.75" customHeight="1" s="73"/>
    <row r="141" ht="15.75" customHeight="1" s="73"/>
    <row r="142" ht="15.75" customHeight="1" s="73"/>
    <row r="143" ht="15.75" customHeight="1" s="73"/>
    <row r="144" ht="15.75" customHeight="1" s="73"/>
    <row r="145" ht="15.75" customHeight="1" s="73"/>
    <row r="146" ht="15.75" customHeight="1" s="73"/>
    <row r="147" ht="15.75" customHeight="1" s="73"/>
    <row r="148" ht="15.75" customHeight="1" s="73"/>
    <row r="149" ht="15.75" customHeight="1" s="73"/>
    <row r="150" ht="15.75" customHeight="1" s="73"/>
    <row r="151" ht="15.75" customHeight="1" s="73"/>
    <row r="152" ht="15.75" customHeight="1" s="73"/>
    <row r="153" ht="15.75" customHeight="1" s="73"/>
    <row r="154" ht="15.75" customHeight="1" s="73"/>
    <row r="155" ht="15.75" customHeight="1" s="73"/>
    <row r="156" ht="15.75" customHeight="1" s="73"/>
    <row r="157" ht="15.75" customHeight="1" s="73"/>
    <row r="158" ht="15.75" customHeight="1" s="73"/>
    <row r="159" ht="15.75" customHeight="1" s="73"/>
    <row r="160" ht="15.75" customHeight="1" s="73"/>
    <row r="161" ht="15.75" customHeight="1" s="73"/>
    <row r="162" ht="15.75" customHeight="1" s="73"/>
    <row r="163" ht="15.75" customHeight="1" s="73"/>
    <row r="164" ht="15.75" customHeight="1" s="73"/>
    <row r="165" ht="15.75" customHeight="1" s="73"/>
    <row r="166" ht="15.75" customHeight="1" s="73"/>
    <row r="167" ht="15.75" customHeight="1" s="73"/>
    <row r="168" ht="15.75" customHeight="1" s="73"/>
    <row r="169" ht="15.75" customHeight="1" s="73"/>
    <row r="170" ht="15.75" customHeight="1" s="73"/>
    <row r="171" ht="15.75" customHeight="1" s="73"/>
    <row r="172" ht="15.75" customHeight="1" s="73"/>
    <row r="173" ht="15.75" customHeight="1" s="73"/>
    <row r="174" ht="15.75" customHeight="1" s="73"/>
    <row r="175" ht="15.75" customHeight="1" s="73"/>
    <row r="176" ht="15.75" customHeight="1" s="73"/>
    <row r="177" ht="15.75" customHeight="1" s="73"/>
    <row r="178" ht="15.75" customHeight="1" s="73"/>
    <row r="179" ht="15.75" customHeight="1" s="73"/>
    <row r="180" ht="15.75" customHeight="1" s="73"/>
    <row r="181" ht="15.75" customHeight="1" s="73"/>
    <row r="182" ht="15.75" customHeight="1" s="73"/>
    <row r="183" ht="15.75" customHeight="1" s="73"/>
    <row r="184" ht="15.75" customHeight="1" s="73"/>
    <row r="185" ht="15.75" customHeight="1" s="73"/>
    <row r="186" ht="15.75" customHeight="1" s="73"/>
    <row r="187" ht="15.75" customHeight="1" s="73"/>
    <row r="188" ht="15.75" customHeight="1" s="73"/>
    <row r="189" ht="15.75" customHeight="1" s="73"/>
    <row r="190" ht="15.75" customHeight="1" s="73"/>
    <row r="191" ht="15.75" customHeight="1" s="73"/>
    <row r="192" ht="15.75" customHeight="1" s="73"/>
    <row r="193" ht="15.75" customHeight="1" s="73"/>
    <row r="194" ht="15.75" customHeight="1" s="73"/>
    <row r="195" ht="15.75" customHeight="1" s="73"/>
    <row r="196" ht="15.75" customHeight="1" s="73"/>
    <row r="197" ht="15.75" customHeight="1" s="73"/>
    <row r="198" ht="15.75" customHeight="1" s="73"/>
    <row r="199" ht="15.75" customHeight="1" s="73"/>
    <row r="200" ht="15.75" customHeight="1" s="73"/>
    <row r="201" ht="15.75" customHeight="1" s="73"/>
    <row r="202" ht="15.75" customHeight="1" s="73"/>
    <row r="203" ht="15.75" customHeight="1" s="73"/>
    <row r="204" ht="15.75" customHeight="1" s="73"/>
    <row r="205" ht="15.75" customHeight="1" s="73"/>
    <row r="206" ht="15.75" customHeight="1" s="73"/>
    <row r="207" ht="15.75" customHeight="1" s="73"/>
    <row r="208" ht="15.75" customHeight="1" s="73"/>
    <row r="209" ht="15.75" customHeight="1" s="73"/>
    <row r="210" ht="15.75" customHeight="1" s="73"/>
    <row r="211" ht="15.75" customHeight="1" s="73"/>
    <row r="212" ht="15.75" customHeight="1" s="73"/>
    <row r="213" ht="15.75" customHeight="1" s="73"/>
    <row r="214" ht="15.75" customHeight="1" s="73"/>
    <row r="215" ht="15.75" customHeight="1" s="73"/>
    <row r="216" ht="15.75" customHeight="1" s="73"/>
    <row r="217" ht="15.75" customHeight="1" s="73"/>
    <row r="218" ht="15.75" customHeight="1" s="73"/>
    <row r="219" ht="15.75" customHeight="1" s="73"/>
    <row r="220" ht="15.75" customHeight="1" s="73"/>
    <row r="221" ht="15.75" customHeight="1" s="73"/>
    <row r="222" ht="15.75" customHeight="1" s="73"/>
    <row r="223" ht="15.75" customHeight="1" s="73"/>
    <row r="224" ht="15.75" customHeight="1" s="73"/>
    <row r="225" ht="15.75" customHeight="1" s="73"/>
    <row r="226" ht="15.75" customHeight="1" s="73"/>
    <row r="227" ht="15.75" customHeight="1" s="73"/>
    <row r="228" ht="15.75" customHeight="1" s="73"/>
    <row r="229" ht="15.75" customHeight="1" s="73"/>
    <row r="230" ht="15.75" customHeight="1" s="73"/>
    <row r="231" ht="15.75" customHeight="1" s="73"/>
    <row r="232" ht="15.75" customHeight="1" s="73"/>
    <row r="233" ht="15.75" customHeight="1" s="73"/>
    <row r="234" ht="15.75" customHeight="1" s="73"/>
    <row r="235" ht="15.75" customHeight="1" s="73"/>
    <row r="236" ht="15.75" customHeight="1" s="73"/>
    <row r="237" ht="15.75" customHeight="1" s="73"/>
    <row r="238" ht="15.75" customHeight="1" s="73"/>
    <row r="239" ht="15.75" customHeight="1" s="73"/>
    <row r="240" ht="15.75" customHeight="1" s="73"/>
    <row r="241" ht="15.75" customHeight="1" s="73"/>
    <row r="242" ht="15.75" customHeight="1" s="73"/>
    <row r="243" ht="15.75" customHeight="1" s="73"/>
    <row r="244" ht="15.75" customHeight="1" s="73"/>
    <row r="245" ht="15.75" customHeight="1" s="73"/>
    <row r="246" ht="15.75" customHeight="1" s="73"/>
    <row r="247" ht="15.75" customHeight="1" s="73"/>
    <row r="248" ht="15.75" customHeight="1" s="73"/>
    <row r="249" ht="15.75" customHeight="1" s="73"/>
    <row r="250" ht="15.75" customHeight="1" s="73"/>
    <row r="251" ht="15.75" customHeight="1" s="73"/>
    <row r="252" ht="15.75" customHeight="1" s="73"/>
    <row r="253" ht="15.75" customHeight="1" s="73"/>
    <row r="254" ht="15.75" customHeight="1" s="73"/>
    <row r="255" ht="15.75" customHeight="1" s="73"/>
    <row r="256" ht="15.75" customHeight="1" s="73"/>
    <row r="257" ht="15.75" customHeight="1" s="73"/>
    <row r="258" ht="15.75" customHeight="1" s="73"/>
    <row r="259" ht="15.75" customHeight="1" s="73"/>
    <row r="260" ht="15.75" customHeight="1" s="73"/>
    <row r="261" ht="15.75" customHeight="1" s="73"/>
    <row r="262" ht="15.75" customHeight="1" s="73"/>
    <row r="263" ht="15.75" customHeight="1" s="73"/>
    <row r="264" ht="15.75" customHeight="1" s="73"/>
    <row r="265" ht="15.75" customHeight="1" s="73"/>
    <row r="266" ht="15.75" customHeight="1" s="73"/>
    <row r="267" ht="15.75" customHeight="1" s="73"/>
    <row r="268" ht="15.75" customHeight="1" s="73"/>
    <row r="269" ht="15.75" customHeight="1" s="73"/>
    <row r="270" ht="15.75" customHeight="1" s="73"/>
    <row r="271" ht="15.75" customHeight="1" s="73"/>
    <row r="272" ht="15.75" customHeight="1" s="73"/>
    <row r="273" ht="15.75" customHeight="1" s="73"/>
    <row r="274" ht="15.75" customHeight="1" s="73"/>
    <row r="275" ht="15.75" customHeight="1" s="73"/>
    <row r="276" ht="15.75" customHeight="1" s="73"/>
    <row r="277" ht="15.75" customHeight="1" s="73"/>
    <row r="278" ht="15.75" customHeight="1" s="73"/>
    <row r="279" ht="15.75" customHeight="1" s="73"/>
    <row r="280" ht="15.75" customHeight="1" s="73"/>
    <row r="281" ht="15.75" customHeight="1" s="73"/>
    <row r="282" ht="15.75" customHeight="1" s="73"/>
    <row r="283" ht="15.75" customHeight="1" s="73"/>
    <row r="284" ht="15.75" customHeight="1" s="73"/>
    <row r="285" ht="15.75" customHeight="1" s="73"/>
    <row r="286" ht="15.75" customHeight="1" s="73"/>
    <row r="287" ht="15.75" customHeight="1" s="73"/>
    <row r="288" ht="15.75" customHeight="1" s="73"/>
    <row r="289" ht="15.75" customHeight="1" s="73"/>
    <row r="290" ht="15.75" customHeight="1" s="73"/>
    <row r="291" ht="15.75" customHeight="1" s="73"/>
    <row r="292" ht="15.75" customHeight="1" s="73"/>
    <row r="293" ht="15.75" customHeight="1" s="73"/>
    <row r="294" ht="15.75" customHeight="1" s="73"/>
    <row r="295" ht="15.75" customHeight="1" s="73"/>
    <row r="296" ht="15.75" customHeight="1" s="73"/>
    <row r="297" ht="15.75" customHeight="1" s="73"/>
    <row r="298" ht="15.75" customHeight="1" s="73"/>
    <row r="299" ht="15.75" customHeight="1" s="73"/>
    <row r="300" ht="15.75" customHeight="1" s="73"/>
    <row r="301" ht="15.75" customHeight="1" s="73"/>
    <row r="302" ht="15.75" customHeight="1" s="73"/>
    <row r="303" ht="15.75" customHeight="1" s="73"/>
    <row r="304" ht="15.75" customHeight="1" s="73"/>
    <row r="305" ht="15.75" customHeight="1" s="73"/>
    <row r="306" ht="15.75" customHeight="1" s="73"/>
    <row r="307" ht="15.75" customHeight="1" s="73"/>
    <row r="308" ht="15.75" customHeight="1" s="73"/>
    <row r="309" ht="15.75" customHeight="1" s="73"/>
    <row r="310" ht="15.75" customHeight="1" s="73"/>
    <row r="311" ht="15.75" customHeight="1" s="73"/>
    <row r="312" ht="15.75" customHeight="1" s="73"/>
    <row r="313" ht="15.75" customHeight="1" s="73"/>
    <row r="314" ht="15.75" customHeight="1" s="73"/>
    <row r="315" ht="15.75" customHeight="1" s="73"/>
    <row r="316" ht="15.75" customHeight="1" s="73"/>
    <row r="317" ht="15.75" customHeight="1" s="73"/>
    <row r="318" ht="15.75" customHeight="1" s="73"/>
    <row r="319" ht="15.75" customHeight="1" s="73"/>
    <row r="320" ht="15.75" customHeight="1" s="73"/>
    <row r="321" ht="15.75" customHeight="1" s="73"/>
    <row r="322" ht="15.75" customHeight="1" s="73"/>
    <row r="323" ht="15.75" customHeight="1" s="73"/>
    <row r="324" ht="15.75" customHeight="1" s="73"/>
    <row r="325" ht="15.75" customHeight="1" s="73"/>
    <row r="326" ht="15.75" customHeight="1" s="73"/>
    <row r="327" ht="15.75" customHeight="1" s="73"/>
    <row r="328" ht="15.75" customHeight="1" s="73"/>
    <row r="329" ht="15.75" customHeight="1" s="73"/>
    <row r="330" ht="15.75" customHeight="1" s="73"/>
    <row r="331" ht="15.75" customHeight="1" s="73"/>
    <row r="332" ht="15.75" customHeight="1" s="73"/>
    <row r="333" ht="15.75" customHeight="1" s="73"/>
    <row r="334" ht="15.75" customHeight="1" s="73"/>
    <row r="335" ht="15.75" customHeight="1" s="73"/>
    <row r="336" ht="15.75" customHeight="1" s="73"/>
    <row r="337" ht="15.75" customHeight="1" s="73"/>
    <row r="338" ht="15.75" customHeight="1" s="73"/>
    <row r="339" ht="15.75" customHeight="1" s="73"/>
    <row r="340" ht="15.75" customHeight="1" s="73"/>
    <row r="341" ht="15.75" customHeight="1" s="73"/>
    <row r="342" ht="15.75" customHeight="1" s="73"/>
    <row r="343" ht="15.75" customHeight="1" s="73"/>
    <row r="344" ht="15.75" customHeight="1" s="73"/>
    <row r="345" ht="15.75" customHeight="1" s="73"/>
    <row r="346" ht="15.75" customHeight="1" s="73"/>
    <row r="347" ht="15.75" customHeight="1" s="73"/>
    <row r="348" ht="15.75" customHeight="1" s="73"/>
    <row r="349" ht="15.75" customHeight="1" s="73"/>
    <row r="350" ht="15.75" customHeight="1" s="73"/>
    <row r="351" ht="15.75" customHeight="1" s="73"/>
    <row r="352" ht="15.75" customHeight="1" s="73"/>
    <row r="353" ht="15.75" customHeight="1" s="73"/>
    <row r="354" ht="15.75" customHeight="1" s="73"/>
    <row r="355" ht="15.75" customHeight="1" s="73"/>
    <row r="356" ht="15.75" customHeight="1" s="73"/>
    <row r="357" ht="15.75" customHeight="1" s="73"/>
    <row r="358" ht="15.75" customHeight="1" s="73"/>
    <row r="359" ht="15.75" customHeight="1" s="73"/>
    <row r="360" ht="15.75" customHeight="1" s="73"/>
    <row r="361" ht="15.75" customHeight="1" s="73"/>
    <row r="362" ht="15.75" customHeight="1" s="73"/>
    <row r="363" ht="15.75" customHeight="1" s="73"/>
    <row r="364" ht="15.75" customHeight="1" s="73"/>
    <row r="365" ht="15.75" customHeight="1" s="73"/>
    <row r="366" ht="15.75" customHeight="1" s="73"/>
    <row r="367" ht="15.75" customHeight="1" s="73"/>
    <row r="368" ht="15.75" customHeight="1" s="73"/>
    <row r="369" ht="15.75" customHeight="1" s="73"/>
    <row r="370" ht="15.75" customHeight="1" s="73"/>
    <row r="371" ht="15.75" customHeight="1" s="73"/>
    <row r="372" ht="15.75" customHeight="1" s="73"/>
    <row r="373" ht="15.75" customHeight="1" s="73"/>
    <row r="374" ht="15.75" customHeight="1" s="73"/>
    <row r="375" ht="15.75" customHeight="1" s="73"/>
    <row r="376" ht="15.75" customHeight="1" s="73"/>
    <row r="377" ht="15.75" customHeight="1" s="73"/>
    <row r="378" ht="15.75" customHeight="1" s="73"/>
    <row r="379" ht="15.75" customHeight="1" s="73"/>
    <row r="380" ht="15.75" customHeight="1" s="73"/>
    <row r="381" ht="15.75" customHeight="1" s="73"/>
    <row r="382" ht="15.75" customHeight="1" s="73"/>
    <row r="383" ht="15.75" customHeight="1" s="73"/>
    <row r="384" ht="15.75" customHeight="1" s="73"/>
    <row r="385" ht="15.75" customHeight="1" s="73"/>
    <row r="386" ht="15.75" customHeight="1" s="73"/>
    <row r="387" ht="15.75" customHeight="1" s="73"/>
    <row r="388" ht="15.75" customHeight="1" s="73"/>
    <row r="389" ht="15.75" customHeight="1" s="73"/>
    <row r="390" ht="15.75" customHeight="1" s="73"/>
    <row r="391" ht="15.75" customHeight="1" s="73"/>
    <row r="392" ht="15.75" customHeight="1" s="73"/>
    <row r="393" ht="15.75" customHeight="1" s="73"/>
    <row r="394" ht="15.75" customHeight="1" s="73"/>
    <row r="395" ht="15.75" customHeight="1" s="73"/>
    <row r="396" ht="15.75" customHeight="1" s="73"/>
    <row r="397" ht="15.75" customHeight="1" s="73"/>
    <row r="398" ht="15.75" customHeight="1" s="73"/>
    <row r="399" ht="15.75" customHeight="1" s="73"/>
    <row r="400" ht="15.75" customHeight="1" s="73"/>
    <row r="401" ht="15.75" customHeight="1" s="73"/>
    <row r="402" ht="15.75" customHeight="1" s="73"/>
    <row r="403" ht="15.75" customHeight="1" s="73"/>
    <row r="404" ht="15.75" customHeight="1" s="73"/>
    <row r="405" ht="15.75" customHeight="1" s="73"/>
    <row r="406" ht="15.75" customHeight="1" s="73"/>
    <row r="407" ht="15.75" customHeight="1" s="73"/>
    <row r="408" ht="15.75" customHeight="1" s="73"/>
    <row r="409" ht="15.75" customHeight="1" s="73"/>
    <row r="410" ht="15.75" customHeight="1" s="73"/>
    <row r="411" ht="15.75" customHeight="1" s="73"/>
    <row r="412" ht="15.75" customHeight="1" s="73"/>
    <row r="413" ht="15.75" customHeight="1" s="73"/>
    <row r="414" ht="15.75" customHeight="1" s="73"/>
    <row r="415" ht="15.75" customHeight="1" s="73"/>
    <row r="416" ht="15.75" customHeight="1" s="73"/>
    <row r="417" ht="15.75" customHeight="1" s="73"/>
    <row r="418" ht="15.75" customHeight="1" s="73"/>
    <row r="419" ht="15.75" customHeight="1" s="73"/>
    <row r="420" ht="15.75" customHeight="1" s="73"/>
    <row r="421" ht="15.75" customHeight="1" s="73"/>
    <row r="422" ht="15.75" customHeight="1" s="73"/>
    <row r="423" ht="15.75" customHeight="1" s="73"/>
    <row r="424" ht="15.75" customHeight="1" s="73"/>
    <row r="425" ht="15.75" customHeight="1" s="73"/>
    <row r="426" ht="15.75" customHeight="1" s="73"/>
    <row r="427" ht="15.75" customHeight="1" s="73"/>
    <row r="428" ht="15.75" customHeight="1" s="73"/>
    <row r="429" ht="15.75" customHeight="1" s="73"/>
    <row r="430" ht="15.75" customHeight="1" s="73"/>
    <row r="431" ht="15.75" customHeight="1" s="73"/>
    <row r="432" ht="15.75" customHeight="1" s="73"/>
    <row r="433" ht="15.75" customHeight="1" s="73"/>
    <row r="434" ht="15.75" customHeight="1" s="73"/>
    <row r="435" ht="15.75" customHeight="1" s="73"/>
    <row r="436" ht="15.75" customHeight="1" s="73"/>
    <row r="437" ht="15.75" customHeight="1" s="73"/>
    <row r="438" ht="15.75" customHeight="1" s="73"/>
    <row r="439" ht="15.75" customHeight="1" s="73"/>
    <row r="440" ht="15.75" customHeight="1" s="73"/>
    <row r="441" ht="15.75" customHeight="1" s="73"/>
    <row r="442" ht="15.75" customHeight="1" s="73"/>
    <row r="443" ht="15.75" customHeight="1" s="73"/>
    <row r="444" ht="15.75" customHeight="1" s="73"/>
    <row r="445" ht="15.75" customHeight="1" s="73"/>
    <row r="446" ht="15.75" customHeight="1" s="73"/>
    <row r="447" ht="15.75" customHeight="1" s="73"/>
    <row r="448" ht="15.75" customHeight="1" s="73"/>
    <row r="449" ht="15.75" customHeight="1" s="73"/>
    <row r="450" ht="15.75" customHeight="1" s="73"/>
    <row r="451" ht="15.75" customHeight="1" s="73"/>
    <row r="452" ht="15.75" customHeight="1" s="73"/>
    <row r="453" ht="15.75" customHeight="1" s="73"/>
    <row r="454" ht="15.75" customHeight="1" s="73"/>
    <row r="455" ht="15.75" customHeight="1" s="73"/>
    <row r="456" ht="15.75" customHeight="1" s="73"/>
    <row r="457" ht="15.75" customHeight="1" s="73"/>
    <row r="458" ht="15.75" customHeight="1" s="73"/>
    <row r="459" ht="15.75" customHeight="1" s="73"/>
    <row r="460" ht="15.75" customHeight="1" s="73"/>
    <row r="461" ht="15.75" customHeight="1" s="73"/>
    <row r="462" ht="15.75" customHeight="1" s="73"/>
    <row r="463" ht="15.75" customHeight="1" s="73"/>
    <row r="464" ht="15.75" customHeight="1" s="73"/>
    <row r="465" ht="15.75" customHeight="1" s="73"/>
    <row r="466" ht="15.75" customHeight="1" s="73"/>
    <row r="467" ht="15.75" customHeight="1" s="73"/>
    <row r="468" ht="15.75" customHeight="1" s="73"/>
    <row r="469" ht="15.75" customHeight="1" s="73"/>
    <row r="470" ht="15.75" customHeight="1" s="73"/>
    <row r="471" ht="15.75" customHeight="1" s="73"/>
    <row r="472" ht="15.75" customHeight="1" s="73"/>
    <row r="473" ht="15.75" customHeight="1" s="73"/>
    <row r="474" ht="15.75" customHeight="1" s="73"/>
    <row r="475" ht="15.75" customHeight="1" s="73"/>
    <row r="476" ht="15.75" customHeight="1" s="73"/>
    <row r="477" ht="15.75" customHeight="1" s="73"/>
    <row r="478" ht="15.75" customHeight="1" s="73"/>
    <row r="479" ht="15.75" customHeight="1" s="73"/>
    <row r="480" ht="15.75" customHeight="1" s="73"/>
    <row r="481" ht="15.75" customHeight="1" s="73"/>
    <row r="482" ht="15.75" customHeight="1" s="73"/>
    <row r="483" ht="15.75" customHeight="1" s="73"/>
    <row r="484" ht="15.75" customHeight="1" s="73"/>
    <row r="485" ht="15.75" customHeight="1" s="73"/>
    <row r="486" ht="15.75" customHeight="1" s="73"/>
    <row r="487" ht="15.75" customHeight="1" s="73"/>
    <row r="488" ht="15.75" customHeight="1" s="73"/>
    <row r="489" ht="15.75" customHeight="1" s="73"/>
    <row r="490" ht="15.75" customHeight="1" s="73"/>
    <row r="491" ht="15.75" customHeight="1" s="73"/>
    <row r="492" ht="15.75" customHeight="1" s="73"/>
    <row r="493" ht="15.75" customHeight="1" s="73"/>
    <row r="494" ht="15.75" customHeight="1" s="73"/>
    <row r="495" ht="15.75" customHeight="1" s="73"/>
    <row r="496" ht="15.75" customHeight="1" s="73"/>
    <row r="497" ht="15.75" customHeight="1" s="73"/>
    <row r="498" ht="15.75" customHeight="1" s="73"/>
    <row r="499" ht="15.75" customHeight="1" s="73"/>
    <row r="500" ht="15.75" customHeight="1" s="73"/>
    <row r="501" ht="15.75" customHeight="1" s="73"/>
    <row r="502" ht="15.75" customHeight="1" s="73"/>
    <row r="503" ht="15.75" customHeight="1" s="73"/>
    <row r="504" ht="15.75" customHeight="1" s="73"/>
    <row r="505" ht="15.75" customHeight="1" s="73"/>
    <row r="506" ht="15.75" customHeight="1" s="73"/>
    <row r="507" ht="15.75" customHeight="1" s="73"/>
    <row r="508" ht="15.75" customHeight="1" s="73"/>
    <row r="509" ht="15.75" customHeight="1" s="73"/>
    <row r="510" ht="15.75" customHeight="1" s="73"/>
    <row r="511" ht="15.75" customHeight="1" s="73"/>
    <row r="512" ht="15.75" customHeight="1" s="73"/>
    <row r="513" ht="15.75" customHeight="1" s="73"/>
    <row r="514" ht="15.75" customHeight="1" s="73"/>
    <row r="515" ht="15.75" customHeight="1" s="73"/>
    <row r="516" ht="15.75" customHeight="1" s="73"/>
    <row r="517" ht="15.75" customHeight="1" s="73"/>
    <row r="518" ht="15.75" customHeight="1" s="73"/>
    <row r="519" ht="15.75" customHeight="1" s="73"/>
    <row r="520" ht="15.75" customHeight="1" s="73"/>
    <row r="521" ht="15.75" customHeight="1" s="73"/>
    <row r="522" ht="15.75" customHeight="1" s="73"/>
    <row r="523" ht="15.75" customHeight="1" s="73"/>
    <row r="524" ht="15.75" customHeight="1" s="73"/>
    <row r="525" ht="15.75" customHeight="1" s="73"/>
    <row r="526" ht="15.75" customHeight="1" s="73"/>
    <row r="527" ht="15.75" customHeight="1" s="73"/>
    <row r="528" ht="15.75" customHeight="1" s="73"/>
    <row r="529" ht="15.75" customHeight="1" s="73"/>
    <row r="530" ht="15.75" customHeight="1" s="73"/>
    <row r="531" ht="15.75" customHeight="1" s="73"/>
    <row r="532" ht="15.75" customHeight="1" s="73"/>
    <row r="533" ht="15.75" customHeight="1" s="73"/>
    <row r="534" ht="15.75" customHeight="1" s="73"/>
    <row r="535" ht="15.75" customHeight="1" s="73"/>
    <row r="536" ht="15.75" customHeight="1" s="73"/>
    <row r="537" ht="15.75" customHeight="1" s="73"/>
    <row r="538" ht="15.75" customHeight="1" s="73"/>
    <row r="539" ht="15.75" customHeight="1" s="73"/>
    <row r="540" ht="15.75" customHeight="1" s="73"/>
    <row r="541" ht="15.75" customHeight="1" s="73"/>
    <row r="542" ht="15.75" customHeight="1" s="73"/>
    <row r="543" ht="15.75" customHeight="1" s="73"/>
    <row r="544" ht="15.75" customHeight="1" s="73"/>
    <row r="545" ht="15.75" customHeight="1" s="73"/>
    <row r="546" ht="15.75" customHeight="1" s="73"/>
    <row r="547" ht="15.75" customHeight="1" s="73"/>
    <row r="548" ht="15.75" customHeight="1" s="73"/>
    <row r="549" ht="15.75" customHeight="1" s="73"/>
    <row r="550" ht="15.75" customHeight="1" s="73"/>
    <row r="551" ht="15.75" customHeight="1" s="73"/>
    <row r="552" ht="15.75" customHeight="1" s="73"/>
    <row r="553" ht="15.75" customHeight="1" s="73"/>
    <row r="554" ht="15.75" customHeight="1" s="73"/>
    <row r="555" ht="15.75" customHeight="1" s="73"/>
    <row r="556" ht="15.75" customHeight="1" s="73"/>
    <row r="557" ht="15.75" customHeight="1" s="73"/>
    <row r="558" ht="15.75" customHeight="1" s="73"/>
    <row r="559" ht="15.75" customHeight="1" s="73"/>
    <row r="560" ht="15.75" customHeight="1" s="73"/>
    <row r="561" ht="15.75" customHeight="1" s="73"/>
    <row r="562" ht="15.75" customHeight="1" s="73"/>
    <row r="563" ht="15.75" customHeight="1" s="73"/>
    <row r="564" ht="15.75" customHeight="1" s="73"/>
    <row r="565" ht="15.75" customHeight="1" s="73"/>
    <row r="566" ht="15.75" customHeight="1" s="73"/>
    <row r="567" ht="15.75" customHeight="1" s="73"/>
    <row r="568" ht="15.75" customHeight="1" s="73"/>
    <row r="569" ht="15.75" customHeight="1" s="73"/>
    <row r="570" ht="15.75" customHeight="1" s="73"/>
    <row r="571" ht="15.75" customHeight="1" s="73"/>
    <row r="572" ht="15.75" customHeight="1" s="73"/>
    <row r="573" ht="15.75" customHeight="1" s="73"/>
    <row r="574" ht="15.75" customHeight="1" s="73"/>
    <row r="575" ht="15.75" customHeight="1" s="73"/>
    <row r="576" ht="15.75" customHeight="1" s="73"/>
    <row r="577" ht="15.75" customHeight="1" s="73"/>
    <row r="578" ht="15.75" customHeight="1" s="73"/>
    <row r="579" ht="15.75" customHeight="1" s="73"/>
    <row r="580" ht="15.75" customHeight="1" s="73"/>
    <row r="581" ht="15.75" customHeight="1" s="73"/>
    <row r="582" ht="15.75" customHeight="1" s="73"/>
    <row r="583" ht="15.75" customHeight="1" s="73"/>
    <row r="584" ht="15.75" customHeight="1" s="73"/>
    <row r="585" ht="15.75" customHeight="1" s="73"/>
    <row r="586" ht="15.75" customHeight="1" s="73"/>
    <row r="587" ht="15.75" customHeight="1" s="73"/>
    <row r="588" ht="15.75" customHeight="1" s="73"/>
    <row r="589" ht="15.75" customHeight="1" s="73"/>
    <row r="590" ht="15.75" customHeight="1" s="73"/>
    <row r="591" ht="15.75" customHeight="1" s="73"/>
    <row r="592" ht="15.75" customHeight="1" s="73"/>
    <row r="593" ht="15.75" customHeight="1" s="73"/>
    <row r="594" ht="15.75" customHeight="1" s="73"/>
    <row r="595" ht="15.75" customHeight="1" s="73"/>
    <row r="596" ht="15.75" customHeight="1" s="73"/>
    <row r="597" ht="15.75" customHeight="1" s="73"/>
    <row r="598" ht="15.75" customHeight="1" s="73"/>
    <row r="599" ht="15.75" customHeight="1" s="73"/>
    <row r="600" ht="15.75" customHeight="1" s="73"/>
    <row r="601" ht="15.75" customHeight="1" s="73"/>
    <row r="602" ht="15.75" customHeight="1" s="73"/>
    <row r="603" ht="15.75" customHeight="1" s="73"/>
    <row r="604" ht="15.75" customHeight="1" s="73"/>
    <row r="605" ht="15.75" customHeight="1" s="73"/>
    <row r="606" ht="15.75" customHeight="1" s="73"/>
    <row r="607" ht="15.75" customHeight="1" s="73"/>
    <row r="608" ht="15.75" customHeight="1" s="73"/>
    <row r="609" ht="15.75" customHeight="1" s="73"/>
    <row r="610" ht="15.75" customHeight="1" s="73"/>
    <row r="611" ht="15.75" customHeight="1" s="73"/>
    <row r="612" ht="15.75" customHeight="1" s="73"/>
    <row r="613" ht="15.75" customHeight="1" s="73"/>
    <row r="614" ht="15.75" customHeight="1" s="73"/>
    <row r="615" ht="15.75" customHeight="1" s="73"/>
    <row r="616" ht="15.75" customHeight="1" s="73"/>
    <row r="617" ht="15.75" customHeight="1" s="73"/>
    <row r="618" ht="15.75" customHeight="1" s="73"/>
    <row r="619" ht="15.75" customHeight="1" s="73"/>
    <row r="620" ht="15.75" customHeight="1" s="73"/>
    <row r="621" ht="15.75" customHeight="1" s="73"/>
    <row r="622" ht="15.75" customHeight="1" s="73"/>
    <row r="623" ht="15.75" customHeight="1" s="73"/>
    <row r="624" ht="15.75" customHeight="1" s="73"/>
    <row r="625" ht="15.75" customHeight="1" s="73"/>
    <row r="626" ht="15.75" customHeight="1" s="73"/>
    <row r="627" ht="15.75" customHeight="1" s="73"/>
    <row r="628" ht="15.75" customHeight="1" s="73"/>
    <row r="629" ht="15.75" customHeight="1" s="73"/>
    <row r="630" ht="15.75" customHeight="1" s="73"/>
    <row r="631" ht="15.75" customHeight="1" s="73"/>
    <row r="632" ht="15.75" customHeight="1" s="73"/>
    <row r="633" ht="15.75" customHeight="1" s="73"/>
    <row r="634" ht="15.75" customHeight="1" s="73"/>
    <row r="635" ht="15.75" customHeight="1" s="73"/>
    <row r="636" ht="15.75" customHeight="1" s="73"/>
    <row r="637" ht="15.75" customHeight="1" s="73"/>
    <row r="638" ht="15.75" customHeight="1" s="73"/>
    <row r="639" ht="15.75" customHeight="1" s="73"/>
    <row r="640" ht="15.75" customHeight="1" s="73"/>
    <row r="641" ht="15.75" customHeight="1" s="73"/>
    <row r="642" ht="15.75" customHeight="1" s="73"/>
    <row r="643" ht="15.75" customHeight="1" s="73"/>
    <row r="644" ht="15.75" customHeight="1" s="73"/>
    <row r="645" ht="15.75" customHeight="1" s="73"/>
    <row r="646" ht="15.75" customHeight="1" s="73"/>
    <row r="647" ht="15.75" customHeight="1" s="73"/>
    <row r="648" ht="15.75" customHeight="1" s="73"/>
    <row r="649" ht="15.75" customHeight="1" s="73"/>
    <row r="650" ht="15.75" customHeight="1" s="73"/>
    <row r="651" ht="15.75" customHeight="1" s="73"/>
    <row r="652" ht="15.75" customHeight="1" s="73"/>
    <row r="653" ht="15.75" customHeight="1" s="73"/>
    <row r="654" ht="15.75" customHeight="1" s="73"/>
    <row r="655" ht="15.75" customHeight="1" s="73"/>
    <row r="656" ht="15.75" customHeight="1" s="73"/>
    <row r="657" ht="15.75" customHeight="1" s="73"/>
    <row r="658" ht="15.75" customHeight="1" s="73"/>
    <row r="659" ht="15.75" customHeight="1" s="73"/>
    <row r="660" ht="15.75" customHeight="1" s="73"/>
    <row r="661" ht="15.75" customHeight="1" s="73"/>
    <row r="662" ht="15.75" customHeight="1" s="73"/>
    <row r="663" ht="15.75" customHeight="1" s="73"/>
    <row r="664" ht="15.75" customHeight="1" s="73"/>
    <row r="665" ht="15.75" customHeight="1" s="73"/>
    <row r="666" ht="15.75" customHeight="1" s="73"/>
    <row r="667" ht="15.75" customHeight="1" s="73"/>
    <row r="668" ht="15.75" customHeight="1" s="73"/>
    <row r="669" ht="15.75" customHeight="1" s="73"/>
    <row r="670" ht="15.75" customHeight="1" s="73"/>
    <row r="671" ht="15.75" customHeight="1" s="73"/>
    <row r="672" ht="15.75" customHeight="1" s="73"/>
    <row r="673" ht="15.75" customHeight="1" s="73"/>
    <row r="674" ht="15.75" customHeight="1" s="73"/>
    <row r="675" ht="15.75" customHeight="1" s="73"/>
    <row r="676" ht="15.75" customHeight="1" s="73"/>
    <row r="677" ht="15.75" customHeight="1" s="73"/>
    <row r="678" ht="15.75" customHeight="1" s="73"/>
    <row r="679" ht="15.75" customHeight="1" s="73"/>
    <row r="680" ht="15.75" customHeight="1" s="73"/>
    <row r="681" ht="15.75" customHeight="1" s="73"/>
    <row r="682" ht="15.75" customHeight="1" s="73"/>
    <row r="683" ht="15.75" customHeight="1" s="73"/>
    <row r="684" ht="15.75" customHeight="1" s="73"/>
    <row r="685" ht="15.75" customHeight="1" s="73"/>
    <row r="686" ht="15.75" customHeight="1" s="73"/>
    <row r="687" ht="15.75" customHeight="1" s="73"/>
    <row r="688" ht="15.75" customHeight="1" s="73"/>
    <row r="689" ht="15.75" customHeight="1" s="73"/>
    <row r="690" ht="15.75" customHeight="1" s="73"/>
    <row r="691" ht="15.75" customHeight="1" s="73"/>
    <row r="692" ht="15.75" customHeight="1" s="73"/>
    <row r="693" ht="15.75" customHeight="1" s="73"/>
    <row r="694" ht="15.75" customHeight="1" s="73"/>
    <row r="695" ht="15.75" customHeight="1" s="73"/>
    <row r="696" ht="15.75" customHeight="1" s="73"/>
    <row r="697" ht="15.75" customHeight="1" s="73"/>
    <row r="698" ht="15.75" customHeight="1" s="73"/>
    <row r="699" ht="15.75" customHeight="1" s="73"/>
    <row r="700" ht="15.75" customHeight="1" s="73"/>
    <row r="701" ht="15.75" customHeight="1" s="73"/>
    <row r="702" ht="15.75" customHeight="1" s="73"/>
    <row r="703" ht="15.75" customHeight="1" s="73"/>
    <row r="704" ht="15.75" customHeight="1" s="73"/>
    <row r="705" ht="15.75" customHeight="1" s="73"/>
    <row r="706" ht="15.75" customHeight="1" s="73"/>
    <row r="707" ht="15.75" customHeight="1" s="73"/>
    <row r="708" ht="15.75" customHeight="1" s="73"/>
    <row r="709" ht="15.75" customHeight="1" s="73"/>
    <row r="710" ht="15.75" customHeight="1" s="73"/>
    <row r="711" ht="15.75" customHeight="1" s="73"/>
    <row r="712" ht="15.75" customHeight="1" s="73"/>
    <row r="713" ht="15.75" customHeight="1" s="73"/>
    <row r="714" ht="15.75" customHeight="1" s="73"/>
    <row r="715" ht="15.75" customHeight="1" s="73"/>
    <row r="716" ht="15.75" customHeight="1" s="73"/>
    <row r="717" ht="15.75" customHeight="1" s="73"/>
    <row r="718" ht="15.75" customHeight="1" s="73"/>
    <row r="719" ht="15.75" customHeight="1" s="73"/>
    <row r="720" ht="15.75" customHeight="1" s="73"/>
    <row r="721" ht="15.75" customHeight="1" s="73"/>
    <row r="722" ht="15.75" customHeight="1" s="73"/>
    <row r="723" ht="15.75" customHeight="1" s="73"/>
    <row r="724" ht="15.75" customHeight="1" s="73"/>
    <row r="725" ht="15.75" customHeight="1" s="73"/>
    <row r="726" ht="15.75" customHeight="1" s="73"/>
    <row r="727" ht="15.75" customHeight="1" s="73"/>
    <row r="728" ht="15.75" customHeight="1" s="73"/>
    <row r="729" ht="15.75" customHeight="1" s="73"/>
    <row r="730" ht="15.75" customHeight="1" s="73"/>
    <row r="731" ht="15.75" customHeight="1" s="73"/>
    <row r="732" ht="15.75" customHeight="1" s="73"/>
    <row r="733" ht="15.75" customHeight="1" s="73"/>
    <row r="734" ht="15.75" customHeight="1" s="73"/>
    <row r="735" ht="15.75" customHeight="1" s="73"/>
    <row r="736" ht="15.75" customHeight="1" s="73"/>
    <row r="737" ht="15.75" customHeight="1" s="73"/>
    <row r="738" ht="15.75" customHeight="1" s="73"/>
    <row r="739" ht="15.75" customHeight="1" s="73"/>
    <row r="740" ht="15.75" customHeight="1" s="73"/>
    <row r="741" ht="15.75" customHeight="1" s="73"/>
    <row r="742" ht="15.75" customHeight="1" s="73"/>
    <row r="743" ht="15.75" customHeight="1" s="73"/>
    <row r="744" ht="15.75" customHeight="1" s="73"/>
    <row r="745" ht="15.75" customHeight="1" s="73"/>
    <row r="746" ht="15.75" customHeight="1" s="73"/>
    <row r="747" ht="15.75" customHeight="1" s="73"/>
    <row r="748" ht="15.75" customHeight="1" s="73"/>
    <row r="749" ht="15.75" customHeight="1" s="73"/>
    <row r="750" ht="15.75" customHeight="1" s="73"/>
    <row r="751" ht="15.75" customHeight="1" s="73"/>
    <row r="752" ht="15.75" customHeight="1" s="73"/>
    <row r="753" ht="15.75" customHeight="1" s="73"/>
    <row r="754" ht="15.75" customHeight="1" s="73"/>
    <row r="755" ht="15.75" customHeight="1" s="73"/>
    <row r="756" ht="15.75" customHeight="1" s="73"/>
    <row r="757" ht="15.75" customHeight="1" s="73"/>
    <row r="758" ht="15.75" customHeight="1" s="73"/>
    <row r="759" ht="15.75" customHeight="1" s="73"/>
    <row r="760" ht="15.75" customHeight="1" s="73"/>
    <row r="761" ht="15.75" customHeight="1" s="73"/>
    <row r="762" ht="15.75" customHeight="1" s="73"/>
    <row r="763" ht="15.75" customHeight="1" s="73"/>
    <row r="764" ht="15.75" customHeight="1" s="73"/>
    <row r="765" ht="15.75" customHeight="1" s="73"/>
    <row r="766" ht="15.75" customHeight="1" s="73"/>
    <row r="767" ht="15.75" customHeight="1" s="73"/>
    <row r="768" ht="15.75" customHeight="1" s="73"/>
    <row r="769" ht="15.75" customHeight="1" s="73"/>
    <row r="770" ht="15.75" customHeight="1" s="73"/>
    <row r="771" ht="15.75" customHeight="1" s="73"/>
    <row r="772" ht="15.75" customHeight="1" s="73"/>
    <row r="773" ht="15.75" customHeight="1" s="73"/>
    <row r="774" ht="15.75" customHeight="1" s="73"/>
    <row r="775" ht="15.75" customHeight="1" s="73"/>
    <row r="776" ht="15.75" customHeight="1" s="73"/>
    <row r="777" ht="15.75" customHeight="1" s="73"/>
    <row r="778" ht="15.75" customHeight="1" s="73"/>
    <row r="779" ht="15.75" customHeight="1" s="73"/>
    <row r="780" ht="15.75" customHeight="1" s="73"/>
    <row r="781" ht="15.75" customHeight="1" s="73"/>
    <row r="782" ht="15.75" customHeight="1" s="73"/>
    <row r="783" ht="15.75" customHeight="1" s="73"/>
    <row r="784" ht="15.75" customHeight="1" s="73"/>
    <row r="785" ht="15.75" customHeight="1" s="73"/>
    <row r="786" ht="15.75" customHeight="1" s="73"/>
    <row r="787" ht="15.75" customHeight="1" s="73"/>
    <row r="788" ht="15.75" customHeight="1" s="73"/>
    <row r="789" ht="15.75" customHeight="1" s="73"/>
    <row r="790" ht="15.75" customHeight="1" s="73"/>
    <row r="791" ht="15.75" customHeight="1" s="73"/>
    <row r="792" ht="15.75" customHeight="1" s="73"/>
    <row r="793" ht="15.75" customHeight="1" s="73"/>
    <row r="794" ht="15.75" customHeight="1" s="73"/>
    <row r="795" ht="15.75" customHeight="1" s="73"/>
    <row r="796" ht="15.75" customHeight="1" s="73"/>
    <row r="797" ht="15.75" customHeight="1" s="73"/>
    <row r="798" ht="15.75" customHeight="1" s="73"/>
    <row r="799" ht="15.75" customHeight="1" s="73"/>
    <row r="800" ht="15.75" customHeight="1" s="73"/>
    <row r="801" ht="15.75" customHeight="1" s="73"/>
    <row r="802" ht="15.75" customHeight="1" s="73"/>
    <row r="803" ht="15.75" customHeight="1" s="73"/>
    <row r="804" ht="15.75" customHeight="1" s="73"/>
    <row r="805" ht="15.75" customHeight="1" s="73"/>
    <row r="806" ht="15.75" customHeight="1" s="73"/>
    <row r="807" ht="15.75" customHeight="1" s="73"/>
    <row r="808" ht="15.75" customHeight="1" s="73"/>
    <row r="809" ht="15.75" customHeight="1" s="73"/>
    <row r="810" ht="15.75" customHeight="1" s="73"/>
    <row r="811" ht="15.75" customHeight="1" s="73"/>
    <row r="812" ht="15.75" customHeight="1" s="73"/>
    <row r="813" ht="15.75" customHeight="1" s="73"/>
    <row r="814" ht="15.75" customHeight="1" s="73"/>
    <row r="815" ht="15.75" customHeight="1" s="73"/>
    <row r="816" ht="15.75" customHeight="1" s="73"/>
    <row r="817" ht="15.75" customHeight="1" s="73"/>
    <row r="818" ht="15.75" customHeight="1" s="73"/>
    <row r="819" ht="15.75" customHeight="1" s="73"/>
    <row r="820" ht="15.75" customHeight="1" s="73"/>
    <row r="821" ht="15.75" customHeight="1" s="73"/>
    <row r="822" ht="15.75" customHeight="1" s="73"/>
    <row r="823" ht="15.75" customHeight="1" s="73"/>
    <row r="824" ht="15.75" customHeight="1" s="73"/>
    <row r="825" ht="15.75" customHeight="1" s="73"/>
    <row r="826" ht="15.75" customHeight="1" s="73"/>
    <row r="827" ht="15.75" customHeight="1" s="73"/>
    <row r="828" ht="15.75" customHeight="1" s="73"/>
    <row r="829" ht="15.75" customHeight="1" s="73"/>
    <row r="830" ht="15.75" customHeight="1" s="73"/>
    <row r="831" ht="15.75" customHeight="1" s="73"/>
    <row r="832" ht="15.75" customHeight="1" s="73"/>
    <row r="833" ht="15.75" customHeight="1" s="73"/>
    <row r="834" ht="15.75" customHeight="1" s="73"/>
    <row r="835" ht="15.75" customHeight="1" s="73"/>
    <row r="836" ht="15.75" customHeight="1" s="73"/>
    <row r="837" ht="15.75" customHeight="1" s="73"/>
    <row r="838" ht="15.75" customHeight="1" s="73"/>
    <row r="839" ht="15.75" customHeight="1" s="73"/>
    <row r="840" ht="15.75" customHeight="1" s="73"/>
    <row r="841" ht="15.75" customHeight="1" s="73"/>
    <row r="842" ht="15.75" customHeight="1" s="73"/>
    <row r="843" ht="15.75" customHeight="1" s="73"/>
    <row r="844" ht="15.75" customHeight="1" s="73"/>
    <row r="845" ht="15.75" customHeight="1" s="73"/>
    <row r="846" ht="15.75" customHeight="1" s="73"/>
    <row r="847" ht="15.75" customHeight="1" s="73"/>
    <row r="848" ht="15.75" customHeight="1" s="73"/>
    <row r="849" ht="15.75" customHeight="1" s="73"/>
    <row r="850" ht="15.75" customHeight="1" s="73"/>
    <row r="851" ht="15.75" customHeight="1" s="73"/>
    <row r="852" ht="15.75" customHeight="1" s="73"/>
    <row r="853" ht="15.75" customHeight="1" s="73"/>
    <row r="854" ht="15.75" customHeight="1" s="73"/>
    <row r="855" ht="15.75" customHeight="1" s="73"/>
    <row r="856" ht="15.75" customHeight="1" s="73"/>
    <row r="857" ht="15.75" customHeight="1" s="73"/>
    <row r="858" ht="15.75" customHeight="1" s="73"/>
    <row r="859" ht="15.75" customHeight="1" s="73"/>
    <row r="860" ht="15.75" customHeight="1" s="73"/>
    <row r="861" ht="15.75" customHeight="1" s="73"/>
    <row r="862" ht="15.75" customHeight="1" s="73"/>
    <row r="863" ht="15.75" customHeight="1" s="73"/>
    <row r="864" ht="15.75" customHeight="1" s="73"/>
    <row r="865" ht="15.75" customHeight="1" s="73"/>
    <row r="866" ht="15.75" customHeight="1" s="73"/>
    <row r="867" ht="15.75" customHeight="1" s="73"/>
    <row r="868" ht="15.75" customHeight="1" s="73"/>
    <row r="869" ht="15.75" customHeight="1" s="73"/>
    <row r="870" ht="15.75" customHeight="1" s="73"/>
    <row r="871" ht="15.75" customHeight="1" s="73"/>
    <row r="872" ht="15.75" customHeight="1" s="73"/>
    <row r="873" ht="15.75" customHeight="1" s="73"/>
    <row r="874" ht="15.75" customHeight="1" s="73"/>
    <row r="875" ht="15.75" customHeight="1" s="73"/>
    <row r="876" ht="15.75" customHeight="1" s="73"/>
    <row r="877" ht="15.75" customHeight="1" s="73"/>
    <row r="878" ht="15.75" customHeight="1" s="73"/>
    <row r="879" ht="15.75" customHeight="1" s="73"/>
    <row r="880" ht="15.75" customHeight="1" s="73"/>
    <row r="881" ht="15.75" customHeight="1" s="73"/>
    <row r="882" ht="15.75" customHeight="1" s="73"/>
    <row r="883" ht="15.75" customHeight="1" s="73"/>
    <row r="884" ht="15.75" customHeight="1" s="73"/>
    <row r="885" ht="15.75" customHeight="1" s="73"/>
    <row r="886" ht="15.75" customHeight="1" s="73"/>
    <row r="887" ht="15.75" customHeight="1" s="73"/>
    <row r="888" ht="15.75" customHeight="1" s="73"/>
    <row r="889" ht="15.75" customHeight="1" s="73"/>
    <row r="890" ht="15.75" customHeight="1" s="73"/>
    <row r="891" ht="15.75" customHeight="1" s="73"/>
    <row r="892" ht="15.75" customHeight="1" s="73"/>
    <row r="893" ht="15.75" customHeight="1" s="73"/>
    <row r="894" ht="15.75" customHeight="1" s="73"/>
    <row r="895" ht="15.75" customHeight="1" s="73"/>
    <row r="896" ht="15.75" customHeight="1" s="73"/>
    <row r="897" ht="15.75" customHeight="1" s="73"/>
    <row r="898" ht="15.75" customHeight="1" s="73"/>
    <row r="899" ht="15.75" customHeight="1" s="73"/>
    <row r="900" ht="15.75" customHeight="1" s="73"/>
    <row r="901" ht="15.75" customHeight="1" s="73"/>
    <row r="902" ht="15.75" customHeight="1" s="73"/>
    <row r="903" ht="15.75" customHeight="1" s="73"/>
    <row r="904" ht="15.75" customHeight="1" s="73"/>
    <row r="905" ht="15.75" customHeight="1" s="73"/>
    <row r="906" ht="15.75" customHeight="1" s="73"/>
    <row r="907" ht="15.75" customHeight="1" s="73"/>
    <row r="908" ht="15.75" customHeight="1" s="73"/>
    <row r="909" ht="15.75" customHeight="1" s="73"/>
    <row r="910" ht="15.75" customHeight="1" s="73"/>
    <row r="911" ht="15.75" customHeight="1" s="73"/>
    <row r="912" ht="15.75" customHeight="1" s="73"/>
    <row r="913" ht="15.75" customHeight="1" s="73"/>
    <row r="914" ht="15.75" customHeight="1" s="73"/>
    <row r="915" ht="15.75" customHeight="1" s="73"/>
    <row r="916" ht="15.75" customHeight="1" s="73"/>
    <row r="917" ht="15.75" customHeight="1" s="73"/>
    <row r="918" ht="15.75" customHeight="1" s="73"/>
    <row r="919" ht="15.75" customHeight="1" s="73"/>
    <row r="920" ht="15.75" customHeight="1" s="73"/>
    <row r="921" ht="15.75" customHeight="1" s="73"/>
    <row r="922" ht="15.75" customHeight="1" s="73"/>
    <row r="923" ht="15.75" customHeight="1" s="73"/>
    <row r="924" ht="15.75" customHeight="1" s="73"/>
    <row r="925" ht="15.75" customHeight="1" s="73"/>
    <row r="926" ht="15.75" customHeight="1" s="73"/>
    <row r="927" ht="15.75" customHeight="1" s="73"/>
    <row r="928" ht="15.75" customHeight="1" s="73"/>
    <row r="929" ht="15.75" customHeight="1" s="73"/>
    <row r="930" ht="15.75" customHeight="1" s="73"/>
    <row r="931" ht="15.75" customHeight="1" s="73"/>
    <row r="932" ht="15.75" customHeight="1" s="73"/>
    <row r="933" ht="15.75" customHeight="1" s="73"/>
    <row r="934" ht="15.75" customHeight="1" s="73"/>
    <row r="935" ht="15.75" customHeight="1" s="73"/>
    <row r="936" ht="15.75" customHeight="1" s="73"/>
    <row r="937" ht="15.75" customHeight="1" s="73"/>
    <row r="938" ht="15.75" customHeight="1" s="73"/>
    <row r="939" ht="15.75" customHeight="1" s="73"/>
    <row r="940" ht="15.75" customHeight="1" s="73"/>
    <row r="941" ht="15.75" customHeight="1" s="73"/>
    <row r="942" ht="15.75" customHeight="1" s="73"/>
    <row r="943" ht="15.75" customHeight="1" s="73"/>
    <row r="944" ht="15.75" customHeight="1" s="73"/>
    <row r="945" ht="15.75" customHeight="1" s="73"/>
    <row r="946" ht="15.75" customHeight="1" s="73"/>
    <row r="947" ht="15.75" customHeight="1" s="73"/>
    <row r="948" ht="15.75" customHeight="1" s="73"/>
    <row r="949" ht="15.75" customHeight="1" s="73"/>
    <row r="950" ht="15.75" customHeight="1" s="73"/>
    <row r="951" ht="15.75" customHeight="1" s="73"/>
    <row r="952" ht="15.75" customHeight="1" s="73"/>
    <row r="953" ht="15.75" customHeight="1" s="73"/>
    <row r="954" ht="15.75" customHeight="1" s="73"/>
    <row r="955" ht="15.75" customHeight="1" s="73"/>
    <row r="956" ht="15.75" customHeight="1" s="73"/>
    <row r="957" ht="15.75" customHeight="1" s="73"/>
    <row r="958" ht="15.75" customHeight="1" s="73"/>
    <row r="959" ht="15.75" customHeight="1" s="73"/>
    <row r="960" ht="15.75" customHeight="1" s="73"/>
    <row r="961" ht="15.75" customHeight="1" s="73"/>
    <row r="962" ht="15.75" customHeight="1" s="73"/>
    <row r="963" ht="15.75" customHeight="1" s="73"/>
    <row r="964" ht="15.75" customHeight="1" s="73"/>
    <row r="965" ht="15.75" customHeight="1" s="73"/>
    <row r="966" ht="15.75" customHeight="1" s="73"/>
    <row r="967" ht="15.75" customHeight="1" s="73"/>
    <row r="968" ht="15.75" customHeight="1" s="73"/>
    <row r="969" ht="15.75" customHeight="1" s="73"/>
    <row r="970" ht="15.75" customHeight="1" s="73"/>
    <row r="971" ht="15.75" customHeight="1" s="73"/>
    <row r="972" ht="15.75" customHeight="1" s="73"/>
    <row r="973" ht="15.75" customHeight="1" s="73"/>
    <row r="974" ht="15.75" customHeight="1" s="73"/>
    <row r="975" ht="15.75" customHeight="1" s="73"/>
    <row r="976" ht="15.75" customHeight="1" s="73"/>
    <row r="977" ht="15.75" customHeight="1" s="73"/>
    <row r="978" ht="15.75" customHeight="1" s="73"/>
    <row r="979" ht="15.75" customHeight="1" s="73"/>
    <row r="980" ht="15.75" customHeight="1" s="73"/>
    <row r="981" ht="15.75" customHeight="1" s="73"/>
    <row r="982" ht="15.75" customHeight="1" s="73"/>
    <row r="983" ht="15.75" customHeight="1" s="73"/>
    <row r="984" ht="15.75" customHeight="1" s="73"/>
    <row r="985" ht="15.75" customHeight="1" s="73"/>
    <row r="986" ht="15.75" customHeight="1" s="73"/>
    <row r="987" ht="15.75" customHeight="1" s="73"/>
    <row r="988" ht="15.75" customHeight="1" s="73"/>
    <row r="989" ht="15.75" customHeight="1" s="73"/>
    <row r="990" ht="15.75" customHeight="1" s="73"/>
    <row r="991" ht="15.75" customHeight="1" s="73"/>
    <row r="992" ht="15.75" customHeight="1" s="73"/>
    <row r="993" ht="15.75" customHeight="1" s="73"/>
    <row r="994" ht="15.75" customHeight="1" s="73"/>
    <row r="995" ht="15.75" customHeight="1" s="73"/>
    <row r="996" ht="15.75" customHeight="1" s="73"/>
    <row r="997" ht="15.75" customHeight="1" s="73"/>
    <row r="998" ht="15.75" customHeight="1" s="73"/>
    <row r="999" ht="15.75" customHeight="1" s="73"/>
    <row r="1000" ht="15.75" customHeight="1" s="73"/>
  </sheetData>
  <mergeCells count="55">
    <mergeCell ref="C16:K16"/>
    <mergeCell ref="Q16:R16"/>
    <mergeCell ref="W18:Z18"/>
    <mergeCell ref="Q14:V14"/>
    <mergeCell ref="AA18:AD18"/>
    <mergeCell ref="Z11:AD11"/>
    <mergeCell ref="O14:P18"/>
    <mergeCell ref="F10:J10"/>
    <mergeCell ref="A11:E11"/>
    <mergeCell ref="K44:S44"/>
    <mergeCell ref="W17:Z17"/>
    <mergeCell ref="F11:V11"/>
    <mergeCell ref="Q18:R18"/>
    <mergeCell ref="F9:AD9"/>
    <mergeCell ref="A45:AD64"/>
    <mergeCell ref="W14:Z14"/>
    <mergeCell ref="W12:Y12"/>
    <mergeCell ref="Y7:AD7"/>
    <mergeCell ref="F7:Q7"/>
    <mergeCell ref="AA14:AD14"/>
    <mergeCell ref="R7:S7"/>
    <mergeCell ref="AA17:AD17"/>
    <mergeCell ref="N10:P10"/>
    <mergeCell ref="A7:E7"/>
    <mergeCell ref="S16:V16"/>
    <mergeCell ref="F12:V12"/>
    <mergeCell ref="C17:K17"/>
    <mergeCell ref="T7:V7"/>
    <mergeCell ref="W15:Z15"/>
    <mergeCell ref="Q10:AD10"/>
    <mergeCell ref="W11:Y11"/>
    <mergeCell ref="Z12:AD12"/>
    <mergeCell ref="W7:X7"/>
    <mergeCell ref="A12:E12"/>
    <mergeCell ref="S18:V18"/>
    <mergeCell ref="F8:V8"/>
    <mergeCell ref="K10:M10"/>
    <mergeCell ref="Q15:R15"/>
    <mergeCell ref="S17:V17"/>
    <mergeCell ref="Y8:AD8"/>
    <mergeCell ref="A8:E8"/>
    <mergeCell ref="AA15:AD15"/>
    <mergeCell ref="K20:S20"/>
    <mergeCell ref="A4:AD6"/>
    <mergeCell ref="C15:K15"/>
    <mergeCell ref="W8:X8"/>
    <mergeCell ref="Q17:R17"/>
    <mergeCell ref="A21:AD42"/>
    <mergeCell ref="A10:E10"/>
    <mergeCell ref="C14:K14"/>
    <mergeCell ref="A14:B18"/>
    <mergeCell ref="W16:Z16"/>
    <mergeCell ref="AA16:AD16"/>
    <mergeCell ref="A9:E9"/>
    <mergeCell ref="S15:V15"/>
  </mergeCells>
  <pageMargins left="0.7" right="0.7" top="0.75" bottom="0.75" header="0" footer="0"/>
  <pageSetup orientation="landscape"/>
  <headerFooter>
    <oddHeader/>
    <oddFooter>&amp;R&amp;F - &amp;A</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Q1000"/>
  <sheetViews>
    <sheetView showGridLines="0" tabSelected="1" zoomScale="115" zoomScaleNormal="115" workbookViewId="0">
      <pane ySplit="7" topLeftCell="A8" activePane="bottomLeft" state="frozen"/>
      <selection pane="bottomLeft" activeCell="B14" sqref="B14"/>
    </sheetView>
  </sheetViews>
  <sheetFormatPr baseColWidth="8" defaultColWidth="14.42578125" defaultRowHeight="15" customHeight="1"/>
  <cols>
    <col hidden="1" width="7.140625" customWidth="1" style="73" min="1" max="1"/>
    <col width="5.42578125" customWidth="1" style="73" min="2" max="2"/>
    <col width="7.7109375" customWidth="1" style="73" min="3" max="6"/>
    <col width="59.85546875" customWidth="1" style="73" min="7" max="7"/>
    <col width="5.42578125" customWidth="1" style="73" min="8" max="8"/>
    <col width="7" customWidth="1" style="73" min="9" max="9"/>
    <col width="4.28515625" customWidth="1" style="73" min="10" max="10"/>
    <col width="5.42578125" customWidth="1" style="73" min="11" max="11"/>
    <col width="4.140625" customWidth="1" style="73" min="12" max="12"/>
    <col width="6" customWidth="1" style="73" min="13" max="13"/>
    <col width="5.28515625" customWidth="1" style="73" min="14" max="14"/>
    <col width="5.7109375" customWidth="1" style="73" min="15" max="15"/>
    <col width="9.5703125" customWidth="1" style="73" min="16" max="16"/>
    <col width="16.7109375" customWidth="1" style="73" min="17" max="17"/>
  </cols>
  <sheetData>
    <row r="1" hidden="1" ht="13.5" customHeight="1" s="73">
      <c r="A1" s="9" t="n"/>
      <c r="B1" s="9" t="n"/>
      <c r="C1" s="1" t="n"/>
      <c r="D1" s="9" t="n"/>
      <c r="E1" s="9" t="n"/>
      <c r="F1" s="9" t="n"/>
      <c r="G1" s="9" t="n"/>
      <c r="H1" s="9" t="n"/>
      <c r="I1" s="9" t="n"/>
      <c r="J1" s="9" t="n"/>
      <c r="K1" s="9" t="n"/>
      <c r="L1" s="9" t="n"/>
      <c r="M1" s="9" t="n"/>
      <c r="N1" s="9" t="n"/>
      <c r="O1" s="9" t="n"/>
      <c r="P1" s="9" t="n"/>
      <c r="Q1" s="9" t="n"/>
    </row>
    <row r="2" hidden="1" ht="13.5" customHeight="1" s="73">
      <c r="A2" s="9" t="n"/>
      <c r="B2" s="9" t="n"/>
      <c r="C2" s="1" t="n"/>
      <c r="D2" s="9" t="n"/>
      <c r="E2" s="9" t="n"/>
      <c r="F2" s="9" t="n"/>
      <c r="G2" s="9" t="n"/>
      <c r="H2" s="9" t="n"/>
      <c r="I2" s="9" t="n"/>
      <c r="J2" s="9" t="n"/>
      <c r="K2" s="9" t="n"/>
      <c r="L2" s="9" t="n"/>
      <c r="M2" s="9" t="n"/>
      <c r="N2" s="9" t="n"/>
      <c r="O2" s="9" t="n"/>
      <c r="P2" s="9" t="n"/>
      <c r="Q2" s="9" t="n"/>
    </row>
    <row r="3" hidden="1" ht="17.25" customHeight="1" s="73">
      <c r="A3" s="9" t="n"/>
      <c r="B3" s="9" t="n"/>
      <c r="C3" s="2" t="n"/>
      <c r="D3" s="9" t="n"/>
      <c r="E3" s="9" t="n"/>
      <c r="F3" s="9" t="n"/>
      <c r="G3" s="9" t="n"/>
      <c r="H3" s="9" t="n"/>
      <c r="I3" s="9" t="n"/>
      <c r="J3" s="9" t="n"/>
      <c r="K3" s="9" t="n"/>
      <c r="L3" s="9" t="n"/>
      <c r="M3" s="9" t="n"/>
      <c r="N3" s="9" t="n"/>
      <c r="O3" s="9" t="n"/>
      <c r="P3" s="9" t="n"/>
      <c r="Q3" s="9" t="n"/>
    </row>
    <row r="4" hidden="1" ht="12" customHeight="1" s="73">
      <c r="A4" s="1" t="n"/>
      <c r="B4" s="90" t="inlineStr">
        <is>
          <t xml:space="preserve"> Planilha de contagem de ponto de função</t>
        </is>
      </c>
    </row>
    <row r="5" ht="12" customHeight="1" s="73">
      <c r="A5" s="1" t="n"/>
    </row>
    <row r="6" ht="19.5" customHeight="1" s="73">
      <c r="A6" s="1" t="n"/>
    </row>
    <row r="7" ht="12" customHeight="1" s="73">
      <c r="A7" s="1" t="n"/>
      <c r="B7" s="93">
        <f>Contagem!A8&amp;" : "&amp;Contagem!F8</f>
        <v/>
      </c>
      <c r="C7" s="142" t="n"/>
      <c r="D7" s="142" t="n"/>
      <c r="E7" s="142" t="n"/>
      <c r="F7" s="142" t="n"/>
      <c r="G7" s="143" t="n"/>
      <c r="H7" s="93">
        <f>Contagem!A9&amp;" : "&amp;Contagem!F9</f>
        <v/>
      </c>
      <c r="I7" s="142" t="n"/>
      <c r="J7" s="142" t="n"/>
      <c r="K7" s="142" t="n"/>
      <c r="L7" s="142" t="n"/>
      <c r="M7" s="142" t="n"/>
      <c r="N7" s="142" t="n"/>
      <c r="O7" s="142" t="n"/>
      <c r="P7" s="142" t="n"/>
      <c r="Q7" s="143" t="n"/>
    </row>
    <row r="8" ht="12" customHeight="1" s="73">
      <c r="A8" s="1" t="n"/>
      <c r="B8" s="93" t="inlineStr">
        <is>
          <t>DV Número:</t>
        </is>
      </c>
      <c r="C8" s="143" t="n"/>
      <c r="D8" s="93" t="n"/>
      <c r="E8" s="143" t="n"/>
      <c r="F8" s="93" t="inlineStr">
        <is>
          <t>Versão:</t>
        </is>
      </c>
      <c r="G8" s="144">
        <f>Contagem!N10</f>
        <v/>
      </c>
      <c r="H8" s="94" t="inlineStr">
        <is>
          <t xml:space="preserve">Tipo da Contagem: </t>
        </is>
      </c>
      <c r="I8" s="94" t="n"/>
      <c r="J8" s="94" t="n"/>
      <c r="K8" s="93">
        <f>IF(ISBLANK(Contagem!L14),IF(ISBLANK(Contagem!L15),IF(ISBLANK(Contagem!L16),IF(ISBLANK(Contagem!L17),"","Aplicação (Baseline)"),"Melhoria"),"Desenvolvimento"),"Estimativa")</f>
        <v/>
      </c>
      <c r="L8" s="142" t="n"/>
      <c r="M8" s="142" t="n"/>
      <c r="N8" s="142" t="n"/>
      <c r="O8" s="142" t="n"/>
      <c r="P8" s="142" t="n"/>
      <c r="Q8" s="143" t="n"/>
    </row>
    <row r="9" ht="12" customHeight="1" s="73">
      <c r="A9" s="12" t="n"/>
      <c r="B9" s="94">
        <f>Contagem!A11&amp;" : "&amp;Contagem!F11</f>
        <v/>
      </c>
      <c r="C9" s="142" t="n"/>
      <c r="D9" s="142" t="n"/>
      <c r="E9" s="142" t="n"/>
      <c r="F9" s="142" t="n"/>
      <c r="G9" s="143" t="n"/>
      <c r="H9" s="93">
        <f>Contagem!A12&amp;" : "&amp;Contagem!F12</f>
        <v/>
      </c>
      <c r="I9" s="142" t="n"/>
      <c r="J9" s="142" t="n"/>
      <c r="K9" s="142" t="n"/>
      <c r="L9" s="142" t="n"/>
      <c r="M9" s="142" t="n"/>
      <c r="N9" s="142" t="n"/>
      <c r="O9" s="142" t="n"/>
      <c r="P9" s="142" t="n"/>
      <c r="Q9" s="143" t="n"/>
    </row>
    <row r="10" ht="12" customHeight="1" s="73">
      <c r="A10" s="12" t="n"/>
      <c r="B10" s="94">
        <f>Contagem!A7&amp;" : "&amp;Contagem!F7</f>
        <v/>
      </c>
      <c r="C10" s="142" t="n"/>
      <c r="D10" s="142" t="n"/>
      <c r="E10" s="142" t="n"/>
      <c r="F10" s="143" t="n"/>
      <c r="G10" s="93" t="n"/>
      <c r="H10" s="143" t="n"/>
      <c r="I10" s="95" t="n"/>
      <c r="J10" s="142" t="n"/>
      <c r="K10" s="142" t="n"/>
      <c r="L10" s="142" t="n"/>
      <c r="M10" s="142" t="n"/>
      <c r="N10" s="143" t="n"/>
      <c r="O10" s="95">
        <f>"PF  = "&amp;VALUE(Contagem!Y8)</f>
        <v/>
      </c>
      <c r="P10" s="143" t="n"/>
      <c r="Q10" s="44" t="n"/>
    </row>
    <row r="11" ht="12" customHeight="1" s="73">
      <c r="A11" s="13" t="n"/>
      <c r="B11" s="96" t="inlineStr">
        <is>
          <t>Id. Func</t>
        </is>
      </c>
      <c r="C11" s="96" t="inlineStr">
        <is>
          <t>Função Transacional (EE, CE, SE) ou Função de Dados (ALI, AIE)</t>
        </is>
      </c>
      <c r="D11" s="142" t="n"/>
      <c r="E11" s="142" t="n"/>
      <c r="F11" s="142" t="n"/>
      <c r="G11" s="143" t="n"/>
      <c r="H11" s="46" t="inlineStr">
        <is>
          <t>Tipo</t>
        </is>
      </c>
      <c r="I11" s="46" t="inlineStr">
        <is>
          <t>(I/A/E/T)</t>
        </is>
      </c>
      <c r="J11" s="47" t="inlineStr">
        <is>
          <t>TD</t>
        </is>
      </c>
      <c r="K11" s="47" t="inlineStr">
        <is>
          <t>AR/TR</t>
        </is>
      </c>
      <c r="L11" s="47" t="inlineStr">
        <is>
          <t>ctl</t>
        </is>
      </c>
      <c r="M11" s="47" t="inlineStr">
        <is>
          <t>C</t>
        </is>
      </c>
      <c r="N11" s="47" t="inlineStr">
        <is>
          <t>Complex.</t>
        </is>
      </c>
      <c r="O11" s="47" t="inlineStr">
        <is>
          <t>PF</t>
        </is>
      </c>
      <c r="P11" s="47" t="inlineStr">
        <is>
          <t>PF Local</t>
        </is>
      </c>
      <c r="Q11" s="47" t="inlineStr">
        <is>
          <t>Observações</t>
        </is>
      </c>
    </row>
    <row r="12" ht="13.5" customHeight="1" s="73">
      <c r="A12" s="14">
        <f>IF(D12="",IF(C12="","",1),"")</f>
        <v/>
      </c>
      <c r="B12" s="48">
        <f>CONCATENATE("F",A12)</f>
        <v/>
      </c>
      <c r="C12" s="85" t="inlineStr">
        <is>
          <t>CNAEs</t>
        </is>
      </c>
      <c r="D12" s="142" t="n"/>
      <c r="E12" s="142" t="n"/>
      <c r="F12" s="142" t="n"/>
      <c r="G12" s="143" t="n"/>
      <c r="H12" s="49" t="n"/>
      <c r="I12" s="49" t="n"/>
      <c r="J12" s="49" t="n"/>
      <c r="K12" s="49" t="n"/>
      <c r="L12" s="50">
        <f>CONCATENATE(H12,M12)</f>
        <v/>
      </c>
      <c r="M12" s="51">
        <f>IF(OR(ISBLANK(J12),ISBLANK(K12)),IF(OR(H12="ALI",H12="AIE"),"L",IF(ISBLANK(H12),"","A")),IF(H12="EE",IF(K12&gt;=3,IF(J12&gt;=5,"H","A"),IF(K12&gt;=2,IF(J12&gt;=16,"H",IF(J12&lt;=4,"L","A")),IF(J12&lt;=15,"L","A"))),IF(OR(H12="SE",H12="CE"),IF(K12&gt;=4,IF(J12&gt;=6,"H","A"),IF(K12&gt;=2,IF(J12&gt;=20,"H",IF(J12&lt;=5,"L","A")),IF(J12&lt;=19,"L","A"))),IF(OR(H12="ALI",H12="AIE"),IF(K12&gt;=6,IF(J12&gt;=20,"H","A"),IF(K12&gt;=2,IF(J12&gt;=51,"H",IF(J12&lt;=19,"L","A")),IF(J12&lt;=50,"L","A")))))))</f>
        <v/>
      </c>
      <c r="N12" s="52">
        <f>IF(M12="L","Baixa",IF(M12="A","Média",IF(M12="","","Alta")))</f>
        <v/>
      </c>
      <c r="O12" s="53">
        <f>IF(ISBLANK(H12),"",IF(H12="ALI",IF(M12="L",7,IF(M12="A",10,15)),IF(H12="AIE",IF(M12="L",5,IF(M12="A",7,10)),IF(H12="SE",IF(M12="L",4,IF(M12="A",5,7)),IF(OR(H12="EE",H12="CE"),IF(M12="L",3,IF(M12="A",4,6)))))))</f>
        <v/>
      </c>
      <c r="P12" s="54">
        <f>IF(I12="I",O12*Contagem!$W$15,IF(I12="E",O12*Contagem!$W$17,IF(I12="A",O12*Contagem!$W$16,IF(I12="T",O12*Contagem!$W$18,""))))</f>
        <v/>
      </c>
      <c r="Q12" s="55" t="n"/>
    </row>
    <row r="13" ht="12" customHeight="1" s="73">
      <c r="A13" s="14">
        <f>IF(H13="",IF(C13="",A12,A12+1),A12)</f>
        <v/>
      </c>
      <c r="B13" s="48">
        <f>IF(A13=A12,"",CONCATENATE("F",A13))</f>
        <v/>
      </c>
      <c r="C13" s="85" t="inlineStr">
        <is>
          <t>Dados - CNAE</t>
        </is>
      </c>
      <c r="D13" s="142" t="n"/>
      <c r="E13" s="142" t="n"/>
      <c r="F13" s="142" t="n"/>
      <c r="G13" s="143" t="n"/>
      <c r="H13" s="56" t="inlineStr">
        <is>
          <t>ALI</t>
        </is>
      </c>
      <c r="I13" s="57" t="inlineStr">
        <is>
          <t>I</t>
        </is>
      </c>
      <c r="J13" s="56" t="n">
        <v>15</v>
      </c>
      <c r="K13" s="56" t="n">
        <v>1</v>
      </c>
      <c r="L13" s="50">
        <f>CONCATENATE(H13,M13)</f>
        <v/>
      </c>
      <c r="M13" s="51">
        <f>IF(OR(ISBLANK(J13),ISBLANK(K13)),IF(OR(H13="ALI",H13="AIE"),"L",IF(ISBLANK(H13),"","A")),IF(H13="EE",IF(K13&gt;=3,IF(J13&gt;=5,"H","A"),IF(K13&gt;=2,IF(J13&gt;=16,"H",IF(J13&lt;=4,"L","A")),IF(J13&lt;=15,"L","A"))),IF(OR(H13="SE",H13="CE"),IF(K13&gt;=4,IF(J13&gt;=6,"H","A"),IF(K13&gt;=2,IF(J13&gt;=20,"H",IF(J13&lt;=5,"L","A")),IF(J13&lt;=19,"L","A"))),IF(OR(H13="ALI",H13="AIE"),IF(K13&gt;=6,IF(J13&gt;=20,"H","A"),IF(K13&gt;=2,IF(J13&gt;=51,"H",IF(J13&lt;=19,"L","A")),IF(J13&lt;=50,"L","A")))))))</f>
        <v/>
      </c>
      <c r="N13" s="52">
        <f>IF(M13="L","Baixa",IF(M13="A","Média",IF(M13="","","Alta")))</f>
        <v/>
      </c>
      <c r="O13" s="53">
        <f>IF(ISBLANK(H13),"",IF(H13="ALI",IF(M13="L",7,IF(M13="A",10,15)),IF(H13="AIE",IF(M13="L",5,IF(M13="A",7,10)),IF(H13="SE",IF(M13="L",4,IF(M13="A",5,7)),IF(OR(H13="EE",H13="CE"),IF(M13="L",3,IF(M13="A",4,6)))))))</f>
        <v/>
      </c>
      <c r="P13" s="54">
        <f>IF(I13="I",O13*Contagem!$W$15,IF(I13="E",O13*Contagem!$W$17,IF(I13="A",O13*Contagem!$W$16,IF(I13="T",O13*Contagem!$W$18,""))))</f>
        <v/>
      </c>
      <c r="Q13" s="55" t="inlineStr">
        <is>
          <t>Prova: Model app/Models/Cnae.php; migrations database/migrations/2026_06_10_144536_create_cnaes_table.php e 2026_08_13_120000_add_regras_risco_to_cnaes_table.php. Mantido pelos processos CNAEs - incluir, alterar, alterar situação e excluir (CnaeController), auditados via HasAuditoria. Teste: tests/Feature/Cnae/CnaeCrudTest.php::test_mudancas_sao_auditadas_com_attribute_changes. Arquivo lógico: Grupo lógico reconhecido pelo gestor: catálogo de atividades econômicas (CNAE IBGE) com hierarquia e regras de RT e multiplicador usadas na viabilidade; mantido por tela própria. TD=15 (código, denominação, código da seção, descrição da seção, código da divisão, descrição da divisão, código do grupo, descrição do grupo, código da classe, descrição da classe, situação, exige RT, exige RT se alto risco, exige fator multiplicador, exige detalhamento do multiplicador). TR=1 (CNAE). Recontagem 16/10/2026: mantida (linha 168 da contagem de 01/10/2026).</t>
        </is>
      </c>
    </row>
    <row r="14" ht="12" customHeight="1" s="73">
      <c r="A14" s="14">
        <f>IF(H14="",IF(C14="",A13,A13+1),A13)</f>
        <v/>
      </c>
      <c r="B14" s="48">
        <f>IF(A14=A13,"",CONCATENATE("F",A14))</f>
        <v/>
      </c>
      <c r="C14" s="85" t="inlineStr">
        <is>
          <t>Dados - Classificação de risco municipal</t>
        </is>
      </c>
      <c r="D14" s="142" t="n"/>
      <c r="E14" s="142" t="n"/>
      <c r="F14" s="142" t="n"/>
      <c r="G14" s="143" t="n"/>
      <c r="H14" s="56" t="inlineStr">
        <is>
          <t>ALI</t>
        </is>
      </c>
      <c r="I14" s="57" t="inlineStr">
        <is>
          <t>I</t>
        </is>
      </c>
      <c r="J14" s="56" t="n">
        <v>5</v>
      </c>
      <c r="K14" s="56" t="n">
        <v>1</v>
      </c>
      <c r="L14" s="50">
        <f>CONCATENATE(H14,M14)</f>
        <v/>
      </c>
      <c r="M14" s="51">
        <f>IF(OR(ISBLANK(J14),ISBLANK(K14)),IF(OR(H14="ALI",H14="AIE"),"L",IF(ISBLANK(H14),"","A")),IF(H14="EE",IF(K14&gt;=3,IF(J14&gt;=5,"H","A"),IF(K14&gt;=2,IF(J14&gt;=16,"H",IF(J14&lt;=4,"L","A")),IF(J14&lt;=15,"L","A"))),IF(OR(H14="SE",H14="CE"),IF(K14&gt;=4,IF(J14&gt;=6,"H","A"),IF(K14&gt;=2,IF(J14&gt;=20,"H",IF(J14&lt;=5,"L","A")),IF(J14&lt;=19,"L","A"))),IF(OR(H14="ALI",H14="AIE"),IF(K14&gt;=6,IF(J14&gt;=20,"H","A"),IF(K14&gt;=2,IF(J14&gt;=51,"H",IF(J14&lt;=19,"L","A")),IF(J14&lt;=50,"L","A")))))))</f>
        <v/>
      </c>
      <c r="N14" s="52">
        <f>IF(M14="L","Baixa",IF(M14="A","Média",IF(M14="","","Alta")))</f>
        <v/>
      </c>
      <c r="O14" s="53">
        <f>IF(ISBLANK(H14),"",IF(H14="ALI",IF(M14="L",7,IF(M14="A",10,15)),IF(H14="AIE",IF(M14="L",5,IF(M14="A",7,10)),IF(H14="SE",IF(M14="L",4,IF(M14="A",5,7)),IF(OR(H14="EE",H14="CE"),IF(M14="L",3,IF(M14="A",4,6)))))))</f>
        <v/>
      </c>
      <c r="P14" s="54">
        <f>IF(I14="I",O14*Contagem!$W$15,IF(I14="E",O14*Contagem!$W$17,IF(I14="A",O14*Contagem!$W$16,IF(I14="T",O14*Contagem!$W$18,""))))</f>
        <v/>
      </c>
      <c r="Q14" s="55" t="inlineStr">
        <is>
          <t>Prova: Model RiskClassification (HasAuditoria); migration 2026_06_14_014716_create_risk_classifications_table (chave versão de regras + CNAE). Mantida pelo gestor no cadastro de CNAEs: CnaeController@store e update gravam o grau de risco municipal da versão vigente (updateOrCreate), transações contadas na área de CNAEs (CNAEs - incluir e CNAEs - alterar, que já citam este arquivo como FTR). A carga oficial RiscoMunicipalImportService só roda pelo RiscoMunicipalSeeder (carga técnica). O comando risco:classificar (RiscoClassificarCommand) só lê e imprime a classificação no console para conferência técnica: não mantém o arquivo nem é função do usuário. Lida pelo motor de risco (RiscoClassificationService) e pelas consultas de viabilidade. Arquivo lógico: tabela legal versionada (Decreto 32.636/2020) reconhecida pelo gestor; o grau de risco decide o fluxo e não é substituível por descrição, logo não é dado de código. Teste: tests/Feature/Cnae/CnaeCrudTest.php::test_criar_cnae_grava_classificacao_de_risco_municipal_direto. TD=5 (CNAE, risco municipal, condicionantes, observação, versão de regras). TR=1 (Classificação de risco municipal). Recontagem 16/10/2026: mantida (linha 497 da contagem de 01/10/2026).</t>
        </is>
      </c>
    </row>
    <row r="15" ht="12" customHeight="1" s="73">
      <c r="A15" s="14">
        <f>IF(H15="",IF(C15="",A14,A14+1),A14)</f>
        <v/>
      </c>
      <c r="B15" s="48">
        <f>IF(A15=A14,"",CONCATENATE("F",A15))</f>
        <v/>
      </c>
      <c r="C15" s="85" t="inlineStr">
        <is>
          <t>CNAEs - consultar</t>
        </is>
      </c>
      <c r="D15" s="142" t="n"/>
      <c r="E15" s="142" t="n"/>
      <c r="F15" s="142" t="n"/>
      <c r="G15" s="143" t="n"/>
      <c r="H15" s="56" t="inlineStr">
        <is>
          <t>CE</t>
        </is>
      </c>
      <c r="I15" s="57" t="inlineStr">
        <is>
          <t>I</t>
        </is>
      </c>
      <c r="J15" s="56" t="n">
        <v>6</v>
      </c>
      <c r="K15" s="56" t="n">
        <v>1</v>
      </c>
      <c r="L15" s="50">
        <f>CONCATENATE(H15,M15)</f>
        <v/>
      </c>
      <c r="M15" s="51">
        <f>IF(OR(ISBLANK(J15),ISBLANK(K15)),IF(OR(H15="ALI",H15="AIE"),"L",IF(ISBLANK(H15),"","A")),IF(H15="EE",IF(K15&gt;=3,IF(J15&gt;=5,"H","A"),IF(K15&gt;=2,IF(J15&gt;=16,"H",IF(J15&lt;=4,"L","A")),IF(J15&lt;=15,"L","A"))),IF(OR(H15="SE",H15="CE"),IF(K15&gt;=4,IF(J15&gt;=6,"H","A"),IF(K15&gt;=2,IF(J15&gt;=20,"H",IF(J15&lt;=5,"L","A")),IF(J15&lt;=19,"L","A"))),IF(OR(H15="ALI",H15="AIE"),IF(K15&gt;=6,IF(J15&gt;=20,"H","A"),IF(K15&gt;=2,IF(J15&gt;=51,"H",IF(J15&lt;=19,"L","A")),IF(J15&lt;=50,"L","A")))))))</f>
        <v/>
      </c>
      <c r="N15" s="52">
        <f>IF(M15="L","Baixa",IF(M15="A","Média",IF(M15="","","Alta")))</f>
        <v/>
      </c>
      <c r="O15" s="53">
        <f>IF(ISBLANK(H15),"",IF(H15="ALI",IF(M15="L",7,IF(M15="A",10,15)),IF(H15="AIE",IF(M15="L",5,IF(M15="A",7,10)),IF(H15="SE",IF(M15="L",4,IF(M15="A",5,7)),IF(OR(H15="EE",H15="CE"),IF(M15="L",3,IF(M15="A",4,6)))))))</f>
        <v/>
      </c>
      <c r="P15" s="54">
        <f>IF(I15="I",O15*Contagem!$W$15,IF(I15="E",O15*Contagem!$W$17,IF(I15="A",O15*Contagem!$W$16,IF(I15="T",O15*Contagem!$W$18,""))))</f>
        <v/>
      </c>
      <c r="Q15" s="55" t="inlineStr">
        <is>
          <t>Prova: Rota GET /gestao/cnaes (permissão consultar-cnaes). Tela: gestao/cnaes/index. O gestor pesquisa por código (prefixo de dígitos) ou denominação, filtra por situação e ordena. Lê CNAE; não grava. A exportação (?formato=csv/xlsx/pdf, ReportExporter) não tem botão nesta tela (a página não usa ExportMenu; só é alcançável digitando a URL) e não é contada como função; a consulta da tela não grava Trilha de auditoria (o log só ocorre no ramo ?formato=), por isso continua sem FTR de registro. Teste: tests/Feature/Cnae/CnaeCrudTest.php::test_busca_filtra_por_codigo_ou_denominacao. Processo elementar independente: menor unidade com significado para o gestor; completa por si (informa filtro e recebe a lista); deixa o negócio consistente (nada é gravado); lógica única (busca por prefixo de dígitos ou denominação). Classificação: recuperação sem cálculo nem dado derivado, CE (§5.5.3). TD=6 (código, denominação, situação, classe, busca por código ou denominação, ação pesquisar). O filtro de situação é o mesmo campo da coluna situação e conta uma vez (DER único); ordenação e paginação não contam. AR=1 (CNAE). Recontagem 16/10/2026: alterada (linha 169 da contagem de 01/10/2026: "CNAEs - consultar", CE Baixa 3 PF, TD 7, AR 1). Motivo: TD 7→6: situação e filtro de situação eram contados como dois DER; são o mesmo campo. PF inalterado (CE Baixa).</t>
        </is>
      </c>
    </row>
    <row r="16" ht="12" customHeight="1" s="73">
      <c r="A16" s="14">
        <f>IF(H16="",IF(C16="",A15,A15+1),A15)</f>
        <v/>
      </c>
      <c r="B16" s="48">
        <f>IF(A16=A15,"",CONCATENATE("F",A16))</f>
        <v/>
      </c>
      <c r="C16" s="85" t="inlineStr">
        <is>
          <t>CNAEs - incluir</t>
        </is>
      </c>
      <c r="D16" s="142" t="n"/>
      <c r="E16" s="142" t="n"/>
      <c r="F16" s="142" t="n"/>
      <c r="G16" s="143" t="n"/>
      <c r="H16" s="56" t="inlineStr">
        <is>
          <t>EE</t>
        </is>
      </c>
      <c r="I16" s="57" t="inlineStr">
        <is>
          <t>I</t>
        </is>
      </c>
      <c r="J16" s="56" t="n">
        <v>18</v>
      </c>
      <c r="K16" s="56" t="n">
        <v>3</v>
      </c>
      <c r="L16" s="50">
        <f>CONCATENATE(H16,M16)</f>
        <v/>
      </c>
      <c r="M16" s="51">
        <f>IF(OR(ISBLANK(J16),ISBLANK(K16)),IF(OR(H16="ALI",H16="AIE"),"L",IF(ISBLANK(H16),"","A")),IF(H16="EE",IF(K16&gt;=3,IF(J16&gt;=5,"H","A"),IF(K16&gt;=2,IF(J16&gt;=16,"H",IF(J16&lt;=4,"L","A")),IF(J16&lt;=15,"L","A"))),IF(OR(H16="SE",H16="CE"),IF(K16&gt;=4,IF(J16&gt;=6,"H","A"),IF(K16&gt;=2,IF(J16&gt;=20,"H",IF(J16&lt;=5,"L","A")),IF(J16&lt;=19,"L","A"))),IF(OR(H16="ALI",H16="AIE"),IF(K16&gt;=6,IF(J16&gt;=20,"H","A"),IF(K16&gt;=2,IF(J16&gt;=51,"H",IF(J16&lt;=19,"L","A")),IF(J16&lt;=50,"L","A")))))))</f>
        <v/>
      </c>
      <c r="N16" s="52">
        <f>IF(M16="L","Baixa",IF(M16="A","Média",IF(M16="","","Alta")))</f>
        <v/>
      </c>
      <c r="O16" s="53">
        <f>IF(ISBLANK(H16),"",IF(H16="ALI",IF(M16="L",7,IF(M16="A",10,15)),IF(H16="AIE",IF(M16="L",5,IF(M16="A",7,10)),IF(H16="SE",IF(M16="L",4,IF(M16="A",5,7)),IF(OR(H16="EE",H16="CE"),IF(M16="L",3,IF(M16="A",4,6)))))))</f>
        <v/>
      </c>
      <c r="P16" s="54">
        <f>IF(I16="I",O16*Contagem!$W$15,IF(I16="E",O16*Contagem!$W$17,IF(I16="A",O16*Contagem!$W$16,IF(I16="T",O16*Contagem!$W$18,""))))</f>
        <v/>
      </c>
      <c r="Q16" s="55" t="inlineStr">
        <is>
          <t>Prova: Rota POST /gestao/cnaes (manter-cnaes). Tela: gestao/cnaes/criar. O gestor cadastra o CNAE e o grau de risco municipal. Lê versão vigente (subgrupo do arquivo versionado) vigente de risco municipal; grava CNAE, Classificação de risco municipal e Trilha de auditoria. Resultado: atividade disponível para viabilidade. Teste: tests/Feature/Cnae/CnaeCrudTest.php::test_criar_cnae_grava_classificacao_de_risco_municipal_direto. Processo elementar independente: menor unidade com significado para o gestor; completa por si (preenche a ficha e recebe confirmação); deixa o negócio consistente (CNAE e risco gravados na mesma transação); lógica única (exige versão vigente de risco municipal). TD=18 (código, denominação, código da seção, descrição da seção, código da divisão, descrição da divisão, código do grupo, descrição do grupo, código da classe, descrição da classe, situação, exige RT, exige RT se alto risco, exige fator multiplicador, exige detalhamento do multiplicador, grau de risco municipal, mensagem, ação salvar). AR=3 (CNAE, Classificação de risco municipal, Trilha de auditoria). Registros automáticos contados como FTR (premissa P4): Trilha de auditoria. Recontagem (catálogo): Versão de regras deixou de ser arquivo lógico próprio e é subgrupo de arquivo já listado no AR; AR ajustado. Recontagem 16/10/2026: alterada (linha 170 da contagem de 01/10/2026: "CNAEs - incluir", EE Alta 6 PF, TD 18, AR 4). Motivo: Catálogo: retirado Versão de regras (subgrupo de outro arquivo).</t>
        </is>
      </c>
    </row>
    <row r="17" ht="12" customHeight="1" s="73">
      <c r="A17" s="14">
        <f>IF(H17="",IF(C17="",A16,A16+1),A16)</f>
        <v/>
      </c>
      <c r="B17" s="48">
        <f>IF(A17=A16,"",CONCATENATE("F",A17))</f>
        <v/>
      </c>
      <c r="C17" s="85" t="inlineStr">
        <is>
          <t>CNAEs - alterar</t>
        </is>
      </c>
      <c r="D17" s="142" t="n"/>
      <c r="E17" s="142" t="n"/>
      <c r="F17" s="142" t="n"/>
      <c r="G17" s="143" t="n"/>
      <c r="H17" s="56" t="inlineStr">
        <is>
          <t>EE</t>
        </is>
      </c>
      <c r="I17" s="57" t="inlineStr">
        <is>
          <t>I</t>
        </is>
      </c>
      <c r="J17" s="56" t="n">
        <v>18</v>
      </c>
      <c r="K17" s="56" t="n">
        <v>4</v>
      </c>
      <c r="L17" s="50">
        <f>CONCATENATE(H17,M17)</f>
        <v/>
      </c>
      <c r="M17" s="51">
        <f>IF(OR(ISBLANK(J17),ISBLANK(K17)),IF(OR(H17="ALI",H17="AIE"),"L",IF(ISBLANK(H17),"","A")),IF(H17="EE",IF(K17&gt;=3,IF(J17&gt;=5,"H","A"),IF(K17&gt;=2,IF(J17&gt;=16,"H",IF(J17&lt;=4,"L","A")),IF(J17&lt;=15,"L","A"))),IF(OR(H17="SE",H17="CE"),IF(K17&gt;=4,IF(J17&gt;=6,"H","A"),IF(K17&gt;=2,IF(J17&gt;=20,"H",IF(J17&lt;=5,"L","A")),IF(J17&lt;=19,"L","A"))),IF(OR(H17="ALI",H17="AIE"),IF(K17&gt;=6,IF(J17&gt;=20,"H","A"),IF(K17&gt;=2,IF(J17&gt;=51,"H",IF(J17&lt;=19,"L","A")),IF(J17&lt;=50,"L","A")))))))</f>
        <v/>
      </c>
      <c r="N17" s="52">
        <f>IF(M17="L","Baixa",IF(M17="A","Média",IF(M17="","","Alta")))</f>
        <v/>
      </c>
      <c r="O17" s="53">
        <f>IF(ISBLANK(H17),"",IF(H17="ALI",IF(M17="L",7,IF(M17="A",10,15)),IF(H17="AIE",IF(M17="L",5,IF(M17="A",7,10)),IF(H17="SE",IF(M17="L",4,IF(M17="A",5,7)),IF(OR(H17="EE",H17="CE"),IF(M17="L",3,IF(M17="A",4,6)))))))</f>
        <v/>
      </c>
      <c r="P17" s="54">
        <f>IF(I17="I",O17*Contagem!$W$15,IF(I17="E",O17*Contagem!$W$17,IF(I17="A",O17*Contagem!$W$16,IF(I17="T",O17*Contagem!$W$18,""))))</f>
        <v/>
      </c>
      <c r="Q17" s="55" t="inlineStr">
        <is>
          <t>Prova: Rota PUT /gestao/cnaes/{cnae} (manter-cnaes). Tela: gestao/cnaes/editar. O gestor altera a ficha do CNAE. Lê versão vigente (subgrupo do arquivo versionado); grava CNAE e Classificação de risco municipal; ao mudar o código, atualiza o código em Atividade permitida em escritório virtual e nas tabelas de apoio carregadas por seeder, que não são arquivo lógico e não entram no AR; grava Trilha. Teste: tests/Feature/Cnae/CnaeCrudTest.php::test_edicao_atualiza_codigo_hierarquia_e_dados. Processo elementar independente: menor unidade com significado para o gestor; completa por si (edita e recebe confirmação); deixa o negócio consistente (regras acompanham a troca de código); lógica única (realocação do código nas tabelas de regras). TD=18 (código, denominação, código da seção, descrição da seção, código da divisão, descrição da divisão, código do grupo, descrição do grupo, código da classe, descrição da classe, situação, exige RT, exige RT se alto risco, exige fator multiplicador, exige detalhamento do multiplicador, grau de risco municipal, mensagem, ação salvar). AR=4 (CNAE, Classificação de risco municipal, Atividade permitida em escritório virtual, Trilha de auditoria). Registros automáticos contados como FTR (premissa P4): Trilha de auditoria. Recontagem (catálogo): Versão de regras deixou de ser arquivo lógico próprio e é subgrupo de arquivo já listado no AR; AR ajustado. Recontagem 16/10/2026: alterada (linha 171 da contagem de 01/10/2026: "CNAEs - alterar", EE Alta 6 PF, TD 18, AR 5). Motivo: Catálogo: retirado Versão de regras (subgrupo de outro arquivo).</t>
        </is>
      </c>
    </row>
    <row r="18" ht="12" customHeight="1" s="73">
      <c r="A18" s="14">
        <f>IF(H18="",IF(C18="",A17,A17+1),A17)</f>
        <v/>
      </c>
      <c r="B18" s="48">
        <f>IF(A18=A17,"",CONCATENATE("F",A18))</f>
        <v/>
      </c>
      <c r="C18" s="85" t="inlineStr">
        <is>
          <t>CNAEs - alterar situação</t>
        </is>
      </c>
      <c r="D18" s="142" t="n"/>
      <c r="E18" s="142" t="n"/>
      <c r="F18" s="142" t="n"/>
      <c r="G18" s="143" t="n"/>
      <c r="H18" s="56" t="inlineStr">
        <is>
          <t>EE</t>
        </is>
      </c>
      <c r="I18" s="57" t="inlineStr">
        <is>
          <t>I</t>
        </is>
      </c>
      <c r="J18" s="56" t="n">
        <v>3</v>
      </c>
      <c r="K18" s="56" t="n">
        <v>2</v>
      </c>
      <c r="L18" s="50">
        <f>CONCATENATE(H18,M18)</f>
        <v/>
      </c>
      <c r="M18" s="51">
        <f>IF(OR(ISBLANK(J18),ISBLANK(K18)),IF(OR(H18="ALI",H18="AIE"),"L",IF(ISBLANK(H18),"","A")),IF(H18="EE",IF(K18&gt;=3,IF(J18&gt;=5,"H","A"),IF(K18&gt;=2,IF(J18&gt;=16,"H",IF(J18&lt;=4,"L","A")),IF(J18&lt;=15,"L","A"))),IF(OR(H18="SE",H18="CE"),IF(K18&gt;=4,IF(J18&gt;=6,"H","A"),IF(K18&gt;=2,IF(J18&gt;=20,"H",IF(J18&lt;=5,"L","A")),IF(J18&lt;=19,"L","A"))),IF(OR(H18="ALI",H18="AIE"),IF(K18&gt;=6,IF(J18&gt;=20,"H","A"),IF(K18&gt;=2,IF(J18&gt;=51,"H",IF(J18&lt;=19,"L","A")),IF(J18&lt;=50,"L","A")))))))</f>
        <v/>
      </c>
      <c r="N18" s="52">
        <f>IF(M18="L","Baixa",IF(M18="A","Média",IF(M18="","","Alta")))</f>
        <v/>
      </c>
      <c r="O18" s="53">
        <f>IF(ISBLANK(H18),"",IF(H18="ALI",IF(M18="L",7,IF(M18="A",10,15)),IF(H18="AIE",IF(M18="L",5,IF(M18="A",7,10)),IF(H18="SE",IF(M18="L",4,IF(M18="A",5,7)),IF(OR(H18="EE",H18="CE"),IF(M18="L",3,IF(M18="A",4,6)))))))</f>
        <v/>
      </c>
      <c r="P18" s="54">
        <f>IF(I18="I",O18*Contagem!$W$15,IF(I18="E",O18*Contagem!$W$17,IF(I18="A",O18*Contagem!$W$16,IF(I18="T",O18*Contagem!$W$18,""))))</f>
        <v/>
      </c>
      <c r="Q18" s="55" t="inlineStr">
        <is>
          <t>Prova: Rota PUT /gestao/cnaes/{cnae}/situacao (manter-cnaes). Tela: gestao/cnaes/index. O gestor ativa ou desativa o CNAE na lista. Grava a situação do CNAE e Trilha de auditoria. Resultado: atividade deixa ou volta a ser aceita. Teste: tests/Feature/Cnae/CnaeCrudTest.php::test_toggle_de_situacao_funciona_com_payload_minimo. Processo elementar independente: menor unidade com significado para o gestor; completa por si (um clique e confirmação); deixa o negócio consistente (só a situação muda); lógica única (payload mínimo sem regras de risco, distinta do alterar). TD=3 (situação, mensagem, ação ativar/desativar). AR=2 (CNAE, Trilha de auditoria). Registros automáticos contados como FTR (premissa P4): Trilha de auditoria. Recontagem 16/10/2026: mantida (linha 172 da contagem de 01/10/2026).</t>
        </is>
      </c>
    </row>
    <row r="19" ht="12" customHeight="1" s="73">
      <c r="A19" s="14">
        <f>IF(H19="",IF(C19="",A18,A18+1),A18)</f>
        <v/>
      </c>
      <c r="B19" s="48">
        <f>IF(A19=A18,"",CONCATENATE("F",A19))</f>
        <v/>
      </c>
      <c r="C19" s="85" t="inlineStr">
        <is>
          <t>CNAEs - excluir</t>
        </is>
      </c>
      <c r="D19" s="142" t="n"/>
      <c r="E19" s="142" t="n"/>
      <c r="F19" s="142" t="n"/>
      <c r="G19" s="143" t="n"/>
      <c r="H19" s="56" t="inlineStr">
        <is>
          <t>EE</t>
        </is>
      </c>
      <c r="I19" s="57" t="inlineStr">
        <is>
          <t>I</t>
        </is>
      </c>
      <c r="J19" s="56" t="n">
        <v>3</v>
      </c>
      <c r="K19" s="56" t="n">
        <v>3</v>
      </c>
      <c r="L19" s="50">
        <f>CONCATENATE(H19,M19)</f>
        <v/>
      </c>
      <c r="M19" s="51">
        <f>IF(OR(ISBLANK(J19),ISBLANK(K19)),IF(OR(H19="ALI",H19="AIE"),"L",IF(ISBLANK(H19),"","A")),IF(H19="EE",IF(K19&gt;=3,IF(J19&gt;=5,"H","A"),IF(K19&gt;=2,IF(J19&gt;=16,"H",IF(J19&lt;=4,"L","A")),IF(J19&lt;=15,"L","A"))),IF(OR(H19="SE",H19="CE"),IF(K19&gt;=4,IF(J19&gt;=6,"H","A"),IF(K19&gt;=2,IF(J19&gt;=20,"H",IF(J19&lt;=5,"L","A")),IF(J19&lt;=19,"L","A"))),IF(OR(H19="ALI",H19="AIE"),IF(K19&gt;=6,IF(J19&gt;=20,"H","A"),IF(K19&gt;=2,IF(J19&gt;=51,"H",IF(J19&lt;=19,"L","A")),IF(J19&lt;=50,"L","A")))))))</f>
        <v/>
      </c>
      <c r="N19" s="52">
        <f>IF(M19="L","Baixa",IF(M19="A","Média",IF(M19="","","Alta")))</f>
        <v/>
      </c>
      <c r="O19" s="53">
        <f>IF(ISBLANK(H19),"",IF(H19="ALI",IF(M19="L",7,IF(M19="A",10,15)),IF(H19="AIE",IF(M19="L",5,IF(M19="A",7,10)),IF(H19="SE",IF(M19="L",4,IF(M19="A",5,7)),IF(OR(H19="EE",H19="CE"),IF(M19="L",3,IF(M19="A",4,6)))))))</f>
        <v/>
      </c>
      <c r="P19" s="54">
        <f>IF(I19="I",O19*Contagem!$W$15,IF(I19="E",O19*Contagem!$W$17,IF(I19="A",O19*Contagem!$W$16,IF(I19="T",O19*Contagem!$W$18,""))))</f>
        <v/>
      </c>
      <c r="Q19" s="55" t="inlineStr">
        <is>
          <t>Prova: Rota DELETE /gestao/cnaes/{cnae} (manter-cnaes). Tela: gestao/cnaes/index. O gestor exclui o CNAE. Lê Empresa (vínculo company_cnae) para bloquear; exclui CNAE e grava Trilha de auditoria. Resultado: CNAE sem uso removido. Teste: tests/Feature/Cnae/CnaeCrudTest.php::test_exclusao_de_cnae_vinculado_a_empresa_e_bloqueada. Processo elementar independente: menor unidade com significado para o gestor; completa por si (confirma e recebe resultado); deixa o negócio consistente (não exclui CNAE em uso); lógica única (bloqueio por vínculo com empresa). TD=3 (CNAE selecionado, mensagem, ação excluir). AR=3 (CNAE, Empresa, Trilha de auditoria). Registros automáticos contados como FTR (premissa P4): Trilha de auditoria. Recontagem 16/10/2026: mantida (linha 173 da contagem de 01/10/2026).</t>
        </is>
      </c>
    </row>
    <row r="20" ht="12" customHeight="1" s="73">
      <c r="A20" s="14">
        <f>IF(H20="",IF(C20="",A19,A19+1),A19)</f>
        <v/>
      </c>
      <c r="B20" s="48">
        <f>IF(A20=A19,"",CONCATENATE("F",A20))</f>
        <v/>
      </c>
      <c r="C20" s="85" t="n"/>
      <c r="D20" s="142" t="n"/>
      <c r="E20" s="142" t="n"/>
      <c r="F20" s="142" t="n"/>
      <c r="G20" s="143" t="n"/>
      <c r="H20" s="56" t="n"/>
      <c r="I20" s="57" t="n"/>
      <c r="J20" s="56" t="n"/>
      <c r="K20" s="56" t="n"/>
      <c r="L20" s="50">
        <f>CONCATENATE(H20,M20)</f>
        <v/>
      </c>
      <c r="M20" s="51">
        <f>IF(OR(ISBLANK(J20),ISBLANK(K20)),IF(OR(H20="ALI",H20="AIE"),"L",IF(ISBLANK(H20),"","A")),IF(H20="EE",IF(K20&gt;=3,IF(J20&gt;=5,"H","A"),IF(K20&gt;=2,IF(J20&gt;=16,"H",IF(J20&lt;=4,"L","A")),IF(J20&lt;=15,"L","A"))),IF(OR(H20="SE",H20="CE"),IF(K20&gt;=4,IF(J20&gt;=6,"H","A"),IF(K20&gt;=2,IF(J20&gt;=20,"H",IF(J20&lt;=5,"L","A")),IF(J20&lt;=19,"L","A"))),IF(OR(H20="ALI",H20="AIE"),IF(K20&gt;=6,IF(J20&gt;=20,"H","A"),IF(K20&gt;=2,IF(J20&gt;=51,"H",IF(J20&lt;=19,"L","A")),IF(J20&lt;=50,"L","A")))))))</f>
        <v/>
      </c>
      <c r="N20" s="52">
        <f>IF(M20="L","Baixa",IF(M20="A","Média",IF(M20="","","Alta")))</f>
        <v/>
      </c>
      <c r="O20" s="53">
        <f>IF(ISBLANK(H20),"",IF(H20="ALI",IF(M20="L",7,IF(M20="A",10,15)),IF(H20="AIE",IF(M20="L",5,IF(M20="A",7,10)),IF(H20="SE",IF(M20="L",4,IF(M20="A",5,7)),IF(OR(H20="EE",H20="CE"),IF(M20="L",3,IF(M20="A",4,6)))))))</f>
        <v/>
      </c>
      <c r="P20" s="54">
        <f>IF(I20="I",O20*Contagem!$W$15,IF(I20="E",O20*Contagem!$W$17,IF(I20="A",O20*Contagem!$W$16,IF(I20="T",O20*Contagem!$W$18,""))))</f>
        <v/>
      </c>
      <c r="Q20" s="55" t="n"/>
    </row>
    <row r="21" ht="12" customHeight="1" s="73">
      <c r="A21" s="14">
        <f>IF(H21="",IF(C21="",A20,A20+1),A20)</f>
        <v/>
      </c>
      <c r="B21" s="48">
        <f>IF(A21=A20,"",CONCATENATE("F",A21))</f>
        <v/>
      </c>
      <c r="C21" s="85" t="inlineStr">
        <is>
          <t>Requisitos documentais</t>
        </is>
      </c>
      <c r="D21" s="142" t="n"/>
      <c r="E21" s="142" t="n"/>
      <c r="F21" s="142" t="n"/>
      <c r="G21" s="143" t="n"/>
      <c r="H21" s="56" t="n"/>
      <c r="I21" s="57" t="n"/>
      <c r="J21" s="56" t="n"/>
      <c r="K21" s="56" t="n"/>
      <c r="L21" s="50">
        <f>CONCATENATE(H21,M21)</f>
        <v/>
      </c>
      <c r="M21" s="51">
        <f>IF(OR(ISBLANK(J21),ISBLANK(K21)),IF(OR(H21="ALI",H21="AIE"),"L",IF(ISBLANK(H21),"","A")),IF(H21="EE",IF(K21&gt;=3,IF(J21&gt;=5,"H","A"),IF(K21&gt;=2,IF(J21&gt;=16,"H",IF(J21&lt;=4,"L","A")),IF(J21&lt;=15,"L","A"))),IF(OR(H21="SE",H21="CE"),IF(K21&gt;=4,IF(J21&gt;=6,"H","A"),IF(K21&gt;=2,IF(J21&gt;=20,"H",IF(J21&lt;=5,"L","A")),IF(J21&lt;=19,"L","A"))),IF(OR(H21="ALI",H21="AIE"),IF(K21&gt;=6,IF(J21&gt;=20,"H","A"),IF(K21&gt;=2,IF(J21&gt;=51,"H",IF(J21&lt;=19,"L","A")),IF(J21&lt;=50,"L","A")))))))</f>
        <v/>
      </c>
      <c r="N21" s="52">
        <f>IF(M21="L","Baixa",IF(M21="A","Média",IF(M21="","","Alta")))</f>
        <v/>
      </c>
      <c r="O21" s="53">
        <f>IF(ISBLANK(H21),"",IF(H21="ALI",IF(M21="L",7,IF(M21="A",10,15)),IF(H21="AIE",IF(M21="L",5,IF(M21="A",7,10)),IF(H21="SE",IF(M21="L",4,IF(M21="A",5,7)),IF(OR(H21="EE",H21="CE"),IF(M21="L",3,IF(M21="A",4,6)))))))</f>
        <v/>
      </c>
      <c r="P21" s="54">
        <f>IF(I21="I",O21*Contagem!$W$15,IF(I21="E",O21*Contagem!$W$17,IF(I21="A",O21*Contagem!$W$16,IF(I21="T",O21*Contagem!$W$18,""))))</f>
        <v/>
      </c>
      <c r="Q21" s="55" t="n"/>
    </row>
    <row r="22" ht="12" customHeight="1" s="73">
      <c r="A22" s="14">
        <f>IF(H22="",IF(C22="",A21,A21+1),A21)</f>
        <v/>
      </c>
      <c r="B22" s="48">
        <f>IF(A22=A21,"",CONCATENATE("F",A22))</f>
        <v/>
      </c>
      <c r="C22" s="85" t="inlineStr">
        <is>
          <t>Dados - Requisito documental</t>
        </is>
      </c>
      <c r="D22" s="142" t="n"/>
      <c r="E22" s="142" t="n"/>
      <c r="F22" s="142" t="n"/>
      <c r="G22" s="143" t="n"/>
      <c r="H22" s="56" t="inlineStr">
        <is>
          <t>ALI</t>
        </is>
      </c>
      <c r="I22" s="57" t="inlineStr">
        <is>
          <t>I</t>
        </is>
      </c>
      <c r="J22" s="56" t="n">
        <v>7</v>
      </c>
      <c r="K22" s="56" t="n">
        <v>1</v>
      </c>
      <c r="L22" s="50">
        <f>CONCATENATE(H22,M22)</f>
        <v/>
      </c>
      <c r="M22" s="51">
        <f>IF(OR(ISBLANK(J22),ISBLANK(K22)),IF(OR(H22="ALI",H22="AIE"),"L",IF(ISBLANK(H22),"","A")),IF(H22="EE",IF(K22&gt;=3,IF(J22&gt;=5,"H","A"),IF(K22&gt;=2,IF(J22&gt;=16,"H",IF(J22&lt;=4,"L","A")),IF(J22&lt;=15,"L","A"))),IF(OR(H22="SE",H22="CE"),IF(K22&gt;=4,IF(J22&gt;=6,"H","A"),IF(K22&gt;=2,IF(J22&gt;=20,"H",IF(J22&lt;=5,"L","A")),IF(J22&lt;=19,"L","A"))),IF(OR(H22="ALI",H22="AIE"),IF(K22&gt;=6,IF(J22&gt;=20,"H","A"),IF(K22&gt;=2,IF(J22&gt;=51,"H",IF(J22&lt;=19,"L","A")),IF(J22&lt;=50,"L","A")))))))</f>
        <v/>
      </c>
      <c r="N22" s="52">
        <f>IF(M22="L","Baixa",IF(M22="A","Média",IF(M22="","","Alta")))</f>
        <v/>
      </c>
      <c r="O22" s="53">
        <f>IF(ISBLANK(H22),"",IF(H22="ALI",IF(M22="L",7,IF(M22="A",10,15)),IF(H22="AIE",IF(M22="L",5,IF(M22="A",7,10)),IF(H22="SE",IF(M22="L",4,IF(M22="A",5,7)),IF(OR(H22="EE",H22="CE"),IF(M22="L",3,IF(M22="A",4,6)))))))</f>
        <v/>
      </c>
      <c r="P22" s="54">
        <f>IF(I22="I",O22*Contagem!$W$15,IF(I22="E",O22*Contagem!$W$17,IF(I22="A",O22*Contagem!$W$16,IF(I22="T",O22*Contagem!$W$18,""))))</f>
        <v/>
      </c>
      <c r="Q22" s="55" t="inlineStr">
        <is>
          <t>Prova: Model app/Models/DocumentRequirement.php; migrations database/migrations/2026_06_14_104827_create_document_requirements_table.php e 2026_06_14_104828_create_cnae_document_requirement_table.php (vínculo N:N com CNAE, sem atributos próprios). Mantido por DocumentRequirementController (store, update, toggle, syncCnaes). Teste: tests/Feature/Solicitacao/DocumentRequirementCrudTest.php::test_cria_requisito_e_audita. Arquivo lógico: Grupo lógico reconhecido pelo gestor: o catálogo de documentos exigidos na solicitação e a obrigatoriedade por CNAE, mantido por tela e consumido pela validação documental. TD=7 (código, nome, descrição, obrigatório, situação (ativo), instruções de validação, CNAEs vinculados). TR=1 (Requisito documental). Recontagem 16/10/2026: mantida (linha 128 da contagem de 01/10/2026).</t>
        </is>
      </c>
    </row>
    <row r="23" ht="12" customHeight="1" s="73">
      <c r="A23" s="14">
        <f>IF(H23="",IF(C23="",A22,A22+1),A22)</f>
        <v/>
      </c>
      <c r="B23" s="48">
        <f>IF(A23=A22,"",CONCATENATE("F",A23))</f>
        <v/>
      </c>
      <c r="C23" s="85" t="inlineStr">
        <is>
          <t>Requisitos documentais - consultar</t>
        </is>
      </c>
      <c r="D23" s="142" t="n"/>
      <c r="E23" s="142" t="n"/>
      <c r="F23" s="142" t="n"/>
      <c r="G23" s="143" t="n"/>
      <c r="H23" s="56" t="inlineStr">
        <is>
          <t>CE</t>
        </is>
      </c>
      <c r="I23" s="57" t="inlineStr">
        <is>
          <t>I</t>
        </is>
      </c>
      <c r="J23" s="56" t="n">
        <v>10</v>
      </c>
      <c r="K23" s="56" t="n">
        <v>2</v>
      </c>
      <c r="L23" s="50">
        <f>CONCATENATE(H23,M23)</f>
        <v/>
      </c>
      <c r="M23" s="51">
        <f>IF(OR(ISBLANK(J23),ISBLANK(K23)),IF(OR(H23="ALI",H23="AIE"),"L",IF(ISBLANK(H23),"","A")),IF(H23="EE",IF(K23&gt;=3,IF(J23&gt;=5,"H","A"),IF(K23&gt;=2,IF(J23&gt;=16,"H",IF(J23&lt;=4,"L","A")),IF(J23&lt;=15,"L","A"))),IF(OR(H23="SE",H23="CE"),IF(K23&gt;=4,IF(J23&gt;=6,"H","A"),IF(K23&gt;=2,IF(J23&gt;=20,"H",IF(J23&lt;=5,"L","A")),IF(J23&lt;=19,"L","A"))),IF(OR(H23="ALI",H23="AIE"),IF(K23&gt;=6,IF(J23&gt;=20,"H","A"),IF(K23&gt;=2,IF(J23&gt;=51,"H",IF(J23&lt;=19,"L","A")),IF(J23&lt;=50,"L","A")))))))</f>
        <v/>
      </c>
      <c r="N23" s="52">
        <f>IF(M23="L","Baixa",IF(M23="A","Média",IF(M23="","","Alta")))</f>
        <v/>
      </c>
      <c r="O23" s="53">
        <f>IF(ISBLANK(H23),"",IF(H23="ALI",IF(M23="L",7,IF(M23="A",10,15)),IF(H23="AIE",IF(M23="L",5,IF(M23="A",7,10)),IF(H23="SE",IF(M23="L",4,IF(M23="A",5,7)),IF(OR(H23="EE",H23="CE"),IF(M23="L",3,IF(M23="A",4,6)))))))</f>
        <v/>
      </c>
      <c r="P23" s="54">
        <f>IF(I23="I",O23*Contagem!$W$15,IF(I23="E",O23*Contagem!$W$17,IF(I23="A",O23*Contagem!$W$16,IF(I23="T",O23*Contagem!$W$18,""))))</f>
        <v/>
      </c>
      <c r="Q23" s="55" t="inlineStr">
        <is>
          <t>Prova: Rota GET /gestao/requisitos-documentais (permissão manter-requisitos-documentais). Tela: gestao/requisitos-documentais/index. O gestor busca e filtra por situação. Lê Requisito documental e CNAE; não grava. Resultado: lista paginada dos requisitos com CNAEs vinculados. Teste: tests/Feature/Solicitacao/DocumentRequirementCrudTest.php::test_administrador_lista_requisitos. Processo elementar independente: menor unidade com significado para o gestor; completa por si (filtro até a lista exibida); deixa o negócio consistente (nada muda); lógica única (recuperação de requisitos com CNAEs vinculados, sem cálculo). TD=10 (código, nome, descrição, obrigatório, situação, instruções de validação, código do CNAE vinculado, descrição do CNAE vinculado, busca por código/nome, ação de consultar). AR=2 (Requisito documental, CNAE). Recontagem 16/10/2026: mantida (linha 129 da contagem de 01/10/2026).</t>
        </is>
      </c>
    </row>
    <row r="24" ht="12" customHeight="1" s="73">
      <c r="A24" s="14">
        <f>IF(H24="",IF(C24="",A23,A23+1),A23)</f>
        <v/>
      </c>
      <c r="B24" s="48">
        <f>IF(A24=A23,"",CONCATENATE("F",A24))</f>
        <v/>
      </c>
      <c r="C24" s="85" t="inlineStr">
        <is>
          <t>Requisitos documentais - incluir</t>
        </is>
      </c>
      <c r="D24" s="142" t="n"/>
      <c r="E24" s="142" t="n"/>
      <c r="F24" s="142" t="n"/>
      <c r="G24" s="143" t="n"/>
      <c r="H24" s="56" t="inlineStr">
        <is>
          <t>EE</t>
        </is>
      </c>
      <c r="I24" s="57" t="inlineStr">
        <is>
          <t>I</t>
        </is>
      </c>
      <c r="J24" s="56" t="n">
        <v>7</v>
      </c>
      <c r="K24" s="56" t="n">
        <v>2</v>
      </c>
      <c r="L24" s="50">
        <f>CONCATENATE(H24,M24)</f>
        <v/>
      </c>
      <c r="M24" s="51">
        <f>IF(OR(ISBLANK(J24),ISBLANK(K24)),IF(OR(H24="ALI",H24="AIE"),"L",IF(ISBLANK(H24),"","A")),IF(H24="EE",IF(K24&gt;=3,IF(J24&gt;=5,"H","A"),IF(K24&gt;=2,IF(J24&gt;=16,"H",IF(J24&lt;=4,"L","A")),IF(J24&lt;=15,"L","A"))),IF(OR(H24="SE",H24="CE"),IF(K24&gt;=4,IF(J24&gt;=6,"H","A"),IF(K24&gt;=2,IF(J24&gt;=20,"H",IF(J24&lt;=5,"L","A")),IF(J24&lt;=19,"L","A"))),IF(OR(H24="ALI",H24="AIE"),IF(K24&gt;=6,IF(J24&gt;=20,"H","A"),IF(K24&gt;=2,IF(J24&gt;=51,"H",IF(J24&lt;=19,"L","A")),IF(J24&lt;=50,"L","A")))))))</f>
        <v/>
      </c>
      <c r="N24" s="52">
        <f>IF(M24="L","Baixa",IF(M24="A","Média",IF(M24="","","Alta")))</f>
        <v/>
      </c>
      <c r="O24" s="53">
        <f>IF(ISBLANK(H24),"",IF(H24="ALI",IF(M24="L",7,IF(M24="A",10,15)),IF(H24="AIE",IF(M24="L",5,IF(M24="A",7,10)),IF(H24="SE",IF(M24="L",4,IF(M24="A",5,7)),IF(OR(H24="EE",H24="CE"),IF(M24="L",3,IF(M24="A",4,6)))))))</f>
        <v/>
      </c>
      <c r="P24" s="54">
        <f>IF(I24="I",O24*Contagem!$W$15,IF(I24="E",O24*Contagem!$W$17,IF(I24="A",O24*Contagem!$W$16,IF(I24="T",O24*Contagem!$W$18,""))))</f>
        <v/>
      </c>
      <c r="Q24" s="55" t="inlineStr">
        <is>
          <t>Prova: Rota POST /gestao/requisitos-documentais (permissão manter-requisitos-documentais). Tela: gestao/requisitos-documentais/index. O gestor informa o requisito; StoreDocumentRequirementRequest valida código único. Grava Requisito documental (ativo) e Trilha de auditoria (HasAuditoria). Resultado: novo documento passa a poder ser exigido. Teste: tests/Feature/Solicitacao/DocumentRequirementCrudTest.php::test_cria_requisito_e_audita. Processo elementar independente: menor unidade com significado para o gestor; completa por si (formulário até o requisito gravado); deixa o negócio consistente (requisito ativo e auditado); lógica única (inclusão com código único). TD=7 (código, nome, descrição, obrigatório, instruções de validação, mensagem de sucesso/erro, ação de salvar). AR=2 (Requisito documental, Trilha de auditoria). Registros automáticos contados como FTR (premissa P4): Trilha de auditoria. Recontagem 16/10/2026: mantida (linha 130 da contagem de 01/10/2026).</t>
        </is>
      </c>
    </row>
    <row r="25" ht="12" customHeight="1" s="73">
      <c r="A25" s="14">
        <f>IF(H25="",IF(C25="",A24,A24+1),A24)</f>
        <v/>
      </c>
      <c r="B25" s="48">
        <f>IF(A25=A24,"",CONCATENATE("F",A25))</f>
        <v/>
      </c>
      <c r="C25" s="85" t="inlineStr">
        <is>
          <t>Requisitos documentais - alterar</t>
        </is>
      </c>
      <c r="D25" s="142" t="n"/>
      <c r="E25" s="142" t="n"/>
      <c r="F25" s="142" t="n"/>
      <c r="G25" s="143" t="n"/>
      <c r="H25" s="56" t="inlineStr">
        <is>
          <t>EE</t>
        </is>
      </c>
      <c r="I25" s="57" t="inlineStr">
        <is>
          <t>I</t>
        </is>
      </c>
      <c r="J25" s="56" t="n">
        <v>7</v>
      </c>
      <c r="K25" s="56" t="n">
        <v>2</v>
      </c>
      <c r="L25" s="50">
        <f>CONCATENATE(H25,M25)</f>
        <v/>
      </c>
      <c r="M25" s="51">
        <f>IF(OR(ISBLANK(J25),ISBLANK(K25)),IF(OR(H25="ALI",H25="AIE"),"L",IF(ISBLANK(H25),"","A")),IF(H25="EE",IF(K25&gt;=3,IF(J25&gt;=5,"H","A"),IF(K25&gt;=2,IF(J25&gt;=16,"H",IF(J25&lt;=4,"L","A")),IF(J25&lt;=15,"L","A"))),IF(OR(H25="SE",H25="CE"),IF(K25&gt;=4,IF(J25&gt;=6,"H","A"),IF(K25&gt;=2,IF(J25&gt;=20,"H",IF(J25&lt;=5,"L","A")),IF(J25&lt;=19,"L","A"))),IF(OR(H25="ALI",H25="AIE"),IF(K25&gt;=6,IF(J25&gt;=20,"H","A"),IF(K25&gt;=2,IF(J25&gt;=51,"H",IF(J25&lt;=19,"L","A")),IF(J25&lt;=50,"L","A")))))))</f>
        <v/>
      </c>
      <c r="N25" s="52">
        <f>IF(M25="L","Baixa",IF(M25="A","Média",IF(M25="","","Alta")))</f>
        <v/>
      </c>
      <c r="O25" s="53">
        <f>IF(ISBLANK(H25),"",IF(H25="ALI",IF(M25="L",7,IF(M25="A",10,15)),IF(H25="AIE",IF(M25="L",5,IF(M25="A",7,10)),IF(H25="SE",IF(M25="L",4,IF(M25="A",5,7)),IF(OR(H25="EE",H25="CE"),IF(M25="L",3,IF(M25="A",4,6)))))))</f>
        <v/>
      </c>
      <c r="P25" s="54">
        <f>IF(I25="I",O25*Contagem!$W$15,IF(I25="E",O25*Contagem!$W$17,IF(I25="A",O25*Contagem!$W$16,IF(I25="T",O25*Contagem!$W$18,""))))</f>
        <v/>
      </c>
      <c r="Q25" s="55" t="inlineStr">
        <is>
          <t>Prova: Rota PUT /gestao/requisitos-documentais/{requirement} (permissão manter-requisitos-documentais). Tela: gestao/requisitos-documentais/index. O gestor edita nome, descrição, obrigatoriedade e instruções; o código fica imutável. Grava Requisito documental e Trilha de auditoria. Resultado: nova regra documental vale para as próximas solicitações. Teste: tests/Feature/Solicitacao/DocumentRequirementCrudTest.php::test_code_unico_e_imutavel_na_edicao. Processo elementar independente: menor unidade com significado para o gestor; completa por si (edição até a gravação); deixa o negócio consistente (requisito alterado e auditado); lógica única (alteração sem mudar o código). TD=7 (código (identificação, imutável), nome, descrição, obrigatório, instruções de validação, mensagem de sucesso/erro, ação de salvar). AR=2 (Requisito documental, Trilha de auditoria). Registros automáticos contados como FTR (premissa P4): Trilha de auditoria. Recontagem 16/10/2026: mantida (linha 131 da contagem de 01/10/2026).</t>
        </is>
      </c>
    </row>
    <row r="26" ht="12" customHeight="1" s="73">
      <c r="A26" s="14">
        <f>IF(H26="",IF(C26="",A25,A25+1),A25)</f>
        <v/>
      </c>
      <c r="B26" s="48">
        <f>IF(A26=A25,"",CONCATENATE("F",A26))</f>
        <v/>
      </c>
      <c r="C26" s="85" t="inlineStr">
        <is>
          <t>Requisitos documentais - ativar ou inativar</t>
        </is>
      </c>
      <c r="D26" s="142" t="n"/>
      <c r="E26" s="142" t="n"/>
      <c r="F26" s="142" t="n"/>
      <c r="G26" s="143" t="n"/>
      <c r="H26" s="56" t="inlineStr">
        <is>
          <t>EE</t>
        </is>
      </c>
      <c r="I26" s="57" t="inlineStr">
        <is>
          <t>I</t>
        </is>
      </c>
      <c r="J26" s="56" t="n">
        <v>4</v>
      </c>
      <c r="K26" s="56" t="n">
        <v>2</v>
      </c>
      <c r="L26" s="50">
        <f>CONCATENATE(H26,M26)</f>
        <v/>
      </c>
      <c r="M26" s="51">
        <f>IF(OR(ISBLANK(J26),ISBLANK(K26)),IF(OR(H26="ALI",H26="AIE"),"L",IF(ISBLANK(H26),"","A")),IF(H26="EE",IF(K26&gt;=3,IF(J26&gt;=5,"H","A"),IF(K26&gt;=2,IF(J26&gt;=16,"H",IF(J26&lt;=4,"L","A")),IF(J26&lt;=15,"L","A"))),IF(OR(H26="SE",H26="CE"),IF(K26&gt;=4,IF(J26&gt;=6,"H","A"),IF(K26&gt;=2,IF(J26&gt;=20,"H",IF(J26&lt;=5,"L","A")),IF(J26&lt;=19,"L","A"))),IF(OR(H26="ALI",H26="AIE"),IF(K26&gt;=6,IF(J26&gt;=20,"H","A"),IF(K26&gt;=2,IF(J26&gt;=51,"H",IF(J26&lt;=19,"L","A")),IF(J26&lt;=50,"L","A")))))))</f>
        <v/>
      </c>
      <c r="N26" s="52">
        <f>IF(M26="L","Baixa",IF(M26="A","Média",IF(M26="","","Alta")))</f>
        <v/>
      </c>
      <c r="O26" s="53">
        <f>IF(ISBLANK(H26),"",IF(H26="ALI",IF(M26="L",7,IF(M26="A",10,15)),IF(H26="AIE",IF(M26="L",5,IF(M26="A",7,10)),IF(H26="SE",IF(M26="L",4,IF(M26="A",5,7)),IF(OR(H26="EE",H26="CE"),IF(M26="L",3,IF(M26="A",4,6)))))))</f>
        <v/>
      </c>
      <c r="P26" s="54">
        <f>IF(I26="I",O26*Contagem!$W$15,IF(I26="E",O26*Contagem!$W$17,IF(I26="A",O26*Contagem!$W$16,IF(I26="T",O26*Contagem!$W$18,""))))</f>
        <v/>
      </c>
      <c r="Q26" s="55" t="inlineStr">
        <is>
          <t>Prova: Rota PUT /gestao/requisitos-documentais/{requirement}/toggle (permissão manter-requisitos-documentais). Tela: gestao/requisitos-documentais/index. O gestor ativa ou inativa sem excluir. Grava Requisito documental e Trilha de auditoria. Resultado: requisito deixa de ser exigido ou volta a ser. Teste: tests/Feature/Solicitacao/DocumentRequirementCrudTest.php::test_desativar_preserva_o_registro. Processo elementar independente: menor unidade com significado para o gestor; completa por si (clique até a nova situação); deixa o negócio consistente (registro preservado, situação trocada); lógica única (alternância de situação, distinta da edição). TD=4 (código do requisito, situação, mensagem de sucesso, ação de ativar/inativar). AR=2 (Requisito documental, Trilha de auditoria). Registros automáticos contados como FTR (premissa P4): Trilha de auditoria. Recontagem 16/10/2026: mantida (linha 132 da contagem de 01/10/2026).</t>
        </is>
      </c>
    </row>
    <row r="27" ht="12" customHeight="1" s="73">
      <c r="A27" s="14">
        <f>IF(H27="",IF(C27="",A26,A26+1),A26)</f>
        <v/>
      </c>
      <c r="B27" s="48">
        <f>IF(A27=A26,"",CONCATENATE("F",A27))</f>
        <v/>
      </c>
      <c r="C27" s="85" t="inlineStr">
        <is>
          <t>Requisitos documentais - vincular CNAEs</t>
        </is>
      </c>
      <c r="D27" s="142" t="n"/>
      <c r="E27" s="142" t="n"/>
      <c r="F27" s="142" t="n"/>
      <c r="G27" s="143" t="n"/>
      <c r="H27" s="56" t="inlineStr">
        <is>
          <t>EE</t>
        </is>
      </c>
      <c r="I27" s="57" t="inlineStr">
        <is>
          <t>I</t>
        </is>
      </c>
      <c r="J27" s="56" t="n">
        <v>4</v>
      </c>
      <c r="K27" s="56" t="n">
        <v>3</v>
      </c>
      <c r="L27" s="50">
        <f>CONCATENATE(H27,M27)</f>
        <v/>
      </c>
      <c r="M27" s="51">
        <f>IF(OR(ISBLANK(J27),ISBLANK(K27)),IF(OR(H27="ALI",H27="AIE"),"L",IF(ISBLANK(H27),"","A")),IF(H27="EE",IF(K27&gt;=3,IF(J27&gt;=5,"H","A"),IF(K27&gt;=2,IF(J27&gt;=16,"H",IF(J27&lt;=4,"L","A")),IF(J27&lt;=15,"L","A"))),IF(OR(H27="SE",H27="CE"),IF(K27&gt;=4,IF(J27&gt;=6,"H","A"),IF(K27&gt;=2,IF(J27&gt;=20,"H",IF(J27&lt;=5,"L","A")),IF(J27&lt;=19,"L","A"))),IF(OR(H27="ALI",H27="AIE"),IF(K27&gt;=6,IF(J27&gt;=20,"H","A"),IF(K27&gt;=2,IF(J27&gt;=51,"H",IF(J27&lt;=19,"L","A")),IF(J27&lt;=50,"L","A")))))))</f>
        <v/>
      </c>
      <c r="N27" s="52">
        <f>IF(M27="L","Baixa",IF(M27="A","Média",IF(M27="","","Alta")))</f>
        <v/>
      </c>
      <c r="O27" s="53">
        <f>IF(ISBLANK(H27),"",IF(H27="ALI",IF(M27="L",7,IF(M27="A",10,15)),IF(H27="AIE",IF(M27="L",5,IF(M27="A",7,10)),IF(H27="SE",IF(M27="L",4,IF(M27="A",5,7)),IF(OR(H27="EE",H27="CE"),IF(M27="L",3,IF(M27="A",4,6)))))))</f>
        <v/>
      </c>
      <c r="P27" s="54">
        <f>IF(I27="I",O27*Contagem!$W$15,IF(I27="E",O27*Contagem!$W$17,IF(I27="A",O27*Contagem!$W$16,IF(I27="T",O27*Contagem!$W$18,""))))</f>
        <v/>
      </c>
      <c r="Q27" s="55" t="inlineStr">
        <is>
          <t>Prova: Rota PUT /gestao/requisitos-documentais/{requirement}/cnaes (permissão manter-requisitos-documentais). Tela: gestao/requisitos-documentais/index. O gestor marca os CNAEs; só CNAE ativo é aceito. Lê CNAE; grava o vínculo do Requisito documental (sync exato) e Trilha de auditoria com antes/depois. Resultado: muda a obrigatoriedade por atividade. Teste: tests/Feature/Solicitacao/DocumentRequirementCrudTest.php::test_vincula_cnaes_por_sync_exato_e_audita. Processo elementar independente: menor unidade com significado para o gestor; completa por si (seleção até o vínculo gravado); deixa o negócio consistente (conjunto exato de CNAEs auditado); lógica única (sincronização N:N com validação de CNAE ativo). TD=4 (código do requisito, CNAEs marcados, mensagem de sucesso/erro, ação de salvar vínculo). AR=3 (Requisito documental, CNAE, Trilha de auditoria). Registros automáticos contados como FTR (premissa P4): Trilha de auditoria. Recontagem 16/10/2026: mantida (linha 133 da contagem de 01/10/2026).</t>
        </is>
      </c>
    </row>
    <row r="28" ht="12" customHeight="1" s="73">
      <c r="A28" s="14">
        <f>IF(H28="",IF(C28="",A27,A27+1),A27)</f>
        <v/>
      </c>
      <c r="B28" s="48">
        <f>IF(A28=A27,"",CONCATENATE("F",A28))</f>
        <v/>
      </c>
      <c r="C28" s="85" t="n"/>
      <c r="D28" s="142" t="n"/>
      <c r="E28" s="142" t="n"/>
      <c r="F28" s="142" t="n"/>
      <c r="G28" s="143" t="n"/>
      <c r="H28" s="56" t="n"/>
      <c r="I28" s="57" t="n"/>
      <c r="J28" s="56" t="n"/>
      <c r="K28" s="56" t="n"/>
      <c r="L28" s="50">
        <f>CONCATENATE(H28,M28)</f>
        <v/>
      </c>
      <c r="M28" s="51">
        <f>IF(OR(ISBLANK(J28),ISBLANK(K28)),IF(OR(H28="ALI",H28="AIE"),"L",IF(ISBLANK(H28),"","A")),IF(H28="EE",IF(K28&gt;=3,IF(J28&gt;=5,"H","A"),IF(K28&gt;=2,IF(J28&gt;=16,"H",IF(J28&lt;=4,"L","A")),IF(J28&lt;=15,"L","A"))),IF(OR(H28="SE",H28="CE"),IF(K28&gt;=4,IF(J28&gt;=6,"H","A"),IF(K28&gt;=2,IF(J28&gt;=20,"H",IF(J28&lt;=5,"L","A")),IF(J28&lt;=19,"L","A"))),IF(OR(H28="ALI",H28="AIE"),IF(K28&gt;=6,IF(J28&gt;=20,"H","A"),IF(K28&gt;=2,IF(J28&gt;=51,"H",IF(J28&lt;=19,"L","A")),IF(J28&lt;=50,"L","A")))))))</f>
        <v/>
      </c>
      <c r="N28" s="52">
        <f>IF(M28="L","Baixa",IF(M28="A","Média",IF(M28="","","Alta")))</f>
        <v/>
      </c>
      <c r="O28" s="53">
        <f>IF(ISBLANK(H28),"",IF(H28="ALI",IF(M28="L",7,IF(M28="A",10,15)),IF(H28="AIE",IF(M28="L",5,IF(M28="A",7,10)),IF(H28="SE",IF(M28="L",4,IF(M28="A",5,7)),IF(OR(H28="EE",H28="CE"),IF(M28="L",3,IF(M28="A",4,6)))))))</f>
        <v/>
      </c>
      <c r="P28" s="54">
        <f>IF(I28="I",O28*Contagem!$W$15,IF(I28="E",O28*Contagem!$W$17,IF(I28="A",O28*Contagem!$W$16,IF(I28="T",O28*Contagem!$W$18,""))))</f>
        <v/>
      </c>
      <c r="Q28" s="55" t="n"/>
    </row>
    <row r="29" ht="12" customHeight="1" s="73">
      <c r="A29" s="14">
        <f>IF(H29="",IF(C29="",A28,A28+1),A28)</f>
        <v/>
      </c>
      <c r="B29" s="48">
        <f>IF(A29=A28,"",CONCATENATE("F",A29))</f>
        <v/>
      </c>
      <c r="C29" s="85" t="inlineStr">
        <is>
          <t>Setores</t>
        </is>
      </c>
      <c r="D29" s="142" t="n"/>
      <c r="E29" s="142" t="n"/>
      <c r="F29" s="142" t="n"/>
      <c r="G29" s="143" t="n"/>
      <c r="H29" s="56" t="n"/>
      <c r="I29" s="57" t="n"/>
      <c r="J29" s="56" t="n"/>
      <c r="K29" s="56" t="n"/>
      <c r="L29" s="50">
        <f>CONCATENATE(H29,M29)</f>
        <v/>
      </c>
      <c r="M29" s="51">
        <f>IF(OR(ISBLANK(J29),ISBLANK(K29)),IF(OR(H29="ALI",H29="AIE"),"L",IF(ISBLANK(H29),"","A")),IF(H29="EE",IF(K29&gt;=3,IF(J29&gt;=5,"H","A"),IF(K29&gt;=2,IF(J29&gt;=16,"H",IF(J29&lt;=4,"L","A")),IF(J29&lt;=15,"L","A"))),IF(OR(H29="SE",H29="CE"),IF(K29&gt;=4,IF(J29&gt;=6,"H","A"),IF(K29&gt;=2,IF(J29&gt;=20,"H",IF(J29&lt;=5,"L","A")),IF(J29&lt;=19,"L","A"))),IF(OR(H29="ALI",H29="AIE"),IF(K29&gt;=6,IF(J29&gt;=20,"H","A"),IF(K29&gt;=2,IF(J29&gt;=51,"H",IF(J29&lt;=19,"L","A")),IF(J29&lt;=50,"L","A")))))))</f>
        <v/>
      </c>
      <c r="N29" s="52">
        <f>IF(M29="L","Baixa",IF(M29="A","Média",IF(M29="","","Alta")))</f>
        <v/>
      </c>
      <c r="O29" s="53">
        <f>IF(ISBLANK(H29),"",IF(H29="ALI",IF(M29="L",7,IF(M29="A",10,15)),IF(H29="AIE",IF(M29="L",5,IF(M29="A",7,10)),IF(H29="SE",IF(M29="L",4,IF(M29="A",5,7)),IF(OR(H29="EE",H29="CE"),IF(M29="L",3,IF(M29="A",4,6)))))))</f>
        <v/>
      </c>
      <c r="P29" s="54">
        <f>IF(I29="I",O29*Contagem!$W$15,IF(I29="E",O29*Contagem!$W$17,IF(I29="A",O29*Contagem!$W$16,IF(I29="T",O29*Contagem!$W$18,""))))</f>
        <v/>
      </c>
      <c r="Q29" s="55" t="n"/>
    </row>
    <row r="30" ht="12" customHeight="1" s="73">
      <c r="A30" s="14">
        <f>IF(H30="",IF(C30="",A29,A29+1),A29)</f>
        <v/>
      </c>
      <c r="B30" s="48">
        <f>IF(A30=A29,"",CONCATENATE("F",A30))</f>
        <v/>
      </c>
      <c r="C30" s="85" t="inlineStr">
        <is>
          <t>Dados - Setor</t>
        </is>
      </c>
      <c r="D30" s="142" t="n"/>
      <c r="E30" s="142" t="n"/>
      <c r="F30" s="142" t="n"/>
      <c r="G30" s="143" t="n"/>
      <c r="H30" s="56" t="inlineStr">
        <is>
          <t>ALI</t>
        </is>
      </c>
      <c r="I30" s="57" t="inlineStr">
        <is>
          <t>I</t>
        </is>
      </c>
      <c r="J30" s="56" t="n">
        <v>4</v>
      </c>
      <c r="K30" s="56" t="n">
        <v>1</v>
      </c>
      <c r="L30" s="50">
        <f>CONCATENATE(H30,M30)</f>
        <v/>
      </c>
      <c r="M30" s="51">
        <f>IF(OR(ISBLANK(J30),ISBLANK(K30)),IF(OR(H30="ALI",H30="AIE"),"L",IF(ISBLANK(H30),"","A")),IF(H30="EE",IF(K30&gt;=3,IF(J30&gt;=5,"H","A"),IF(K30&gt;=2,IF(J30&gt;=16,"H",IF(J30&lt;=4,"L","A")),IF(J30&lt;=15,"L","A"))),IF(OR(H30="SE",H30="CE"),IF(K30&gt;=4,IF(J30&gt;=6,"H","A"),IF(K30&gt;=2,IF(J30&gt;=20,"H",IF(J30&lt;=5,"L","A")),IF(J30&lt;=19,"L","A"))),IF(OR(H30="ALI",H30="AIE"),IF(K30&gt;=6,IF(J30&gt;=20,"H","A"),IF(K30&gt;=2,IF(J30&gt;=51,"H",IF(J30&lt;=19,"L","A")),IF(J30&lt;=50,"L","A")))))))</f>
        <v/>
      </c>
      <c r="N30" s="52">
        <f>IF(M30="L","Baixa",IF(M30="A","Média",IF(M30="","","Alta")))</f>
        <v/>
      </c>
      <c r="O30" s="53">
        <f>IF(ISBLANK(H30),"",IF(H30="ALI",IF(M30="L",7,IF(M30="A",10,15)),IF(H30="AIE",IF(M30="L",5,IF(M30="A",7,10)),IF(H30="SE",IF(M30="L",4,IF(M30="A",5,7)),IF(OR(H30="EE",H30="CE"),IF(M30="L",3,IF(M30="A",4,6)))))))</f>
        <v/>
      </c>
      <c r="P30" s="54">
        <f>IF(I30="I",O30*Contagem!$W$15,IF(I30="E",O30*Contagem!$W$17,IF(I30="A",O30*Contagem!$W$16,IF(I30="T",O30*Contagem!$W$18,""))))</f>
        <v/>
      </c>
      <c r="Q30" s="55" t="inlineStr">
        <is>
          <t>Prova: Model app/Models/Sector.php; migrations database/migrations/2026_06_14_215040_create_sectors_table.php, 2026_06_14_215041_create_sector_user_table.php e 2026_09_24_222200_add_sector_code_and_user_sector_assignments.php (coluna code = CEIN_NUMERO institucional). Mantido por Setores - incluir, alterar, ativar ou inativar e vincular analistas (SectorController) e pela sincronização da lotação no login AD (UserSectorAssignmentSync). Teste: tests/Feature/Analise/SectorCrudTest.php::test_vincula_e_desvincula_analistas_auditado. Arquivo lógico: o setor é a caixa de análise da distribuição, com analistas vinculados (N:N) e processos distribuídos a ele; a situação decide se recebe novas distribuições. Não é dado de código (Parte 1 §5.4.2 d; Parte 3 Cap. 1): além de código e nome, mantém relacionamento de negócio com analistas e processos, que não se substitui pela descrição. O vínculo sector_user só tem chaves e entra como DER (analista vinculado), não como TR. TD=4 (código institucional (CEIN), nome, situação, analista vinculado). TR=1 (Setor). Recontagem 16/10/2026: alterada (linha 176 da contagem de 01/10/2026: "Dados - Setor", ALI Baixa 7 PF, TD 3, AR 1). Motivo: TD 3→4: migration 2026_09_24_222200 incluiu o código institucional do setor (CEIN), usado para casar a lotação vinda do AD. PF inalterado (ALI Baixa).</t>
        </is>
      </c>
    </row>
    <row r="31" ht="12" customHeight="1" s="73">
      <c r="A31" s="14">
        <f>IF(H31="",IF(C31="",A30,A30+1),A30)</f>
        <v/>
      </c>
      <c r="B31" s="48">
        <f>IF(A31=A30,"",CONCATENATE("F",A31))</f>
        <v/>
      </c>
      <c r="C31" s="85" t="inlineStr">
        <is>
          <t>Setores - consultar</t>
        </is>
      </c>
      <c r="D31" s="142" t="n"/>
      <c r="E31" s="142" t="n"/>
      <c r="F31" s="142" t="n"/>
      <c r="G31" s="143" t="n"/>
      <c r="H31" s="56" t="inlineStr">
        <is>
          <t>SE</t>
        </is>
      </c>
      <c r="I31" s="57" t="inlineStr">
        <is>
          <t>I</t>
        </is>
      </c>
      <c r="J31" s="56" t="n">
        <v>7</v>
      </c>
      <c r="K31" s="56" t="n">
        <v>3</v>
      </c>
      <c r="L31" s="50">
        <f>CONCATENATE(H31,M31)</f>
        <v/>
      </c>
      <c r="M31" s="51">
        <f>IF(OR(ISBLANK(J31),ISBLANK(K31)),IF(OR(H31="ALI",H31="AIE"),"L",IF(ISBLANK(H31),"","A")),IF(H31="EE",IF(K31&gt;=3,IF(J31&gt;=5,"H","A"),IF(K31&gt;=2,IF(J31&gt;=16,"H",IF(J31&lt;=4,"L","A")),IF(J31&lt;=15,"L","A"))),IF(OR(H31="SE",H31="CE"),IF(K31&gt;=4,IF(J31&gt;=6,"H","A"),IF(K31&gt;=2,IF(J31&gt;=20,"H",IF(J31&lt;=5,"L","A")),IF(J31&lt;=19,"L","A"))),IF(OR(H31="ALI",H31="AIE"),IF(K31&gt;=6,IF(J31&gt;=20,"H","A"),IF(K31&gt;=2,IF(J31&gt;=51,"H",IF(J31&lt;=19,"L","A")),IF(J31&lt;=50,"L","A")))))))</f>
        <v/>
      </c>
      <c r="N31" s="52">
        <f>IF(M31="L","Baixa",IF(M31="A","Média",IF(M31="","","Alta")))</f>
        <v/>
      </c>
      <c r="O31" s="53">
        <f>IF(ISBLANK(H31),"",IF(H31="ALI",IF(M31="L",7,IF(M31="A",10,15)),IF(H31="AIE",IF(M31="L",5,IF(M31="A",7,10)),IF(H31="SE",IF(M31="L",4,IF(M31="A",5,7)),IF(OR(H31="EE",H31="CE"),IF(M31="L",3,IF(M31="A",4,6)))))))</f>
        <v/>
      </c>
      <c r="P31" s="54">
        <f>IF(I31="I",O31*Contagem!$W$15,IF(I31="E",O31*Contagem!$W$17,IF(I31="A",O31*Contagem!$W$16,IF(I31="T",O31*Contagem!$W$18,""))))</f>
        <v/>
      </c>
      <c r="Q31" s="55" t="inlineStr">
        <is>
          <t>Prova: Rota GET /gestao/setores (permissão manter-setores). Tela: gestao/setores/index. O gestor lista setores com busca por nome e filtro de situação. Lê Setor, Usuário (analistas) e Solicitação de viabilidade (contagem de processos); não grava. Teste: tests/Feature/Analise/SectorCrudTest.php::test_administrador_lista_setores. Processo elementar independente: menor unidade com significado para o gestor; completa por si (filtra e recebe a lista); deixa o negócio consistente (nada é alterado); lógica única (setores com contagem de analistas e processos). Classificação: exibe contagens calculadas por setor (withCount de analistas e processos), dado derivado: SE, não CE (§5.5.3). TD=7 (busca por nome, situação, nome, quantidade de analistas, quantidade de processos, analistas vinculados, ação de consultar). O filtro de situação é o mesmo campo da coluna situação e conta uma vez (DER único); ordenação e paginação não contam. AR=3 (Setor, Usuário, Solicitação de viabilidade). Recontagem 16/10/2026: alterada (linha 177 da contagem de 01/10/2026: "Setores - consultar", SE Média 5 PF, TD 9, AR 3). Motivo: TD 9→7: ordenação e filtro de situação duplicado não contam; a lista de analistas disponíveis é apoio do formulário de vínculo. PF inalterado (SE Média).</t>
        </is>
      </c>
    </row>
    <row r="32" ht="12" customHeight="1" s="73">
      <c r="A32" s="14">
        <f>IF(H32="",IF(C32="",A31,A31+1),A31)</f>
        <v/>
      </c>
      <c r="B32" s="48">
        <f>IF(A32=A31,"",CONCATENATE("F",A32))</f>
        <v/>
      </c>
      <c r="C32" s="85" t="inlineStr">
        <is>
          <t>Setores - incluir</t>
        </is>
      </c>
      <c r="D32" s="142" t="n"/>
      <c r="E32" s="142" t="n"/>
      <c r="F32" s="142" t="n"/>
      <c r="G32" s="143" t="n"/>
      <c r="H32" s="56" t="inlineStr">
        <is>
          <t>EE</t>
        </is>
      </c>
      <c r="I32" s="57" t="inlineStr">
        <is>
          <t>I</t>
        </is>
      </c>
      <c r="J32" s="56" t="n">
        <v>4</v>
      </c>
      <c r="K32" s="56" t="n">
        <v>2</v>
      </c>
      <c r="L32" s="50">
        <f>CONCATENATE(H32,M32)</f>
        <v/>
      </c>
      <c r="M32" s="51">
        <f>IF(OR(ISBLANK(J32),ISBLANK(K32)),IF(OR(H32="ALI",H32="AIE"),"L",IF(ISBLANK(H32),"","A")),IF(H32="EE",IF(K32&gt;=3,IF(J32&gt;=5,"H","A"),IF(K32&gt;=2,IF(J32&gt;=16,"H",IF(J32&lt;=4,"L","A")),IF(J32&lt;=15,"L","A"))),IF(OR(H32="SE",H32="CE"),IF(K32&gt;=4,IF(J32&gt;=6,"H","A"),IF(K32&gt;=2,IF(J32&gt;=20,"H",IF(J32&lt;=5,"L","A")),IF(J32&lt;=19,"L","A"))),IF(OR(H32="ALI",H32="AIE"),IF(K32&gt;=6,IF(J32&gt;=20,"H","A"),IF(K32&gt;=2,IF(J32&gt;=51,"H",IF(J32&lt;=19,"L","A")),IF(J32&lt;=50,"L","A")))))))</f>
        <v/>
      </c>
      <c r="N32" s="52">
        <f>IF(M32="L","Baixa",IF(M32="A","Média",IF(M32="","","Alta")))</f>
        <v/>
      </c>
      <c r="O32" s="53">
        <f>IF(ISBLANK(H32),"",IF(H32="ALI",IF(M32="L",7,IF(M32="A",10,15)),IF(H32="AIE",IF(M32="L",5,IF(M32="A",7,10)),IF(H32="SE",IF(M32="L",4,IF(M32="A",5,7)),IF(OR(H32="EE",H32="CE"),IF(M32="L",3,IF(M32="A",4,6)))))))</f>
        <v/>
      </c>
      <c r="P32" s="54">
        <f>IF(I32="I",O32*Contagem!$W$15,IF(I32="E",O32*Contagem!$W$17,IF(I32="A",O32*Contagem!$W$16,IF(I32="T",O32*Contagem!$W$18,""))))</f>
        <v/>
      </c>
      <c r="Q32" s="55" t="inlineStr">
        <is>
          <t>Prova: Rota POST /gestao/setores (permissão manter-setores). Tela: gestao/setores/index. O gestor cadastra o setor (SectorRequest, nome único). Grava Setor e Trilha de auditoria (AuditService, ação criar). Resultado: nova caixa de análise disponível. Teste: tests/Feature/Analise/SectorCrudTest.php::test_cria_setor_auditado. Processo elementar independente: menor unidade com significado para o gestor; completa por si (informa nome e situação e recebe a confirmação); deixa o negócio consistente (setor único gravado e auditado); lógica única (inclusão com unicidade de nome). Classificação: mantém ALI, EE. TD=4 (nome, situação, mensagem, ação salvar). AR=2 (Setor, Trilha de auditoria). Registros automáticos contados como FTR (premissa P4): Trilha de auditoria. Recontagem 16/10/2026: alterada (linha 178 da contagem de 01/10/2026: "Setores - incluir", EE Baixa 3 PF, TD 4, AR 1). Motivo: AR 1→2: o controller grava a Trilha de auditoria explicitamente (AuditService). PF inalterado (EE Baixa).</t>
        </is>
      </c>
    </row>
    <row r="33" ht="12" customHeight="1" s="73">
      <c r="A33" s="14">
        <f>IF(H33="",IF(C33="",A32,A32+1),A32)</f>
        <v/>
      </c>
      <c r="B33" s="48">
        <f>IF(A33=A32,"",CONCATENATE("F",A33))</f>
        <v/>
      </c>
      <c r="C33" s="85" t="inlineStr">
        <is>
          <t>Setores - alterar</t>
        </is>
      </c>
      <c r="D33" s="142" t="n"/>
      <c r="E33" s="142" t="n"/>
      <c r="F33" s="142" t="n"/>
      <c r="G33" s="143" t="n"/>
      <c r="H33" s="56" t="inlineStr">
        <is>
          <t>EE</t>
        </is>
      </c>
      <c r="I33" s="57" t="inlineStr">
        <is>
          <t>I</t>
        </is>
      </c>
      <c r="J33" s="56" t="n">
        <v>4</v>
      </c>
      <c r="K33" s="56" t="n">
        <v>2</v>
      </c>
      <c r="L33" s="50">
        <f>CONCATENATE(H33,M33)</f>
        <v/>
      </c>
      <c r="M33" s="51">
        <f>IF(OR(ISBLANK(J33),ISBLANK(K33)),IF(OR(H33="ALI",H33="AIE"),"L",IF(ISBLANK(H33),"","A")),IF(H33="EE",IF(K33&gt;=3,IF(J33&gt;=5,"H","A"),IF(K33&gt;=2,IF(J33&gt;=16,"H",IF(J33&lt;=4,"L","A")),IF(J33&lt;=15,"L","A"))),IF(OR(H33="SE",H33="CE"),IF(K33&gt;=4,IF(J33&gt;=6,"H","A"),IF(K33&gt;=2,IF(J33&gt;=20,"H",IF(J33&lt;=5,"L","A")),IF(J33&lt;=19,"L","A"))),IF(OR(H33="ALI",H33="AIE"),IF(K33&gt;=6,IF(J33&gt;=20,"H","A"),IF(K33&gt;=2,IF(J33&gt;=51,"H",IF(J33&lt;=19,"L","A")),IF(J33&lt;=50,"L","A")))))))</f>
        <v/>
      </c>
      <c r="N33" s="52">
        <f>IF(M33="L","Baixa",IF(M33="A","Média",IF(M33="","","Alta")))</f>
        <v/>
      </c>
      <c r="O33" s="53">
        <f>IF(ISBLANK(H33),"",IF(H33="ALI",IF(M33="L",7,IF(M33="A",10,15)),IF(H33="AIE",IF(M33="L",5,IF(M33="A",7,10)),IF(H33="SE",IF(M33="L",4,IF(M33="A",5,7)),IF(OR(H33="EE",H33="CE"),IF(M33="L",3,IF(M33="A",4,6)))))))</f>
        <v/>
      </c>
      <c r="P33" s="54">
        <f>IF(I33="I",O33*Contagem!$W$15,IF(I33="E",O33*Contagem!$W$17,IF(I33="A",O33*Contagem!$W$16,IF(I33="T",O33*Contagem!$W$18,""))))</f>
        <v/>
      </c>
      <c r="Q33" s="55" t="inlineStr">
        <is>
          <t>Prova: Rota PUT /gestao/setores/{sector} (permissão manter-setores). Tela: gestao/setores/index. O gestor edita nome e situação. Grava Setor e Trilha de auditoria (AuditService, ação atualizar). Teste: tests/Feature/Analise/SectorCrudTest.php::test_edita_nome_e_situacao. Processo elementar independente: menor unidade com significado para o gestor; completa por si (altera os dados e recebe a confirmação); deixa o negócio consistente (nome continua único); lógica única (alteração do setor existente). Classificação: mantém ALI, EE. TD=4 (nome, situação, mensagem, ação salvar). AR=2 (Setor, Trilha de auditoria). Registros automáticos contados como FTR (premissa P4): Trilha de auditoria. Recontagem 16/10/2026: alterada (linha 179 da contagem de 01/10/2026: "Setores - alterar", EE Baixa 3 PF, TD 4, AR 1). Motivo: AR 1→2: o controller grava a Trilha de auditoria explicitamente (AuditService). PF inalterado (EE Baixa).</t>
        </is>
      </c>
    </row>
    <row r="34" ht="12" customHeight="1" s="73">
      <c r="A34" s="14">
        <f>IF(H34="",IF(C34="",A33,A33+1),A33)</f>
        <v/>
      </c>
      <c r="B34" s="48">
        <f>IF(A34=A33,"",CONCATENATE("F",A34))</f>
        <v/>
      </c>
      <c r="C34" s="85" t="inlineStr">
        <is>
          <t>Setores - ativar ou inativar</t>
        </is>
      </c>
      <c r="D34" s="142" t="n"/>
      <c r="E34" s="142" t="n"/>
      <c r="F34" s="142" t="n"/>
      <c r="G34" s="143" t="n"/>
      <c r="H34" s="56" t="inlineStr">
        <is>
          <t>EE</t>
        </is>
      </c>
      <c r="I34" s="57" t="inlineStr">
        <is>
          <t>I</t>
        </is>
      </c>
      <c r="J34" s="56" t="n">
        <v>4</v>
      </c>
      <c r="K34" s="56" t="n">
        <v>3</v>
      </c>
      <c r="L34" s="50">
        <f>CONCATENATE(H34,M34)</f>
        <v/>
      </c>
      <c r="M34" s="51">
        <f>IF(OR(ISBLANK(J34),ISBLANK(K34)),IF(OR(H34="ALI",H34="AIE"),"L",IF(ISBLANK(H34),"","A")),IF(H34="EE",IF(K34&gt;=3,IF(J34&gt;=5,"H","A"),IF(K34&gt;=2,IF(J34&gt;=16,"H",IF(J34&lt;=4,"L","A")),IF(J34&lt;=15,"L","A"))),IF(OR(H34="SE",H34="CE"),IF(K34&gt;=4,IF(J34&gt;=6,"H","A"),IF(K34&gt;=2,IF(J34&gt;=20,"H",IF(J34&lt;=5,"L","A")),IF(J34&lt;=19,"L","A"))),IF(OR(H34="ALI",H34="AIE"),IF(K34&gt;=6,IF(J34&gt;=20,"H","A"),IF(K34&gt;=2,IF(J34&gt;=51,"H",IF(J34&lt;=19,"L","A")),IF(J34&lt;=50,"L","A")))))))</f>
        <v/>
      </c>
      <c r="N34" s="52">
        <f>IF(M34="L","Baixa",IF(M34="A","Média",IF(M34="","","Alta")))</f>
        <v/>
      </c>
      <c r="O34" s="53">
        <f>IF(ISBLANK(H34),"",IF(H34="ALI",IF(M34="L",7,IF(M34="A",10,15)),IF(H34="AIE",IF(M34="L",5,IF(M34="A",7,10)),IF(H34="SE",IF(M34="L",4,IF(M34="A",5,7)),IF(OR(H34="EE",H34="CE"),IF(M34="L",3,IF(M34="A",4,6)))))))</f>
        <v/>
      </c>
      <c r="P34" s="54">
        <f>IF(I34="I",O34*Contagem!$W$15,IF(I34="E",O34*Contagem!$W$17,IF(I34="A",O34*Contagem!$W$16,IF(I34="T",O34*Contagem!$W$18,""))))</f>
        <v/>
      </c>
      <c r="Q34" s="55" t="inlineStr">
        <is>
          <t>Prova: Rota PUT /gestao/setores/{sector}/ativacao (permissão manter-setores). Tela: gestao/setores/index. O gestor liga ou desliga o setor. Conta processos em análise ou em pendência do setor, grava a situação e a Trilha de auditoria; avisa sem bloquear. Teste: tests/Feature/Analise/SectorCrudTest.php::test_inativar_setor_com_processo_em_aberto_avisa_mas_nao_bloqueia. Processo elementar independente: menor unidade com significado para o gestor; completa por si (alterna e recebe confirmação e aviso); deixa o negócio consistente (setor preservado, sem exclusão); lógica única (inativação com aviso de processos em aberto, distinta da edição). Classificação: mantém ALI, EE. TD=4 (setor, situação, mensagem (inclui o aviso com a quantidade de processos em aberto), ação ativar/inativar). AR=3 (Setor, Solicitação de viabilidade, Trilha de auditoria). Registros automáticos contados como FTR (premissa P4): Trilha de auditoria. Recontagem 16/10/2026: alterada (linha 180 da contagem de 01/10/2026: "Setores - ativar ou inativar", EE Média 4 PF, TD 5, AR 2). Motivo: TD 5→4: o aviso de processos em aberto é parte da mensagem (mensagens = 1 DER). AR 2→3: inclui a Trilha de auditoria gravada pelo controller. PF inalterado (EE Média).</t>
        </is>
      </c>
    </row>
    <row r="35" ht="12" customHeight="1" s="73">
      <c r="A35" s="14">
        <f>IF(H35="",IF(C35="",A34,A34+1),A34)</f>
        <v/>
      </c>
      <c r="B35" s="48">
        <f>IF(A35=A34,"",CONCATENATE("F",A35))</f>
        <v/>
      </c>
      <c r="C35" s="85" t="inlineStr">
        <is>
          <t>Setores - vincular analistas</t>
        </is>
      </c>
      <c r="D35" s="142" t="n"/>
      <c r="E35" s="142" t="n"/>
      <c r="F35" s="142" t="n"/>
      <c r="G35" s="143" t="n"/>
      <c r="H35" s="56" t="inlineStr">
        <is>
          <t>EE</t>
        </is>
      </c>
      <c r="I35" s="57" t="inlineStr">
        <is>
          <t>I</t>
        </is>
      </c>
      <c r="J35" s="56" t="n">
        <v>4</v>
      </c>
      <c r="K35" s="56" t="n">
        <v>3</v>
      </c>
      <c r="L35" s="50">
        <f>CONCATENATE(H35,M35)</f>
        <v/>
      </c>
      <c r="M35" s="51">
        <f>IF(OR(ISBLANK(J35),ISBLANK(K35)),IF(OR(H35="ALI",H35="AIE"),"L",IF(ISBLANK(H35),"","A")),IF(H35="EE",IF(K35&gt;=3,IF(J35&gt;=5,"H","A"),IF(K35&gt;=2,IF(J35&gt;=16,"H",IF(J35&lt;=4,"L","A")),IF(J35&lt;=15,"L","A"))),IF(OR(H35="SE",H35="CE"),IF(K35&gt;=4,IF(J35&gt;=6,"H","A"),IF(K35&gt;=2,IF(J35&gt;=20,"H",IF(J35&lt;=5,"L","A")),IF(J35&lt;=19,"L","A"))),IF(OR(H35="ALI",H35="AIE"),IF(K35&gt;=6,IF(J35&gt;=20,"H","A"),IF(K35&gt;=2,IF(J35&gt;=51,"H",IF(J35&lt;=19,"L","A")),IF(J35&lt;=50,"L","A")))))))</f>
        <v/>
      </c>
      <c r="N35" s="52">
        <f>IF(M35="L","Baixa",IF(M35="A","Média",IF(M35="","","Alta")))</f>
        <v/>
      </c>
      <c r="O35" s="53">
        <f>IF(ISBLANK(H35),"",IF(H35="ALI",IF(M35="L",7,IF(M35="A",10,15)),IF(H35="AIE",IF(M35="L",5,IF(M35="A",7,10)),IF(H35="SE",IF(M35="L",4,IF(M35="A",5,7)),IF(OR(H35="EE",H35="CE"),IF(M35="L",3,IF(M35="A",4,6)))))))</f>
        <v/>
      </c>
      <c r="P35" s="54">
        <f>IF(I35="I",O35*Contagem!$W$15,IF(I35="E",O35*Contagem!$W$17,IF(I35="A",O35*Contagem!$W$16,IF(I35="T",O35*Contagem!$W$18,""))))</f>
        <v/>
      </c>
      <c r="Q35" s="55" t="inlineStr">
        <is>
          <t>Prova: Rota PUT /gestao/setores/{sector}/analistas (permissão manter-setores). Tela: gestao/setores/index. O gestor define o conjunto exato de analistas do setor, escolhidos entre usuários ativos com perfil que concede analisar-processos. Valida os usuários, grava o vínculo N:N em transação e a Trilha de auditoria com antes e depois. Teste: tests/Feature/Analise/SectorCrudTest.php::test_vincula_e_desvincula_analistas_auditado. Processo elementar independente: menor unidade com significado para o gestor; completa por si (marca analistas e recebe a confirmação); deixa o negócio consistente (vínculo sincronizado sem afetar outros setores); lógica única (sincroniza vínculo analista-setor). Classificação: mantém ALI, EE. TD=4 (setor, analistas, mensagem, ação salvar vínculo). AR=3 (Setor, Usuário, Trilha de auditoria). Registros automáticos contados como FTR (premissa P4): Trilha de auditoria. Recontagem 16/10/2026: alterada (linha 181 da contagem de 01/10/2026: "Setores - vincular analistas", EE Baixa 3 PF, TD 4, AR 2). Motivo: AR 2→3: inclui a Trilha de auditoria gravada com antes/depois do vínculo. PF 3→4 (EE Média).</t>
        </is>
      </c>
    </row>
    <row r="36" ht="12" customHeight="1" s="73">
      <c r="A36" s="14">
        <f>IF(H36="",IF(C36="",A35,A35+1),A35)</f>
        <v/>
      </c>
      <c r="B36" s="48">
        <f>IF(A36=A35,"",CONCATENATE("F",A36))</f>
        <v/>
      </c>
      <c r="C36" s="85" t="n"/>
      <c r="D36" s="142" t="n"/>
      <c r="E36" s="142" t="n"/>
      <c r="F36" s="142" t="n"/>
      <c r="G36" s="143" t="n"/>
      <c r="H36" s="56" t="n"/>
      <c r="I36" s="57" t="n"/>
      <c r="J36" s="56" t="n"/>
      <c r="K36" s="56" t="n"/>
      <c r="L36" s="50">
        <f>CONCATENATE(H36,M36)</f>
        <v/>
      </c>
      <c r="M36" s="51">
        <f>IF(OR(ISBLANK(J36),ISBLANK(K36)),IF(OR(H36="ALI",H36="AIE"),"L",IF(ISBLANK(H36),"","A")),IF(H36="EE",IF(K36&gt;=3,IF(J36&gt;=5,"H","A"),IF(K36&gt;=2,IF(J36&gt;=16,"H",IF(J36&lt;=4,"L","A")),IF(J36&lt;=15,"L","A"))),IF(OR(H36="SE",H36="CE"),IF(K36&gt;=4,IF(J36&gt;=6,"H","A"),IF(K36&gt;=2,IF(J36&gt;=20,"H",IF(J36&lt;=5,"L","A")),IF(J36&lt;=19,"L","A"))),IF(OR(H36="ALI",H36="AIE"),IF(K36&gt;=6,IF(J36&gt;=20,"H","A"),IF(K36&gt;=2,IF(J36&gt;=51,"H",IF(J36&lt;=19,"L","A")),IF(J36&lt;=50,"L","A")))))))</f>
        <v/>
      </c>
      <c r="N36" s="52">
        <f>IF(M36="L","Baixa",IF(M36="A","Média",IF(M36="","","Alta")))</f>
        <v/>
      </c>
      <c r="O36" s="53">
        <f>IF(ISBLANK(H36),"",IF(H36="ALI",IF(M36="L",7,IF(M36="A",10,15)),IF(H36="AIE",IF(M36="L",5,IF(M36="A",7,10)),IF(H36="SE",IF(M36="L",4,IF(M36="A",5,7)),IF(OR(H36="EE",H36="CE"),IF(M36="L",3,IF(M36="A",4,6)))))))</f>
        <v/>
      </c>
      <c r="P36" s="54">
        <f>IF(I36="I",O36*Contagem!$W$15,IF(I36="E",O36*Contagem!$W$17,IF(I36="A",O36*Contagem!$W$16,IF(I36="T",O36*Contagem!$W$18,""))))</f>
        <v/>
      </c>
      <c r="Q36" s="55" t="n"/>
    </row>
    <row r="37" ht="12" customHeight="1" s="73">
      <c r="A37" s="14">
        <f>IF(H37="",IF(C37="",A36,A36+1),A36)</f>
        <v/>
      </c>
      <c r="B37" s="48">
        <f>IF(A37=A36,"",CONCATENATE("F",A37))</f>
        <v/>
      </c>
      <c r="C37" s="85" t="inlineStr">
        <is>
          <t>Perfis de acesso</t>
        </is>
      </c>
      <c r="D37" s="142" t="n"/>
      <c r="E37" s="142" t="n"/>
      <c r="F37" s="142" t="n"/>
      <c r="G37" s="143" t="n"/>
      <c r="H37" s="56" t="n"/>
      <c r="I37" s="57" t="n"/>
      <c r="J37" s="56" t="n"/>
      <c r="K37" s="56" t="n"/>
      <c r="L37" s="50">
        <f>CONCATENATE(H37,M37)</f>
        <v/>
      </c>
      <c r="M37" s="51">
        <f>IF(OR(ISBLANK(J37),ISBLANK(K37)),IF(OR(H37="ALI",H37="AIE"),"L",IF(ISBLANK(H37),"","A")),IF(H37="EE",IF(K37&gt;=3,IF(J37&gt;=5,"H","A"),IF(K37&gt;=2,IF(J37&gt;=16,"H",IF(J37&lt;=4,"L","A")),IF(J37&lt;=15,"L","A"))),IF(OR(H37="SE",H37="CE"),IF(K37&gt;=4,IF(J37&gt;=6,"H","A"),IF(K37&gt;=2,IF(J37&gt;=20,"H",IF(J37&lt;=5,"L","A")),IF(J37&lt;=19,"L","A"))),IF(OR(H37="ALI",H37="AIE"),IF(K37&gt;=6,IF(J37&gt;=20,"H","A"),IF(K37&gt;=2,IF(J37&gt;=51,"H",IF(J37&lt;=19,"L","A")),IF(J37&lt;=50,"L","A")))))))</f>
        <v/>
      </c>
      <c r="N37" s="52">
        <f>IF(M37="L","Baixa",IF(M37="A","Média",IF(M37="","","Alta")))</f>
        <v/>
      </c>
      <c r="O37" s="53">
        <f>IF(ISBLANK(H37),"",IF(H37="ALI",IF(M37="L",7,IF(M37="A",10,15)),IF(H37="AIE",IF(M37="L",5,IF(M37="A",7,10)),IF(H37="SE",IF(M37="L",4,IF(M37="A",5,7)),IF(OR(H37="EE",H37="CE"),IF(M37="L",3,IF(M37="A",4,6)))))))</f>
        <v/>
      </c>
      <c r="P37" s="54">
        <f>IF(I37="I",O37*Contagem!$W$15,IF(I37="E",O37*Contagem!$W$17,IF(I37="A",O37*Contagem!$W$16,IF(I37="T",O37*Contagem!$W$18,""))))</f>
        <v/>
      </c>
      <c r="Q37" s="55" t="n"/>
    </row>
    <row r="38" ht="12" customHeight="1" s="73">
      <c r="A38" s="14">
        <f>IF(H38="",IF(C38="",A37,A37+1),A37)</f>
        <v/>
      </c>
      <c r="B38" s="48">
        <f>IF(A38=A37,"",CONCATENATE("F",A38))</f>
        <v/>
      </c>
      <c r="C38" s="85" t="inlineStr">
        <is>
          <t>Dados - Perfil de acesso</t>
        </is>
      </c>
      <c r="D38" s="142" t="n"/>
      <c r="E38" s="142" t="n"/>
      <c r="F38" s="142" t="n"/>
      <c r="G38" s="143" t="n"/>
      <c r="H38" s="56" t="inlineStr">
        <is>
          <t>ALI</t>
        </is>
      </c>
      <c r="I38" s="57" t="inlineStr">
        <is>
          <t>I</t>
        </is>
      </c>
      <c r="J38" s="56" t="n">
        <v>3</v>
      </c>
      <c r="K38" s="56" t="n">
        <v>1</v>
      </c>
      <c r="L38" s="50">
        <f>CONCATENATE(H38,M38)</f>
        <v/>
      </c>
      <c r="M38" s="51">
        <f>IF(OR(ISBLANK(J38),ISBLANK(K38)),IF(OR(H38="ALI",H38="AIE"),"L",IF(ISBLANK(H38),"","A")),IF(H38="EE",IF(K38&gt;=3,IF(J38&gt;=5,"H","A"),IF(K38&gt;=2,IF(J38&gt;=16,"H",IF(J38&lt;=4,"L","A")),IF(J38&lt;=15,"L","A"))),IF(OR(H38="SE",H38="CE"),IF(K38&gt;=4,IF(J38&gt;=6,"H","A"),IF(K38&gt;=2,IF(J38&gt;=20,"H",IF(J38&lt;=5,"L","A")),IF(J38&lt;=19,"L","A"))),IF(OR(H38="ALI",H38="AIE"),IF(K38&gt;=6,IF(J38&gt;=20,"H","A"),IF(K38&gt;=2,IF(J38&gt;=51,"H",IF(J38&lt;=19,"L","A")),IF(J38&lt;=50,"L","A")))))))</f>
        <v/>
      </c>
      <c r="N38" s="52">
        <f>IF(M38="L","Baixa",IF(M38="A","Média",IF(M38="","","Alta")))</f>
        <v/>
      </c>
      <c r="O38" s="53">
        <f>IF(ISBLANK(H38),"",IF(H38="ALI",IF(M38="L",7,IF(M38="A",10,15)),IF(H38="AIE",IF(M38="L",5,IF(M38="A",7,10)),IF(H38="SE",IF(M38="L",4,IF(M38="A",5,7)),IF(OR(H38="EE",H38="CE"),IF(M38="L",3,IF(M38="A",4,6)))))))</f>
        <v/>
      </c>
      <c r="P38" s="54">
        <f>IF(I38="I",O38*Contagem!$W$15,IF(I38="E",O38*Contagem!$W$17,IF(I38="A",O38*Contagem!$W$16,IF(I38="T",O38*Contagem!$W$18,""))))</f>
        <v/>
      </c>
      <c r="Q38" s="55" t="inlineStr">
        <is>
          <t>Prova: tabelas roles e role_has_permissions (Spatie) da migration database/migrations/2026_06_09_234627_create_permission_tables.php e coluna protegido da migration database/migrations/2026_10_14_090000_add_protegido_to_roles_table.php; regras em app/Support/RoleProtection.php e app/Support/PerfisSolicitaveis.php. Mantido por Perfis de acesso - incluir, alterar e excluir (Gestao\RoleController). Teste: tests/Feature/Roles/ManageRolesTest.php::test_permissoes_de_perfil_novo_tem_efeito_imediato. Arquivo lógico: desde 14/10/2026 (commits 4e7e897f, a61f229c, 0872c807, 23ee97e1) o comportamento da gestão depende só das permissões marcadas no perfil: abas de usuários (acessar-gestao), candidatos a analista do setor (analisar-processos), escalonamento e perfis que o servidor pode solicitar no primeiro acesso AD. O administrador cria, renomeia, ajusta permissões e exclui perfis pela tela; o perfil existe sem usuário vinculado (exclusão só é barrada quando há vínculo), logo passa no teste de independência e não é subgrupo de Usuário. Não é dado de código: o conjunto de permissões muda o que cada conta pode fazer e não se substitui pelo nome. O catálogo de permissões (tabela permissions, descrição e grupo em app/Support/PermissionCatalog.php) é carregado por seeder e não é mantido pelo usuário: dado de código, não conta. role_has_permissions só tem chaves e entra como DER (permissões concedidas). TD=3 (nome do perfil, permissões concedidas, protegido). TR=1 (Perfil de acesso). Recontagem 16/10/2026: nova (não constava da contagem de 01/10/2026).</t>
        </is>
      </c>
    </row>
    <row r="39" ht="12" customHeight="1" s="73">
      <c r="A39" s="14">
        <f>IF(H39="",IF(C39="",A38,A38+1),A38)</f>
        <v/>
      </c>
      <c r="B39" s="48">
        <f>IF(A39=A38,"",CONCATENATE("F",A39))</f>
        <v/>
      </c>
      <c r="C39" s="85" t="inlineStr">
        <is>
          <t>Perfis de acesso - consultar</t>
        </is>
      </c>
      <c r="D39" s="142" t="n"/>
      <c r="E39" s="142" t="n"/>
      <c r="F39" s="142" t="n"/>
      <c r="G39" s="143" t="n"/>
      <c r="H39" s="56" t="inlineStr">
        <is>
          <t>SE</t>
        </is>
      </c>
      <c r="I39" s="57" t="inlineStr">
        <is>
          <t>I</t>
        </is>
      </c>
      <c r="J39" s="56" t="n">
        <v>8</v>
      </c>
      <c r="K39" s="56" t="n">
        <v>3</v>
      </c>
      <c r="L39" s="50">
        <f>CONCATENATE(H39,M39)</f>
        <v/>
      </c>
      <c r="M39" s="51">
        <f>IF(OR(ISBLANK(J39),ISBLANK(K39)),IF(OR(H39="ALI",H39="AIE"),"L",IF(ISBLANK(H39),"","A")),IF(H39="EE",IF(K39&gt;=3,IF(J39&gt;=5,"H","A"),IF(K39&gt;=2,IF(J39&gt;=16,"H",IF(J39&lt;=4,"L","A")),IF(J39&lt;=15,"L","A"))),IF(OR(H39="SE",H39="CE"),IF(K39&gt;=4,IF(J39&gt;=6,"H","A"),IF(K39&gt;=2,IF(J39&gt;=20,"H",IF(J39&lt;=5,"L","A")),IF(J39&lt;=19,"L","A"))),IF(OR(H39="ALI",H39="AIE"),IF(K39&gt;=6,IF(J39&gt;=20,"H","A"),IF(K39&gt;=2,IF(J39&gt;=51,"H",IF(J39&lt;=19,"L","A")),IF(J39&lt;=50,"L","A")))))))</f>
        <v/>
      </c>
      <c r="N39" s="52">
        <f>IF(M39="L","Baixa",IF(M39="A","Média",IF(M39="","","Alta")))</f>
        <v/>
      </c>
      <c r="O39" s="53">
        <f>IF(ISBLANK(H39),"",IF(H39="ALI",IF(M39="L",7,IF(M39="A",10,15)),IF(H39="AIE",IF(M39="L",5,IF(M39="A",7,10)),IF(H39="SE",IF(M39="L",4,IF(M39="A",5,7)),IF(OR(H39="EE",H39="CE"),IF(M39="L",3,IF(M39="A",4,6)))))))</f>
        <v/>
      </c>
      <c r="P39" s="54">
        <f>IF(I39="I",O39*Contagem!$W$15,IF(I39="E",O39*Contagem!$W$17,IF(I39="A",O39*Contagem!$W$16,IF(I39="T",O39*Contagem!$W$18,""))))</f>
        <v/>
      </c>
      <c r="Q39" s="55" t="inlineStr">
        <is>
          <t>Prova: Rota GET /gestao/perfis (permissão manter-perfis). Tela: gestao/perfis/index. O administrador busca perfis por nome. Lê perfis com permissões, conta usuários vinculados (withCount) e marca os protegidos (coluna protegido ou perfil apontado pelo parâmetro portal.perfil_cidadao). Não grava. A exportação (?formato=csv/xlsx/pdf, ReportExporter) não tem botão nesta tela (a página não usa ExportMenu; só é alcançável digitando a URL) e não é contada como função; a consulta da tela não grava Trilha de auditoria (o log só ocorre no ramo ?formato=), por isso continua sem FTR de registro. Teste: tests/Feature/Roles/ManageRolesTest.php::test_administrador_lista_perfis_com_permissoes_e_vinculos e ::test_listagem_marca_protegido_no_campo_structural. Processo elementar independente: menor unidade com significado para o administrador; completa por si (busca até a lista); deixa o negócio consistente (nada muda); lógica única (perfis com contagem de usuários e indicação de protegido). Classificação: exibe quantidade de usuários por perfil, dado derivado: SE, não CE (§5.5.3). TD=8 (busca por nome, nome do perfil, permissões, quantidade de usuários vinculados, protegido, descrição da permissão, grupo da permissão, ação de consultar). AR=3 (Perfil de acesso, Usuário, Parâmetro). Recontagem 16/10/2026: alterada (linha 209 da contagem de 01/10/2026: "Perfis de acesso - consultar", SE Baixa 4 PF, TD 7, AR 1). Motivo: TD 7→8: busca por nome passou a ser server-driven. AR 1→3: o perfil virou ALI próprio (Perfil de acesso); a contagem de usuários lê Usuário e a marca de protegido lê o parâmetro portal.perfil_cidadao (Parâmetro). PF 4→5 (SE Média).</t>
        </is>
      </c>
    </row>
    <row r="40" ht="12" customHeight="1" s="73">
      <c r="A40" s="14">
        <f>IF(H40="",IF(C40="",A39,A39+1),A39)</f>
        <v/>
      </c>
      <c r="B40" s="48">
        <f>IF(A40=A39,"",CONCATENATE("F",A40))</f>
        <v/>
      </c>
      <c r="C40" s="85" t="inlineStr">
        <is>
          <t>Perfis de acesso - incluir</t>
        </is>
      </c>
      <c r="D40" s="142" t="n"/>
      <c r="E40" s="142" t="n"/>
      <c r="F40" s="142" t="n"/>
      <c r="G40" s="143" t="n"/>
      <c r="H40" s="56" t="inlineStr">
        <is>
          <t>EE</t>
        </is>
      </c>
      <c r="I40" s="57" t="inlineStr">
        <is>
          <t>I</t>
        </is>
      </c>
      <c r="J40" s="56" t="n">
        <v>4</v>
      </c>
      <c r="K40" s="56" t="n">
        <v>2</v>
      </c>
      <c r="L40" s="50">
        <f>CONCATENATE(H40,M40)</f>
        <v/>
      </c>
      <c r="M40" s="51">
        <f>IF(OR(ISBLANK(J40),ISBLANK(K40)),IF(OR(H40="ALI",H40="AIE"),"L",IF(ISBLANK(H40),"","A")),IF(H40="EE",IF(K40&gt;=3,IF(J40&gt;=5,"H","A"),IF(K40&gt;=2,IF(J40&gt;=16,"H",IF(J40&lt;=4,"L","A")),IF(J40&lt;=15,"L","A"))),IF(OR(H40="SE",H40="CE"),IF(K40&gt;=4,IF(J40&gt;=6,"H","A"),IF(K40&gt;=2,IF(J40&gt;=20,"H",IF(J40&lt;=5,"L","A")),IF(J40&lt;=19,"L","A"))),IF(OR(H40="ALI",H40="AIE"),IF(K40&gt;=6,IF(J40&gt;=20,"H","A"),IF(K40&gt;=2,IF(J40&gt;=51,"H",IF(J40&lt;=19,"L","A")),IF(J40&lt;=50,"L","A")))))))</f>
        <v/>
      </c>
      <c r="N40" s="52">
        <f>IF(M40="L","Baixa",IF(M40="A","Média",IF(M40="","","Alta")))</f>
        <v/>
      </c>
      <c r="O40" s="53">
        <f>IF(ISBLANK(H40),"",IF(H40="ALI",IF(M40="L",7,IF(M40="A",10,15)),IF(H40="AIE",IF(M40="L",5,IF(M40="A",7,10)),IF(H40="SE",IF(M40="L",4,IF(M40="A",5,7)),IF(OR(H40="EE",H40="CE"),IF(M40="L",3,IF(M40="A",4,6)))))))</f>
        <v/>
      </c>
      <c r="P40" s="54">
        <f>IF(I40="I",O40*Contagem!$W$15,IF(I40="E",O40*Contagem!$W$17,IF(I40="A",O40*Contagem!$W$16,IF(I40="T",O40*Contagem!$W$18,""))))</f>
        <v/>
      </c>
      <c r="Q40" s="55" t="inlineStr">
        <is>
          <t>Prova: Rota POST /gestao/perfis (permissão manter-perfis). Tela: gestao/perfis/index. O administrador cria o perfil e marca permissões; StoreRoleRequest rejeita nome duplicado e permissão inexistente. Grava Perfil de acesso (roles e role_has_permissions) e Trilha de auditoria (perfil-criado). Resultado: permissões valem de imediato. Teste: tests/Feature/Roles/ManageRolesTest.php::test_cria_perfil_com_permissoes_granulares. Processo elementar independente: menor unidade com significado para o administrador; completa por si (formulário até o perfil gravado); deixa o negócio consistente (perfil com permissões, auditado); lógica única (inclusão com sincronização de permissões). Classificação: mantém ALI, EE. TD=4 (nome do perfil, permissões marcadas, mensagem de sucesso/erro, ação de salvar). AR=2 (Perfil de acesso, Trilha de auditoria). Registros automáticos contados como FTR (premissa P4): Trilha de auditoria. Recontagem 16/10/2026: mantida (linha 210 da contagem de 01/10/2026).</t>
        </is>
      </c>
    </row>
    <row r="41" ht="12" customHeight="1" s="73">
      <c r="A41" s="14">
        <f>IF(H41="",IF(C41="",A40,A40+1),A40)</f>
        <v/>
      </c>
      <c r="B41" s="48">
        <f>IF(A41=A40,"",CONCATENATE("F",A41))</f>
        <v/>
      </c>
      <c r="C41" s="85" t="inlineStr">
        <is>
          <t>Perfis de acesso - alterar</t>
        </is>
      </c>
      <c r="D41" s="142" t="n"/>
      <c r="E41" s="142" t="n"/>
      <c r="F41" s="142" t="n"/>
      <c r="G41" s="143" t="n"/>
      <c r="H41" s="56" t="inlineStr">
        <is>
          <t>EE</t>
        </is>
      </c>
      <c r="I41" s="57" t="inlineStr">
        <is>
          <t>I</t>
        </is>
      </c>
      <c r="J41" s="56" t="n">
        <v>4</v>
      </c>
      <c r="K41" s="56" t="n">
        <v>3</v>
      </c>
      <c r="L41" s="50">
        <f>CONCATENATE(H41,M41)</f>
        <v/>
      </c>
      <c r="M41" s="51">
        <f>IF(OR(ISBLANK(J41),ISBLANK(K41)),IF(OR(H41="ALI",H41="AIE"),"L",IF(ISBLANK(H41),"","A")),IF(H41="EE",IF(K41&gt;=3,IF(J41&gt;=5,"H","A"),IF(K41&gt;=2,IF(J41&gt;=16,"H",IF(J41&lt;=4,"L","A")),IF(J41&lt;=15,"L","A"))),IF(OR(H41="SE",H41="CE"),IF(K41&gt;=4,IF(J41&gt;=6,"H","A"),IF(K41&gt;=2,IF(J41&gt;=20,"H",IF(J41&lt;=5,"L","A")),IF(J41&lt;=19,"L","A"))),IF(OR(H41="ALI",H41="AIE"),IF(K41&gt;=6,IF(J41&gt;=20,"H","A"),IF(K41&gt;=2,IF(J41&gt;=51,"H",IF(J41&lt;=19,"L","A")),IF(J41&lt;=50,"L","A")))))))</f>
        <v/>
      </c>
      <c r="N41" s="52">
        <f>IF(M41="L","Baixa",IF(M41="A","Média",IF(M41="","","Alta")))</f>
        <v/>
      </c>
      <c r="O41" s="53">
        <f>IF(ISBLANK(H41),"",IF(H41="ALI",IF(M41="L",7,IF(M41="A",10,15)),IF(H41="AIE",IF(M41="L",5,IF(M41="A",7,10)),IF(H41="SE",IF(M41="L",4,IF(M41="A",5,7)),IF(OR(H41="EE",H41="CE"),IF(M41="L",3,IF(M41="A",4,6)))))))</f>
        <v/>
      </c>
      <c r="P41" s="54">
        <f>IF(I41="I",O41*Contagem!$W$15,IF(I41="E",O41*Contagem!$W$17,IF(I41="A",O41*Contagem!$W$16,IF(I41="T",O41*Contagem!$W$18,""))))</f>
        <v/>
      </c>
      <c r="Q41" s="55" t="inlineStr">
        <is>
          <t>Prova: Rota PUT /gestao/perfis/{role} (permissão manter-perfis). Tela: gestao/perfis/index. O administrador ajusta nome e permissões; perfil protegido (coluna protegido ou perfil apontado por portal.perfil_cidadao) não é renomeado e o administrador não perde acessar-gestao (UpdateRoleRequest::after). Grava Perfil de acesso e Trilha de auditoria com antes/depois. Resultado: acesso das contas muda. Teste: tests/Feature/Roles/ManageRolesTest.php::test_perfil_apontado_pelo_parametro_do_cidadao_nao_pode_ser_excluido_nem_renomeado. Processo elementar independente: menor unidade com significado para o administrador; completa por si (edição até a gravação); deixa o negócio consistente (permissões sincronizadas, perfil protegido preservado, auditado); lógica única (alteração com proteção). Classificação: mantém ALI, EE. TD=4 (nome do perfil, permissões marcadas, mensagem de sucesso/erro, ação de salvar). AR=3 (Perfil de acesso, Parâmetro, Trilha de auditoria). Registros automáticos contados como FTR (premissa P4): Trilha de auditoria. Recontagem 16/10/2026: alterada (linha 211 da contagem de 01/10/2026: "Perfis de acesso - alterar", EE Baixa 3 PF, TD 4, AR 2). Motivo: AR 2→3: grava Perfil de acesso (antes Usuário) e lê o parâmetro portal.perfil_cidadao para impedir renomear o perfil do cidadão (commit 78cf5671). PF 3→4 (EE Média).</t>
        </is>
      </c>
    </row>
    <row r="42" ht="12" customHeight="1" s="73">
      <c r="A42" s="14">
        <f>IF(H42="",IF(C42="",A41,A41+1),A41)</f>
        <v/>
      </c>
      <c r="B42" s="48">
        <f>IF(A42=A41,"",CONCATENATE("F",A42))</f>
        <v/>
      </c>
      <c r="C42" s="85" t="inlineStr">
        <is>
          <t>Perfis de acesso - excluir</t>
        </is>
      </c>
      <c r="D42" s="142" t="n"/>
      <c r="E42" s="142" t="n"/>
      <c r="F42" s="142" t="n"/>
      <c r="G42" s="143" t="n"/>
      <c r="H42" s="56" t="inlineStr">
        <is>
          <t>EE</t>
        </is>
      </c>
      <c r="I42" s="57" t="inlineStr">
        <is>
          <t>I</t>
        </is>
      </c>
      <c r="J42" s="56" t="n">
        <v>3</v>
      </c>
      <c r="K42" s="56" t="n">
        <v>4</v>
      </c>
      <c r="L42" s="50">
        <f>CONCATENATE(H42,M42)</f>
        <v/>
      </c>
      <c r="M42" s="51">
        <f>IF(OR(ISBLANK(J42),ISBLANK(K42)),IF(OR(H42="ALI",H42="AIE"),"L",IF(ISBLANK(H42),"","A")),IF(H42="EE",IF(K42&gt;=3,IF(J42&gt;=5,"H","A"),IF(K42&gt;=2,IF(J42&gt;=16,"H",IF(J42&lt;=4,"L","A")),IF(J42&lt;=15,"L","A"))),IF(OR(H42="SE",H42="CE"),IF(K42&gt;=4,IF(J42&gt;=6,"H","A"),IF(K42&gt;=2,IF(J42&gt;=20,"H",IF(J42&lt;=5,"L","A")),IF(J42&lt;=19,"L","A"))),IF(OR(H42="ALI",H42="AIE"),IF(K42&gt;=6,IF(J42&gt;=20,"H","A"),IF(K42&gt;=2,IF(J42&gt;=51,"H",IF(J42&lt;=19,"L","A")),IF(J42&lt;=50,"L","A")))))))</f>
        <v/>
      </c>
      <c r="N42" s="52">
        <f>IF(M42="L","Baixa",IF(M42="A","Média",IF(M42="","","Alta")))</f>
        <v/>
      </c>
      <c r="O42" s="53">
        <f>IF(ISBLANK(H42),"",IF(H42="ALI",IF(M42="L",7,IF(M42="A",10,15)),IF(H42="AIE",IF(M42="L",5,IF(M42="A",7,10)),IF(H42="SE",IF(M42="L",4,IF(M42="A",5,7)),IF(OR(H42="EE",H42="CE"),IF(M42="L",3,IF(M42="A",4,6)))))))</f>
        <v/>
      </c>
      <c r="P42" s="54">
        <f>IF(I42="I",O42*Contagem!$W$15,IF(I42="E",O42*Contagem!$W$17,IF(I42="A",O42*Contagem!$W$16,IF(I42="T",O42*Contagem!$W$18,""))))</f>
        <v/>
      </c>
      <c r="Q42" s="55" t="inlineStr">
        <is>
          <t>Prova: Rota DELETE /gestao/perfis/{role} (permissão manter-perfis). Tela: gestao/perfis/index. O administrador exclui perfil comum; perfil protegido (coluna protegido ou apontado por portal.perfil_cidadao) ou com usuários vinculados é barrado com mensagem. Lê Usuário e Parâmetro; exclui Perfil de acesso; grava Trilha de auditoria (perfil-excluido). Teste: tests/Feature/Roles/ManageRolesTest.php::test_exclusao_bloqueada_com_usuarios_vinculados. Processo elementar independente: menor unidade com significado para o administrador; completa por si (confirmação até a remoção); deixa o negócio consistente (nenhuma conta fica sem perfil); lógica única (exclusão com bloqueio por proteção e por vínculo). Classificação: mantém ALI, EE. TD=3 (perfil, mensagem de sucesso/erro, ação de excluir). AR=4 (Perfil de acesso, Usuário, Parâmetro, Trilha de auditoria). Registros automáticos contados como FTR (premissa P4): Trilha de auditoria. Recontagem 16/10/2026: alterada (linha 212 da contagem de 01/10/2026: "Perfis de acesso - excluir", EE Baixa 3 PF, TD 3, AR 2). Motivo: AR 2→4: exclui de Perfil de acesso, lê Usuário (vínculo) e Parâmetro (perfil do cidadão protegido) e grava a Trilha. PF 3→4 (EE Média).</t>
        </is>
      </c>
    </row>
    <row r="43" ht="12" customHeight="1" s="73">
      <c r="A43" s="14">
        <f>IF(H43="",IF(C43="",A42,A42+1),A42)</f>
        <v/>
      </c>
      <c r="B43" s="48">
        <f>IF(A43=A42,"",CONCATENATE("F",A43))</f>
        <v/>
      </c>
      <c r="C43" s="85" t="n"/>
      <c r="D43" s="142" t="n"/>
      <c r="E43" s="142" t="n"/>
      <c r="F43" s="142" t="n"/>
      <c r="G43" s="143" t="n"/>
      <c r="H43" s="56" t="n"/>
      <c r="I43" s="57" t="n"/>
      <c r="J43" s="56" t="n"/>
      <c r="K43" s="56" t="n"/>
      <c r="L43" s="50">
        <f>CONCATENATE(H43,M43)</f>
        <v/>
      </c>
      <c r="M43" s="51">
        <f>IF(OR(ISBLANK(J43),ISBLANK(K43)),IF(OR(H43="ALI",H43="AIE"),"L",IF(ISBLANK(H43),"","A")),IF(H43="EE",IF(K43&gt;=3,IF(J43&gt;=5,"H","A"),IF(K43&gt;=2,IF(J43&gt;=16,"H",IF(J43&lt;=4,"L","A")),IF(J43&lt;=15,"L","A"))),IF(OR(H43="SE",H43="CE"),IF(K43&gt;=4,IF(J43&gt;=6,"H","A"),IF(K43&gt;=2,IF(J43&gt;=20,"H",IF(J43&lt;=5,"L","A")),IF(J43&lt;=19,"L","A"))),IF(OR(H43="ALI",H43="AIE"),IF(K43&gt;=6,IF(J43&gt;=20,"H","A"),IF(K43&gt;=2,IF(J43&gt;=51,"H",IF(J43&lt;=19,"L","A")),IF(J43&lt;=50,"L","A")))))))</f>
        <v/>
      </c>
      <c r="N43" s="52">
        <f>IF(M43="L","Baixa",IF(M43="A","Média",IF(M43="","","Alta")))</f>
        <v/>
      </c>
      <c r="O43" s="53">
        <f>IF(ISBLANK(H43),"",IF(H43="ALI",IF(M43="L",7,IF(M43="A",10,15)),IF(H43="AIE",IF(M43="L",5,IF(M43="A",7,10)),IF(H43="SE",IF(M43="L",4,IF(M43="A",5,7)),IF(OR(H43="EE",H43="CE"),IF(M43="L",3,IF(M43="A",4,6)))))))</f>
        <v/>
      </c>
      <c r="P43" s="54">
        <f>IF(I43="I",O43*Contagem!$W$15,IF(I43="E",O43*Contagem!$W$17,IF(I43="A",O43*Contagem!$W$16,IF(I43="T",O43*Contagem!$W$18,""))))</f>
        <v/>
      </c>
      <c r="Q43" s="55" t="n"/>
    </row>
    <row r="44" ht="12" customHeight="1" s="73">
      <c r="A44" s="14">
        <f>IF(H44="",IF(C44="",A43,A43+1),A43)</f>
        <v/>
      </c>
      <c r="B44" s="48">
        <f>IF(A44=A43,"",CONCATENATE("F",A44))</f>
        <v/>
      </c>
      <c r="C44" s="85" t="inlineStr">
        <is>
          <t>Usuários e solicitações de acesso</t>
        </is>
      </c>
      <c r="D44" s="142" t="n"/>
      <c r="E44" s="142" t="n"/>
      <c r="F44" s="142" t="n"/>
      <c r="G44" s="143" t="n"/>
      <c r="H44" s="56" t="n"/>
      <c r="I44" s="57" t="n"/>
      <c r="J44" s="56" t="n"/>
      <c r="K44" s="56" t="n"/>
      <c r="L44" s="50">
        <f>CONCATENATE(H44,M44)</f>
        <v/>
      </c>
      <c r="M44" s="51">
        <f>IF(OR(ISBLANK(J44),ISBLANK(K44)),IF(OR(H44="ALI",H44="AIE"),"L",IF(ISBLANK(H44),"","A")),IF(H44="EE",IF(K44&gt;=3,IF(J44&gt;=5,"H","A"),IF(K44&gt;=2,IF(J44&gt;=16,"H",IF(J44&lt;=4,"L","A")),IF(J44&lt;=15,"L","A"))),IF(OR(H44="SE",H44="CE"),IF(K44&gt;=4,IF(J44&gt;=6,"H","A"),IF(K44&gt;=2,IF(J44&gt;=20,"H",IF(J44&lt;=5,"L","A")),IF(J44&lt;=19,"L","A"))),IF(OR(H44="ALI",H44="AIE"),IF(K44&gt;=6,IF(J44&gt;=20,"H","A"),IF(K44&gt;=2,IF(J44&gt;=51,"H",IF(J44&lt;=19,"L","A")),IF(J44&lt;=50,"L","A")))))))</f>
        <v/>
      </c>
      <c r="N44" s="52">
        <f>IF(M44="L","Baixa",IF(M44="A","Média",IF(M44="","","Alta")))</f>
        <v/>
      </c>
      <c r="O44" s="53">
        <f>IF(ISBLANK(H44),"",IF(H44="ALI",IF(M44="L",7,IF(M44="A",10,15)),IF(H44="AIE",IF(M44="L",5,IF(M44="A",7,10)),IF(H44="SE",IF(M44="L",4,IF(M44="A",5,7)),IF(OR(H44="EE",H44="CE"),IF(M44="L",3,IF(M44="A",4,6)))))))</f>
        <v/>
      </c>
      <c r="P44" s="54">
        <f>IF(I44="I",O44*Contagem!$W$15,IF(I44="E",O44*Contagem!$W$17,IF(I44="A",O44*Contagem!$W$16,IF(I44="T",O44*Contagem!$W$18,""))))</f>
        <v/>
      </c>
      <c r="Q44" s="55" t="n"/>
    </row>
    <row r="45" ht="12" customHeight="1" s="73">
      <c r="A45" s="14">
        <f>IF(H45="",IF(C45="",A44,A44+1),A44)</f>
        <v/>
      </c>
      <c r="B45" s="48">
        <f>IF(A45=A44,"",CONCATENATE("F",A45))</f>
        <v/>
      </c>
      <c r="C45" s="85" t="inlineStr">
        <is>
          <t>Dados - Usuário</t>
        </is>
      </c>
      <c r="D45" s="142" t="n"/>
      <c r="E45" s="142" t="n"/>
      <c r="F45" s="142" t="n"/>
      <c r="G45" s="143" t="n"/>
      <c r="H45" s="56" t="inlineStr">
        <is>
          <t>ALI</t>
        </is>
      </c>
      <c r="I45" s="57" t="inlineStr">
        <is>
          <t>I</t>
        </is>
      </c>
      <c r="J45" s="56" t="n">
        <v>26</v>
      </c>
      <c r="K45" s="56" t="n">
        <v>4</v>
      </c>
      <c r="L45" s="50">
        <f>CONCATENATE(H45,M45)</f>
        <v/>
      </c>
      <c r="M45" s="51">
        <f>IF(OR(ISBLANK(J45),ISBLANK(K45)),IF(OR(H45="ALI",H45="AIE"),"L",IF(ISBLANK(H45),"","A")),IF(H45="EE",IF(K45&gt;=3,IF(J45&gt;=5,"H","A"),IF(K45&gt;=2,IF(J45&gt;=16,"H",IF(J45&lt;=4,"L","A")),IF(J45&lt;=15,"L","A"))),IF(OR(H45="SE",H45="CE"),IF(K45&gt;=4,IF(J45&gt;=6,"H","A"),IF(K45&gt;=2,IF(J45&gt;=20,"H",IF(J45&lt;=5,"L","A")),IF(J45&lt;=19,"L","A"))),IF(OR(H45="ALI",H45="AIE"),IF(K45&gt;=6,IF(J45&gt;=20,"H","A"),IF(K45&gt;=2,IF(J45&gt;=51,"H",IF(J45&lt;=19,"L","A")),IF(J45&lt;=50,"L","A")))))))</f>
        <v/>
      </c>
      <c r="N45" s="52">
        <f>IF(M45="L","Baixa",IF(M45="A","Média",IF(M45="","","Alta")))</f>
        <v/>
      </c>
      <c r="O45" s="53">
        <f>IF(ISBLANK(H45),"",IF(H45="ALI",IF(M45="L",7,IF(M45="A",10,15)),IF(H45="AIE",IF(M45="L",5,IF(M45="A",7,10)),IF(H45="SE",IF(M45="L",4,IF(M45="A",5,7)),IF(OR(H45="EE",H45="CE"),IF(M45="L",3,IF(M45="A",4,6)))))))</f>
        <v/>
      </c>
      <c r="P45" s="54">
        <f>IF(I45="I",O45*Contagem!$W$15,IF(I45="E",O45*Contagem!$W$17,IF(I45="A",O45*Contagem!$W$16,IF(I45="T",O45*Contagem!$W$18,""))))</f>
        <v/>
      </c>
      <c r="Q45" s="55" t="inlineStr">
        <is>
          <t>Prova: Model app/Models/User.php; migrations 0001_01_01_000000_create_users_table, 2026_06_09_234617_add_two_factor_columns_to_users_table, 2026_06_10_020811_add_cpf_and_phone_to_users_table, 2026_06_10_141715_add_inactivated_at_to_users_table, 2026_09_24_183700_add_auth_columns_to_users_table, 2026_06_12_151920_create_gov_br_accounts_table, 2026_10_14_173252_create_access_requests_table (Model AccessRequest) e 2026_06_10_022241_create_legal_term_acceptances_table (Model LegalTermAcceptance). Mantido por autocadastro, perfil, login gov.br e AD, gestão de usuários, solicitação de acesso e aceite do termo LGPD. Teste: tests/Feature/Users/SolicitacaoAcessoTest.php::test_administrador_aprova_com_outro_perfil. Arquivo lógico: a conta de acesso com dados pessoais, perfil, forma de autenticação, pedidos de acesso e consentimentos. Teste de independência: a solicitação de acesso (user_id com cascadeOnDelete, várias por conta após recusa) e o aceite de termo (associativa usuário x termo, cascadeOnDelete, com IP, navegador e data) só existem com a conta e têm atributos não-chave: são RLR de Usuário, não ALI separados (Parte 1 §5.4.2; Parte 3 Cap. 2). O vínculo gov.br é subtipo opcional da conta com atributos próprios. O histórico de lotação (user_sector_assignments) é controle interno de vigência gravado no login AD e não é exibido em nenhuma tela: não é reconhecido pelo usuário e não conta. TD=26 (nome, e-mail, CPF, telefone, senha, e-mail verificado em, autenticação em dois fatores, forma de autenticação, usuário AD, inativado em, perfil de acesso, setores, nível de confiabilidade gov.br, vinculado ao gov.br em, última autenticação gov.br, perfil solicitado, justificativa da solicitação, situação da solicitação, solicitada em, decidida por, decidida em, motivo da recusa, termo aceito (tipo e versão), IP do aceite, navegador do aceite, aceito em). TR=4 (conta, vínculo gov.br, solicitação de acesso, aceite de termo legal). Recontagem 16/10/2026: alterada (linha 505 da contagem de 01/10/2026: "Dados - Usuário", ALI Baixa 7 PF, TD 15, AR 2). Motivo: TD 15→26 e TR 2→4: entram os subgrupos Solicitação de acesso (access_requests, criada em 14/10/2026) e Aceite de termo legal (antes ALI próprio, linha 502), ambos dependentes da conta e com atributos não-chave. PF 7→10 (ALI Média).</t>
        </is>
      </c>
    </row>
    <row r="46" ht="12" customHeight="1" s="73">
      <c r="A46" s="14">
        <f>IF(H46="",IF(C46="",A45,A45+1),A45)</f>
        <v/>
      </c>
      <c r="B46" s="48">
        <f>IF(A46=A45,"",CONCATENATE("F",A46))</f>
        <v/>
      </c>
      <c r="C46" s="85" t="inlineStr">
        <is>
          <t>Usuários - consultar</t>
        </is>
      </c>
      <c r="D46" s="142" t="n"/>
      <c r="E46" s="142" t="n"/>
      <c r="F46" s="142" t="n"/>
      <c r="G46" s="143" t="n"/>
      <c r="H46" s="56" t="inlineStr">
        <is>
          <t>SE</t>
        </is>
      </c>
      <c r="I46" s="57" t="inlineStr">
        <is>
          <t>I</t>
        </is>
      </c>
      <c r="J46" s="56" t="n">
        <v>11</v>
      </c>
      <c r="K46" s="56" t="n">
        <v>2</v>
      </c>
      <c r="L46" s="50">
        <f>CONCATENATE(H46,M46)</f>
        <v/>
      </c>
      <c r="M46" s="51">
        <f>IF(OR(ISBLANK(J46),ISBLANK(K46)),IF(OR(H46="ALI",H46="AIE"),"L",IF(ISBLANK(H46),"","A")),IF(H46="EE",IF(K46&gt;=3,IF(J46&gt;=5,"H","A"),IF(K46&gt;=2,IF(J46&gt;=16,"H",IF(J46&lt;=4,"L","A")),IF(J46&lt;=15,"L","A"))),IF(OR(H46="SE",H46="CE"),IF(K46&gt;=4,IF(J46&gt;=6,"H","A"),IF(K46&gt;=2,IF(J46&gt;=20,"H",IF(J46&lt;=5,"L","A")),IF(J46&lt;=19,"L","A"))),IF(OR(H46="ALI",H46="AIE"),IF(K46&gt;=6,IF(J46&gt;=20,"H","A"),IF(K46&gt;=2,IF(J46&gt;=51,"H",IF(J46&lt;=19,"L","A")),IF(J46&lt;=50,"L","A")))))))</f>
        <v/>
      </c>
      <c r="N46" s="52">
        <f>IF(M46="L","Baixa",IF(M46="A","Média",IF(M46="","","Alta")))</f>
        <v/>
      </c>
      <c r="O46" s="53">
        <f>IF(ISBLANK(H46),"",IF(H46="ALI",IF(M46="L",7,IF(M46="A",10,15)),IF(H46="AIE",IF(M46="L",5,IF(M46="A",7,10)),IF(H46="SE",IF(M46="L",4,IF(M46="A",5,7)),IF(OR(H46="EE",H46="CE"),IF(M46="L",3,IF(M46="A",4,6)))))))</f>
        <v/>
      </c>
      <c r="P46" s="54">
        <f>IF(I46="I",O46*Contagem!$W$15,IF(I46="E",O46*Contagem!$W$17,IF(I46="A",O46*Contagem!$W$16,IF(I46="T",O46*Contagem!$W$18,""))))</f>
        <v/>
      </c>
      <c r="Q46" s="55" t="inlineStr">
        <is>
          <t>Prova: Rota GET /gestao/usuarios (permissão manter-usuarios). Tela: gestao/usuarios/index. O gestor busca por nome ou e-mail e alterna as abas equipe SEDUR e portal. Lê Usuário e Perfil de acesso (escopos equipeSedur e usuarioPortal pela permissão acessar-gestao; conta AD sempre na equipe); não grava. A exportação (?formato=csv/xlsx/pdf, ReportExporter) não tem botão nesta tela (a página não usa ExportMenu; só é alcançável digitando a URL) e não é contada como função; a consulta da tela não grava Trilha de auditoria (o log só ocorre no ramo ?formato=), por isso continua sem FTR de registro. Teste: tests/Feature/Users/ManageUsersTest.php::test_conta_ad_sem_papel_conta_como_equipe_sedur_e_nunca_como_portal. Processo elementar independente: menor unidade com significado para o gestor; completa por si (do filtro à lista); deixa o negócio consistente (nada muda); lógica única (separa equipe e portal, mascara CPF e totaliza por aba). A lista de solicitações pendentes da mesma tela é processo distinto (outros DER e outra lógica). Classificação: mostra dado derivado (total por aba, CPF mascarado): SE, não CE (§5.5.3). TD=11 (busca por nome ou e-mail, aba, nome, e-mail, perfil, inativado em, CPF mascarado, forma de autenticação, usuário AD, total por aba, ação de consultar). AR=2 (Usuário, Perfil de acesso). Recontagem 16/10/2026: alterada (linha 218 da contagem de 01/10/2026: "Usuários - consultar", SE Baixa 4 PF, TD 10, AR 1). Motivo: TD 10→11: +1 DER de ação. AR 1→2: a separação das abas lê as permissões do perfil (acessar-gestao), agora no ALI Perfil de acesso. PF 4→5 (SE Média).</t>
        </is>
      </c>
    </row>
    <row r="47" ht="12" customHeight="1" s="73">
      <c r="A47" s="14">
        <f>IF(H47="",IF(C47="",A46,A46+1),A46)</f>
        <v/>
      </c>
      <c r="B47" s="48">
        <f>IF(A47=A46,"",CONCATENATE("F",A47))</f>
        <v/>
      </c>
      <c r="C47" s="85" t="inlineStr">
        <is>
          <t>Usuários - ativar ou inativar</t>
        </is>
      </c>
      <c r="D47" s="142" t="n"/>
      <c r="E47" s="142" t="n"/>
      <c r="F47" s="142" t="n"/>
      <c r="G47" s="143" t="n"/>
      <c r="H47" s="56" t="inlineStr">
        <is>
          <t>EE</t>
        </is>
      </c>
      <c r="I47" s="57" t="inlineStr">
        <is>
          <t>I</t>
        </is>
      </c>
      <c r="J47" s="56" t="n">
        <v>4</v>
      </c>
      <c r="K47" s="56" t="n">
        <v>2</v>
      </c>
      <c r="L47" s="50">
        <f>CONCATENATE(H47,M47)</f>
        <v/>
      </c>
      <c r="M47" s="51">
        <f>IF(OR(ISBLANK(J47),ISBLANK(K47)),IF(OR(H47="ALI",H47="AIE"),"L",IF(ISBLANK(H47),"","A")),IF(H47="EE",IF(K47&gt;=3,IF(J47&gt;=5,"H","A"),IF(K47&gt;=2,IF(J47&gt;=16,"H",IF(J47&lt;=4,"L","A")),IF(J47&lt;=15,"L","A"))),IF(OR(H47="SE",H47="CE"),IF(K47&gt;=4,IF(J47&gt;=6,"H","A"),IF(K47&gt;=2,IF(J47&gt;=20,"H",IF(J47&lt;=5,"L","A")),IF(J47&lt;=19,"L","A"))),IF(OR(H47="ALI",H47="AIE"),IF(K47&gt;=6,IF(J47&gt;=20,"H","A"),IF(K47&gt;=2,IF(J47&gt;=51,"H",IF(J47&lt;=19,"L","A")),IF(J47&lt;=50,"L","A")))))))</f>
        <v/>
      </c>
      <c r="N47" s="52">
        <f>IF(M47="L","Baixa",IF(M47="A","Média",IF(M47="","","Alta")))</f>
        <v/>
      </c>
      <c r="O47" s="53">
        <f>IF(ISBLANK(H47),"",IF(H47="ALI",IF(M47="L",7,IF(M47="A",10,15)),IF(H47="AIE",IF(M47="L",5,IF(M47="A",7,10)),IF(H47="SE",IF(M47="L",4,IF(M47="A",5,7)),IF(OR(H47="EE",H47="CE"),IF(M47="L",3,IF(M47="A",4,6)))))))</f>
        <v/>
      </c>
      <c r="P47" s="54">
        <f>IF(I47="I",O47*Contagem!$W$15,IF(I47="E",O47*Contagem!$W$17,IF(I47="A",O47*Contagem!$W$16,IF(I47="T",O47*Contagem!$W$18,""))))</f>
        <v/>
      </c>
      <c r="Q47" s="55" t="inlineStr">
        <is>
          <t>Prova: Rota PUT /gestao/usuarios/{user}/inativacao (permissão manter-usuarios). Tela: gestao/usuarios/index. O gestor ativa ou inativa a conta. Grava inactivated_at em Usuário e a trilha de auditoria (dado pessoal). Resultado: conta inativa não entra mais. Teste: tests/Feature/Users/ManageUsersTest.php::test_inativacao_pela_interface_bloqueia_o_login_de_verdade. Processo elementar independente: menor unidade com significado para o gestor; completa por si (do clique à conta alterada); deixa o negócio consistente (conta ativa ou inativa, auditada); lógica única (alterna a situação e impede a autoinativação). TD=4 (usuário, situação da conta, mensagem, ação). AR=2 (Usuário, Trilha de auditoria). Registros automáticos contados como FTR (premissa P4): Trilha de auditoria. Recontagem 16/10/2026: mantida (linha 219 da contagem de 01/10/2026).</t>
        </is>
      </c>
    </row>
    <row r="48" ht="12" customHeight="1" s="73">
      <c r="A48" s="14">
        <f>IF(H48="",IF(C48="",A47,A47+1),A47)</f>
        <v/>
      </c>
      <c r="B48" s="48">
        <f>IF(A48=A47,"",CONCATENATE("F",A48))</f>
        <v/>
      </c>
      <c r="C48" s="85" t="inlineStr">
        <is>
          <t>Usuários - alterar perfil de acesso</t>
        </is>
      </c>
      <c r="D48" s="142" t="n"/>
      <c r="E48" s="142" t="n"/>
      <c r="F48" s="142" t="n"/>
      <c r="G48" s="143" t="n"/>
      <c r="H48" s="56" t="inlineStr">
        <is>
          <t>EE</t>
        </is>
      </c>
      <c r="I48" s="57" t="inlineStr">
        <is>
          <t>I</t>
        </is>
      </c>
      <c r="J48" s="56" t="n">
        <v>4</v>
      </c>
      <c r="K48" s="56" t="n">
        <v>3</v>
      </c>
      <c r="L48" s="50">
        <f>CONCATENATE(H48,M48)</f>
        <v/>
      </c>
      <c r="M48" s="51">
        <f>IF(OR(ISBLANK(J48),ISBLANK(K48)),IF(OR(H48="ALI",H48="AIE"),"L",IF(ISBLANK(H48),"","A")),IF(H48="EE",IF(K48&gt;=3,IF(J48&gt;=5,"H","A"),IF(K48&gt;=2,IF(J48&gt;=16,"H",IF(J48&lt;=4,"L","A")),IF(J48&lt;=15,"L","A"))),IF(OR(H48="SE",H48="CE"),IF(K48&gt;=4,IF(J48&gt;=6,"H","A"),IF(K48&gt;=2,IF(J48&gt;=20,"H",IF(J48&lt;=5,"L","A")),IF(J48&lt;=19,"L","A"))),IF(OR(H48="ALI",H48="AIE"),IF(K48&gt;=6,IF(J48&gt;=20,"H","A"),IF(K48&gt;=2,IF(J48&gt;=51,"H",IF(J48&lt;=19,"L","A")),IF(J48&lt;=50,"L","A")))))))</f>
        <v/>
      </c>
      <c r="N48" s="52">
        <f>IF(M48="L","Baixa",IF(M48="A","Média",IF(M48="","","Alta")))</f>
        <v/>
      </c>
      <c r="O48" s="53">
        <f>IF(ISBLANK(H48),"",IF(H48="ALI",IF(M48="L",7,IF(M48="A",10,15)),IF(H48="AIE",IF(M48="L",5,IF(M48="A",7,10)),IF(H48="SE",IF(M48="L",4,IF(M48="A",5,7)),IF(OR(H48="EE",H48="CE"),IF(M48="L",3,IF(M48="A",4,6)))))))</f>
        <v/>
      </c>
      <c r="P48" s="54">
        <f>IF(I48="I",O48*Contagem!$W$15,IF(I48="E",O48*Contagem!$W$17,IF(I48="A",O48*Contagem!$W$16,IF(I48="T",O48*Contagem!$W$18,""))))</f>
        <v/>
      </c>
      <c r="Q48" s="55" t="inlineStr">
        <is>
          <t>Prova: Rota PUT /gestao/usuarios/{user}/papel (permissão manter-usuarios). Tela: gestao/usuarios/index. O gestor escolhe o perfil; UpdateUserRoleRequest valida que o perfil existe. Lê Perfil de acesso; grava o perfil da conta em Usuário (syncRoles) e a Trilha de auditoria com o perfil anterior e o novo. Resultado: as permissões da conta mudam. Teste: tests/Feature/Users/ManageUsersTest.php::test_altera_papel_do_usuario_com_auditoria. Processo elementar independente: menor unidade com significado para o gestor; completa por si (escolha do perfil até a gravação); deixa o negócio consistente (um perfil por conta, auditado); lógica única (substitui o perfil e registra anterior e novo). Classificação: mantém ALI, EE. TD=4 (usuário, perfil de acesso, mensagem, ação). AR=3 (Usuário, Perfil de acesso, Trilha de auditoria). Registros automáticos contados como FTR (premissa P4): Trilha de auditoria. Recontagem 16/10/2026: alterada (linha 220 da contagem de 01/10/2026: "Usuários - alterar perfil de acesso", EE Baixa 3 PF, TD 4, AR 2). Motivo: AR 2→3: o perfil escolhido é validado contra o ALI Perfil de acesso (antes embutido em Usuário). PF 3→4 (EE Média).</t>
        </is>
      </c>
    </row>
    <row r="49" ht="12" customHeight="1" s="73">
      <c r="A49" s="14">
        <f>IF(H49="",IF(C49="",A48,A48+1),A48)</f>
        <v/>
      </c>
      <c r="B49" s="48">
        <f>IF(A49=A48,"",CONCATENATE("F",A49))</f>
        <v/>
      </c>
      <c r="C49" s="85" t="inlineStr">
        <is>
          <t>Usuários - alterar forma de autenticação</t>
        </is>
      </c>
      <c r="D49" s="142" t="n"/>
      <c r="E49" s="142" t="n"/>
      <c r="F49" s="142" t="n"/>
      <c r="G49" s="143" t="n"/>
      <c r="H49" s="56" t="inlineStr">
        <is>
          <t>EE</t>
        </is>
      </c>
      <c r="I49" s="57" t="inlineStr">
        <is>
          <t>I</t>
        </is>
      </c>
      <c r="J49" s="56" t="n">
        <v>5</v>
      </c>
      <c r="K49" s="56" t="n">
        <v>3</v>
      </c>
      <c r="L49" s="50">
        <f>CONCATENATE(H49,M49)</f>
        <v/>
      </c>
      <c r="M49" s="51">
        <f>IF(OR(ISBLANK(J49),ISBLANK(K49)),IF(OR(H49="ALI",H49="AIE"),"L",IF(ISBLANK(H49),"","A")),IF(H49="EE",IF(K49&gt;=3,IF(J49&gt;=5,"H","A"),IF(K49&gt;=2,IF(J49&gt;=16,"H",IF(J49&lt;=4,"L","A")),IF(J49&lt;=15,"L","A"))),IF(OR(H49="SE",H49="CE"),IF(K49&gt;=4,IF(J49&gt;=6,"H","A"),IF(K49&gt;=2,IF(J49&gt;=20,"H",IF(J49&lt;=5,"L","A")),IF(J49&lt;=19,"L","A"))),IF(OR(H49="ALI",H49="AIE"),IF(K49&gt;=6,IF(J49&gt;=20,"H","A"),IF(K49&gt;=2,IF(J49&gt;=51,"H",IF(J49&lt;=19,"L","A")),IF(J49&lt;=50,"L","A")))))))</f>
        <v/>
      </c>
      <c r="N49" s="52">
        <f>IF(M49="L","Baixa",IF(M49="A","Média",IF(M49="","","Alta")))</f>
        <v/>
      </c>
      <c r="O49" s="53">
        <f>IF(ISBLANK(H49),"",IF(H49="ALI",IF(M49="L",7,IF(M49="A",10,15)),IF(H49="AIE",IF(M49="L",5,IF(M49="A",7,10)),IF(H49="SE",IF(M49="L",4,IF(M49="A",5,7)),IF(OR(H49="EE",H49="CE"),IF(M49="L",3,IF(M49="A",4,6)))))))</f>
        <v/>
      </c>
      <c r="P49" s="54">
        <f>IF(I49="I",O49*Contagem!$W$15,IF(I49="E",O49*Contagem!$W$17,IF(I49="A",O49*Contagem!$W$16,IF(I49="T",O49*Contagem!$W$18,""))))</f>
        <v/>
      </c>
      <c r="Q49" s="55" t="inlineStr">
        <is>
          <t>Prova: Rota PUT /gestao/usuarios/{user}/autenticacao (permissão manter-usuarios). Tela: gestao/usuarios/index. O gestor define AD ou local. Grava auth_type e ad_username em Usuário e invalida a senha anterior; se a conta passa de AD para local, gera o link de nova senha e grava o Registro de envio de e-mail; grava Trilha de auditoria. O envio em si é efeito automático e não é função à parte. Teste: tests/Feature/Gestao/UserAuthTypeTest.php::test_conversao_para_local_envia_link_para_definir_nova_senha. Processo elementar independente: menor unidade com significado para o gestor; completa por si (do formulário à conta convertida); deixa o negócio consistente (credencial anterior inutilizada); lógica única (troca o mecanismo de autenticação). Classificação: mantém ALI, EE. TD=5 (usuário, forma de autenticação, usuário AD, mensagem, ação). AR=3 (Usuário, Registro de envio de e-mail, Trilha de auditoria). Registros automáticos contados como FTR (premissa P4): Registro de envio de e-mail, Trilha de auditoria. Recontagem 16/10/2026: alterada (linha 221 da contagem de 01/10/2026: "Usuários - alterar forma de autenticação", EE Média 4 PF, TD 5, AR 2). Motivo: AR 2→3: ao converter conta AD em local, o processo grava o Registro de envio de e-mail do link de nova senha (User::sendGestaoPasswordResetNotification cria EmailLog). PF 4→6 (EE Alta).</t>
        </is>
      </c>
    </row>
    <row r="50" ht="12" customHeight="1" s="73">
      <c r="A50" s="14">
        <f>IF(H50="",IF(C50="",A49,A49+1),A49)</f>
        <v/>
      </c>
      <c r="B50" s="48">
        <f>IF(A50=A49,"",CONCATENATE("F",A50))</f>
        <v/>
      </c>
      <c r="C50" s="85" t="inlineStr">
        <is>
          <t>Solicitação de acesso - solicitar perfil</t>
        </is>
      </c>
      <c r="D50" s="142" t="n"/>
      <c r="E50" s="142" t="n"/>
      <c r="F50" s="142" t="n"/>
      <c r="G50" s="143" t="n"/>
      <c r="H50" s="56" t="inlineStr">
        <is>
          <t>EE</t>
        </is>
      </c>
      <c r="I50" s="57" t="inlineStr">
        <is>
          <t>I</t>
        </is>
      </c>
      <c r="J50" s="56" t="n">
        <v>4</v>
      </c>
      <c r="K50" s="56" t="n">
        <v>3</v>
      </c>
      <c r="L50" s="50">
        <f>CONCATENATE(H50,M50)</f>
        <v/>
      </c>
      <c r="M50" s="51">
        <f>IF(OR(ISBLANK(J50),ISBLANK(K50)),IF(OR(H50="ALI",H50="AIE"),"L",IF(ISBLANK(H50),"","A")),IF(H50="EE",IF(K50&gt;=3,IF(J50&gt;=5,"H","A"),IF(K50&gt;=2,IF(J50&gt;=16,"H",IF(J50&lt;=4,"L","A")),IF(J50&lt;=15,"L","A"))),IF(OR(H50="SE",H50="CE"),IF(K50&gt;=4,IF(J50&gt;=6,"H","A"),IF(K50&gt;=2,IF(J50&gt;=20,"H",IF(J50&lt;=5,"L","A")),IF(J50&lt;=19,"L","A"))),IF(OR(H50="ALI",H50="AIE"),IF(K50&gt;=6,IF(J50&gt;=20,"H","A"),IF(K50&gt;=2,IF(J50&gt;=51,"H",IF(J50&lt;=19,"L","A")),IF(J50&lt;=50,"L","A")))))))</f>
        <v/>
      </c>
      <c r="N50" s="52">
        <f>IF(M50="L","Baixa",IF(M50="A","Média",IF(M50="","","Alta")))</f>
        <v/>
      </c>
      <c r="O50" s="53">
        <f>IF(ISBLANK(H50),"",IF(H50="ALI",IF(M50="L",7,IF(M50="A",10,15)),IF(H50="AIE",IF(M50="L",5,IF(M50="A",7,10)),IF(H50="SE",IF(M50="L",4,IF(M50="A",5,7)),IF(OR(H50="EE",H50="CE"),IF(M50="L",3,IF(M50="A",4,6)))))))</f>
        <v/>
      </c>
      <c r="P50" s="54">
        <f>IF(I50="I",O50*Contagem!$W$15,IF(I50="E",O50*Contagem!$W$17,IF(I50="A",O50*Contagem!$W$16,IF(I50="T",O50*Contagem!$W$18,""))))</f>
        <v/>
      </c>
      <c r="Q50" s="55" t="inlineStr">
        <is>
          <t>Prova: Rota POST /gestao/solicitacao-acesso (auth:gestao, servidor sem perfil). Tela: gestao/dashboard (bloco de primeiro acesso). O servidor que entrou pelo AD sem perfil escolhe um perfil solicitável e escreve a justificativa (StoreAccessRequestRequest: perfil na lista de PerfisSolicitaveis, justificativa de 10 a 500 caracteres). Lê Usuário (já tem perfil? já há pedido pendente?) e Perfil de acesso; grava a solicitação (subgrupo de Usuário) com situação pendente e a Trilha de auditoria. Teste: tests/Feature/Users/SolicitacaoAcessoTest.php::test_servidor_solicita_um_perfil e ::test_segunda_solicitacao_pendente_e_barrada. Processo elementar independente: menor unidade com significado para o servidor; completa por si (formulário até o pedido registrado); deixa o negócio consistente (um pedido pendente por conta); lógica única (criação do pedido, distinta da decisão do administrador). Classificação: intenção primária é manter Usuário (subgrupo solicitação), EE (§5.5.3). TD=4 (perfil solicitado, justificativa, mensagem, ação enviar). AR=3 (Usuário, Perfil de acesso, Trilha de auditoria). Registros automáticos contados como FTR (premissa P4): Trilha de auditoria. Recontagem 16/10/2026: nova (não constava da contagem de 01/10/2026).</t>
        </is>
      </c>
    </row>
    <row r="51" ht="12" customHeight="1" s="73">
      <c r="A51" s="14">
        <f>IF(H51="",IF(C51="",A50,A50+1),A50)</f>
        <v/>
      </c>
      <c r="B51" s="48">
        <f>IF(A51=A50,"",CONCATENATE("F",A51))</f>
        <v/>
      </c>
      <c r="C51" s="85" t="inlineStr">
        <is>
          <t>Solicitação de acesso - consultar situação do pedido</t>
        </is>
      </c>
      <c r="D51" s="142" t="n"/>
      <c r="E51" s="142" t="n"/>
      <c r="F51" s="142" t="n"/>
      <c r="G51" s="143" t="n"/>
      <c r="H51" s="56" t="inlineStr">
        <is>
          <t>CE</t>
        </is>
      </c>
      <c r="I51" s="57" t="inlineStr">
        <is>
          <t>I</t>
        </is>
      </c>
      <c r="J51" s="56" t="n">
        <v>6</v>
      </c>
      <c r="K51" s="56" t="n">
        <v>2</v>
      </c>
      <c r="L51" s="50">
        <f>CONCATENATE(H51,M51)</f>
        <v/>
      </c>
      <c r="M51" s="51">
        <f>IF(OR(ISBLANK(J51),ISBLANK(K51)),IF(OR(H51="ALI",H51="AIE"),"L",IF(ISBLANK(H51),"","A")),IF(H51="EE",IF(K51&gt;=3,IF(J51&gt;=5,"H","A"),IF(K51&gt;=2,IF(J51&gt;=16,"H",IF(J51&lt;=4,"L","A")),IF(J51&lt;=15,"L","A"))),IF(OR(H51="SE",H51="CE"),IF(K51&gt;=4,IF(J51&gt;=6,"H","A"),IF(K51&gt;=2,IF(J51&gt;=20,"H",IF(J51&lt;=5,"L","A")),IF(J51&lt;=19,"L","A"))),IF(OR(H51="ALI",H51="AIE"),IF(K51&gt;=6,IF(J51&gt;=20,"H","A"),IF(K51&gt;=2,IF(J51&gt;=51,"H",IF(J51&lt;=19,"L","A")),IF(J51&lt;=50,"L","A")))))))</f>
        <v/>
      </c>
      <c r="N51" s="52">
        <f>IF(M51="L","Baixa",IF(M51="A","Média",IF(M51="","","Alta")))</f>
        <v/>
      </c>
      <c r="O51" s="53">
        <f>IF(ISBLANK(H51),"",IF(H51="ALI",IF(M51="L",7,IF(M51="A",10,15)),IF(H51="AIE",IF(M51="L",5,IF(M51="A",7,10)),IF(H51="SE",IF(M51="L",4,IF(M51="A",5,7)),IF(OR(H51="EE",H51="CE"),IF(M51="L",3,IF(M51="A",4,6)))))))</f>
        <v/>
      </c>
      <c r="P51" s="54">
        <f>IF(I51="I",O51*Contagem!$W$15,IF(I51="E",O51*Contagem!$W$17,IF(I51="A",O51*Contagem!$W$16,IF(I51="T",O51*Contagem!$W$18,""))))</f>
        <v/>
      </c>
      <c r="Q51" s="55" t="inlineStr">
        <is>
          <t>Prova: Rota GET /gestao (DashboardController::acessoPendente, só para servidor sem perfil). Tela: gestao/dashboard. O servidor vê os perfis que pode pedir e o estado do último pedido: pendente, ou recusado com o motivo, podendo pedir de novo. Lê Usuário (último pedido) e Perfil de acesso; não grava. Teste: tests/Feature/Users/SolicitacaoAcessoTest.php::test_painel_mostra_a_recusa_e_permite_pedir_de_novo. Processo elementar independente: menor unidade com significado para o servidor; completa por si (abre o painel e recebe o estado do pedido); deixa o negócio consistente (nada muda); lógica única (último pedido da própria conta), distinta dos indicadores do painel, que não aparecem para conta sem perfil. Classificação: recuperação sem cálculo nem derivação, CE (§5.5.3). TD=6 (perfis solicitáveis, situação da solicitação, perfil solicitado, justificativa, motivo da recusa, ação de abrir o painel). AR=2 (Usuário, Perfil de acesso). Recontagem 16/10/2026: nova (não constava da contagem de 01/10/2026).</t>
        </is>
      </c>
    </row>
    <row r="52" ht="12" customHeight="1" s="73">
      <c r="A52" s="14">
        <f>IF(H52="",IF(C52="",A51,A51+1),A51)</f>
        <v/>
      </c>
      <c r="B52" s="48">
        <f>IF(A52=A51,"",CONCATENATE("F",A52))</f>
        <v/>
      </c>
      <c r="C52" s="85" t="inlineStr">
        <is>
          <t>Solicitações de acesso - consultar pendentes</t>
        </is>
      </c>
      <c r="D52" s="142" t="n"/>
      <c r="E52" s="142" t="n"/>
      <c r="F52" s="142" t="n"/>
      <c r="G52" s="143" t="n"/>
      <c r="H52" s="56" t="inlineStr">
        <is>
          <t>CE</t>
        </is>
      </c>
      <c r="I52" s="57" t="inlineStr">
        <is>
          <t>I</t>
        </is>
      </c>
      <c r="J52" s="56" t="n">
        <v>7</v>
      </c>
      <c r="K52" s="56" t="n">
        <v>2</v>
      </c>
      <c r="L52" s="50">
        <f>CONCATENATE(H52,M52)</f>
        <v/>
      </c>
      <c r="M52" s="51">
        <f>IF(OR(ISBLANK(J52),ISBLANK(K52)),IF(OR(H52="ALI",H52="AIE"),"L",IF(ISBLANK(H52),"","A")),IF(H52="EE",IF(K52&gt;=3,IF(J52&gt;=5,"H","A"),IF(K52&gt;=2,IF(J52&gt;=16,"H",IF(J52&lt;=4,"L","A")),IF(J52&lt;=15,"L","A"))),IF(OR(H52="SE",H52="CE"),IF(K52&gt;=4,IF(J52&gt;=6,"H","A"),IF(K52&gt;=2,IF(J52&gt;=20,"H",IF(J52&lt;=5,"L","A")),IF(J52&lt;=19,"L","A"))),IF(OR(H52="ALI",H52="AIE"),IF(K52&gt;=6,IF(J52&gt;=20,"H","A"),IF(K52&gt;=2,IF(J52&gt;=51,"H",IF(J52&lt;=19,"L","A")),IF(J52&lt;=50,"L","A")))))))</f>
        <v/>
      </c>
      <c r="N52" s="52">
        <f>IF(M52="L","Baixa",IF(M52="A","Média",IF(M52="","","Alta")))</f>
        <v/>
      </c>
      <c r="O52" s="53">
        <f>IF(ISBLANK(H52),"",IF(H52="ALI",IF(M52="L",7,IF(M52="A",10,15)),IF(H52="AIE",IF(M52="L",5,IF(M52="A",7,10)),IF(H52="SE",IF(M52="L",4,IF(M52="A",5,7)),IF(OR(H52="EE",H52="CE"),IF(M52="L",3,IF(M52="A",4,6)))))))</f>
        <v/>
      </c>
      <c r="P52" s="54">
        <f>IF(I52="I",O52*Contagem!$W$15,IF(I52="E",O52*Contagem!$W$17,IF(I52="A",O52*Contagem!$W$16,IF(I52="T",O52*Contagem!$W$18,""))))</f>
        <v/>
      </c>
      <c r="Q52" s="55" t="inlineStr">
        <is>
          <t>Prova: Rota GET /gestao/usuarios (permissão manter-usuarios), prop solicitacoes de UserManagementController@index. Tela: gestao/usuarios/index (quadro de solicitações pendentes). O administrador vê os pedidos pendentes, do mais antigo ao mais novo, com quem pediu, o perfil e a justificativa. Lê Usuário (solicitações pendentes e dados do servidor) e Perfil de acesso; não grava. Teste: tests/Feature/Users/SolicitacaoAcessoTest.php::test_administrador_ve_as_solicitacoes_pendentes_em_usuarios. Processo elementar independente: menor unidade com significado para o administrador (fila de pedidos a decidir); completa por si; deixa o negócio consistente (nada muda); lógica única (só pendentes, sem aba nem busca), com DER diferentes da lista de usuários, por isso não se confunde com Usuários - consultar (§5.5.2.2). Classificação: recuperação sem cálculo, CE (§5.5.3). TD=7 (nome, e-mail, usuário AD, perfil solicitado, justificativa, data da solicitação, ação de consultar). AR=2 (Usuário, Perfil de acesso). Recontagem 16/10/2026: nova (não constava da contagem de 01/10/2026).</t>
        </is>
      </c>
    </row>
    <row r="53" ht="12" customHeight="1" s="73">
      <c r="A53" s="14">
        <f>IF(H53="",IF(C53="",A52,A52+1),A52)</f>
        <v/>
      </c>
      <c r="B53" s="48">
        <f>IF(A53=A52,"",CONCATENATE("F",A53))</f>
        <v/>
      </c>
      <c r="C53" s="85" t="inlineStr">
        <is>
          <t>Solicitações de acesso - aprovar</t>
        </is>
      </c>
      <c r="D53" s="142" t="n"/>
      <c r="E53" s="142" t="n"/>
      <c r="F53" s="142" t="n"/>
      <c r="G53" s="143" t="n"/>
      <c r="H53" s="56" t="inlineStr">
        <is>
          <t>EE</t>
        </is>
      </c>
      <c r="I53" s="57" t="inlineStr">
        <is>
          <t>I</t>
        </is>
      </c>
      <c r="J53" s="56" t="n">
        <v>4</v>
      </c>
      <c r="K53" s="56" t="n">
        <v>3</v>
      </c>
      <c r="L53" s="50">
        <f>CONCATENATE(H53,M53)</f>
        <v/>
      </c>
      <c r="M53" s="51">
        <f>IF(OR(ISBLANK(J53),ISBLANK(K53)),IF(OR(H53="ALI",H53="AIE"),"L",IF(ISBLANK(H53),"","A")),IF(H53="EE",IF(K53&gt;=3,IF(J53&gt;=5,"H","A"),IF(K53&gt;=2,IF(J53&gt;=16,"H",IF(J53&lt;=4,"L","A")),IF(J53&lt;=15,"L","A"))),IF(OR(H53="SE",H53="CE"),IF(K53&gt;=4,IF(J53&gt;=6,"H","A"),IF(K53&gt;=2,IF(J53&gt;=20,"H",IF(J53&lt;=5,"L","A")),IF(J53&lt;=19,"L","A"))),IF(OR(H53="ALI",H53="AIE"),IF(K53&gt;=6,IF(J53&gt;=20,"H","A"),IF(K53&gt;=2,IF(J53&gt;=51,"H",IF(J53&lt;=19,"L","A")),IF(J53&lt;=50,"L","A")))))))</f>
        <v/>
      </c>
      <c r="N53" s="52">
        <f>IF(M53="L","Baixa",IF(M53="A","Média",IF(M53="","","Alta")))</f>
        <v/>
      </c>
      <c r="O53" s="53">
        <f>IF(ISBLANK(H53),"",IF(H53="ALI",IF(M53="L",7,IF(M53="A",10,15)),IF(H53="AIE",IF(M53="L",5,IF(M53="A",7,10)),IF(H53="SE",IF(M53="L",4,IF(M53="A",5,7)),IF(OR(H53="EE",H53="CE"),IF(M53="L",3,IF(M53="A",4,6)))))))</f>
        <v/>
      </c>
      <c r="P53" s="54">
        <f>IF(I53="I",O53*Contagem!$W$15,IF(I53="E",O53*Contagem!$W$17,IF(I53="A",O53*Contagem!$W$16,IF(I53="T",O53*Contagem!$W$18,""))))</f>
        <v/>
      </c>
      <c r="Q53" s="55" t="inlineStr">
        <is>
          <t>Prova: Rota PUT /gestao/usuarios/solicitacoes/{accessRequest}/aprovar (permissão manter-usuarios). Tela: gestao/usuarios/index. O administrador aprova com o perfil pedido ou outro (UpdateUserRoleRequest). Recusa pedido já decidido. Em transação, atribui o perfil à conta (syncRoles) e grava a solicitação como aprovada com quem decidiu e quando; grava Trilha de auditoria com perfil solicitado e concedido. Teste: tests/Feature/Users/SolicitacaoAcessoTest.php::test_administrador_aprova_com_outro_perfil e ::test_solicitacao_decidida_nao_e_decidida_de_novo. Processo elementar independente: menor unidade com significado para o administrador; completa por si (decisão até a conta liberada); deixa o negócio consistente (perfil e decisão gravados juntos). Aprovar e recusar são processos distintos: DER diferentes (perfil concedido x motivo), FTR diferentes (aprovar lê Perfil de acesso e muda o perfil da conta) e lógica diferente (§5.5.2.2). Classificação: mantém Usuário, EE. TD=4 (solicitação (servidor), perfil concedido, mensagem, ação aprovar). AR=3 (Usuário, Perfil de acesso, Trilha de auditoria). Registros automáticos contados como FTR (premissa P4): Trilha de auditoria. Recontagem 16/10/2026: nova (não constava da contagem de 01/10/2026).</t>
        </is>
      </c>
    </row>
    <row r="54" ht="12" customHeight="1" s="73">
      <c r="A54" s="14">
        <f>IF(H54="",IF(C54="",A53,A53+1),A53)</f>
        <v/>
      </c>
      <c r="B54" s="48">
        <f>IF(A54=A53,"",CONCATENATE("F",A54))</f>
        <v/>
      </c>
      <c r="C54" s="85" t="inlineStr">
        <is>
          <t>Solicitações de acesso - recusar</t>
        </is>
      </c>
      <c r="D54" s="142" t="n"/>
      <c r="E54" s="142" t="n"/>
      <c r="F54" s="142" t="n"/>
      <c r="G54" s="143" t="n"/>
      <c r="H54" s="56" t="inlineStr">
        <is>
          <t>EE</t>
        </is>
      </c>
      <c r="I54" s="57" t="inlineStr">
        <is>
          <t>I</t>
        </is>
      </c>
      <c r="J54" s="56" t="n">
        <v>4</v>
      </c>
      <c r="K54" s="56" t="n">
        <v>2</v>
      </c>
      <c r="L54" s="50">
        <f>CONCATENATE(H54,M54)</f>
        <v/>
      </c>
      <c r="M54" s="51">
        <f>IF(OR(ISBLANK(J54),ISBLANK(K54)),IF(OR(H54="ALI",H54="AIE"),"L",IF(ISBLANK(H54),"","A")),IF(H54="EE",IF(K54&gt;=3,IF(J54&gt;=5,"H","A"),IF(K54&gt;=2,IF(J54&gt;=16,"H",IF(J54&lt;=4,"L","A")),IF(J54&lt;=15,"L","A"))),IF(OR(H54="SE",H54="CE"),IF(K54&gt;=4,IF(J54&gt;=6,"H","A"),IF(K54&gt;=2,IF(J54&gt;=20,"H",IF(J54&lt;=5,"L","A")),IF(J54&lt;=19,"L","A"))),IF(OR(H54="ALI",H54="AIE"),IF(K54&gt;=6,IF(J54&gt;=20,"H","A"),IF(K54&gt;=2,IF(J54&gt;=51,"H",IF(J54&lt;=19,"L","A")),IF(J54&lt;=50,"L","A")))))))</f>
        <v/>
      </c>
      <c r="N54" s="52">
        <f>IF(M54="L","Baixa",IF(M54="A","Média",IF(M54="","","Alta")))</f>
        <v/>
      </c>
      <c r="O54" s="53">
        <f>IF(ISBLANK(H54),"",IF(H54="ALI",IF(M54="L",7,IF(M54="A",10,15)),IF(H54="AIE",IF(M54="L",5,IF(M54="A",7,10)),IF(H54="SE",IF(M54="L",4,IF(M54="A",5,7)),IF(OR(H54="EE",H54="CE"),IF(M54="L",3,IF(M54="A",4,6)))))))</f>
        <v/>
      </c>
      <c r="P54" s="54">
        <f>IF(I54="I",O54*Contagem!$W$15,IF(I54="E",O54*Contagem!$W$17,IF(I54="A",O54*Contagem!$W$16,IF(I54="T",O54*Contagem!$W$18,""))))</f>
        <v/>
      </c>
      <c r="Q54" s="55" t="inlineStr">
        <is>
          <t>Prova: Rota PUT /gestao/usuarios/solicitacoes/{accessRequest}/recusar (permissão manter-usuarios). Tela: gestao/usuarios/index. O administrador recusa informando o motivo obrigatório (RejectAccessRequestRequest, até 300 caracteres). Recusa pedido já decidido. Grava a solicitação como recusada com quem decidiu, quando e o motivo, que aparece ao servidor no painel; grava Trilha de auditoria. A conta continua sem perfil. Teste: tests/Feature/Users/SolicitacaoAcessoTest.php::test_administrador_recusa_com_motivo_obrigatorio. Processo elementar independente: menor unidade com significado para o administrador; completa por si (motivo até o pedido encerrado); deixa o negócio consistente (pedido decidido uma vez só); lógica única (recusa sem alterar o perfil, distinta da aprovação). Classificação: mantém Usuário, EE. TD=4 (solicitação (servidor), motivo da recusa, mensagem, ação recusar). AR=2 (Usuário, Trilha de auditoria). Registros automáticos contados como FTR (premissa P4): Trilha de auditoria. Recontagem 16/10/2026: nova (não constava da contagem de 01/10/2026).</t>
        </is>
      </c>
    </row>
    <row r="55" ht="12" customHeight="1" s="73">
      <c r="A55" s="14">
        <f>IF(H55="",IF(C55="",A54,A54+1),A54)</f>
        <v/>
      </c>
      <c r="B55" s="48">
        <f>IF(A55=A54,"",CONCATENATE("F",A55))</f>
        <v/>
      </c>
      <c r="C55" s="85" t="n"/>
      <c r="D55" s="142" t="n"/>
      <c r="E55" s="142" t="n"/>
      <c r="F55" s="142" t="n"/>
      <c r="G55" s="143" t="n"/>
      <c r="H55" s="56" t="n"/>
      <c r="I55" s="57" t="n"/>
      <c r="J55" s="56" t="n"/>
      <c r="K55" s="56" t="n"/>
      <c r="L55" s="50">
        <f>CONCATENATE(H55,M55)</f>
        <v/>
      </c>
      <c r="M55" s="51">
        <f>IF(OR(ISBLANK(J55),ISBLANK(K55)),IF(OR(H55="ALI",H55="AIE"),"L",IF(ISBLANK(H55),"","A")),IF(H55="EE",IF(K55&gt;=3,IF(J55&gt;=5,"H","A"),IF(K55&gt;=2,IF(J55&gt;=16,"H",IF(J55&lt;=4,"L","A")),IF(J55&lt;=15,"L","A"))),IF(OR(H55="SE",H55="CE"),IF(K55&gt;=4,IF(J55&gt;=6,"H","A"),IF(K55&gt;=2,IF(J55&gt;=20,"H",IF(J55&lt;=5,"L","A")),IF(J55&lt;=19,"L","A"))),IF(OR(H55="ALI",H55="AIE"),IF(K55&gt;=6,IF(J55&gt;=20,"H","A"),IF(K55&gt;=2,IF(J55&gt;=51,"H",IF(J55&lt;=19,"L","A")),IF(J55&lt;=50,"L","A")))))))</f>
        <v/>
      </c>
      <c r="N55" s="52">
        <f>IF(M55="L","Baixa",IF(M55="A","Média",IF(M55="","","Alta")))</f>
        <v/>
      </c>
      <c r="O55" s="53">
        <f>IF(ISBLANK(H55),"",IF(H55="ALI",IF(M55="L",7,IF(M55="A",10,15)),IF(H55="AIE",IF(M55="L",5,IF(M55="A",7,10)),IF(H55="SE",IF(M55="L",4,IF(M55="A",5,7)),IF(OR(H55="EE",H55="CE"),IF(M55="L",3,IF(M55="A",4,6)))))))</f>
        <v/>
      </c>
      <c r="P55" s="54">
        <f>IF(I55="I",O55*Contagem!$W$15,IF(I55="E",O55*Contagem!$W$17,IF(I55="A",O55*Contagem!$W$16,IF(I55="T",O55*Contagem!$W$18,""))))</f>
        <v/>
      </c>
      <c r="Q55" s="55" t="n"/>
    </row>
    <row r="56" ht="12" customHeight="1" s="73">
      <c r="A56" s="14">
        <f>IF(H56="",IF(C56="",A55,A55+1),A55)</f>
        <v/>
      </c>
      <c r="B56" s="48">
        <f>IF(A56=A55,"",CONCATENATE("F",A56))</f>
        <v/>
      </c>
      <c r="C56" s="85" t="inlineStr">
        <is>
          <t>Feriados</t>
        </is>
      </c>
      <c r="D56" s="142" t="n"/>
      <c r="E56" s="142" t="n"/>
      <c r="F56" s="142" t="n"/>
      <c r="G56" s="143" t="n"/>
      <c r="H56" s="56" t="n"/>
      <c r="I56" s="57" t="n"/>
      <c r="J56" s="56" t="n"/>
      <c r="K56" s="56" t="n"/>
      <c r="L56" s="50">
        <f>CONCATENATE(H56,M56)</f>
        <v/>
      </c>
      <c r="M56" s="51">
        <f>IF(OR(ISBLANK(J56),ISBLANK(K56)),IF(OR(H56="ALI",H56="AIE"),"L",IF(ISBLANK(H56),"","A")),IF(H56="EE",IF(K56&gt;=3,IF(J56&gt;=5,"H","A"),IF(K56&gt;=2,IF(J56&gt;=16,"H",IF(J56&lt;=4,"L","A")),IF(J56&lt;=15,"L","A"))),IF(OR(H56="SE",H56="CE"),IF(K56&gt;=4,IF(J56&gt;=6,"H","A"),IF(K56&gt;=2,IF(J56&gt;=20,"H",IF(J56&lt;=5,"L","A")),IF(J56&lt;=19,"L","A"))),IF(OR(H56="ALI",H56="AIE"),IF(K56&gt;=6,IF(J56&gt;=20,"H","A"),IF(K56&gt;=2,IF(J56&gt;=51,"H",IF(J56&lt;=19,"L","A")),IF(J56&lt;=50,"L","A")))))))</f>
        <v/>
      </c>
      <c r="N56" s="52">
        <f>IF(M56="L","Baixa",IF(M56="A","Média",IF(M56="","","Alta")))</f>
        <v/>
      </c>
      <c r="O56" s="53">
        <f>IF(ISBLANK(H56),"",IF(H56="ALI",IF(M56="L",7,IF(M56="A",10,15)),IF(H56="AIE",IF(M56="L",5,IF(M56="A",7,10)),IF(H56="SE",IF(M56="L",4,IF(M56="A",5,7)),IF(OR(H56="EE",H56="CE"),IF(M56="L",3,IF(M56="A",4,6)))))))</f>
        <v/>
      </c>
      <c r="P56" s="54">
        <f>IF(I56="I",O56*Contagem!$W$15,IF(I56="E",O56*Contagem!$W$17,IF(I56="A",O56*Contagem!$W$16,IF(I56="T",O56*Contagem!$W$18,""))))</f>
        <v/>
      </c>
      <c r="Q56" s="55" t="n"/>
    </row>
    <row r="57" ht="12" customHeight="1" s="73">
      <c r="A57" s="14">
        <f>IF(H57="",IF(C57="",A56,A56+1),A56)</f>
        <v/>
      </c>
      <c r="B57" s="48">
        <f>IF(A57=A56,"",CONCATENATE("F",A57))</f>
        <v/>
      </c>
      <c r="C57" s="85" t="inlineStr">
        <is>
          <t>Dados - Feriado</t>
        </is>
      </c>
      <c r="D57" s="142" t="n"/>
      <c r="E57" s="142" t="n"/>
      <c r="F57" s="142" t="n"/>
      <c r="G57" s="143" t="n"/>
      <c r="H57" s="56" t="inlineStr">
        <is>
          <t>ALI</t>
        </is>
      </c>
      <c r="I57" s="57" t="inlineStr">
        <is>
          <t>I</t>
        </is>
      </c>
      <c r="J57" s="56" t="n">
        <v>4</v>
      </c>
      <c r="K57" s="56" t="n">
        <v>1</v>
      </c>
      <c r="L57" s="50">
        <f>CONCATENATE(H57,M57)</f>
        <v/>
      </c>
      <c r="M57" s="51">
        <f>IF(OR(ISBLANK(J57),ISBLANK(K57)),IF(OR(H57="ALI",H57="AIE"),"L",IF(ISBLANK(H57),"","A")),IF(H57="EE",IF(K57&gt;=3,IF(J57&gt;=5,"H","A"),IF(K57&gt;=2,IF(J57&gt;=16,"H",IF(J57&lt;=4,"L","A")),IF(J57&lt;=15,"L","A"))),IF(OR(H57="SE",H57="CE"),IF(K57&gt;=4,IF(J57&gt;=6,"H","A"),IF(K57&gt;=2,IF(J57&gt;=20,"H",IF(J57&lt;=5,"L","A")),IF(J57&lt;=19,"L","A"))),IF(OR(H57="ALI",H57="AIE"),IF(K57&gt;=6,IF(J57&gt;=20,"H","A"),IF(K57&gt;=2,IF(J57&gt;=51,"H",IF(J57&lt;=19,"L","A")),IF(J57&lt;=50,"L","A")))))))</f>
        <v/>
      </c>
      <c r="N57" s="52">
        <f>IF(M57="L","Baixa",IF(M57="A","Média",IF(M57="","","Alta")))</f>
        <v/>
      </c>
      <c r="O57" s="53">
        <f>IF(ISBLANK(H57),"",IF(H57="ALI",IF(M57="L",7,IF(M57="A",10,15)),IF(H57="AIE",IF(M57="L",5,IF(M57="A",7,10)),IF(H57="SE",IF(M57="L",4,IF(M57="A",5,7)),IF(OR(H57="EE",H57="CE"),IF(M57="L",3,IF(M57="A",4,6)))))))</f>
        <v/>
      </c>
      <c r="P57" s="54">
        <f>IF(I57="I",O57*Contagem!$W$15,IF(I57="E",O57*Contagem!$W$17,IF(I57="A",O57*Contagem!$W$16,IF(I57="T",O57*Contagem!$W$18,""))))</f>
        <v/>
      </c>
      <c r="Q57" s="55" t="inlineStr">
        <is>
          <t>Prova: Model app/Models/Holiday.php; migration database/migrations/2026_06_15_000003_create_holidays_table.php. Mantido por Feriados - incluir, alterar e ativar ou inativar (HolidayController), auditados via HasAuditoria; lido pelo BusinessDeadlineCalculator. Teste: tests/Feature/Relatorios/HolidayCadastroTest.php::test_criacao_de_feriado_e_auditada. Arquivo lógico: não é dado de código (Parte 1 §5.4.2 d; Parte 3 Cap. 1): a data não se substitui pela descrição e entra no cálculo de prazo (dado de referência). Grupo lógico reconhecido pelo gestor: calendário de feriados descontado no cálculo de prazo em dias úteis; mantido por tela própria. TD=4 (data, nome, recorrência anual, situação). TR=1 (Feriado). Regra de negócio que o tira de dado de código: todo prazo em dias úteis (pendência do requerente, SLA da análise, convite) desconta os feriados ativos deste cadastro (BusinessDeadlineCalculator); incluir ou inativar um feriado muda o vencimento dos processos. Recontagem 16/10/2026: mantida (linha 143 da contagem de 01/10/2026).</t>
        </is>
      </c>
    </row>
    <row r="58" ht="12" customHeight="1" s="73">
      <c r="A58" s="14">
        <f>IF(H58="",IF(C58="",A57,A57+1),A57)</f>
        <v/>
      </c>
      <c r="B58" s="48">
        <f>IF(A58=A57,"",CONCATENATE("F",A58))</f>
        <v/>
      </c>
      <c r="C58" s="85" t="inlineStr">
        <is>
          <t>Feriados - consultar</t>
        </is>
      </c>
      <c r="D58" s="142" t="n"/>
      <c r="E58" s="142" t="n"/>
      <c r="F58" s="142" t="n"/>
      <c r="G58" s="143" t="n"/>
      <c r="H58" s="56" t="inlineStr">
        <is>
          <t>CE</t>
        </is>
      </c>
      <c r="I58" s="57" t="inlineStr">
        <is>
          <t>I</t>
        </is>
      </c>
      <c r="J58" s="56" t="n">
        <v>6</v>
      </c>
      <c r="K58" s="56" t="n">
        <v>1</v>
      </c>
      <c r="L58" s="50">
        <f>CONCATENATE(H58,M58)</f>
        <v/>
      </c>
      <c r="M58" s="51">
        <f>IF(OR(ISBLANK(J58),ISBLANK(K58)),IF(OR(H58="ALI",H58="AIE"),"L",IF(ISBLANK(H58),"","A")),IF(H58="EE",IF(K58&gt;=3,IF(J58&gt;=5,"H","A"),IF(K58&gt;=2,IF(J58&gt;=16,"H",IF(J58&lt;=4,"L","A")),IF(J58&lt;=15,"L","A"))),IF(OR(H58="SE",H58="CE"),IF(K58&gt;=4,IF(J58&gt;=6,"H","A"),IF(K58&gt;=2,IF(J58&gt;=20,"H",IF(J58&lt;=5,"L","A")),IF(J58&lt;=19,"L","A"))),IF(OR(H58="ALI",H58="AIE"),IF(K58&gt;=6,IF(J58&gt;=20,"H","A"),IF(K58&gt;=2,IF(J58&gt;=51,"H",IF(J58&lt;=19,"L","A")),IF(J58&lt;=50,"L","A")))))))</f>
        <v/>
      </c>
      <c r="N58" s="52">
        <f>IF(M58="L","Baixa",IF(M58="A","Média",IF(M58="","","Alta")))</f>
        <v/>
      </c>
      <c r="O58" s="53">
        <f>IF(ISBLANK(H58),"",IF(H58="ALI",IF(M58="L",7,IF(M58="A",10,15)),IF(H58="AIE",IF(M58="L",5,IF(M58="A",7,10)),IF(H58="SE",IF(M58="L",4,IF(M58="A",5,7)),IF(OR(H58="EE",H58="CE"),IF(M58="L",3,IF(M58="A",4,6)))))))</f>
        <v/>
      </c>
      <c r="P58" s="54">
        <f>IF(I58="I",O58*Contagem!$W$15,IF(I58="E",O58*Contagem!$W$17,IF(I58="A",O58*Contagem!$W$16,IF(I58="T",O58*Contagem!$W$18,""))))</f>
        <v/>
      </c>
      <c r="Q58" s="55" t="inlineStr">
        <is>
          <t>Prova: Rota GET /gestao/feriados (permissão manter-parametros). Tela: gestao/feriados/index. O gestor pesquisa por nome e filtra por situação. Lê Feriado; não grava. Teste: tests/Feature/Relatorios/HolidayControllerTest.php::test_administrador_lista_feriados. Processo elementar independente: menor unidade com significado para o gestor; completa por si (filtra e recebe a lista); deixa o negócio consistente (nada é gravado); lógica única (lista ordenada por data com filtro de situação). Classificação: recuperação sem cálculo, CE (§5.5.3). TD=6 (data, nome, recorrência anual, situação, busca por nome, ação pesquisar). O filtro de situação é o mesmo campo da coluna situação e conta uma vez (DER único); ordenação e paginação não contam. AR=1 (Feriado). Recontagem 16/10/2026: alterada (linha 144 da contagem de 01/10/2026: "Feriados - consultar", CE Baixa 3 PF, TD 7, AR 1). Motivo: TD 7→6: situação e filtro de situação eram contados como dois DER. PF inalterado (CE Baixa).</t>
        </is>
      </c>
    </row>
    <row r="59" ht="12" customHeight="1" s="73">
      <c r="A59" s="14">
        <f>IF(H59="",IF(C59="",A58,A58+1),A58)</f>
        <v/>
      </c>
      <c r="B59" s="48">
        <f>IF(A59=A58,"",CONCATENATE("F",A59))</f>
        <v/>
      </c>
      <c r="C59" s="85" t="inlineStr">
        <is>
          <t>Feriados - incluir</t>
        </is>
      </c>
      <c r="D59" s="142" t="n"/>
      <c r="E59" s="142" t="n"/>
      <c r="F59" s="142" t="n"/>
      <c r="G59" s="143" t="n"/>
      <c r="H59" s="56" t="inlineStr">
        <is>
          <t>EE</t>
        </is>
      </c>
      <c r="I59" s="57" t="inlineStr">
        <is>
          <t>I</t>
        </is>
      </c>
      <c r="J59" s="56" t="n">
        <v>6</v>
      </c>
      <c r="K59" s="56" t="n">
        <v>2</v>
      </c>
      <c r="L59" s="50">
        <f>CONCATENATE(H59,M59)</f>
        <v/>
      </c>
      <c r="M59" s="51">
        <f>IF(OR(ISBLANK(J59),ISBLANK(K59)),IF(OR(H59="ALI",H59="AIE"),"L",IF(ISBLANK(H59),"","A")),IF(H59="EE",IF(K59&gt;=3,IF(J59&gt;=5,"H","A"),IF(K59&gt;=2,IF(J59&gt;=16,"H",IF(J59&lt;=4,"L","A")),IF(J59&lt;=15,"L","A"))),IF(OR(H59="SE",H59="CE"),IF(K59&gt;=4,IF(J59&gt;=6,"H","A"),IF(K59&gt;=2,IF(J59&gt;=20,"H",IF(J59&lt;=5,"L","A")),IF(J59&lt;=19,"L","A"))),IF(OR(H59="ALI",H59="AIE"),IF(K59&gt;=6,IF(J59&gt;=20,"H","A"),IF(K59&gt;=2,IF(J59&gt;=51,"H",IF(J59&lt;=19,"L","A")),IF(J59&lt;=50,"L","A")))))))</f>
        <v/>
      </c>
      <c r="N59" s="52">
        <f>IF(M59="L","Baixa",IF(M59="A","Média",IF(M59="","","Alta")))</f>
        <v/>
      </c>
      <c r="O59" s="53">
        <f>IF(ISBLANK(H59),"",IF(H59="ALI",IF(M59="L",7,IF(M59="A",10,15)),IF(H59="AIE",IF(M59="L",5,IF(M59="A",7,10)),IF(H59="SE",IF(M59="L",4,IF(M59="A",5,7)),IF(OR(H59="EE",H59="CE"),IF(M59="L",3,IF(M59="A",4,6)))))))</f>
        <v/>
      </c>
      <c r="P59" s="54">
        <f>IF(I59="I",O59*Contagem!$W$15,IF(I59="E",O59*Contagem!$W$17,IF(I59="A",O59*Contagem!$W$16,IF(I59="T",O59*Contagem!$W$18,""))))</f>
        <v/>
      </c>
      <c r="Q59" s="55" t="inlineStr">
        <is>
          <t>Prova: Rota POST /gestao/feriados (manter-parametros). Tela: gestao/feriados/index. O gestor cadastra o feriado. Valida data única; grava Feriado e Trilha de auditoria. Resultado: prazos passam a descontar a data. Teste: tests/Feature/Relatorios/HolidayControllerTest.php::test_cria_feriado_auditado. Processo elementar independente: menor unidade com significado para o gestor; completa por si (preenche e recebe confirmação); deixa o negócio consistente (sem data duplicada); lógica única (inclusão com unicidade de data). TD=6 (data, nome, recorrência anual, situação, mensagem, ação salvar). AR=2 (Feriado, Trilha de auditoria). Registros automáticos contados como FTR (premissa P4): Trilha de auditoria. Recontagem 16/10/2026: mantida (linha 145 da contagem de 01/10/2026).</t>
        </is>
      </c>
    </row>
    <row r="60" ht="12" customHeight="1" s="73">
      <c r="A60" s="14">
        <f>IF(H60="",IF(C60="",A59,A59+1),A59)</f>
        <v/>
      </c>
      <c r="B60" s="48">
        <f>IF(A60=A59,"",CONCATENATE("F",A60))</f>
        <v/>
      </c>
      <c r="C60" s="85" t="inlineStr">
        <is>
          <t>Feriados - alterar</t>
        </is>
      </c>
      <c r="D60" s="142" t="n"/>
      <c r="E60" s="142" t="n"/>
      <c r="F60" s="142" t="n"/>
      <c r="G60" s="143" t="n"/>
      <c r="H60" s="56" t="inlineStr">
        <is>
          <t>EE</t>
        </is>
      </c>
      <c r="I60" s="57" t="inlineStr">
        <is>
          <t>I</t>
        </is>
      </c>
      <c r="J60" s="56" t="n">
        <v>6</v>
      </c>
      <c r="K60" s="56" t="n">
        <v>2</v>
      </c>
      <c r="L60" s="50">
        <f>CONCATENATE(H60,M60)</f>
        <v/>
      </c>
      <c r="M60" s="51">
        <f>IF(OR(ISBLANK(J60),ISBLANK(K60)),IF(OR(H60="ALI",H60="AIE"),"L",IF(ISBLANK(H60),"","A")),IF(H60="EE",IF(K60&gt;=3,IF(J60&gt;=5,"H","A"),IF(K60&gt;=2,IF(J60&gt;=16,"H",IF(J60&lt;=4,"L","A")),IF(J60&lt;=15,"L","A"))),IF(OR(H60="SE",H60="CE"),IF(K60&gt;=4,IF(J60&gt;=6,"H","A"),IF(K60&gt;=2,IF(J60&gt;=20,"H",IF(J60&lt;=5,"L","A")),IF(J60&lt;=19,"L","A"))),IF(OR(H60="ALI",H60="AIE"),IF(K60&gt;=6,IF(J60&gt;=20,"H","A"),IF(K60&gt;=2,IF(J60&gt;=51,"H",IF(J60&lt;=19,"L","A")),IF(J60&lt;=50,"L","A")))))))</f>
        <v/>
      </c>
      <c r="N60" s="52">
        <f>IF(M60="L","Baixa",IF(M60="A","Média",IF(M60="","","Alta")))</f>
        <v/>
      </c>
      <c r="O60" s="53">
        <f>IF(ISBLANK(H60),"",IF(H60="ALI",IF(M60="L",7,IF(M60="A",10,15)),IF(H60="AIE",IF(M60="L",5,IF(M60="A",7,10)),IF(H60="SE",IF(M60="L",4,IF(M60="A",5,7)),IF(OR(H60="EE",H60="CE"),IF(M60="L",3,IF(M60="A",4,6)))))))</f>
        <v/>
      </c>
      <c r="P60" s="54">
        <f>IF(I60="I",O60*Contagem!$W$15,IF(I60="E",O60*Contagem!$W$17,IF(I60="A",O60*Contagem!$W$16,IF(I60="T",O60*Contagem!$W$18,""))))</f>
        <v/>
      </c>
      <c r="Q60" s="55" t="inlineStr">
        <is>
          <t>Prova: Rota PUT /gestao/feriados/{holiday} (manter-parametros). Tela: gestao/feriados/index. O gestor altera o feriado. Valida data única ignorando o próprio; grava Feriado e Trilha de auditoria. Resultado: calendário corrigido. Teste: tests/Feature/Relatorios/HolidayControllerTest.php::test_edita_feriado. Processo elementar independente: menor unidade com significado para o gestor; completa por si (edita e recebe confirmação); deixa o negócio consistente (sem colisão de data); lógica única (alteração do registro existente). TD=6 (data, nome, recorrência anual, situação, mensagem, ação salvar). AR=2 (Feriado, Trilha de auditoria). Registros automáticos contados como FTR (premissa P4): Trilha de auditoria. Recontagem 16/10/2026: mantida (linha 146 da contagem de 01/10/2026).</t>
        </is>
      </c>
    </row>
    <row r="61" ht="12" customHeight="1" s="73">
      <c r="A61" s="14">
        <f>IF(H61="",IF(C61="",A60,A60+1),A60)</f>
        <v/>
      </c>
      <c r="B61" s="48">
        <f>IF(A61=A60,"",CONCATENATE("F",A61))</f>
        <v/>
      </c>
      <c r="C61" s="85" t="inlineStr">
        <is>
          <t>Feriados - ativar ou inativar</t>
        </is>
      </c>
      <c r="D61" s="142" t="n"/>
      <c r="E61" s="142" t="n"/>
      <c r="F61" s="142" t="n"/>
      <c r="G61" s="143" t="n"/>
      <c r="H61" s="56" t="inlineStr">
        <is>
          <t>EE</t>
        </is>
      </c>
      <c r="I61" s="57" t="inlineStr">
        <is>
          <t>I</t>
        </is>
      </c>
      <c r="J61" s="56" t="n">
        <v>3</v>
      </c>
      <c r="K61" s="56" t="n">
        <v>2</v>
      </c>
      <c r="L61" s="50">
        <f>CONCATENATE(H61,M61)</f>
        <v/>
      </c>
      <c r="M61" s="51">
        <f>IF(OR(ISBLANK(J61),ISBLANK(K61)),IF(OR(H61="ALI",H61="AIE"),"L",IF(ISBLANK(H61),"","A")),IF(H61="EE",IF(K61&gt;=3,IF(J61&gt;=5,"H","A"),IF(K61&gt;=2,IF(J61&gt;=16,"H",IF(J61&lt;=4,"L","A")),IF(J61&lt;=15,"L","A"))),IF(OR(H61="SE",H61="CE"),IF(K61&gt;=4,IF(J61&gt;=6,"H","A"),IF(K61&gt;=2,IF(J61&gt;=20,"H",IF(J61&lt;=5,"L","A")),IF(J61&lt;=19,"L","A"))),IF(OR(H61="ALI",H61="AIE"),IF(K61&gt;=6,IF(J61&gt;=20,"H","A"),IF(K61&gt;=2,IF(J61&gt;=51,"H",IF(J61&lt;=19,"L","A")),IF(J61&lt;=50,"L","A")))))))</f>
        <v/>
      </c>
      <c r="N61" s="52">
        <f>IF(M61="L","Baixa",IF(M61="A","Média",IF(M61="","","Alta")))</f>
        <v/>
      </c>
      <c r="O61" s="53">
        <f>IF(ISBLANK(H61),"",IF(H61="ALI",IF(M61="L",7,IF(M61="A",10,15)),IF(H61="AIE",IF(M61="L",5,IF(M61="A",7,10)),IF(H61="SE",IF(M61="L",4,IF(M61="A",5,7)),IF(OR(H61="EE",H61="CE"),IF(M61="L",3,IF(M61="A",4,6)))))))</f>
        <v/>
      </c>
      <c r="P61" s="54">
        <f>IF(I61="I",O61*Contagem!$W$15,IF(I61="E",O61*Contagem!$W$17,IF(I61="A",O61*Contagem!$W$16,IF(I61="T",O61*Contagem!$W$18,""))))</f>
        <v/>
      </c>
      <c r="Q61" s="55" t="inlineStr">
        <is>
          <t>Prova: Rota PUT /gestao/feriados/{holiday}/ativacao (manter-parametros). Tela: gestao/feriados/index. O gestor ativa ou inativa. Grava a situação do Feriado e Trilha de auditoria, sem excluir. Resultado: data sai ou volta ao cálculo de dias úteis. Teste: tests/Feature/Relatorios/HolidayControllerTest.php::test_toggle_inativa_sem_excluir. Processo elementar independente: menor unidade com significado para o gestor; completa por si (um clique e confirmação); deixa o negócio consistente (histórico preservado); lógica única (inversão da situação sem exclusão). TD=3 (situação, mensagem, ação ativar/inativar). AR=2 (Feriado, Trilha de auditoria). Registros automáticos contados como FTR (premissa P4): Trilha de auditoria. Recontagem 16/10/2026: mantida (linha 147 da contagem de 01/10/2026).</t>
        </is>
      </c>
    </row>
    <row r="62" ht="12" customHeight="1" s="73">
      <c r="A62" s="14">
        <f>IF(H62="",IF(C62="",A61,A61+1),A61)</f>
        <v/>
      </c>
      <c r="B62" s="48">
        <f>IF(A62=A61,"",CONCATENATE("F",A62))</f>
        <v/>
      </c>
      <c r="C62" s="85" t="n"/>
      <c r="D62" s="142" t="n"/>
      <c r="E62" s="142" t="n"/>
      <c r="F62" s="142" t="n"/>
      <c r="G62" s="143" t="n"/>
      <c r="H62" s="56" t="n"/>
      <c r="I62" s="57" t="n"/>
      <c r="J62" s="56" t="n"/>
      <c r="K62" s="56" t="n"/>
      <c r="L62" s="50">
        <f>CONCATENATE(H62,M62)</f>
        <v/>
      </c>
      <c r="M62" s="51">
        <f>IF(OR(ISBLANK(J62),ISBLANK(K62)),IF(OR(H62="ALI",H62="AIE"),"L",IF(ISBLANK(H62),"","A")),IF(H62="EE",IF(K62&gt;=3,IF(J62&gt;=5,"H","A"),IF(K62&gt;=2,IF(J62&gt;=16,"H",IF(J62&lt;=4,"L","A")),IF(J62&lt;=15,"L","A"))),IF(OR(H62="SE",H62="CE"),IF(K62&gt;=4,IF(J62&gt;=6,"H","A"),IF(K62&gt;=2,IF(J62&gt;=20,"H",IF(J62&lt;=5,"L","A")),IF(J62&lt;=19,"L","A"))),IF(OR(H62="ALI",H62="AIE"),IF(K62&gt;=6,IF(J62&gt;=20,"H","A"),IF(K62&gt;=2,IF(J62&gt;=51,"H",IF(J62&lt;=19,"L","A")),IF(J62&lt;=50,"L","A")))))))</f>
        <v/>
      </c>
      <c r="N62" s="52">
        <f>IF(M62="L","Baixa",IF(M62="A","Média",IF(M62="","","Alta")))</f>
        <v/>
      </c>
      <c r="O62" s="53">
        <f>IF(ISBLANK(H62),"",IF(H62="ALI",IF(M62="L",7,IF(M62="A",10,15)),IF(H62="AIE",IF(M62="L",5,IF(M62="A",7,10)),IF(H62="SE",IF(M62="L",4,IF(M62="A",5,7)),IF(OR(H62="EE",H62="CE"),IF(M62="L",3,IF(M62="A",4,6)))))))</f>
        <v/>
      </c>
      <c r="P62" s="54">
        <f>IF(I62="I",O62*Contagem!$W$15,IF(I62="E",O62*Contagem!$W$17,IF(I62="A",O62*Contagem!$W$16,IF(I62="T",O62*Contagem!$W$18,""))))</f>
        <v/>
      </c>
      <c r="Q62" s="55" t="n"/>
    </row>
    <row r="63" ht="12" customHeight="1" s="73">
      <c r="A63" s="14">
        <f>IF(H63="",IF(C63="",A62,A62+1),A62)</f>
        <v/>
      </c>
      <c r="B63" s="48">
        <f>IF(A63=A62,"",CONCATENATE("F",A63))</f>
        <v/>
      </c>
      <c r="C63" s="85" t="inlineStr">
        <is>
          <t>Tipos de imóvel</t>
        </is>
      </c>
      <c r="D63" s="142" t="n"/>
      <c r="E63" s="142" t="n"/>
      <c r="F63" s="142" t="n"/>
      <c r="G63" s="143" t="n"/>
      <c r="H63" s="56" t="n"/>
      <c r="I63" s="57" t="n"/>
      <c r="J63" s="56" t="n"/>
      <c r="K63" s="56" t="n"/>
      <c r="L63" s="50">
        <f>CONCATENATE(H63,M63)</f>
        <v/>
      </c>
      <c r="M63" s="51">
        <f>IF(OR(ISBLANK(J63),ISBLANK(K63)),IF(OR(H63="ALI",H63="AIE"),"L",IF(ISBLANK(H63),"","A")),IF(H63="EE",IF(K63&gt;=3,IF(J63&gt;=5,"H","A"),IF(K63&gt;=2,IF(J63&gt;=16,"H",IF(J63&lt;=4,"L","A")),IF(J63&lt;=15,"L","A"))),IF(OR(H63="SE",H63="CE"),IF(K63&gt;=4,IF(J63&gt;=6,"H","A"),IF(K63&gt;=2,IF(J63&gt;=20,"H",IF(J63&lt;=5,"L","A")),IF(J63&lt;=19,"L","A"))),IF(OR(H63="ALI",H63="AIE"),IF(K63&gt;=6,IF(J63&gt;=20,"H","A"),IF(K63&gt;=2,IF(J63&gt;=51,"H",IF(J63&lt;=19,"L","A")),IF(J63&lt;=50,"L","A")))))))</f>
        <v/>
      </c>
      <c r="N63" s="52">
        <f>IF(M63="L","Baixa",IF(M63="A","Média",IF(M63="","","Alta")))</f>
        <v/>
      </c>
      <c r="O63" s="53">
        <f>IF(ISBLANK(H63),"",IF(H63="ALI",IF(M63="L",7,IF(M63="A",10,15)),IF(H63="AIE",IF(M63="L",5,IF(M63="A",7,10)),IF(H63="SE",IF(M63="L",4,IF(M63="A",5,7)),IF(OR(H63="EE",H63="CE"),IF(M63="L",3,IF(M63="A",4,6)))))))</f>
        <v/>
      </c>
      <c r="P63" s="54">
        <f>IF(I63="I",O63*Contagem!$W$15,IF(I63="E",O63*Contagem!$W$17,IF(I63="A",O63*Contagem!$W$16,IF(I63="T",O63*Contagem!$W$18,""))))</f>
        <v/>
      </c>
      <c r="Q63" s="55" t="n"/>
    </row>
    <row r="64" ht="12" customHeight="1" s="73">
      <c r="A64" s="14">
        <f>IF(H64="",IF(C64="",A63,A63+1),A63)</f>
        <v/>
      </c>
      <c r="B64" s="48">
        <f>IF(A64=A63,"",CONCATENATE("F",A64))</f>
        <v/>
      </c>
      <c r="C64" s="85" t="inlineStr">
        <is>
          <t>Dados - Tipo de imóvel</t>
        </is>
      </c>
      <c r="D64" s="142" t="n"/>
      <c r="E64" s="142" t="n"/>
      <c r="F64" s="142" t="n"/>
      <c r="G64" s="143" t="n"/>
      <c r="H64" s="56" t="inlineStr">
        <is>
          <t>ALI</t>
        </is>
      </c>
      <c r="I64" s="57" t="inlineStr">
        <is>
          <t>I</t>
        </is>
      </c>
      <c r="J64" s="56" t="n">
        <v>5</v>
      </c>
      <c r="K64" s="56" t="n">
        <v>1</v>
      </c>
      <c r="L64" s="50">
        <f>CONCATENATE(H64,M64)</f>
        <v/>
      </c>
      <c r="M64" s="51">
        <f>IF(OR(ISBLANK(J64),ISBLANK(K64)),IF(OR(H64="ALI",H64="AIE"),"L",IF(ISBLANK(H64),"","A")),IF(H64="EE",IF(K64&gt;=3,IF(J64&gt;=5,"H","A"),IF(K64&gt;=2,IF(J64&gt;=16,"H",IF(J64&lt;=4,"L","A")),IF(J64&lt;=15,"L","A"))),IF(OR(H64="SE",H64="CE"),IF(K64&gt;=4,IF(J64&gt;=6,"H","A"),IF(K64&gt;=2,IF(J64&gt;=20,"H",IF(J64&lt;=5,"L","A")),IF(J64&lt;=19,"L","A"))),IF(OR(H64="ALI",H64="AIE"),IF(K64&gt;=6,IF(J64&gt;=20,"H","A"),IF(K64&gt;=2,IF(J64&gt;=51,"H",IF(J64&lt;=19,"L","A")),IF(J64&lt;=50,"L","A")))))))</f>
        <v/>
      </c>
      <c r="N64" s="52">
        <f>IF(M64="L","Baixa",IF(M64="A","Média",IF(M64="","","Alta")))</f>
        <v/>
      </c>
      <c r="O64" s="53">
        <f>IF(ISBLANK(H64),"",IF(H64="ALI",IF(M64="L",7,IF(M64="A",10,15)),IF(H64="AIE",IF(M64="L",5,IF(M64="A",7,10)),IF(H64="SE",IF(M64="L",4,IF(M64="A",5,7)),IF(OR(H64="EE",H64="CE"),IF(M64="L",3,IF(M64="A",4,6)))))))</f>
        <v/>
      </c>
      <c r="P64" s="54">
        <f>IF(I64="I",O64*Contagem!$W$15,IF(I64="E",O64*Contagem!$W$17,IF(I64="A",O64*Contagem!$W$16,IF(I64="T",O64*Contagem!$W$18,""))))</f>
        <v/>
      </c>
      <c r="Q64" s="55" t="inlineStr">
        <is>
          <t>Prova: Models app/Models/PropertyType.php e app/Models/PropertyTypeAlias.php; migrations database/migrations/2026_09_17_150000_create_property_types_table.php (code, label, drives_rule, active) e 2026_09_17_150001_create_property_type_aliases_table.php (alias único, cascadeOnDelete). Mantido por PropertyTypeController (HasAuditoria); lido por app/Services/Risco/TipoImovelCatalog.php. Teste: tests/Feature/Risco/PropertyTypeCrudTest.php::test_cria_tipo_com_aliases_normalizados. Arquivo lógico: catálogo de tipos de imóvel do REGIN com as denominações que o motor reconhece. Não é dado de código (Parte 1 §5.4.2 d; Parte 3 Cap. 1): drives_rule decide o roteamento (TipoImovelCatalog separa dirigemRegra de ramoComum; o tipo que dirige regra injeta o gatilho dados_do_processo e tira o processo do expresso) e os aliases definem como o texto do REGIN é interpretado; o dado não se substitui pela descrição. TD=5 (código, rótulo, dirige regra, situação, denominação alternativa). TR=1 (Tipo de imóvel). Recontagem 16/10/2026: alterada (linha 249 da contagem de 01/10/2026: "Dados - Tipo de imóvel", ALI Baixa 7 PF, TD 5, AR 2). Motivo: TR 2→1: a denominação alternativa (property_type_aliases) tem um único atributo além da chave; subgrupo com 1 DER não forma RLR, entra como DER multivalorado. PF inalterado (ALI Baixa).</t>
        </is>
      </c>
    </row>
    <row r="65" ht="12" customHeight="1" s="73">
      <c r="A65" s="14">
        <f>IF(H65="",IF(C65="",A64,A64+1),A64)</f>
        <v/>
      </c>
      <c r="B65" s="48">
        <f>IF(A65=A64,"",CONCATENATE("F",A65))</f>
        <v/>
      </c>
      <c r="C65" s="85" t="inlineStr">
        <is>
          <t>Tipos de imóvel - consultar</t>
        </is>
      </c>
      <c r="D65" s="142" t="n"/>
      <c r="E65" s="142" t="n"/>
      <c r="F65" s="142" t="n"/>
      <c r="G65" s="143" t="n"/>
      <c r="H65" s="56" t="inlineStr">
        <is>
          <t>CE</t>
        </is>
      </c>
      <c r="I65" s="57" t="inlineStr">
        <is>
          <t>I</t>
        </is>
      </c>
      <c r="J65" s="56" t="n">
        <v>7</v>
      </c>
      <c r="K65" s="56" t="n">
        <v>1</v>
      </c>
      <c r="L65" s="50">
        <f>CONCATENATE(H65,M65)</f>
        <v/>
      </c>
      <c r="M65" s="51">
        <f>IF(OR(ISBLANK(J65),ISBLANK(K65)),IF(OR(H65="ALI",H65="AIE"),"L",IF(ISBLANK(H65),"","A")),IF(H65="EE",IF(K65&gt;=3,IF(J65&gt;=5,"H","A"),IF(K65&gt;=2,IF(J65&gt;=16,"H",IF(J65&lt;=4,"L","A")),IF(J65&lt;=15,"L","A"))),IF(OR(H65="SE",H65="CE"),IF(K65&gt;=4,IF(J65&gt;=6,"H","A"),IF(K65&gt;=2,IF(J65&gt;=20,"H",IF(J65&lt;=5,"L","A")),IF(J65&lt;=19,"L","A"))),IF(OR(H65="ALI",H65="AIE"),IF(K65&gt;=6,IF(J65&gt;=20,"H","A"),IF(K65&gt;=2,IF(J65&gt;=51,"H",IF(J65&lt;=19,"L","A")),IF(J65&lt;=50,"L","A")))))))</f>
        <v/>
      </c>
      <c r="N65" s="52">
        <f>IF(M65="L","Baixa",IF(M65="A","Média",IF(M65="","","Alta")))</f>
        <v/>
      </c>
      <c r="O65" s="53">
        <f>IF(ISBLANK(H65),"",IF(H65="ALI",IF(M65="L",7,IF(M65="A",10,15)),IF(H65="AIE",IF(M65="L",5,IF(M65="A",7,10)),IF(H65="SE",IF(M65="L",4,IF(M65="A",5,7)),IF(OR(H65="EE",H65="CE"),IF(M65="L",3,IF(M65="A",4,6)))))))</f>
        <v/>
      </c>
      <c r="P65" s="54">
        <f>IF(I65="I",O65*Contagem!$W$15,IF(I65="E",O65*Contagem!$W$17,IF(I65="A",O65*Contagem!$W$16,IF(I65="T",O65*Contagem!$W$18,""))))</f>
        <v/>
      </c>
      <c r="Q65" s="55" t="inlineStr">
        <is>
          <t>Prova: Rota GET /gestao/tipos-imovel (permissão manter-tipos-imovel). Tela: gestao/tipos-imovel/index. O gestor busca por código ou rótulo e filtra por situação. Lê Tipo de imóvel (com aliases); não grava. Teste: tests/Feature/Risco/PropertyTypeCrudTest.php::test_lista_exige_permissao. Processo elementar independente: menor unidade com significado para o gestor; completa por si (filtro até a lista); deixa o negócio consistente (nada muda); lógica única (tipos com denominações, sem cálculo). Classificação: CE (§5.5.3). TD=7 (código, rótulo, dirige regra, situação, denominações alternativas, busca por código/rótulo, ação de consultar). O filtro de situação é o mesmo campo da coluna situação e conta uma vez (DER único); ordenação e paginação não contam. AR=1 (Tipo de imóvel). Recontagem 16/10/2026: alterada (linha 250 da contagem de 01/10/2026: "Tipos de imóvel - consultar", CE Baixa 3 PF, TD 8, AR 1). Motivo: TD 8→7: situação e filtro de situação eram contados como dois DER. PF inalterado (CE Baixa).</t>
        </is>
      </c>
    </row>
    <row r="66" ht="12" customHeight="1" s="73">
      <c r="A66" s="14">
        <f>IF(H66="",IF(C66="",A65,A65+1),A65)</f>
        <v/>
      </c>
      <c r="B66" s="48">
        <f>IF(A66=A65,"",CONCATENATE("F",A66))</f>
        <v/>
      </c>
      <c r="C66" s="85" t="inlineStr">
        <is>
          <t>Tipos de imóvel - incluir</t>
        </is>
      </c>
      <c r="D66" s="142" t="n"/>
      <c r="E66" s="142" t="n"/>
      <c r="F66" s="142" t="n"/>
      <c r="G66" s="143" t="n"/>
      <c r="H66" s="56" t="inlineStr">
        <is>
          <t>EE</t>
        </is>
      </c>
      <c r="I66" s="57" t="inlineStr">
        <is>
          <t>I</t>
        </is>
      </c>
      <c r="J66" s="56" t="n">
        <v>7</v>
      </c>
      <c r="K66" s="56" t="n">
        <v>2</v>
      </c>
      <c r="L66" s="50">
        <f>CONCATENATE(H66,M66)</f>
        <v/>
      </c>
      <c r="M66" s="51">
        <f>IF(OR(ISBLANK(J66),ISBLANK(K66)),IF(OR(H66="ALI",H66="AIE"),"L",IF(ISBLANK(H66),"","A")),IF(H66="EE",IF(K66&gt;=3,IF(J66&gt;=5,"H","A"),IF(K66&gt;=2,IF(J66&gt;=16,"H",IF(J66&lt;=4,"L","A")),IF(J66&lt;=15,"L","A"))),IF(OR(H66="SE",H66="CE"),IF(K66&gt;=4,IF(J66&gt;=6,"H","A"),IF(K66&gt;=2,IF(J66&gt;=20,"H",IF(J66&lt;=5,"L","A")),IF(J66&lt;=19,"L","A"))),IF(OR(H66="ALI",H66="AIE"),IF(K66&gt;=6,IF(J66&gt;=20,"H","A"),IF(K66&gt;=2,IF(J66&gt;=51,"H",IF(J66&lt;=19,"L","A")),IF(J66&lt;=50,"L","A")))))))</f>
        <v/>
      </c>
      <c r="N66" s="52">
        <f>IF(M66="L","Baixa",IF(M66="A","Média",IF(M66="","","Alta")))</f>
        <v/>
      </c>
      <c r="O66" s="53">
        <f>IF(ISBLANK(H66),"",IF(H66="ALI",IF(M66="L",7,IF(M66="A",10,15)),IF(H66="AIE",IF(M66="L",5,IF(M66="A",7,10)),IF(H66="SE",IF(M66="L",4,IF(M66="A",5,7)),IF(OR(H66="EE",H66="CE"),IF(M66="L",3,IF(M66="A",4,6)))))))</f>
        <v/>
      </c>
      <c r="P66" s="54">
        <f>IF(I66="I",O66*Contagem!$W$15,IF(I66="E",O66*Contagem!$W$17,IF(I66="A",O66*Contagem!$W$16,IF(I66="T",O66*Contagem!$W$18,""))))</f>
        <v/>
      </c>
      <c r="Q66" s="55" t="inlineStr">
        <is>
          <t>Prova: Rota POST /gestao/tipos-imovel (permissão manter-tipos-imovel). Tela: gestao/tipos-imovel/index. O gestor cadastra o tipo e os aliases; alias duplicado entre tipos é rejeitado. Grava Tipo de imóvel (tipo e aliases normalizados), limpa o cache do catálogo e registra Trilha de auditoria. Resultado: o REGIN passa a reconhecer o tipo. Teste: tests/Feature/Risco/PropertyTypeCrudTest.php::test_cria_tipo_com_aliases_normalizados. Processo elementar independente: menor unidade com significado para o gestor; completa por si (formulário até a gravação); deixa o negócio consistente (aliases únicos e normalizados, auditado); lógica única (inclusão com normalização de aliases). TD=7 (código, rótulo, define regra, ativo, denominações alternativas, mensagem de sucesso/erro, ação de salvar). AR=2 (Tipo de imóvel, Trilha de auditoria). Registros automáticos contados como FTR (premissa P4): Trilha de auditoria. Recontagem 16/10/2026: mantida (linha 251 da contagem de 01/10/2026).</t>
        </is>
      </c>
    </row>
    <row r="67" ht="12" customHeight="1" s="73">
      <c r="A67" s="14">
        <f>IF(H67="",IF(C67="",A66,A66+1),A66)</f>
        <v/>
      </c>
      <c r="B67" s="48">
        <f>IF(A67=A66,"",CONCATENATE("F",A67))</f>
        <v/>
      </c>
      <c r="C67" s="85" t="inlineStr">
        <is>
          <t>Tipos de imóvel - alterar</t>
        </is>
      </c>
      <c r="D67" s="142" t="n"/>
      <c r="E67" s="142" t="n"/>
      <c r="F67" s="142" t="n"/>
      <c r="G67" s="143" t="n"/>
      <c r="H67" s="56" t="inlineStr">
        <is>
          <t>EE</t>
        </is>
      </c>
      <c r="I67" s="57" t="inlineStr">
        <is>
          <t>I</t>
        </is>
      </c>
      <c r="J67" s="56" t="n">
        <v>7</v>
      </c>
      <c r="K67" s="56" t="n">
        <v>2</v>
      </c>
      <c r="L67" s="50">
        <f>CONCATENATE(H67,M67)</f>
        <v/>
      </c>
      <c r="M67" s="51">
        <f>IF(OR(ISBLANK(J67),ISBLANK(K67)),IF(OR(H67="ALI",H67="AIE"),"L",IF(ISBLANK(H67),"","A")),IF(H67="EE",IF(K67&gt;=3,IF(J67&gt;=5,"H","A"),IF(K67&gt;=2,IF(J67&gt;=16,"H",IF(J67&lt;=4,"L","A")),IF(J67&lt;=15,"L","A"))),IF(OR(H67="SE",H67="CE"),IF(K67&gt;=4,IF(J67&gt;=6,"H","A"),IF(K67&gt;=2,IF(J67&gt;=20,"H",IF(J67&lt;=5,"L","A")),IF(J67&lt;=19,"L","A"))),IF(OR(H67="ALI",H67="AIE"),IF(K67&gt;=6,IF(J67&gt;=20,"H","A"),IF(K67&gt;=2,IF(J67&gt;=51,"H",IF(J67&lt;=19,"L","A")),IF(J67&lt;=50,"L","A")))))))</f>
        <v/>
      </c>
      <c r="N67" s="52">
        <f>IF(M67="L","Baixa",IF(M67="A","Média",IF(M67="","","Alta")))</f>
        <v/>
      </c>
      <c r="O67" s="53">
        <f>IF(ISBLANK(H67),"",IF(H67="ALI",IF(M67="L",7,IF(M67="A",10,15)),IF(H67="AIE",IF(M67="L",5,IF(M67="A",7,10)),IF(H67="SE",IF(M67="L",4,IF(M67="A",5,7)),IF(OR(H67="EE",H67="CE"),IF(M67="L",3,IF(M67="A",4,6)))))))</f>
        <v/>
      </c>
      <c r="P67" s="54">
        <f>IF(I67="I",O67*Contagem!$W$15,IF(I67="E",O67*Contagem!$W$17,IF(I67="A",O67*Contagem!$W$16,IF(I67="T",O67*Contagem!$W$18,""))))</f>
        <v/>
      </c>
      <c r="Q67" s="55" t="inlineStr">
        <is>
          <t>Prova: Rota PUT /gestao/tipos-imovel/{propertyType} (permissão manter-tipos-imovel). Tela: gestao/tipos-imovel/index. O gestor altera rótulo, regra e aliases; código imutável; alias removido é excluído e auditado. Grava Tipo de imóvel e Trilha de auditoria. Resultado: muda o roteamento expresso/análise. Teste: tests/Feature/Risco/PropertyTypeCrudTest.php::test_remocao_de_alias_e_auditada. Processo elementar independente: menor unidade com significado para o gestor; completa por si (edição até a gravação); deixa o negócio consistente (aliases sincronizados, auditado); lógica única (alteração com sincronização de aliases). TD=7 (código (identificação, imutável), rótulo, define regra, ativo, denominações alternativas, mensagem de sucesso/erro, ação de salvar). AR=2 (Tipo de imóvel, Trilha de auditoria). Registros automáticos contados como FTR (premissa P4): Trilha de auditoria. Recontagem 16/10/2026: mantida (linha 252 da contagem de 01/10/2026).</t>
        </is>
      </c>
    </row>
    <row r="68" ht="12" customHeight="1" s="73">
      <c r="A68" s="14">
        <f>IF(H68="",IF(C68="",A67,A67+1),A67)</f>
        <v/>
      </c>
      <c r="B68" s="48">
        <f>IF(A68=A67,"",CONCATENATE("F",A68))</f>
        <v/>
      </c>
      <c r="C68" s="85" t="inlineStr">
        <is>
          <t>Tipos de imóvel - ativar ou inativar</t>
        </is>
      </c>
      <c r="D68" s="142" t="n"/>
      <c r="E68" s="142" t="n"/>
      <c r="F68" s="142" t="n"/>
      <c r="G68" s="143" t="n"/>
      <c r="H68" s="56" t="inlineStr">
        <is>
          <t>EE</t>
        </is>
      </c>
      <c r="I68" s="57" t="inlineStr">
        <is>
          <t>I</t>
        </is>
      </c>
      <c r="J68" s="56" t="n">
        <v>4</v>
      </c>
      <c r="K68" s="56" t="n">
        <v>2</v>
      </c>
      <c r="L68" s="50">
        <f>CONCATENATE(H68,M68)</f>
        <v/>
      </c>
      <c r="M68" s="51">
        <f>IF(OR(ISBLANK(J68),ISBLANK(K68)),IF(OR(H68="ALI",H68="AIE"),"L",IF(ISBLANK(H68),"","A")),IF(H68="EE",IF(K68&gt;=3,IF(J68&gt;=5,"H","A"),IF(K68&gt;=2,IF(J68&gt;=16,"H",IF(J68&lt;=4,"L","A")),IF(J68&lt;=15,"L","A"))),IF(OR(H68="SE",H68="CE"),IF(K68&gt;=4,IF(J68&gt;=6,"H","A"),IF(K68&gt;=2,IF(J68&gt;=20,"H",IF(J68&lt;=5,"L","A")),IF(J68&lt;=19,"L","A"))),IF(OR(H68="ALI",H68="AIE"),IF(K68&gt;=6,IF(J68&gt;=20,"H","A"),IF(K68&gt;=2,IF(J68&gt;=51,"H",IF(J68&lt;=19,"L","A")),IF(J68&lt;=50,"L","A")))))))</f>
        <v/>
      </c>
      <c r="N68" s="52">
        <f>IF(M68="L","Baixa",IF(M68="A","Média",IF(M68="","","Alta")))</f>
        <v/>
      </c>
      <c r="O68" s="53">
        <f>IF(ISBLANK(H68),"",IF(H68="ALI",IF(M68="L",7,IF(M68="A",10,15)),IF(H68="AIE",IF(M68="L",5,IF(M68="A",7,10)),IF(H68="SE",IF(M68="L",4,IF(M68="A",5,7)),IF(OR(H68="EE",H68="CE"),IF(M68="L",3,IF(M68="A",4,6)))))))</f>
        <v/>
      </c>
      <c r="P68" s="54">
        <f>IF(I68="I",O68*Contagem!$W$15,IF(I68="E",O68*Contagem!$W$17,IF(I68="A",O68*Contagem!$W$16,IF(I68="T",O68*Contagem!$W$18,""))))</f>
        <v/>
      </c>
      <c r="Q68" s="55" t="inlineStr">
        <is>
          <t>Prova: Rota PUT /gestao/tipos-imovel/{propertyType}/ativacao (permissão manter-tipos-imovel). Tela: gestao/tipos-imovel/index. O gestor ativa ou inativa sem excluir. Grava Tipo de imóvel e Trilha de auditoria. Resultado: tipo inativo degrada para desconhecido e vai à análise. Teste: tests/Feature/Risco/PropertyTypeCrudTest.php::test_toggle_desativa_sem_excluir_e_audita. Processo elementar independente: menor unidade com significado para o gestor; completa por si (clique até a nova situação); deixa o negócio consistente (registro preservado, auditado); lógica única (alternância de situação). TD=4 (código do tipo, situação, mensagem de sucesso, ação de ativar/inativar). AR=2 (Tipo de imóvel, Trilha de auditoria). Registros automáticos contados como FTR (premissa P4): Trilha de auditoria. Recontagem 16/10/2026: mantida (linha 253 da contagem de 01/10/2026).</t>
        </is>
      </c>
    </row>
    <row r="69" ht="12" customHeight="1" s="73">
      <c r="A69" s="14">
        <f>IF(H69="",IF(C69="",A68,A68+1),A68)</f>
        <v/>
      </c>
      <c r="B69" s="48">
        <f>IF(A69=A68,"",CONCATENATE("F",A69))</f>
        <v/>
      </c>
      <c r="C69" s="85" t="n"/>
      <c r="D69" s="142" t="n"/>
      <c r="E69" s="142" t="n"/>
      <c r="F69" s="142" t="n"/>
      <c r="G69" s="143" t="n"/>
      <c r="H69" s="56" t="n"/>
      <c r="I69" s="57" t="n"/>
      <c r="J69" s="56" t="n"/>
      <c r="K69" s="56" t="n"/>
      <c r="L69" s="50">
        <f>CONCATENATE(H69,M69)</f>
        <v/>
      </c>
      <c r="M69" s="51">
        <f>IF(OR(ISBLANK(J69),ISBLANK(K69)),IF(OR(H69="ALI",H69="AIE"),"L",IF(ISBLANK(H69),"","A")),IF(H69="EE",IF(K69&gt;=3,IF(J69&gt;=5,"H","A"),IF(K69&gt;=2,IF(J69&gt;=16,"H",IF(J69&lt;=4,"L","A")),IF(J69&lt;=15,"L","A"))),IF(OR(H69="SE",H69="CE"),IF(K69&gt;=4,IF(J69&gt;=6,"H","A"),IF(K69&gt;=2,IF(J69&gt;=20,"H",IF(J69&lt;=5,"L","A")),IF(J69&lt;=19,"L","A"))),IF(OR(H69="ALI",H69="AIE"),IF(K69&gt;=6,IF(J69&gt;=20,"H","A"),IF(K69&gt;=2,IF(J69&gt;=51,"H",IF(J69&lt;=19,"L","A")),IF(J69&lt;=50,"L","A")))))))</f>
        <v/>
      </c>
      <c r="N69" s="52">
        <f>IF(M69="L","Baixa",IF(M69="A","Média",IF(M69="","","Alta")))</f>
        <v/>
      </c>
      <c r="O69" s="53">
        <f>IF(ISBLANK(H69),"",IF(H69="ALI",IF(M69="L",7,IF(M69="A",10,15)),IF(H69="AIE",IF(M69="L",5,IF(M69="A",7,10)),IF(H69="SE",IF(M69="L",4,IF(M69="A",5,7)),IF(OR(H69="EE",H69="CE"),IF(M69="L",3,IF(M69="A",4,6)))))))</f>
        <v/>
      </c>
      <c r="P69" s="54">
        <f>IF(I69="I",O69*Contagem!$W$15,IF(I69="E",O69*Contagem!$W$17,IF(I69="A",O69*Contagem!$W$16,IF(I69="T",O69*Contagem!$W$18,""))))</f>
        <v/>
      </c>
      <c r="Q69" s="55" t="n"/>
    </row>
    <row r="70" ht="12" customHeight="1" s="73">
      <c r="A70" s="14">
        <f>IF(H70="",IF(C70="",A69,A69+1),A69)</f>
        <v/>
      </c>
      <c r="B70" s="48">
        <f>IF(A70=A69,"",CONCATENATE("F",A70))</f>
        <v/>
      </c>
      <c r="C70" s="85" t="inlineStr">
        <is>
          <t>Termos legais</t>
        </is>
      </c>
      <c r="D70" s="142" t="n"/>
      <c r="E70" s="142" t="n"/>
      <c r="F70" s="142" t="n"/>
      <c r="G70" s="143" t="n"/>
      <c r="H70" s="56" t="n"/>
      <c r="I70" s="57" t="n"/>
      <c r="J70" s="56" t="n"/>
      <c r="K70" s="56" t="n"/>
      <c r="L70" s="50">
        <f>CONCATENATE(H70,M70)</f>
        <v/>
      </c>
      <c r="M70" s="51">
        <f>IF(OR(ISBLANK(J70),ISBLANK(K70)),IF(OR(H70="ALI",H70="AIE"),"L",IF(ISBLANK(H70),"","A")),IF(H70="EE",IF(K70&gt;=3,IF(J70&gt;=5,"H","A"),IF(K70&gt;=2,IF(J70&gt;=16,"H",IF(J70&lt;=4,"L","A")),IF(J70&lt;=15,"L","A"))),IF(OR(H70="SE",H70="CE"),IF(K70&gt;=4,IF(J70&gt;=6,"H","A"),IF(K70&gt;=2,IF(J70&gt;=20,"H",IF(J70&lt;=5,"L","A")),IF(J70&lt;=19,"L","A"))),IF(OR(H70="ALI",H70="AIE"),IF(K70&gt;=6,IF(J70&gt;=20,"H","A"),IF(K70&gt;=2,IF(J70&gt;=51,"H",IF(J70&lt;=19,"L","A")),IF(J70&lt;=50,"L","A")))))))</f>
        <v/>
      </c>
      <c r="N70" s="52">
        <f>IF(M70="L","Baixa",IF(M70="A","Média",IF(M70="","","Alta")))</f>
        <v/>
      </c>
      <c r="O70" s="53">
        <f>IF(ISBLANK(H70),"",IF(H70="ALI",IF(M70="L",7,IF(M70="A",10,15)),IF(H70="AIE",IF(M70="L",5,IF(M70="A",7,10)),IF(H70="SE",IF(M70="L",4,IF(M70="A",5,7)),IF(OR(H70="EE",H70="CE"),IF(M70="L",3,IF(M70="A",4,6)))))))</f>
        <v/>
      </c>
      <c r="P70" s="54">
        <f>IF(I70="I",O70*Contagem!$W$15,IF(I70="E",O70*Contagem!$W$17,IF(I70="A",O70*Contagem!$W$16,IF(I70="T",O70*Contagem!$W$18,""))))</f>
        <v/>
      </c>
      <c r="Q70" s="55" t="n"/>
    </row>
    <row r="71" ht="12" customHeight="1" s="73">
      <c r="A71" s="14">
        <f>IF(H71="",IF(C71="",A70,A70+1),A70)</f>
        <v/>
      </c>
      <c r="B71" s="48">
        <f>IF(A71=A70,"",CONCATENATE("F",A71))</f>
        <v/>
      </c>
      <c r="C71" s="85" t="inlineStr">
        <is>
          <t>Dados - Termo legal</t>
        </is>
      </c>
      <c r="D71" s="142" t="n"/>
      <c r="E71" s="142" t="n"/>
      <c r="F71" s="142" t="n"/>
      <c r="G71" s="143" t="n"/>
      <c r="H71" s="56" t="inlineStr">
        <is>
          <t>ALI</t>
        </is>
      </c>
      <c r="I71" s="57" t="inlineStr">
        <is>
          <t>I</t>
        </is>
      </c>
      <c r="J71" s="56" t="n">
        <v>5</v>
      </c>
      <c r="K71" s="56" t="n">
        <v>1</v>
      </c>
      <c r="L71" s="50">
        <f>CONCATENATE(H71,M71)</f>
        <v/>
      </c>
      <c r="M71" s="51">
        <f>IF(OR(ISBLANK(J71),ISBLANK(K71)),IF(OR(H71="ALI",H71="AIE"),"L",IF(ISBLANK(H71),"","A")),IF(H71="EE",IF(K71&gt;=3,IF(J71&gt;=5,"H","A"),IF(K71&gt;=2,IF(J71&gt;=16,"H",IF(J71&lt;=4,"L","A")),IF(J71&lt;=15,"L","A"))),IF(OR(H71="SE",H71="CE"),IF(K71&gt;=4,IF(J71&gt;=6,"H","A"),IF(K71&gt;=2,IF(J71&gt;=20,"H",IF(J71&lt;=5,"L","A")),IF(J71&lt;=19,"L","A"))),IF(OR(H71="ALI",H71="AIE"),IF(K71&gt;=6,IF(J71&gt;=20,"H","A"),IF(K71&gt;=2,IF(J71&gt;=51,"H",IF(J71&lt;=19,"L","A")),IF(J71&lt;=50,"L","A")))))))</f>
        <v/>
      </c>
      <c r="N71" s="52">
        <f>IF(M71="L","Baixa",IF(M71="A","Média",IF(M71="","","Alta")))</f>
        <v/>
      </c>
      <c r="O71" s="53">
        <f>IF(ISBLANK(H71),"",IF(H71="ALI",IF(M71="L",7,IF(M71="A",10,15)),IF(H71="AIE",IF(M71="L",5,IF(M71="A",7,10)),IF(H71="SE",IF(M71="L",4,IF(M71="A",5,7)),IF(OR(H71="EE",H71="CE"),IF(M71="L",3,IF(M71="A",4,6)))))))</f>
        <v/>
      </c>
      <c r="P71" s="54">
        <f>IF(I71="I",O71*Contagem!$W$15,IF(I71="E",O71*Contagem!$W$17,IF(I71="A",O71*Contagem!$W$16,IF(I71="T",O71*Contagem!$W$18,""))))</f>
        <v/>
      </c>
      <c r="Q71" s="55" t="inlineStr">
        <is>
          <t>Prova: Model LegalTerm; migration database/migrations/2026_06_10_022240_create_legal_terms_table.php (tabela legal_terms). Mantido pelo gestor em /gestao/termos-legais (LegalTermController store, update, publicar, destroy); versão sequencial por tipo; publicado é imutável. Lido no aceite LGPD do portal e da gestão. Teste: tests/Feature/Gestao/LegalTermCrudTest.php::test_cria_rascunho_com_proxima_versao_do_tipo. Arquivo lógico: Por que é grupo lógico reconhecido pelo usuário: o gestor redige e publica versões dos termos (LGPD, uso) que o usuário aceita; mantido por processos da aplicação; registro único por versão, sem tabela filha (os aceites são subgrupo de Usuário). TD=5 (tipo, versão, título, conteúdo, publicado em). TR=1 (Termo legal). Recontagem 16/10/2026: mantida (linha 370 da contagem de 01/10/2026).</t>
        </is>
      </c>
    </row>
    <row r="72" ht="12" customHeight="1" s="73">
      <c r="A72" s="14">
        <f>IF(H72="",IF(C72="",A71,A71+1),A71)</f>
        <v/>
      </c>
      <c r="B72" s="48">
        <f>IF(A72=A71,"",CONCATENATE("F",A72))</f>
        <v/>
      </c>
      <c r="C72" s="85" t="inlineStr">
        <is>
          <t>Termos legais - consultar</t>
        </is>
      </c>
      <c r="D72" s="142" t="n"/>
      <c r="E72" s="142" t="n"/>
      <c r="F72" s="142" t="n"/>
      <c r="G72" s="143" t="n"/>
      <c r="H72" s="56" t="inlineStr">
        <is>
          <t>SE</t>
        </is>
      </c>
      <c r="I72" s="57" t="inlineStr">
        <is>
          <t>I</t>
        </is>
      </c>
      <c r="J72" s="56" t="n">
        <v>7</v>
      </c>
      <c r="K72" s="56" t="n">
        <v>1</v>
      </c>
      <c r="L72" s="50">
        <f>CONCATENATE(H72,M72)</f>
        <v/>
      </c>
      <c r="M72" s="51">
        <f>IF(OR(ISBLANK(J72),ISBLANK(K72)),IF(OR(H72="ALI",H72="AIE"),"L",IF(ISBLANK(H72),"","A")),IF(H72="EE",IF(K72&gt;=3,IF(J72&gt;=5,"H","A"),IF(K72&gt;=2,IF(J72&gt;=16,"H",IF(J72&lt;=4,"L","A")),IF(J72&lt;=15,"L","A"))),IF(OR(H72="SE",H72="CE"),IF(K72&gt;=4,IF(J72&gt;=6,"H","A"),IF(K72&gt;=2,IF(J72&gt;=20,"H",IF(J72&lt;=5,"L","A")),IF(J72&lt;=19,"L","A"))),IF(OR(H72="ALI",H72="AIE"),IF(K72&gt;=6,IF(J72&gt;=20,"H","A"),IF(K72&gt;=2,IF(J72&gt;=51,"H",IF(J72&lt;=19,"L","A")),IF(J72&lt;=50,"L","A")))))))</f>
        <v/>
      </c>
      <c r="N72" s="52">
        <f>IF(M72="L","Baixa",IF(M72="A","Média",IF(M72="","","Alta")))</f>
        <v/>
      </c>
      <c r="O72" s="53">
        <f>IF(ISBLANK(H72),"",IF(H72="ALI",IF(M72="L",7,IF(M72="A",10,15)),IF(H72="AIE",IF(M72="L",5,IF(M72="A",7,10)),IF(H72="SE",IF(M72="L",4,IF(M72="A",5,7)),IF(OR(H72="EE",H72="CE"),IF(M72="L",3,IF(M72="A",4,6)))))))</f>
        <v/>
      </c>
      <c r="P72" s="54">
        <f>IF(I72="I",O72*Contagem!$W$15,IF(I72="E",O72*Contagem!$W$17,IF(I72="A",O72*Contagem!$W$16,IF(I72="T",O72*Contagem!$W$18,""))))</f>
        <v/>
      </c>
      <c r="Q72" s="55" t="inlineStr">
        <is>
          <t>Prova: Rota GET /gestao/termos-legais (manter-parametros). Tela: gestao/termos-legais/index. O gestor vê os termos por tipo e versão; LegalTermController deriva a situação: rascunho sem publicação, vigente a última publicada do tipo, substituído as demais. Lê termo legal. Teste: tests/Feature/Gestao/LegalTermCrudTest.php::test_lista_exige_permissao. Processo elementar independente: menor unidade com significado para o gestor; completa por si (abrir a tela até a lista); deixa o negócio consistente (só leitura); lógica única (deriva qual versão está vigente por tipo). TD=7 (tipo, versão, título, conteúdo, publicado em, situação (rascunho, vigente, substituído), ação consultar). AR=1 (Termo legal). Classificação: A situação vigente ou substituída é dado derivado calculado na consulta: SE, não CE. Recontagem 16/10/2026: mantida (linha 371 da contagem de 01/10/2026).</t>
        </is>
      </c>
    </row>
    <row r="73" ht="12" customHeight="1" s="73">
      <c r="A73" s="14">
        <f>IF(H73="",IF(C73="",A72,A72+1),A72)</f>
        <v/>
      </c>
      <c r="B73" s="48">
        <f>IF(A73=A72,"",CONCATENATE("F",A73))</f>
        <v/>
      </c>
      <c r="C73" s="85" t="inlineStr">
        <is>
          <t>Termos legais - incluir</t>
        </is>
      </c>
      <c r="D73" s="142" t="n"/>
      <c r="E73" s="142" t="n"/>
      <c r="F73" s="142" t="n"/>
      <c r="G73" s="143" t="n"/>
      <c r="H73" s="56" t="inlineStr">
        <is>
          <t>EE</t>
        </is>
      </c>
      <c r="I73" s="57" t="inlineStr">
        <is>
          <t>I</t>
        </is>
      </c>
      <c r="J73" s="56" t="n">
        <v>5</v>
      </c>
      <c r="K73" s="56" t="n">
        <v>2</v>
      </c>
      <c r="L73" s="50">
        <f>CONCATENATE(H73,M73)</f>
        <v/>
      </c>
      <c r="M73" s="51">
        <f>IF(OR(ISBLANK(J73),ISBLANK(K73)),IF(OR(H73="ALI",H73="AIE"),"L",IF(ISBLANK(H73),"","A")),IF(H73="EE",IF(K73&gt;=3,IF(J73&gt;=5,"H","A"),IF(K73&gt;=2,IF(J73&gt;=16,"H",IF(J73&lt;=4,"L","A")),IF(J73&lt;=15,"L","A"))),IF(OR(H73="SE",H73="CE"),IF(K73&gt;=4,IF(J73&gt;=6,"H","A"),IF(K73&gt;=2,IF(J73&gt;=20,"H",IF(J73&lt;=5,"L","A")),IF(J73&lt;=19,"L","A"))),IF(OR(H73="ALI",H73="AIE"),IF(K73&gt;=6,IF(J73&gt;=20,"H","A"),IF(K73&gt;=2,IF(J73&gt;=51,"H",IF(J73&lt;=19,"L","A")),IF(J73&lt;=50,"L","A")))))))</f>
        <v/>
      </c>
      <c r="N73" s="52">
        <f>IF(M73="L","Baixa",IF(M73="A","Média",IF(M73="","","Alta")))</f>
        <v/>
      </c>
      <c r="O73" s="53">
        <f>IF(ISBLANK(H73),"",IF(H73="ALI",IF(M73="L",7,IF(M73="A",10,15)),IF(H73="AIE",IF(M73="L",5,IF(M73="A",7,10)),IF(H73="SE",IF(M73="L",4,IF(M73="A",5,7)),IF(OR(H73="EE",H73="CE"),IF(M73="L",3,IF(M73="A",4,6)))))))</f>
        <v/>
      </c>
      <c r="P73" s="54">
        <f>IF(I73="I",O73*Contagem!$W$15,IF(I73="E",O73*Contagem!$W$17,IF(I73="A",O73*Contagem!$W$16,IF(I73="T",O73*Contagem!$W$18,""))))</f>
        <v/>
      </c>
      <c r="Q73" s="55" t="inlineStr">
        <is>
          <t>Prova: Rota POST /gestao/termos-legais (manter-parametros). Tela: gestao/termos-legais/index. O gestor informa tipo, título e conteúdo; o sistema atribui a próxima versão do tipo e grava como rascunho (sem publicação). Grava termo legal; auditado por HasAuditoria. Teste: tests/Feature/Gestao/LegalTermCrudTest.php::test_cria_rascunho_com_proxima_versao_do_tipo. Processo elementar independente: menor unidade com significado para o gestor; completa por si (formulário até o rascunho gravado); deixa o negócio consistente (versão sequencial, vigente intacta); lógica única (inclusão com versionamento automático). TD=5 (tipo, título, conteúdo, mensagem de sucesso/erro, ação salvar). AR=2 (Termo legal, Trilha de auditoria). Registros automáticos contados como FTR (premissa P4): Trilha de auditoria. Recontagem 16/10/2026: mantida (linha 372 da contagem de 01/10/2026).</t>
        </is>
      </c>
    </row>
    <row r="74" ht="12" customHeight="1" s="73">
      <c r="A74" s="14">
        <f>IF(H74="",IF(C74="",A73,A73+1),A73)</f>
        <v/>
      </c>
      <c r="B74" s="48">
        <f>IF(A74=A73,"",CONCATENATE("F",A74))</f>
        <v/>
      </c>
      <c r="C74" s="85" t="inlineStr">
        <is>
          <t>Termos legais - alterar</t>
        </is>
      </c>
      <c r="D74" s="142" t="n"/>
      <c r="E74" s="142" t="n"/>
      <c r="F74" s="142" t="n"/>
      <c r="G74" s="143" t="n"/>
      <c r="H74" s="56" t="inlineStr">
        <is>
          <t>EE</t>
        </is>
      </c>
      <c r="I74" s="57" t="inlineStr">
        <is>
          <t>I</t>
        </is>
      </c>
      <c r="J74" s="56" t="n">
        <v>5</v>
      </c>
      <c r="K74" s="56" t="n">
        <v>2</v>
      </c>
      <c r="L74" s="50">
        <f>CONCATENATE(H74,M74)</f>
        <v/>
      </c>
      <c r="M74" s="51">
        <f>IF(OR(ISBLANK(J74),ISBLANK(K74)),IF(OR(H74="ALI",H74="AIE"),"L",IF(ISBLANK(H74),"","A")),IF(H74="EE",IF(K74&gt;=3,IF(J74&gt;=5,"H","A"),IF(K74&gt;=2,IF(J74&gt;=16,"H",IF(J74&lt;=4,"L","A")),IF(J74&lt;=15,"L","A"))),IF(OR(H74="SE",H74="CE"),IF(K74&gt;=4,IF(J74&gt;=6,"H","A"),IF(K74&gt;=2,IF(J74&gt;=20,"H",IF(J74&lt;=5,"L","A")),IF(J74&lt;=19,"L","A"))),IF(OR(H74="ALI",H74="AIE"),IF(K74&gt;=6,IF(J74&gt;=20,"H","A"),IF(K74&gt;=2,IF(J74&gt;=51,"H",IF(J74&lt;=19,"L","A")),IF(J74&lt;=50,"L","A")))))))</f>
        <v/>
      </c>
      <c r="N74" s="52">
        <f>IF(M74="L","Baixa",IF(M74="A","Média",IF(M74="","","Alta")))</f>
        <v/>
      </c>
      <c r="O74" s="53">
        <f>IF(ISBLANK(H74),"",IF(H74="ALI",IF(M74="L",7,IF(M74="A",10,15)),IF(H74="AIE",IF(M74="L",5,IF(M74="A",7,10)),IF(H74="SE",IF(M74="L",4,IF(M74="A",5,7)),IF(OR(H74="EE",H74="CE"),IF(M74="L",3,IF(M74="A",4,6)))))))</f>
        <v/>
      </c>
      <c r="P74" s="54">
        <f>IF(I74="I",O74*Contagem!$W$15,IF(I74="E",O74*Contagem!$W$17,IF(I74="A",O74*Contagem!$W$16,IF(I74="T",O74*Contagem!$W$18,""))))</f>
        <v/>
      </c>
      <c r="Q74" s="55" t="inlineStr">
        <is>
          <t>Prova: Rota PUT /gestao/termos-legais/{legalTerm} (manter-parametros). Tela: gestao/termos-legais/index. O gestor altera título e conteúdo do rascunho; termo publicado é recusado com mensagem de imutabilidade. Grava termo legal; auditado por HasAuditoria. Teste: tests/Feature/Gestao/LegalTermCrudTest.php::test_rascunho_pode_ser_editado_e_excluido. Processo elementar independente: menor unidade com significado para o gestor; completa por si (edição até a gravação); deixa o negócio consistente (publicado nunca muda); lógica única (alteração restrita a rascunho). TD=5 (termo (identificação), título, conteúdo, mensagem de sucesso/erro, ação salvar). AR=2 (Termo legal, Trilha de auditoria). Registros automáticos contados como FTR (premissa P4): Trilha de auditoria. Recontagem 16/10/2026: mantida (linha 373 da contagem de 01/10/2026).</t>
        </is>
      </c>
    </row>
    <row r="75" ht="12" customHeight="1" s="73">
      <c r="A75" s="14">
        <f>IF(H75="",IF(C75="",A74,A74+1),A74)</f>
        <v/>
      </c>
      <c r="B75" s="48">
        <f>IF(A75=A74,"",CONCATENATE("F",A75))</f>
        <v/>
      </c>
      <c r="C75" s="85" t="inlineStr">
        <is>
          <t>Termos legais - publicar</t>
        </is>
      </c>
      <c r="D75" s="142" t="n"/>
      <c r="E75" s="142" t="n"/>
      <c r="F75" s="142" t="n"/>
      <c r="G75" s="143" t="n"/>
      <c r="H75" s="56" t="inlineStr">
        <is>
          <t>EE</t>
        </is>
      </c>
      <c r="I75" s="57" t="inlineStr">
        <is>
          <t>I</t>
        </is>
      </c>
      <c r="J75" s="56" t="n">
        <v>4</v>
      </c>
      <c r="K75" s="56" t="n">
        <v>2</v>
      </c>
      <c r="L75" s="50">
        <f>CONCATENATE(H75,M75)</f>
        <v/>
      </c>
      <c r="M75" s="51">
        <f>IF(OR(ISBLANK(J75),ISBLANK(K75)),IF(OR(H75="ALI",H75="AIE"),"L",IF(ISBLANK(H75),"","A")),IF(H75="EE",IF(K75&gt;=3,IF(J75&gt;=5,"H","A"),IF(K75&gt;=2,IF(J75&gt;=16,"H",IF(J75&lt;=4,"L","A")),IF(J75&lt;=15,"L","A"))),IF(OR(H75="SE",H75="CE"),IF(K75&gt;=4,IF(J75&gt;=6,"H","A"),IF(K75&gt;=2,IF(J75&gt;=20,"H",IF(J75&lt;=5,"L","A")),IF(J75&lt;=19,"L","A"))),IF(OR(H75="ALI",H75="AIE"),IF(K75&gt;=6,IF(J75&gt;=20,"H","A"),IF(K75&gt;=2,IF(J75&gt;=51,"H",IF(J75&lt;=19,"L","A")),IF(J75&lt;=50,"L","A")))))))</f>
        <v/>
      </c>
      <c r="N75" s="52">
        <f>IF(M75="L","Baixa",IF(M75="A","Média",IF(M75="","","Alta")))</f>
        <v/>
      </c>
      <c r="O75" s="53">
        <f>IF(ISBLANK(H75),"",IF(H75="ALI",IF(M75="L",7,IF(M75="A",10,15)),IF(H75="AIE",IF(M75="L",5,IF(M75="A",7,10)),IF(H75="SE",IF(M75="L",4,IF(M75="A",5,7)),IF(OR(H75="EE",H75="CE"),IF(M75="L",3,IF(M75="A",4,6)))))))</f>
        <v/>
      </c>
      <c r="P75" s="54">
        <f>IF(I75="I",O75*Contagem!$W$15,IF(I75="E",O75*Contagem!$W$17,IF(I75="A",O75*Contagem!$W$16,IF(I75="T",O75*Contagem!$W$18,""))))</f>
        <v/>
      </c>
      <c r="Q75" s="55" t="inlineStr">
        <is>
          <t>Prova: Rota PUT /gestao/termos-legais/{legalTerm}/publicar (manter-parametros). Tela: gestao/termos-legais/index. O gestor publica o rascunho; grava published_at e a versão passa a vigente para novos aceites; republicar é recusado. Grava termo legal; auditado. Teste: tests/Feature/Gestao/LegalTermCrudTest.php::test_publicar_torna_o_termo_vigente. Processo elementar independente: menor unidade com significado para o gestor; completa por si (clique até a versão vigente); deixa o negócio consistente (novos aceites usam a versão publicada); lógica única (publicação com imutabilidade). TD=4 (termo (versão e título), publicado em, mensagem de sucesso/erro, ação publicar). AR=2 (Termo legal, Trilha de auditoria). Registros automáticos contados como FTR (premissa P4): Trilha de auditoria. Recontagem 16/10/2026: mantida (linha 374 da contagem de 01/10/2026).</t>
        </is>
      </c>
    </row>
    <row r="76" ht="12" customHeight="1" s="73">
      <c r="A76" s="14">
        <f>IF(H76="",IF(C76="",A75,A75+1),A75)</f>
        <v/>
      </c>
      <c r="B76" s="48">
        <f>IF(A76=A75,"",CONCATENATE("F",A76))</f>
        <v/>
      </c>
      <c r="C76" s="85" t="inlineStr">
        <is>
          <t>Termos legais - excluir</t>
        </is>
      </c>
      <c r="D76" s="142" t="n"/>
      <c r="E76" s="142" t="n"/>
      <c r="F76" s="142" t="n"/>
      <c r="G76" s="143" t="n"/>
      <c r="H76" s="56" t="inlineStr">
        <is>
          <t>EE</t>
        </is>
      </c>
      <c r="I76" s="57" t="inlineStr">
        <is>
          <t>I</t>
        </is>
      </c>
      <c r="J76" s="56" t="n">
        <v>3</v>
      </c>
      <c r="K76" s="56" t="n">
        <v>2</v>
      </c>
      <c r="L76" s="50">
        <f>CONCATENATE(H76,M76)</f>
        <v/>
      </c>
      <c r="M76" s="51">
        <f>IF(OR(ISBLANK(J76),ISBLANK(K76)),IF(OR(H76="ALI",H76="AIE"),"L",IF(ISBLANK(H76),"","A")),IF(H76="EE",IF(K76&gt;=3,IF(J76&gt;=5,"H","A"),IF(K76&gt;=2,IF(J76&gt;=16,"H",IF(J76&lt;=4,"L","A")),IF(J76&lt;=15,"L","A"))),IF(OR(H76="SE",H76="CE"),IF(K76&gt;=4,IF(J76&gt;=6,"H","A"),IF(K76&gt;=2,IF(J76&gt;=20,"H",IF(J76&lt;=5,"L","A")),IF(J76&lt;=19,"L","A"))),IF(OR(H76="ALI",H76="AIE"),IF(K76&gt;=6,IF(J76&gt;=20,"H","A"),IF(K76&gt;=2,IF(J76&gt;=51,"H",IF(J76&lt;=19,"L","A")),IF(J76&lt;=50,"L","A")))))))</f>
        <v/>
      </c>
      <c r="N76" s="52">
        <f>IF(M76="L","Baixa",IF(M76="A","Média",IF(M76="","","Alta")))</f>
        <v/>
      </c>
      <c r="O76" s="53">
        <f>IF(ISBLANK(H76),"",IF(H76="ALI",IF(M76="L",7,IF(M76="A",10,15)),IF(H76="AIE",IF(M76="L",5,IF(M76="A",7,10)),IF(H76="SE",IF(M76="L",4,IF(M76="A",5,7)),IF(OR(H76="EE",H76="CE"),IF(M76="L",3,IF(M76="A",4,6)))))))</f>
        <v/>
      </c>
      <c r="P76" s="54">
        <f>IF(I76="I",O76*Contagem!$W$15,IF(I76="E",O76*Contagem!$W$17,IF(I76="A",O76*Contagem!$W$16,IF(I76="T",O76*Contagem!$W$18,""))))</f>
        <v/>
      </c>
      <c r="Q76" s="55" t="inlineStr">
        <is>
          <t>Prova: Rota DELETE /gestao/termos-legais/{legalTerm} (manter-parametros). Tela: gestao/termos-legais/index. O gestor exclui um rascunho; termo publicado é recusado com mensagem. Remove termo legal; auditado por HasAuditoria. Teste: tests/Feature/Gestao/LegalTermCrudTest.php::test_rascunho_pode_ser_editado_e_excluido. Processo elementar independente: menor unidade com significado para o gestor; completa por si (confirmação até a remoção); deixa o negócio consistente (publicado preservado); lógica única (exclusão restrita a rascunho). TD=3 (termo (identificação), mensagem de sucesso/erro, ação excluir). AR=2 (Termo legal, Trilha de auditoria). Registros automáticos contados como FTR (premissa P4): Trilha de auditoria. Recontagem 16/10/2026: mantida (linha 375 da contagem de 01/10/2026).</t>
        </is>
      </c>
    </row>
    <row r="77" ht="12" customHeight="1" s="73">
      <c r="A77" s="14">
        <f>IF(H77="",IF(C77="",A76,A76+1),A76)</f>
        <v/>
      </c>
      <c r="B77" s="48">
        <f>IF(A77=A76,"",CONCATENATE("F",A77))</f>
        <v/>
      </c>
      <c r="C77" s="85" t="n"/>
      <c r="D77" s="142" t="n"/>
      <c r="E77" s="142" t="n"/>
      <c r="F77" s="142" t="n"/>
      <c r="G77" s="143" t="n"/>
      <c r="H77" s="56" t="n"/>
      <c r="I77" s="57" t="n"/>
      <c r="J77" s="56" t="n"/>
      <c r="K77" s="56" t="n"/>
      <c r="L77" s="50">
        <f>CONCATENATE(H77,M77)</f>
        <v/>
      </c>
      <c r="M77" s="51">
        <f>IF(OR(ISBLANK(J77),ISBLANK(K77)),IF(OR(H77="ALI",H77="AIE"),"L",IF(ISBLANK(H77),"","A")),IF(H77="EE",IF(K77&gt;=3,IF(J77&gt;=5,"H","A"),IF(K77&gt;=2,IF(J77&gt;=16,"H",IF(J77&lt;=4,"L","A")),IF(J77&lt;=15,"L","A"))),IF(OR(H77="SE",H77="CE"),IF(K77&gt;=4,IF(J77&gt;=6,"H","A"),IF(K77&gt;=2,IF(J77&gt;=20,"H",IF(J77&lt;=5,"L","A")),IF(J77&lt;=19,"L","A"))),IF(OR(H77="ALI",H77="AIE"),IF(K77&gt;=6,IF(J77&gt;=20,"H","A"),IF(K77&gt;=2,IF(J77&gt;=51,"H",IF(J77&lt;=19,"L","A")),IF(J77&lt;=50,"L","A")))))))</f>
        <v/>
      </c>
      <c r="N77" s="52">
        <f>IF(M77="L","Baixa",IF(M77="A","Média",IF(M77="","","Alta")))</f>
        <v/>
      </c>
      <c r="O77" s="53">
        <f>IF(ISBLANK(H77),"",IF(H77="ALI",IF(M77="L",7,IF(M77="A",10,15)),IF(H77="AIE",IF(M77="L",5,IF(M77="A",7,10)),IF(H77="SE",IF(M77="L",4,IF(M77="A",5,7)),IF(OR(H77="EE",H77="CE"),IF(M77="L",3,IF(M77="A",4,6)))))))</f>
        <v/>
      </c>
      <c r="P77" s="54">
        <f>IF(I77="I",O77*Contagem!$W$15,IF(I77="E",O77*Contagem!$W$17,IF(I77="A",O77*Contagem!$W$16,IF(I77="T",O77*Contagem!$W$18,""))))</f>
        <v/>
      </c>
      <c r="Q77" s="55" t="n"/>
    </row>
    <row r="78" ht="12" customHeight="1" s="73">
      <c r="A78" s="14">
        <f>IF(H78="",IF(C78="",A77,A77+1),A77)</f>
        <v/>
      </c>
      <c r="B78" s="48">
        <f>IF(A78=A77,"",CONCATENATE("F",A78))</f>
        <v/>
      </c>
      <c r="C78" s="85" t="inlineStr">
        <is>
          <t>Textos-padrão</t>
        </is>
      </c>
      <c r="D78" s="142" t="n"/>
      <c r="E78" s="142" t="n"/>
      <c r="F78" s="142" t="n"/>
      <c r="G78" s="143" t="n"/>
      <c r="H78" s="56" t="n"/>
      <c r="I78" s="57" t="n"/>
      <c r="J78" s="56" t="n"/>
      <c r="K78" s="56" t="n"/>
      <c r="L78" s="50">
        <f>CONCATENATE(H78,M78)</f>
        <v/>
      </c>
      <c r="M78" s="51">
        <f>IF(OR(ISBLANK(J78),ISBLANK(K78)),IF(OR(H78="ALI",H78="AIE"),"L",IF(ISBLANK(H78),"","A")),IF(H78="EE",IF(K78&gt;=3,IF(J78&gt;=5,"H","A"),IF(K78&gt;=2,IF(J78&gt;=16,"H",IF(J78&lt;=4,"L","A")),IF(J78&lt;=15,"L","A"))),IF(OR(H78="SE",H78="CE"),IF(K78&gt;=4,IF(J78&gt;=6,"H","A"),IF(K78&gt;=2,IF(J78&gt;=20,"H",IF(J78&lt;=5,"L","A")),IF(J78&lt;=19,"L","A"))),IF(OR(H78="ALI",H78="AIE"),IF(K78&gt;=6,IF(J78&gt;=20,"H","A"),IF(K78&gt;=2,IF(J78&gt;=51,"H",IF(J78&lt;=19,"L","A")),IF(J78&lt;=50,"L","A")))))))</f>
        <v/>
      </c>
      <c r="N78" s="52">
        <f>IF(M78="L","Baixa",IF(M78="A","Média",IF(M78="","","Alta")))</f>
        <v/>
      </c>
      <c r="O78" s="53">
        <f>IF(ISBLANK(H78),"",IF(H78="ALI",IF(M78="L",7,IF(M78="A",10,15)),IF(H78="AIE",IF(M78="L",5,IF(M78="A",7,10)),IF(H78="SE",IF(M78="L",4,IF(M78="A",5,7)),IF(OR(H78="EE",H78="CE"),IF(M78="L",3,IF(M78="A",4,6)))))))</f>
        <v/>
      </c>
      <c r="P78" s="54">
        <f>IF(I78="I",O78*Contagem!$W$15,IF(I78="E",O78*Contagem!$W$17,IF(I78="A",O78*Contagem!$W$16,IF(I78="T",O78*Contagem!$W$18,""))))</f>
        <v/>
      </c>
      <c r="Q78" s="55" t="n"/>
    </row>
    <row r="79" ht="12" customHeight="1" s="73">
      <c r="A79" s="14">
        <f>IF(H79="",IF(C79="",A78,A78+1),A78)</f>
        <v/>
      </c>
      <c r="B79" s="48">
        <f>IF(A79=A78,"",CONCATENATE("F",A79))</f>
        <v/>
      </c>
      <c r="C79" s="85" t="inlineStr">
        <is>
          <t>Dados - Texto-padrão</t>
        </is>
      </c>
      <c r="D79" s="142" t="n"/>
      <c r="E79" s="142" t="n"/>
      <c r="F79" s="142" t="n"/>
      <c r="G79" s="143" t="n"/>
      <c r="H79" s="56" t="inlineStr">
        <is>
          <t>ALI</t>
        </is>
      </c>
      <c r="I79" s="57" t="inlineStr">
        <is>
          <t>I</t>
        </is>
      </c>
      <c r="J79" s="56" t="n">
        <v>4</v>
      </c>
      <c r="K79" s="56" t="n">
        <v>1</v>
      </c>
      <c r="L79" s="50">
        <f>CONCATENATE(H79,M79)</f>
        <v/>
      </c>
      <c r="M79" s="51">
        <f>IF(OR(ISBLANK(J79),ISBLANK(K79)),IF(OR(H79="ALI",H79="AIE"),"L",IF(ISBLANK(H79),"","A")),IF(H79="EE",IF(K79&gt;=3,IF(J79&gt;=5,"H","A"),IF(K79&gt;=2,IF(J79&gt;=16,"H",IF(J79&lt;=4,"L","A")),IF(J79&lt;=15,"L","A"))),IF(OR(H79="SE",H79="CE"),IF(K79&gt;=4,IF(J79&gt;=6,"H","A"),IF(K79&gt;=2,IF(J79&gt;=20,"H",IF(J79&lt;=5,"L","A")),IF(J79&lt;=19,"L","A"))),IF(OR(H79="ALI",H79="AIE"),IF(K79&gt;=6,IF(J79&gt;=20,"H","A"),IF(K79&gt;=2,IF(J79&gt;=51,"H",IF(J79&lt;=19,"L","A")),IF(J79&lt;=50,"L","A")))))))</f>
        <v/>
      </c>
      <c r="N79" s="52">
        <f>IF(M79="L","Baixa",IF(M79="A","Média",IF(M79="","","Alta")))</f>
        <v/>
      </c>
      <c r="O79" s="53">
        <f>IF(ISBLANK(H79),"",IF(H79="ALI",IF(M79="L",7,IF(M79="A",10,15)),IF(H79="AIE",IF(M79="L",5,IF(M79="A",7,10)),IF(H79="SE",IF(M79="L",4,IF(M79="A",5,7)),IF(OR(H79="EE",H79="CE"),IF(M79="L",3,IF(M79="A",4,6)))))))</f>
        <v/>
      </c>
      <c r="P79" s="54">
        <f>IF(I79="I",O79*Contagem!$W$15,IF(I79="E",O79*Contagem!$W$17,IF(I79="A",O79*Contagem!$W$16,IF(I79="T",O79*Contagem!$W$18,""))))</f>
        <v/>
      </c>
      <c r="Q79" s="55" t="inlineStr">
        <is>
          <t>Prova: Model StandardText; migration 2026_06_14_215047_create_standard_texts_table. Mantido por incluir, alterar (incrementa versão ao mudar conteúdo) e ativar/inativar (StandardTextController). Lido pela ficha de análise e pela minuta de parecer. Teste: tests/Feature/Analise/StandardTextCrudTest.php::test_editar_conteudo_incrementa_versao. Arquivo lógico: Grupo lógico reconhecido pelo gestor da SEDUR: biblioteca versionada de trechos pré-aprovados usados no parecer. Mantido por telas da própria aplicação. TD=4 (categoria, conteúdo, situação, versão). TR=1 (Texto-padrão). Regra de negócio que o tira de dado de código: a ficha de análise monta o parecer com os textos ativos da categoria da ficha (StandardTextComposer), preenchidos com os dados do processo; alterar o conteúdo gera nova versão do texto. Recontagem 16/10/2026: mantida (linha 383 da contagem de 01/10/2026).</t>
        </is>
      </c>
    </row>
    <row r="80" ht="12" customHeight="1" s="73">
      <c r="A80" s="14">
        <f>IF(H80="",IF(C80="",A79,A79+1),A79)</f>
        <v/>
      </c>
      <c r="B80" s="48">
        <f>IF(A80=A79,"",CONCATENATE("F",A80))</f>
        <v/>
      </c>
      <c r="C80" s="85" t="inlineStr">
        <is>
          <t>Textos-padrão - consultar</t>
        </is>
      </c>
      <c r="D80" s="142" t="n"/>
      <c r="E80" s="142" t="n"/>
      <c r="F80" s="142" t="n"/>
      <c r="G80" s="143" t="n"/>
      <c r="H80" s="56" t="inlineStr">
        <is>
          <t>CE</t>
        </is>
      </c>
      <c r="I80" s="57" t="inlineStr">
        <is>
          <t>I</t>
        </is>
      </c>
      <c r="J80" s="56" t="n">
        <v>6</v>
      </c>
      <c r="K80" s="56" t="n">
        <v>1</v>
      </c>
      <c r="L80" s="50">
        <f>CONCATENATE(H80,M80)</f>
        <v/>
      </c>
      <c r="M80" s="51">
        <f>IF(OR(ISBLANK(J80),ISBLANK(K80)),IF(OR(H80="ALI",H80="AIE"),"L",IF(ISBLANK(H80),"","A")),IF(H80="EE",IF(K80&gt;=3,IF(J80&gt;=5,"H","A"),IF(K80&gt;=2,IF(J80&gt;=16,"H",IF(J80&lt;=4,"L","A")),IF(J80&lt;=15,"L","A"))),IF(OR(H80="SE",H80="CE"),IF(K80&gt;=4,IF(J80&gt;=6,"H","A"),IF(K80&gt;=2,IF(J80&gt;=20,"H",IF(J80&lt;=5,"L","A")),IF(J80&lt;=19,"L","A"))),IF(OR(H80="ALI",H80="AIE"),IF(K80&gt;=6,IF(J80&gt;=20,"H","A"),IF(K80&gt;=2,IF(J80&gt;=51,"H",IF(J80&lt;=19,"L","A")),IF(J80&lt;=50,"L","A")))))))</f>
        <v/>
      </c>
      <c r="N80" s="52">
        <f>IF(M80="L","Baixa",IF(M80="A","Média",IF(M80="","","Alta")))</f>
        <v/>
      </c>
      <c r="O80" s="53">
        <f>IF(ISBLANK(H80),"",IF(H80="ALI",IF(M80="L",7,IF(M80="A",10,15)),IF(H80="AIE",IF(M80="L",5,IF(M80="A",7,10)),IF(H80="SE",IF(M80="L",4,IF(M80="A",5,7)),IF(OR(H80="EE",H80="CE"),IF(M80="L",3,IF(M80="A",4,6)))))))</f>
        <v/>
      </c>
      <c r="P80" s="54">
        <f>IF(I80="I",O80*Contagem!$W$15,IF(I80="E",O80*Contagem!$W$17,IF(I80="A",O80*Contagem!$W$16,IF(I80="T",O80*Contagem!$W$18,""))))</f>
        <v/>
      </c>
      <c r="Q80" s="55" t="inlineStr">
        <is>
          <t>Prova: Rota GET /gestao/textos-padrao (permissão manter-parametros). Tela: gestao/textos-padrao/index. O gestor lista com busca no conteúdo, filtro de categoria e de situação. Lê Texto-padrão; não grava. Teste: tests/Feature/Analise/StandardTextCrudTest.php::test_filtra_por_categoria. Processo elementar independente: menor unidade com significado para o gestor; completa por si (filtra e recebe a lista); deixa o negócio consistente (nada é alterado); lógica única (consulta da biblioteca de textos). Classificação: recuperação sem cálculo, CE (§5.5.3). TD=6 (busca no conteúdo, categoria, situação, conteúdo, versão, ação de consultar). Filtros de categoria e situação são os mesmos campos das colunas; ordenação não conta (a contagem anterior listava ordenação no lugar da ação; total igual). AR=1 (Texto-padrão). Recontagem 16/10/2026: mantida (linha 384 da contagem de 01/10/2026).</t>
        </is>
      </c>
    </row>
    <row r="81" ht="12" customHeight="1" s="73">
      <c r="A81" s="14">
        <f>IF(H81="",IF(C81="",A80,A80+1),A80)</f>
        <v/>
      </c>
      <c r="B81" s="48">
        <f>IF(A81=A80,"",CONCATENATE("F",A81))</f>
        <v/>
      </c>
      <c r="C81" s="85" t="inlineStr">
        <is>
          <t>Textos-padrão - incluir</t>
        </is>
      </c>
      <c r="D81" s="142" t="n"/>
      <c r="E81" s="142" t="n"/>
      <c r="F81" s="142" t="n"/>
      <c r="G81" s="143" t="n"/>
      <c r="H81" s="56" t="inlineStr">
        <is>
          <t>EE</t>
        </is>
      </c>
      <c r="I81" s="57" t="inlineStr">
        <is>
          <t>I</t>
        </is>
      </c>
      <c r="J81" s="56" t="n">
        <v>5</v>
      </c>
      <c r="K81" s="56" t="n">
        <v>2</v>
      </c>
      <c r="L81" s="50">
        <f>CONCATENATE(H81,M81)</f>
        <v/>
      </c>
      <c r="M81" s="51">
        <f>IF(OR(ISBLANK(J81),ISBLANK(K81)),IF(OR(H81="ALI",H81="AIE"),"L",IF(ISBLANK(H81),"","A")),IF(H81="EE",IF(K81&gt;=3,IF(J81&gt;=5,"H","A"),IF(K81&gt;=2,IF(J81&gt;=16,"H",IF(J81&lt;=4,"L","A")),IF(J81&lt;=15,"L","A"))),IF(OR(H81="SE",H81="CE"),IF(K81&gt;=4,IF(J81&gt;=6,"H","A"),IF(K81&gt;=2,IF(J81&gt;=20,"H",IF(J81&lt;=5,"L","A")),IF(J81&lt;=19,"L","A"))),IF(OR(H81="ALI",H81="AIE"),IF(K81&gt;=6,IF(J81&gt;=20,"H","A"),IF(K81&gt;=2,IF(J81&gt;=51,"H",IF(J81&lt;=19,"L","A")),IF(J81&lt;=50,"L","A")))))))</f>
        <v/>
      </c>
      <c r="N81" s="52">
        <f>IF(M81="L","Baixa",IF(M81="A","Média",IF(M81="","","Alta")))</f>
        <v/>
      </c>
      <c r="O81" s="53">
        <f>IF(ISBLANK(H81),"",IF(H81="ALI",IF(M81="L",7,IF(M81="A",10,15)),IF(H81="AIE",IF(M81="L",5,IF(M81="A",7,10)),IF(H81="SE",IF(M81="L",4,IF(M81="A",5,7)),IF(OR(H81="EE",H81="CE"),IF(M81="L",3,IF(M81="A",4,6)))))))</f>
        <v/>
      </c>
      <c r="P81" s="54">
        <f>IF(I81="I",O81*Contagem!$W$15,IF(I81="E",O81*Contagem!$W$17,IF(I81="A",O81*Contagem!$W$16,IF(I81="T",O81*Contagem!$W$18,""))))</f>
        <v/>
      </c>
      <c r="Q81" s="55" t="inlineStr">
        <is>
          <t>Prova: Rota POST /gestao/textos-padrao (permissão manter-parametros). Tela: gestao/textos-padrao/index. O gestor cadastra o texto (StandardTextRequest: categoria, conteúdo, situação). Grava Texto-padrão com versão 1 e a Trilha de auditoria. Teste: tests/Feature/Analise/StandardTextCrudTest.php::test_cria_texto_padrao_versao_inicial_1_auditado. Processo elementar independente: menor unidade com significado para o gestor; completa por si (informa o texto e recebe a confirmação); deixa o negócio consistente (texto disponível no parecer, auditado); lógica única (inclusão com versão inicial). Classificação: mantém ALI, EE. TD=5 (categoria, conteúdo, situação, mensagem, ação salvar). AR=2 (Texto-padrão, Trilha de auditoria). Registros automáticos contados como FTR (premissa P4): Trilha de auditoria. Recontagem 16/10/2026: alterada (linha 385 da contagem de 01/10/2026: "Textos-padrão - incluir", EE Baixa 3 PF, TD 5, AR 1). Motivo: AR 1→2: o controller grava a Trilha de auditoria (AuditService, ação criar). PF 3→4 (EE Média).</t>
        </is>
      </c>
    </row>
    <row r="82" ht="12" customHeight="1" s="73">
      <c r="A82" s="14">
        <f>IF(H82="",IF(C82="",A81,A81+1),A81)</f>
        <v/>
      </c>
      <c r="B82" s="48">
        <f>IF(A82=A81,"",CONCATENATE("F",A82))</f>
        <v/>
      </c>
      <c r="C82" s="85" t="inlineStr">
        <is>
          <t>Textos-padrão - alterar</t>
        </is>
      </c>
      <c r="D82" s="142" t="n"/>
      <c r="E82" s="142" t="n"/>
      <c r="F82" s="142" t="n"/>
      <c r="G82" s="143" t="n"/>
      <c r="H82" s="56" t="inlineStr">
        <is>
          <t>EE</t>
        </is>
      </c>
      <c r="I82" s="57" t="inlineStr">
        <is>
          <t>I</t>
        </is>
      </c>
      <c r="J82" s="56" t="n">
        <v>6</v>
      </c>
      <c r="K82" s="56" t="n">
        <v>2</v>
      </c>
      <c r="L82" s="50">
        <f>CONCATENATE(H82,M82)</f>
        <v/>
      </c>
      <c r="M82" s="51">
        <f>IF(OR(ISBLANK(J82),ISBLANK(K82)),IF(OR(H82="ALI",H82="AIE"),"L",IF(ISBLANK(H82),"","A")),IF(H82="EE",IF(K82&gt;=3,IF(J82&gt;=5,"H","A"),IF(K82&gt;=2,IF(J82&gt;=16,"H",IF(J82&lt;=4,"L","A")),IF(J82&lt;=15,"L","A"))),IF(OR(H82="SE",H82="CE"),IF(K82&gt;=4,IF(J82&gt;=6,"H","A"),IF(K82&gt;=2,IF(J82&gt;=20,"H",IF(J82&lt;=5,"L","A")),IF(J82&lt;=19,"L","A"))),IF(OR(H82="ALI",H82="AIE"),IF(K82&gt;=6,IF(J82&gt;=20,"H","A"),IF(K82&gt;=2,IF(J82&gt;=51,"H",IF(J82&lt;=19,"L","A")),IF(J82&lt;=50,"L","A")))))))</f>
        <v/>
      </c>
      <c r="N82" s="52">
        <f>IF(M82="L","Baixa",IF(M82="A","Média",IF(M82="","","Alta")))</f>
        <v/>
      </c>
      <c r="O82" s="53">
        <f>IF(ISBLANK(H82),"",IF(H82="ALI",IF(M82="L",7,IF(M82="A",10,15)),IF(H82="AIE",IF(M82="L",5,IF(M82="A",7,10)),IF(H82="SE",IF(M82="L",4,IF(M82="A",5,7)),IF(OR(H82="EE",H82="CE"),IF(M82="L",3,IF(M82="A",4,6)))))))</f>
        <v/>
      </c>
      <c r="P82" s="54">
        <f>IF(I82="I",O82*Contagem!$W$15,IF(I82="E",O82*Contagem!$W$17,IF(I82="A",O82*Contagem!$W$16,IF(I82="T",O82*Contagem!$W$18,""))))</f>
        <v/>
      </c>
      <c r="Q82" s="55" t="inlineStr">
        <is>
          <t>Prova: Rota PUT /gestao/textos-padrao/{standardText} (permissão manter-parametros). Tela: gestao/textos-padrao/index. O gestor edita o texto. Grava Texto-padrão (a versão sobe só quando o conteúdo muda) e a Trilha de auditoria. Teste: tests/Feature/Analise/StandardTextCrudTest.php::test_editar_conteudo_incrementa_versao. Processo elementar independente: menor unidade com significado para o gestor; completa por si (altera e recebe a confirmação); deixa o negócio consistente (versão rastreável); lógica única (versionamento por mudança de conteúdo). Classificação: mantém ALI, EE. TD=6 (categoria, conteúdo, situação, versão, mensagem, ação salvar). AR=2 (Texto-padrão, Trilha de auditoria). Registros automáticos contados como FTR (premissa P4): Trilha de auditoria. Recontagem 16/10/2026: alterada (linha 386 da contagem de 01/10/2026: "Textos-padrão - alterar", EE Baixa 3 PF, TD 6, AR 1). Motivo: AR 1→2: o controller grava a Trilha de auditoria (AuditService, ação atualizar). PF 3→4 (EE Média).</t>
        </is>
      </c>
    </row>
    <row r="83" ht="12" customHeight="1" s="73">
      <c r="A83" s="14">
        <f>IF(H83="",IF(C83="",A82,A82+1),A82)</f>
        <v/>
      </c>
      <c r="B83" s="48">
        <f>IF(A83=A82,"",CONCATENATE("F",A83))</f>
        <v/>
      </c>
      <c r="C83" s="85" t="inlineStr">
        <is>
          <t>Textos-padrão - ativar ou inativar</t>
        </is>
      </c>
      <c r="D83" s="142" t="n"/>
      <c r="E83" s="142" t="n"/>
      <c r="F83" s="142" t="n"/>
      <c r="G83" s="143" t="n"/>
      <c r="H83" s="56" t="inlineStr">
        <is>
          <t>EE</t>
        </is>
      </c>
      <c r="I83" s="57" t="inlineStr">
        <is>
          <t>I</t>
        </is>
      </c>
      <c r="J83" s="56" t="n">
        <v>4</v>
      </c>
      <c r="K83" s="56" t="n">
        <v>2</v>
      </c>
      <c r="L83" s="50">
        <f>CONCATENATE(H83,M83)</f>
        <v/>
      </c>
      <c r="M83" s="51">
        <f>IF(OR(ISBLANK(J83),ISBLANK(K83)),IF(OR(H83="ALI",H83="AIE"),"L",IF(ISBLANK(H83),"","A")),IF(H83="EE",IF(K83&gt;=3,IF(J83&gt;=5,"H","A"),IF(K83&gt;=2,IF(J83&gt;=16,"H",IF(J83&lt;=4,"L","A")),IF(J83&lt;=15,"L","A"))),IF(OR(H83="SE",H83="CE"),IF(K83&gt;=4,IF(J83&gt;=6,"H","A"),IF(K83&gt;=2,IF(J83&gt;=20,"H",IF(J83&lt;=5,"L","A")),IF(J83&lt;=19,"L","A"))),IF(OR(H83="ALI",H83="AIE"),IF(K83&gt;=6,IF(J83&gt;=20,"H","A"),IF(K83&gt;=2,IF(J83&gt;=51,"H",IF(J83&lt;=19,"L","A")),IF(J83&lt;=50,"L","A")))))))</f>
        <v/>
      </c>
      <c r="N83" s="52">
        <f>IF(M83="L","Baixa",IF(M83="A","Média",IF(M83="","","Alta")))</f>
        <v/>
      </c>
      <c r="O83" s="53">
        <f>IF(ISBLANK(H83),"",IF(H83="ALI",IF(M83="L",7,IF(M83="A",10,15)),IF(H83="AIE",IF(M83="L",5,IF(M83="A",7,10)),IF(H83="SE",IF(M83="L",4,IF(M83="A",5,7)),IF(OR(H83="EE",H83="CE"),IF(M83="L",3,IF(M83="A",4,6)))))))</f>
        <v/>
      </c>
      <c r="P83" s="54">
        <f>IF(I83="I",O83*Contagem!$W$15,IF(I83="E",O83*Contagem!$W$17,IF(I83="A",O83*Contagem!$W$16,IF(I83="T",O83*Contagem!$W$18,""))))</f>
        <v/>
      </c>
      <c r="Q83" s="55" t="inlineStr">
        <is>
          <t>Prova: Rota PUT /gestao/textos-padrao/{standardText}/ativacao (permissão manter-parametros). Tela: gestao/textos-padrao/index. O gestor ativa ou desativa sem excluir. Grava a situação do Texto-padrão e a Trilha de auditoria; a ficha passa a oferecer só os ativos. Teste: tests/Feature/Analise/StandardTextCrudTest.php::test_toggle_desativa_sem_excluir. Processo elementar independente: menor unidade com significado para o gestor; completa por si (alterna e recebe a confirmação); deixa o negócio consistente (texto preservado); lógica única (controle de disponibilidade na ficha). Classificação: mantém ALI, EE. TD=4 (texto-padrão, situação, mensagem, ação ativar/inativar). AR=2 (Texto-padrão, Trilha de auditoria). Registros automáticos contados como FTR (premissa P4): Trilha de auditoria. Recontagem 16/10/2026: alterada (linha 387 da contagem de 01/10/2026: "Textos-padrão - ativar ou inativar", EE Baixa 3 PF, TD 4, AR 1). Motivo: AR 1→2: o controller grava a Trilha de auditoria (AuditService, ação ativacao). PF inalterado (EE Baixa).</t>
        </is>
      </c>
    </row>
    <row r="84" ht="12" customHeight="1" s="73">
      <c r="A84" s="14">
        <f>IF(H84="",IF(C84="",A83,A83+1),A83)</f>
        <v/>
      </c>
      <c r="B84" s="48">
        <f>IF(A84=A83,"",CONCATENATE("F",A84))</f>
        <v/>
      </c>
      <c r="C84" s="85" t="n"/>
      <c r="D84" s="142" t="n"/>
      <c r="E84" s="142" t="n"/>
      <c r="F84" s="142" t="n"/>
      <c r="G84" s="143" t="n"/>
      <c r="H84" s="56" t="n"/>
      <c r="I84" s="57" t="n"/>
      <c r="J84" s="56" t="n"/>
      <c r="K84" s="56" t="n"/>
      <c r="L84" s="50">
        <f>CONCATENATE(H84,M84)</f>
        <v/>
      </c>
      <c r="M84" s="51">
        <f>IF(OR(ISBLANK(J84),ISBLANK(K84)),IF(OR(H84="ALI",H84="AIE"),"L",IF(ISBLANK(H84),"","A")),IF(H84="EE",IF(K84&gt;=3,IF(J84&gt;=5,"H","A"),IF(K84&gt;=2,IF(J84&gt;=16,"H",IF(J84&lt;=4,"L","A")),IF(J84&lt;=15,"L","A"))),IF(OR(H84="SE",H84="CE"),IF(K84&gt;=4,IF(J84&gt;=6,"H","A"),IF(K84&gt;=2,IF(J84&gt;=20,"H",IF(J84&lt;=5,"L","A")),IF(J84&lt;=19,"L","A"))),IF(OR(H84="ALI",H84="AIE"),IF(K84&gt;=6,IF(J84&gt;=20,"H","A"),IF(K84&gt;=2,IF(J84&gt;=51,"H",IF(J84&lt;=19,"L","A")),IF(J84&lt;=50,"L","A")))))))</f>
        <v/>
      </c>
      <c r="N84" s="52">
        <f>IF(M84="L","Baixa",IF(M84="A","Média",IF(M84="","","Alta")))</f>
        <v/>
      </c>
      <c r="O84" s="53">
        <f>IF(ISBLANK(H84),"",IF(H84="ALI",IF(M84="L",7,IF(M84="A",10,15)),IF(H84="AIE",IF(M84="L",5,IF(M84="A",7,10)),IF(H84="SE",IF(M84="L",4,IF(M84="A",5,7)),IF(OR(H84="EE",H84="CE"),IF(M84="L",3,IF(M84="A",4,6)))))))</f>
        <v/>
      </c>
      <c r="P84" s="54">
        <f>IF(I84="I",O84*Contagem!$W$15,IF(I84="E",O84*Contagem!$W$17,IF(I84="A",O84*Contagem!$W$16,IF(I84="T",O84*Contagem!$W$18,""))))</f>
        <v/>
      </c>
      <c r="Q84" s="55" t="n"/>
    </row>
    <row r="85" ht="12" customHeight="1" s="73">
      <c r="A85" s="14">
        <f>IF(H85="",IF(C85="",A84,A84+1),A84)</f>
        <v/>
      </c>
      <c r="B85" s="48">
        <f>IF(A85=A84,"",CONCATENATE("F",A85))</f>
        <v/>
      </c>
      <c r="C85" s="85" t="inlineStr">
        <is>
          <t>Textos decisórios</t>
        </is>
      </c>
      <c r="D85" s="142" t="n"/>
      <c r="E85" s="142" t="n"/>
      <c r="F85" s="142" t="n"/>
      <c r="G85" s="143" t="n"/>
      <c r="H85" s="56" t="n"/>
      <c r="I85" s="57" t="n"/>
      <c r="J85" s="56" t="n"/>
      <c r="K85" s="56" t="n"/>
      <c r="L85" s="50">
        <f>CONCATENATE(H85,M85)</f>
        <v/>
      </c>
      <c r="M85" s="51">
        <f>IF(OR(ISBLANK(J85),ISBLANK(K85)),IF(OR(H85="ALI",H85="AIE"),"L",IF(ISBLANK(H85),"","A")),IF(H85="EE",IF(K85&gt;=3,IF(J85&gt;=5,"H","A"),IF(K85&gt;=2,IF(J85&gt;=16,"H",IF(J85&lt;=4,"L","A")),IF(J85&lt;=15,"L","A"))),IF(OR(H85="SE",H85="CE"),IF(K85&gt;=4,IF(J85&gt;=6,"H","A"),IF(K85&gt;=2,IF(J85&gt;=20,"H",IF(J85&lt;=5,"L","A")),IF(J85&lt;=19,"L","A"))),IF(OR(H85="ALI",H85="AIE"),IF(K85&gt;=6,IF(J85&gt;=20,"H","A"),IF(K85&gt;=2,IF(J85&gt;=51,"H",IF(J85&lt;=19,"L","A")),IF(J85&lt;=50,"L","A")))))))</f>
        <v/>
      </c>
      <c r="N85" s="52">
        <f>IF(M85="L","Baixa",IF(M85="A","Média",IF(M85="","","Alta")))</f>
        <v/>
      </c>
      <c r="O85" s="53">
        <f>IF(ISBLANK(H85),"",IF(H85="ALI",IF(M85="L",7,IF(M85="A",10,15)),IF(H85="AIE",IF(M85="L",5,IF(M85="A",7,10)),IF(H85="SE",IF(M85="L",4,IF(M85="A",5,7)),IF(OR(H85="EE",H85="CE"),IF(M85="L",3,IF(M85="A",4,6)))))))</f>
        <v/>
      </c>
      <c r="P85" s="54">
        <f>IF(I85="I",O85*Contagem!$W$15,IF(I85="E",O85*Contagem!$W$17,IF(I85="A",O85*Contagem!$W$16,IF(I85="T",O85*Contagem!$W$18,""))))</f>
        <v/>
      </c>
      <c r="Q85" s="55" t="n"/>
    </row>
    <row r="86" ht="12" customHeight="1" s="73">
      <c r="A86" s="14">
        <f>IF(H86="",IF(C86="",A85,A85+1),A85)</f>
        <v/>
      </c>
      <c r="B86" s="48">
        <f>IF(A86=A85,"",CONCATENATE("F",A86))</f>
        <v/>
      </c>
      <c r="C86" s="85" t="inlineStr">
        <is>
          <t>Dados - Texto decisório</t>
        </is>
      </c>
      <c r="D86" s="142" t="n"/>
      <c r="E86" s="142" t="n"/>
      <c r="F86" s="142" t="n"/>
      <c r="G86" s="143" t="n"/>
      <c r="H86" s="56" t="inlineStr">
        <is>
          <t>ALI</t>
        </is>
      </c>
      <c r="I86" s="57" t="inlineStr">
        <is>
          <t>I</t>
        </is>
      </c>
      <c r="J86" s="56" t="n">
        <v>3</v>
      </c>
      <c r="K86" s="56" t="n">
        <v>1</v>
      </c>
      <c r="L86" s="50">
        <f>CONCATENATE(H86,M86)</f>
        <v/>
      </c>
      <c r="M86" s="51">
        <f>IF(OR(ISBLANK(J86),ISBLANK(K86)),IF(OR(H86="ALI",H86="AIE"),"L",IF(ISBLANK(H86),"","A")),IF(H86="EE",IF(K86&gt;=3,IF(J86&gt;=5,"H","A"),IF(K86&gt;=2,IF(J86&gt;=16,"H",IF(J86&lt;=4,"L","A")),IF(J86&lt;=15,"L","A"))),IF(OR(H86="SE",H86="CE"),IF(K86&gt;=4,IF(J86&gt;=6,"H","A"),IF(K86&gt;=2,IF(J86&gt;=20,"H",IF(J86&lt;=5,"L","A")),IF(J86&lt;=19,"L","A"))),IF(OR(H86="ALI",H86="AIE"),IF(K86&gt;=6,IF(J86&gt;=20,"H","A"),IF(K86&gt;=2,IF(J86&gt;=51,"H",IF(J86&lt;=19,"L","A")),IF(J86&lt;=50,"L","A")))))))</f>
        <v/>
      </c>
      <c r="N86" s="52">
        <f>IF(M86="L","Baixa",IF(M86="A","Média",IF(M86="","","Alta")))</f>
        <v/>
      </c>
      <c r="O86" s="53">
        <f>IF(ISBLANK(H86),"",IF(H86="ALI",IF(M86="L",7,IF(M86="A",10,15)),IF(H86="AIE",IF(M86="L",5,IF(M86="A",7,10)),IF(H86="SE",IF(M86="L",4,IF(M86="A",5,7)),IF(OR(H86="EE",H86="CE"),IF(M86="L",3,IF(M86="A",4,6)))))))</f>
        <v/>
      </c>
      <c r="P86" s="54">
        <f>IF(I86="I",O86*Contagem!$W$15,IF(I86="E",O86*Contagem!$W$17,IF(I86="A",O86*Contagem!$W$16,IF(I86="T",O86*Contagem!$W$18,""))))</f>
        <v/>
      </c>
      <c r="Q86" s="55" t="inlineStr">
        <is>
          <t>Prova: Model app/Models/DecisionText.php (HasAuditoria); migration database/migrations/2026_09_18_163000_create_decision_texts_table.php (key, template, description). Mantido por DecisionTextController@update (sem inclusão nem exclusão por tela; as chaves vêm do motor e do seeder) e lido por app/Services/Decisao/DecisionTextCatalog.php (motor LOUOS, risco, indeferimento por prazo). Teste: tests/Feature/Decisao/DecisionTextCrudTest.php::test_edicao_do_template_persiste_e_o_motor_emite_o_novo_texto. Arquivo lógico: textos legais emitidos nas decisões e documentos oficiais (base legal, LOUOS, análise, territorial, zona, tratamento, expresso), alteráveis sem deploy. Não é dado de código (Parte 1 §5.4.2 d; Parte 3 Cap. 1): o atributo mantido é o próprio conteúdo jurídico emitido ao requerente, não a tradução de um código; alterar o texto muda o que a decisão diz. A chave é técnica e deixou de ser exibida (commit 73c9c405); o usuário reconhece o texto pelo grupo. TD=3 (grupo do texto, texto emitido, descrição e placeholders). TR=1 (Texto decisório). Recontagem 16/10/2026: mantida (linha 455 da contagem de 01/10/2026).</t>
        </is>
      </c>
    </row>
    <row r="87" ht="12" customHeight="1" s="73">
      <c r="A87" s="14">
        <f>IF(H87="",IF(C87="",A86,A86+1),A86)</f>
        <v/>
      </c>
      <c r="B87" s="48">
        <f>IF(A87=A86,"",CONCATENATE("F",A87))</f>
        <v/>
      </c>
      <c r="C87" s="85" t="inlineStr">
        <is>
          <t>Textos decisórios - consultar</t>
        </is>
      </c>
      <c r="D87" s="142" t="n"/>
      <c r="E87" s="142" t="n"/>
      <c r="F87" s="142" t="n"/>
      <c r="G87" s="143" t="n"/>
      <c r="H87" s="56" t="inlineStr">
        <is>
          <t>CE</t>
        </is>
      </c>
      <c r="I87" s="57" t="inlineStr">
        <is>
          <t>I</t>
        </is>
      </c>
      <c r="J87" s="56" t="n">
        <v>4</v>
      </c>
      <c r="K87" s="56" t="n">
        <v>1</v>
      </c>
      <c r="L87" s="50">
        <f>CONCATENATE(H87,M87)</f>
        <v/>
      </c>
      <c r="M87" s="51">
        <f>IF(OR(ISBLANK(J87),ISBLANK(K87)),IF(OR(H87="ALI",H87="AIE"),"L",IF(ISBLANK(H87),"","A")),IF(H87="EE",IF(K87&gt;=3,IF(J87&gt;=5,"H","A"),IF(K87&gt;=2,IF(J87&gt;=16,"H",IF(J87&lt;=4,"L","A")),IF(J87&lt;=15,"L","A"))),IF(OR(H87="SE",H87="CE"),IF(K87&gt;=4,IF(J87&gt;=6,"H","A"),IF(K87&gt;=2,IF(J87&gt;=20,"H",IF(J87&lt;=5,"L","A")),IF(J87&lt;=19,"L","A"))),IF(OR(H87="ALI",H87="AIE"),IF(K87&gt;=6,IF(J87&gt;=20,"H","A"),IF(K87&gt;=2,IF(J87&gt;=51,"H",IF(J87&lt;=19,"L","A")),IF(J87&lt;=50,"L","A")))))))</f>
        <v/>
      </c>
      <c r="N87" s="52">
        <f>IF(M87="L","Baixa",IF(M87="A","Média",IF(M87="","","Alta")))</f>
        <v/>
      </c>
      <c r="O87" s="53">
        <f>IF(ISBLANK(H87),"",IF(H87="ALI",IF(M87="L",7,IF(M87="A",10,15)),IF(H87="AIE",IF(M87="L",5,IF(M87="A",7,10)),IF(H87="SE",IF(M87="L",4,IF(M87="A",5,7)),IF(OR(H87="EE",H87="CE"),IF(M87="L",3,IF(M87="A",4,6)))))))</f>
        <v/>
      </c>
      <c r="P87" s="54">
        <f>IF(I87="I",O87*Contagem!$W$15,IF(I87="E",O87*Contagem!$W$17,IF(I87="A",O87*Contagem!$W$16,IF(I87="T",O87*Contagem!$W$18,""))))</f>
        <v/>
      </c>
      <c r="Q87" s="55" t="inlineStr">
        <is>
          <t>Prova: Rota GET /gestao/textos-decisao (permissão manter-parametros). Tela: gestao/textos-decisao/index. O gestor abre os textos agrupados pelo prefixo da chave, com rótulo amigável do grupo. Lê Texto decisório; não grava. Teste: tests/Feature/Decisao/DecisionTextCrudTest.php::test_lista_agrupa_os_textos_por_prefixo_da_chave. Processo elementar independente: menor unidade com significado para o gestor; completa por si (abertura até a lista agrupada); deixa o negócio consistente (nada muda); lógica única (recuperação dos textos por grupo, sem cálculo). Classificação: CE (§5.5.3). TD=4 (grupo, texto emitido, descrição e placeholders, ação de consultar). AR=1 (Texto decisório). Recontagem 16/10/2026: alterada (linha 456 da contagem de 01/10/2026: "Textos decisórios - consultar", CE Baixa 3 PF, TD 5, AR 1). Motivo: TD 5→4: a chave deixou de ser exibida (commit 73c9c405, chave técnica); o usuário vê grupo, texto e descrição. PF inalterado (CE Baixa).</t>
        </is>
      </c>
    </row>
    <row r="88" ht="12" customHeight="1" s="73">
      <c r="A88" s="14">
        <f>IF(H88="",IF(C88="",A87,A87+1),A87)</f>
        <v/>
      </c>
      <c r="B88" s="48">
        <f>IF(A88=A87,"",CONCATENATE("F",A88))</f>
        <v/>
      </c>
      <c r="C88" s="85" t="inlineStr">
        <is>
          <t>Textos decisórios - alterar</t>
        </is>
      </c>
      <c r="D88" s="142" t="n"/>
      <c r="E88" s="142" t="n"/>
      <c r="F88" s="142" t="n"/>
      <c r="G88" s="143" t="n"/>
      <c r="H88" s="56" t="inlineStr">
        <is>
          <t>EE</t>
        </is>
      </c>
      <c r="I88" s="57" t="inlineStr">
        <is>
          <t>I</t>
        </is>
      </c>
      <c r="J88" s="56" t="n">
        <v>4</v>
      </c>
      <c r="K88" s="56" t="n">
        <v>2</v>
      </c>
      <c r="L88" s="50">
        <f>CONCATENATE(H88,M88)</f>
        <v/>
      </c>
      <c r="M88" s="51">
        <f>IF(OR(ISBLANK(J88),ISBLANK(K88)),IF(OR(H88="ALI",H88="AIE"),"L",IF(ISBLANK(H88),"","A")),IF(H88="EE",IF(K88&gt;=3,IF(J88&gt;=5,"H","A"),IF(K88&gt;=2,IF(J88&gt;=16,"H",IF(J88&lt;=4,"L","A")),IF(J88&lt;=15,"L","A"))),IF(OR(H88="SE",H88="CE"),IF(K88&gt;=4,IF(J88&gt;=6,"H","A"),IF(K88&gt;=2,IF(J88&gt;=20,"H",IF(J88&lt;=5,"L","A")),IF(J88&lt;=19,"L","A"))),IF(OR(H88="ALI",H88="AIE"),IF(K88&gt;=6,IF(J88&gt;=20,"H","A"),IF(K88&gt;=2,IF(J88&gt;=51,"H",IF(J88&lt;=19,"L","A")),IF(J88&lt;=50,"L","A")))))))</f>
        <v/>
      </c>
      <c r="N88" s="52">
        <f>IF(M88="L","Baixa",IF(M88="A","Média",IF(M88="","","Alta")))</f>
        <v/>
      </c>
      <c r="O88" s="53">
        <f>IF(ISBLANK(H88),"",IF(H88="ALI",IF(M88="L",7,IF(M88="A",10,15)),IF(H88="AIE",IF(M88="L",5,IF(M88="A",7,10)),IF(H88="SE",IF(M88="L",4,IF(M88="A",5,7)),IF(OR(H88="EE",H88="CE"),IF(M88="L",3,IF(M88="A",4,6)))))))</f>
        <v/>
      </c>
      <c r="P88" s="54">
        <f>IF(I88="I",O88*Contagem!$W$15,IF(I88="E",O88*Contagem!$W$17,IF(I88="A",O88*Contagem!$W$16,IF(I88="T",O88*Contagem!$W$18,""))))</f>
        <v/>
      </c>
      <c r="Q88" s="55" t="inlineStr">
        <is>
          <t>Prova: Rota PUT /gestao/textos-decisao/{decisionText:key} (permissão manter-parametros). Tela: gestao/textos-decisao/index. O gestor altera texto e descrição (obrigatórios, UpdateDecisionTextRequest). Grava Texto decisório e Trilha de auditoria (HasAuditoria). Resultado: o motor passa a emitir o novo texto. Teste: tests/Feature/Decisao/DecisionTextCrudTest.php::test_edicao_do_template_persiste_e_o_motor_emite_o_novo_texto. Processo elementar independente: menor unidade com significado para o gestor; completa por si (edição até a gravação); deixa o negócio consistente (texto novo vigente e auditado); lógica única (alteração do texto). Classificação: mantém ALI, EE. TD=4 (texto emitido, descrição e placeholders, mensagem de sucesso/erro, ação de salvar). AR=2 (Texto decisório, Trilha de auditoria). Registros automáticos contados como FTR (premissa P4): Trilha de auditoria. Recontagem 16/10/2026: alterada (linha 457 da contagem de 01/10/2026: "Textos decisórios - alterar", EE Média 4 PF, TD 5, AR 2). Motivo: TD 5→4: a chave é identificador técnico na URL e não é exibida. PF 4→3 (EE Baixa).</t>
        </is>
      </c>
    </row>
    <row r="89" ht="12" customHeight="1" s="73">
      <c r="A89" s="14">
        <f>IF(H89="",IF(C89="",A88,A88+1),A88)</f>
        <v/>
      </c>
      <c r="B89" s="48">
        <f>IF(A89=A88,"",CONCATENATE("F",A89))</f>
        <v/>
      </c>
      <c r="C89" s="85" t="n"/>
      <c r="D89" s="142" t="n"/>
      <c r="E89" s="142" t="n"/>
      <c r="F89" s="142" t="n"/>
      <c r="G89" s="143" t="n"/>
      <c r="H89" s="56" t="n"/>
      <c r="I89" s="57" t="n"/>
      <c r="J89" s="56" t="n"/>
      <c r="K89" s="56" t="n"/>
      <c r="L89" s="50">
        <f>CONCATENATE(H89,M89)</f>
        <v/>
      </c>
      <c r="M89" s="51">
        <f>IF(OR(ISBLANK(J89),ISBLANK(K89)),IF(OR(H89="ALI",H89="AIE"),"L",IF(ISBLANK(H89),"","A")),IF(H89="EE",IF(K89&gt;=3,IF(J89&gt;=5,"H","A"),IF(K89&gt;=2,IF(J89&gt;=16,"H",IF(J89&lt;=4,"L","A")),IF(J89&lt;=15,"L","A"))),IF(OR(H89="SE",H89="CE"),IF(K89&gt;=4,IF(J89&gt;=6,"H","A"),IF(K89&gt;=2,IF(J89&gt;=20,"H",IF(J89&lt;=5,"L","A")),IF(J89&lt;=19,"L","A"))),IF(OR(H89="ALI",H89="AIE"),IF(K89&gt;=6,IF(J89&gt;=20,"H","A"),IF(K89&gt;=2,IF(J89&gt;=51,"H",IF(J89&lt;=19,"L","A")),IF(J89&lt;=50,"L","A")))))))</f>
        <v/>
      </c>
      <c r="N89" s="52">
        <f>IF(M89="L","Baixa",IF(M89="A","Média",IF(M89="","","Alta")))</f>
        <v/>
      </c>
      <c r="O89" s="53">
        <f>IF(ISBLANK(H89),"",IF(H89="ALI",IF(M89="L",7,IF(M89="A",10,15)),IF(H89="AIE",IF(M89="L",5,IF(M89="A",7,10)),IF(H89="SE",IF(M89="L",4,IF(M89="A",5,7)),IF(OR(H89="EE",H89="CE"),IF(M89="L",3,IF(M89="A",4,6)))))))</f>
        <v/>
      </c>
      <c r="P89" s="54">
        <f>IF(I89="I",O89*Contagem!$W$15,IF(I89="E",O89*Contagem!$W$17,IF(I89="A",O89*Contagem!$W$16,IF(I89="T",O89*Contagem!$W$18,""))))</f>
        <v/>
      </c>
      <c r="Q89" s="55" t="n"/>
    </row>
    <row r="90" ht="12" customHeight="1" s="73">
      <c r="A90" s="14">
        <f>IF(H90="",IF(C90="",A89,A89+1),A89)</f>
        <v/>
      </c>
      <c r="B90" s="48">
        <f>IF(A90=A89,"",CONCATENATE("F",A90))</f>
        <v/>
      </c>
      <c r="C90" s="85" t="inlineStr">
        <is>
          <t>Parâmetros do sistema</t>
        </is>
      </c>
      <c r="D90" s="142" t="n"/>
      <c r="E90" s="142" t="n"/>
      <c r="F90" s="142" t="n"/>
      <c r="G90" s="143" t="n"/>
      <c r="H90" s="56" t="n"/>
      <c r="I90" s="57" t="n"/>
      <c r="J90" s="56" t="n"/>
      <c r="K90" s="56" t="n"/>
      <c r="L90" s="50">
        <f>CONCATENATE(H90,M90)</f>
        <v/>
      </c>
      <c r="M90" s="51">
        <f>IF(OR(ISBLANK(J90),ISBLANK(K90)),IF(OR(H90="ALI",H90="AIE"),"L",IF(ISBLANK(H90),"","A")),IF(H90="EE",IF(K90&gt;=3,IF(J90&gt;=5,"H","A"),IF(K90&gt;=2,IF(J90&gt;=16,"H",IF(J90&lt;=4,"L","A")),IF(J90&lt;=15,"L","A"))),IF(OR(H90="SE",H90="CE"),IF(K90&gt;=4,IF(J90&gt;=6,"H","A"),IF(K90&gt;=2,IF(J90&gt;=20,"H",IF(J90&lt;=5,"L","A")),IF(J90&lt;=19,"L","A"))),IF(OR(H90="ALI",H90="AIE"),IF(K90&gt;=6,IF(J90&gt;=20,"H","A"),IF(K90&gt;=2,IF(J90&gt;=51,"H",IF(J90&lt;=19,"L","A")),IF(J90&lt;=50,"L","A")))))))</f>
        <v/>
      </c>
      <c r="N90" s="52">
        <f>IF(M90="L","Baixa",IF(M90="A","Média",IF(M90="","","Alta")))</f>
        <v/>
      </c>
      <c r="O90" s="53">
        <f>IF(ISBLANK(H90),"",IF(H90="ALI",IF(M90="L",7,IF(M90="A",10,15)),IF(H90="AIE",IF(M90="L",5,IF(M90="A",7,10)),IF(H90="SE",IF(M90="L",4,IF(M90="A",5,7)),IF(OR(H90="EE",H90="CE"),IF(M90="L",3,IF(M90="A",4,6)))))))</f>
        <v/>
      </c>
      <c r="P90" s="54">
        <f>IF(I90="I",O90*Contagem!$W$15,IF(I90="E",O90*Contagem!$W$17,IF(I90="A",O90*Contagem!$W$16,IF(I90="T",O90*Contagem!$W$18,""))))</f>
        <v/>
      </c>
      <c r="Q90" s="55" t="n"/>
    </row>
    <row r="91" ht="12" customHeight="1" s="73">
      <c r="A91" s="14">
        <f>IF(H91="",IF(C91="",A90,A90+1),A90)</f>
        <v/>
      </c>
      <c r="B91" s="48">
        <f>IF(A91=A90,"",CONCATENATE("F",A91))</f>
        <v/>
      </c>
      <c r="C91" s="85" t="inlineStr">
        <is>
          <t>Dados - Parâmetro</t>
        </is>
      </c>
      <c r="D91" s="142" t="n"/>
      <c r="E91" s="142" t="n"/>
      <c r="F91" s="142" t="n"/>
      <c r="G91" s="143" t="n"/>
      <c r="H91" s="56" t="inlineStr">
        <is>
          <t>ALI</t>
        </is>
      </c>
      <c r="I91" s="57" t="inlineStr">
        <is>
          <t>I</t>
        </is>
      </c>
      <c r="J91" s="56" t="n">
        <v>15</v>
      </c>
      <c r="K91" s="56" t="n">
        <v>2</v>
      </c>
      <c r="L91" s="50">
        <f>CONCATENATE(H91,M91)</f>
        <v/>
      </c>
      <c r="M91" s="51">
        <f>IF(OR(ISBLANK(J91),ISBLANK(K91)),IF(OR(H91="ALI",H91="AIE"),"L",IF(ISBLANK(H91),"","A")),IF(H91="EE",IF(K91&gt;=3,IF(J91&gt;=5,"H","A"),IF(K91&gt;=2,IF(J91&gt;=16,"H",IF(J91&lt;=4,"L","A")),IF(J91&lt;=15,"L","A"))),IF(OR(H91="SE",H91="CE"),IF(K91&gt;=4,IF(J91&gt;=6,"H","A"),IF(K91&gt;=2,IF(J91&gt;=20,"H",IF(J91&lt;=5,"L","A")),IF(J91&lt;=19,"L","A"))),IF(OR(H91="ALI",H91="AIE"),IF(K91&gt;=6,IF(J91&gt;=20,"H","A"),IF(K91&gt;=2,IF(J91&gt;=51,"H",IF(J91&lt;=19,"L","A")),IF(J91&lt;=50,"L","A")))))))</f>
        <v/>
      </c>
      <c r="N91" s="52">
        <f>IF(M91="L","Baixa",IF(M91="A","Média",IF(M91="","","Alta")))</f>
        <v/>
      </c>
      <c r="O91" s="53">
        <f>IF(ISBLANK(H91),"",IF(H91="ALI",IF(M91="L",7,IF(M91="A",10,15)),IF(H91="AIE",IF(M91="L",5,IF(M91="A",7,10)),IF(H91="SE",IF(M91="L",4,IF(M91="A",5,7)),IF(OR(H91="EE",H91="CE"),IF(M91="L",3,IF(M91="A",4,6)))))))</f>
        <v/>
      </c>
      <c r="P91" s="54">
        <f>IF(I91="I",O91*Contagem!$W$15,IF(I91="E",O91*Contagem!$W$17,IF(I91="A",O91*Contagem!$W$16,IF(I91="T",O91*Contagem!$W$18,""))))</f>
        <v/>
      </c>
      <c r="Q91" s="55" t="inlineStr">
        <is>
          <t>Prova: Models Parameter e ParameterProposal; migrations 2026_06_10_141916_create_parameters_table, 2026_09_18_180000_add_governance_to_parameters_table e 2026_09_18_180001_create_parameter_proposals_table. Mantido por ParameterController@update, approve e reject (ParameterChangeService) e pelas abas de ApiIntegracaoController@update. Arquivo lógico: catálogo de parâmetros reconhecido pelo gestor, que muda prazo, taxa, interruptores e integrações sem deploy; não é dado de código porque o valor altera o comportamento do sistema. A proposta de alteração (quatro olhos) só existe com o parâmetro e tem atributos próprios: subgrupo (RLR). Parâmetros novos desde 01/10/2026 (features.geoserver_enderecamento, features.arcgis_semap, integrations.arcgis_semap.query_url e .token, features.benchmark_redesim, integrations.redesim_estatistica.base_url, portal.perfil_cidadao, integrations.regin.caminho_resposta e .codigo_area, e features.portal_servicos, commit df19754c) são linhas do mesmo grupo, não atributos: não mudam DER nem RLR. O interruptor portal_solicitacao fica só em config/viabiliza.php (variável de ambiente), fora do ALI. Teste: tests/Feature/Parameters/ManageParametersTest.php::test_atualiza_parametro_valido. TD=15 (chave, grupo, tipo, valor, valor padrão, regras de validação, sensível, descrição, exige teste de conexão, governança, valor proposto, proposto por, situação da proposta, revisado por, revisado em). TR=2 (Parâmetro, Proposta de alteração). Recontagem 16/10/2026: mantida (linha 234 da contagem de 01/10/2026).</t>
        </is>
      </c>
    </row>
    <row r="92" ht="12" customHeight="1" s="73">
      <c r="A92" s="14">
        <f>IF(H92="",IF(C92="",A91,A91+1),A91)</f>
        <v/>
      </c>
      <c r="B92" s="48">
        <f>IF(A92=A91,"",CONCATENATE("F",A92))</f>
        <v/>
      </c>
      <c r="C92" s="85" t="inlineStr">
        <is>
          <t>Parâmetros - consultar</t>
        </is>
      </c>
      <c r="D92" s="142" t="n"/>
      <c r="E92" s="142" t="n"/>
      <c r="F92" s="142" t="n"/>
      <c r="G92" s="143" t="n"/>
      <c r="H92" s="56" t="inlineStr">
        <is>
          <t>CE</t>
        </is>
      </c>
      <c r="I92" s="57" t="inlineStr">
        <is>
          <t>I</t>
        </is>
      </c>
      <c r="J92" s="56" t="n">
        <v>11</v>
      </c>
      <c r="K92" s="56" t="n">
        <v>2</v>
      </c>
      <c r="L92" s="50">
        <f>CONCATENATE(H92,M92)</f>
        <v/>
      </c>
      <c r="M92" s="51">
        <f>IF(OR(ISBLANK(J92),ISBLANK(K92)),IF(OR(H92="ALI",H92="AIE"),"L",IF(ISBLANK(H92),"","A")),IF(H92="EE",IF(K92&gt;=3,IF(J92&gt;=5,"H","A"),IF(K92&gt;=2,IF(J92&gt;=16,"H",IF(J92&lt;=4,"L","A")),IF(J92&lt;=15,"L","A"))),IF(OR(H92="SE",H92="CE"),IF(K92&gt;=4,IF(J92&gt;=6,"H","A"),IF(K92&gt;=2,IF(J92&gt;=20,"H",IF(J92&lt;=5,"L","A")),IF(J92&lt;=19,"L","A"))),IF(OR(H92="ALI",H92="AIE"),IF(K92&gt;=6,IF(J92&gt;=20,"H","A"),IF(K92&gt;=2,IF(J92&gt;=51,"H",IF(J92&lt;=19,"L","A")),IF(J92&lt;=50,"L","A")))))))</f>
        <v/>
      </c>
      <c r="N92" s="52">
        <f>IF(M92="L","Baixa",IF(M92="A","Média",IF(M92="","","Alta")))</f>
        <v/>
      </c>
      <c r="O92" s="53">
        <f>IF(ISBLANK(H92),"",IF(H92="ALI",IF(M92="L",7,IF(M92="A",10,15)),IF(H92="AIE",IF(M92="L",5,IF(M92="A",7,10)),IF(H92="SE",IF(M92="L",4,IF(M92="A",5,7)),IF(OR(H92="EE",H92="CE"),IF(M92="L",3,IF(M92="A",4,6)))))))</f>
        <v/>
      </c>
      <c r="P92" s="54">
        <f>IF(I92="I",O92*Contagem!$W$15,IF(I92="E",O92*Contagem!$W$17,IF(I92="A",O92*Contagem!$W$16,IF(I92="T",O92*Contagem!$W$18,""))))</f>
        <v/>
      </c>
      <c r="Q92" s="55" t="inlineStr">
        <is>
          <t>Prova: Rota GET /gestao/parametros (manter-parametros). Tela: gestao/parametros/index. Lista os parâmetros agrupados (grupos em abas da mesma resposta), com valor nulo quando sensível, selo de administrado e decisório, e a proposta pendente com autor. Lê Parâmetro (com propostas) e Usuário (autor). A exportação por ?formato= não tem botão na tela (ver pendências). Teste: tests/Feature/Parameters/ManageParametersTest.php::test_administrador_ve_parametros_agrupados e ParameterFourEyesTest.php::test_index_traz_governanca_proposta_e_can_approve. Processo elementar independente: menor unidade com significado para o gestor; completa por si (abre e consulta); não grava; lógica única de leitura do catálogo agrupado. Classificação: CE, só recupera e apresenta, sem cálculo nem atualização (§5.5.3). TD=11 (grupo, descrição, valor, valor padrão, administrado, decisório, valor proposto, autor da proposta, aguardando segundo aprovador, exige teste de conexão, ação). AR=2 (Parâmetro, Usuário). Recontagem 16/10/2026: alterada (linha 235 da contagem de 01/10/2026: "Parâmetros - consultar", CE Média 4 PF, TD 13, AR 2). Motivo: TD 13 para 11: a chave técnica deixou de ser exibida (commit 73c9c405, 14/10/2026) e não existe campo de busca na tela; PF inalterado.</t>
        </is>
      </c>
    </row>
    <row r="93" ht="12" customHeight="1" s="73">
      <c r="A93" s="14">
        <f>IF(H93="",IF(C93="",A92,A92+1),A92)</f>
        <v/>
      </c>
      <c r="B93" s="48">
        <f>IF(A93=A92,"",CONCATENATE("F",A93))</f>
        <v/>
      </c>
      <c r="C93" s="85" t="inlineStr">
        <is>
          <t>Parâmetros - alterar</t>
        </is>
      </c>
      <c r="D93" s="142" t="n"/>
      <c r="E93" s="142" t="n"/>
      <c r="F93" s="142" t="n"/>
      <c r="G93" s="143" t="n"/>
      <c r="H93" s="56" t="inlineStr">
        <is>
          <t>EE</t>
        </is>
      </c>
      <c r="I93" s="57" t="inlineStr">
        <is>
          <t>I</t>
        </is>
      </c>
      <c r="J93" s="56" t="n">
        <v>4</v>
      </c>
      <c r="K93" s="56" t="n">
        <v>3</v>
      </c>
      <c r="L93" s="50">
        <f>CONCATENATE(H93,M93)</f>
        <v/>
      </c>
      <c r="M93" s="51">
        <f>IF(OR(ISBLANK(J93),ISBLANK(K93)),IF(OR(H93="ALI",H93="AIE"),"L",IF(ISBLANK(H93),"","A")),IF(H93="EE",IF(K93&gt;=3,IF(J93&gt;=5,"H","A"),IF(K93&gt;=2,IF(J93&gt;=16,"H",IF(J93&lt;=4,"L","A")),IF(J93&lt;=15,"L","A"))),IF(OR(H93="SE",H93="CE"),IF(K93&gt;=4,IF(J93&gt;=6,"H","A"),IF(K93&gt;=2,IF(J93&gt;=20,"H",IF(J93&lt;=5,"L","A")),IF(J93&lt;=19,"L","A"))),IF(OR(H93="ALI",H93="AIE"),IF(K93&gt;=6,IF(J93&gt;=20,"H","A"),IF(K93&gt;=2,IF(J93&gt;=51,"H",IF(J93&lt;=19,"L","A")),IF(J93&lt;=50,"L","A")))))))</f>
        <v/>
      </c>
      <c r="N93" s="52">
        <f>IF(M93="L","Baixa",IF(M93="A","Média",IF(M93="","","Alta")))</f>
        <v/>
      </c>
      <c r="O93" s="53">
        <f>IF(ISBLANK(H93),"",IF(H93="ALI",IF(M93="L",7,IF(M93="A",10,15)),IF(H93="AIE",IF(M93="L",5,IF(M93="A",7,10)),IF(H93="SE",IF(M93="L",4,IF(M93="A",5,7)),IF(OR(H93="EE",H93="CE"),IF(M93="L",3,IF(M93="A",4,6)))))))</f>
        <v/>
      </c>
      <c r="P93" s="54">
        <f>IF(I93="I",O93*Contagem!$W$15,IF(I93="E",O93*Contagem!$W$17,IF(I93="A",O93*Contagem!$W$16,IF(I93="T",O93*Contagem!$W$18,""))))</f>
        <v/>
      </c>
      <c r="Q93" s="55" t="inlineStr">
        <is>
          <t>Prova: Rota PUT /gestao/parametros/{chave} (manter-parametros). Tela: gestao/parametros/index. O gestor altera o valor; UpdateParameterRequest valida pelas regras do catálogo e, para portal.perfil_cidadao, recusa perfil com acesso à gestão (PerfilSemAcessoAGestao lê o perfil e suas permissões); parâmetro operacional é aplicado e auditado com valor anterior e novo; parâmetro decisório vira proposta pendente (ParameterChangeService@propose). Sensível em branco mantém o valor. Teste: tests/Feature/Parameters/ManageParametersTest.php::test_alteracao_e_auditada_com_valor_anterior_e_novo e ::test_perfil_do_cidadao_com_acesso_a_gestao_e_rejeitado; ParameterFourEyesTest.php::test_put_em_decisorio_abre_proposta_sem_aplicar. Processo elementar independente: menor unidade com significado para o gestor; completa por si (edita e salva); deixa o parâmetro aplicado ou proposto; lógica única de alteração validada. Classificação: EE, intenção primária é manter o ALI Parâmetro (§5.5.3). TD=4 (parâmetro, valor, mensagem, ação). AR=3 (Parâmetro, Trilha de auditoria, Perfil de acesso). Recontagem 16/10/2026: alterada (linha 236 da contagem de 01/10/2026: "Parâmetros - alterar", EE Baixa 3 PF, TD 4, AR 2). Motivo: AR 2 para 3: desde 14/10/2026 (commit 78cf5671) a validação do parâmetro portal.perfil_cidadao lê o perfil e suas permissões (regra app/Rules/PerfilSemAcessoAGestao.php, Role::query e permissions), dado do ALI Perfil de acesso. PF 3 para 4.</t>
        </is>
      </c>
    </row>
    <row r="94" ht="12" customHeight="1" s="73">
      <c r="A94" s="14">
        <f>IF(H94="",IF(C94="",A93,A93+1),A93)</f>
        <v/>
      </c>
      <c r="B94" s="48">
        <f>IF(A94=A93,"",CONCATENATE("F",A94))</f>
        <v/>
      </c>
      <c r="C94" s="85" t="inlineStr">
        <is>
          <t>Parâmetros - consultar histórico</t>
        </is>
      </c>
      <c r="D94" s="142" t="n"/>
      <c r="E94" s="142" t="n"/>
      <c r="F94" s="142" t="n"/>
      <c r="G94" s="143" t="n"/>
      <c r="H94" s="56" t="inlineStr">
        <is>
          <t>CE</t>
        </is>
      </c>
      <c r="I94" s="57" t="inlineStr">
        <is>
          <t>I</t>
        </is>
      </c>
      <c r="J94" s="56" t="n">
        <v>6</v>
      </c>
      <c r="K94" s="56" t="n">
        <v>3</v>
      </c>
      <c r="L94" s="50">
        <f>CONCATENATE(H94,M94)</f>
        <v/>
      </c>
      <c r="M94" s="51">
        <f>IF(OR(ISBLANK(J94),ISBLANK(K94)),IF(OR(H94="ALI",H94="AIE"),"L",IF(ISBLANK(H94),"","A")),IF(H94="EE",IF(K94&gt;=3,IF(J94&gt;=5,"H","A"),IF(K94&gt;=2,IF(J94&gt;=16,"H",IF(J94&lt;=4,"L","A")),IF(J94&lt;=15,"L","A"))),IF(OR(H94="SE",H94="CE"),IF(K94&gt;=4,IF(J94&gt;=6,"H","A"),IF(K94&gt;=2,IF(J94&gt;=20,"H",IF(J94&lt;=5,"L","A")),IF(J94&lt;=19,"L","A"))),IF(OR(H94="ALI",H94="AIE"),IF(K94&gt;=6,IF(J94&gt;=20,"H","A"),IF(K94&gt;=2,IF(J94&gt;=51,"H",IF(J94&lt;=19,"L","A")),IF(J94&lt;=50,"L","A")))))))</f>
        <v/>
      </c>
      <c r="N94" s="52">
        <f>IF(M94="L","Baixa",IF(M94="A","Média",IF(M94="","","Alta")))</f>
        <v/>
      </c>
      <c r="O94" s="53">
        <f>IF(ISBLANK(H94),"",IF(H94="ALI",IF(M94="L",7,IF(M94="A",10,15)),IF(H94="AIE",IF(M94="L",5,IF(M94="A",7,10)),IF(H94="SE",IF(M94="L",4,IF(M94="A",5,7)),IF(OR(H94="EE",H94="CE"),IF(M94="L",3,IF(M94="A",4,6)))))))</f>
        <v/>
      </c>
      <c r="P94" s="54">
        <f>IF(I94="I",O94*Contagem!$W$15,IF(I94="E",O94*Contagem!$W$17,IF(I94="A",O94*Contagem!$W$16,IF(I94="T",O94*Contagem!$W$18,""))))</f>
        <v/>
      </c>
      <c r="Q94" s="55" t="inlineStr">
        <is>
          <t>Prova: Rota GET /gestao/parametros/{chave}/historico (manter-parametros). Tela: gestao/parametros/historico. O controller lê a trilha de auditoria do parâmetro e mostra valor anterior, novo (mascarados se sensível), responsável e data, sem gravar. Teste: tests/Feature/Parameters/ParameterHistoryTest.php::test_historico_exibe_anterior_novo_responsavel_e_data. Processo elementar independente: menor unidade com significado para o gestor; completa por si; não altera dados; lógica única de leitura das mudanças de um parâmetro. Classificação: CE, recupera e exibe sem cálculo nem derivação (§5.5.3). TD=6 (descrição do parâmetro, valor anterior, valor novo, responsável, data e hora, ação). AR=3 (Trilha de auditoria, Parâmetro, Usuário). Recontagem 16/10/2026: alterada (linha 237 da contagem de 01/10/2026: "Parâmetros - consultar histórico", CE Média 4 PF, TD 7, AR 3). Motivo: TD 7 para 6: a chave técnica deixou de aparecer no histórico (commit 73c9c405); PF inalterado.</t>
        </is>
      </c>
    </row>
    <row r="95" ht="12" customHeight="1" s="73">
      <c r="A95" s="14">
        <f>IF(H95="",IF(C95="",A94,A94+1),A94)</f>
        <v/>
      </c>
      <c r="B95" s="48">
        <f>IF(A95=A94,"",CONCATENATE("F",A95))</f>
        <v/>
      </c>
      <c r="C95" s="85" t="inlineStr">
        <is>
          <t>Parâmetros - aprovar alteração proposta</t>
        </is>
      </c>
      <c r="D95" s="142" t="n"/>
      <c r="E95" s="142" t="n"/>
      <c r="F95" s="142" t="n"/>
      <c r="G95" s="143" t="n"/>
      <c r="H95" s="56" t="inlineStr">
        <is>
          <t>EE</t>
        </is>
      </c>
      <c r="I95" s="57" t="inlineStr">
        <is>
          <t>I</t>
        </is>
      </c>
      <c r="J95" s="56" t="n">
        <v>3</v>
      </c>
      <c r="K95" s="56" t="n">
        <v>2</v>
      </c>
      <c r="L95" s="50">
        <f>CONCATENATE(H95,M95)</f>
        <v/>
      </c>
      <c r="M95" s="51">
        <f>IF(OR(ISBLANK(J95),ISBLANK(K95)),IF(OR(H95="ALI",H95="AIE"),"L",IF(ISBLANK(H95),"","A")),IF(H95="EE",IF(K95&gt;=3,IF(J95&gt;=5,"H","A"),IF(K95&gt;=2,IF(J95&gt;=16,"H",IF(J95&lt;=4,"L","A")),IF(J95&lt;=15,"L","A"))),IF(OR(H95="SE",H95="CE"),IF(K95&gt;=4,IF(J95&gt;=6,"H","A"),IF(K95&gt;=2,IF(J95&gt;=20,"H",IF(J95&lt;=5,"L","A")),IF(J95&lt;=19,"L","A"))),IF(OR(H95="ALI",H95="AIE"),IF(K95&gt;=6,IF(J95&gt;=20,"H","A"),IF(K95&gt;=2,IF(J95&gt;=51,"H",IF(J95&lt;=19,"L","A")),IF(J95&lt;=50,"L","A")))))))</f>
        <v/>
      </c>
      <c r="N95" s="52">
        <f>IF(M95="L","Baixa",IF(M95="A","Média",IF(M95="","","Alta")))</f>
        <v/>
      </c>
      <c r="O95" s="53">
        <f>IF(ISBLANK(H95),"",IF(H95="ALI",IF(M95="L",7,IF(M95="A",10,15)),IF(H95="AIE",IF(M95="L",5,IF(M95="A",7,10)),IF(H95="SE",IF(M95="L",4,IF(M95="A",5,7)),IF(OR(H95="EE",H95="CE"),IF(M95="L",3,IF(M95="A",4,6)))))))</f>
        <v/>
      </c>
      <c r="P95" s="54">
        <f>IF(I95="I",O95*Contagem!$W$15,IF(I95="E",O95*Contagem!$W$17,IF(I95="A",O95*Contagem!$W$16,IF(I95="T",O95*Contagem!$W$18,""))))</f>
        <v/>
      </c>
      <c r="Q95" s="55" t="inlineStr">
        <is>
          <t>Prova: Rota POST /gestao/parametros/{chave}/aprovar (manter-parametros). Tela: gestao/parametros/index (botão Aprovar, só para quem não é o autor). ParameterChangeService@approve recusa o autor (quatro olhos), aplica o valor, fecha a proposta como aprovada e audita. Teste: tests/Feature/Parameters/ParameterFourEyesTest.php::test_segundo_aprovador_aplica_e_audita e ::test_autor_nao_pode_aprovar. Processo elementar independente: menor unidade com significado para o aprovador; completa por si; deixa o parâmetro com o novo valor; lógica própria de quatro olhos. Classificação: EE, mantém o ALI Parâmetro (§5.5.3). TD=3 (proposta, mensagem, ação). AR=2 (Parâmetro, Trilha de auditoria). Recontagem 16/10/2026: mantida (linha 238 da contagem de 01/10/2026).</t>
        </is>
      </c>
    </row>
    <row r="96" ht="12" customHeight="1" s="73">
      <c r="A96" s="14">
        <f>IF(H96="",IF(C96="",A95,A95+1),A95)</f>
        <v/>
      </c>
      <c r="B96" s="48">
        <f>IF(A96=A95,"",CONCATENATE("F",A96))</f>
        <v/>
      </c>
      <c r="C96" s="85" t="inlineStr">
        <is>
          <t>Parâmetros - rejeitar alteração proposta</t>
        </is>
      </c>
      <c r="D96" s="142" t="n"/>
      <c r="E96" s="142" t="n"/>
      <c r="F96" s="142" t="n"/>
      <c r="G96" s="143" t="n"/>
      <c r="H96" s="56" t="inlineStr">
        <is>
          <t>EE</t>
        </is>
      </c>
      <c r="I96" s="57" t="inlineStr">
        <is>
          <t>I</t>
        </is>
      </c>
      <c r="J96" s="56" t="n">
        <v>3</v>
      </c>
      <c r="K96" s="56" t="n">
        <v>2</v>
      </c>
      <c r="L96" s="50">
        <f>CONCATENATE(H96,M96)</f>
        <v/>
      </c>
      <c r="M96" s="51">
        <f>IF(OR(ISBLANK(J96),ISBLANK(K96)),IF(OR(H96="ALI",H96="AIE"),"L",IF(ISBLANK(H96),"","A")),IF(H96="EE",IF(K96&gt;=3,IF(J96&gt;=5,"H","A"),IF(K96&gt;=2,IF(J96&gt;=16,"H",IF(J96&lt;=4,"L","A")),IF(J96&lt;=15,"L","A"))),IF(OR(H96="SE",H96="CE"),IF(K96&gt;=4,IF(J96&gt;=6,"H","A"),IF(K96&gt;=2,IF(J96&gt;=20,"H",IF(J96&lt;=5,"L","A")),IF(J96&lt;=19,"L","A"))),IF(OR(H96="ALI",H96="AIE"),IF(K96&gt;=6,IF(J96&gt;=20,"H","A"),IF(K96&gt;=2,IF(J96&gt;=51,"H",IF(J96&lt;=19,"L","A")),IF(J96&lt;=50,"L","A")))))))</f>
        <v/>
      </c>
      <c r="N96" s="52">
        <f>IF(M96="L","Baixa",IF(M96="A","Média",IF(M96="","","Alta")))</f>
        <v/>
      </c>
      <c r="O96" s="53">
        <f>IF(ISBLANK(H96),"",IF(H96="ALI",IF(M96="L",7,IF(M96="A",10,15)),IF(H96="AIE",IF(M96="L",5,IF(M96="A",7,10)),IF(H96="SE",IF(M96="L",4,IF(M96="A",5,7)),IF(OR(H96="EE",H96="CE"),IF(M96="L",3,IF(M96="A",4,6)))))))</f>
        <v/>
      </c>
      <c r="P96" s="54">
        <f>IF(I96="I",O96*Contagem!$W$15,IF(I96="E",O96*Contagem!$W$17,IF(I96="A",O96*Contagem!$W$16,IF(I96="T",O96*Contagem!$W$18,""))))</f>
        <v/>
      </c>
      <c r="Q96" s="55" t="inlineStr">
        <is>
          <t>Prova: Rota POST /gestao/parametros/{chave}/rejeitar (manter-parametros). Tela: gestao/parametros/index (botão Rejeitar). ParameterChangeService@reject encerra a proposta como rejeitada, preserva o valor vigente e audita. Teste: tests/Feature/Parameters/ParameterFourEyesTest.php::test_rejeitar_preserva_valor. Processo elementar independente: menor unidade com significado para o aprovador; completa por si; deixa a proposta encerrada; lógica própria de rejeição, distinta da aprovação (não aplica valor). Classificação: EE, mantém o ALI Parâmetro (§5.5.3). TD=3 (proposta, mensagem, ação). AR=2 (Parâmetro, Trilha de auditoria). Recontagem 16/10/2026: mantida (linha 239 da contagem de 01/10/2026).</t>
        </is>
      </c>
    </row>
    <row r="97" ht="12" customHeight="1" s="73">
      <c r="A97" s="14">
        <f>IF(H97="",IF(C97="",A96,A96+1),A96)</f>
        <v/>
      </c>
      <c r="B97" s="48">
        <f>IF(A97=A96,"",CONCATENATE("F",A97))</f>
        <v/>
      </c>
      <c r="C97" s="85" t="n"/>
      <c r="D97" s="142" t="n"/>
      <c r="E97" s="142" t="n"/>
      <c r="F97" s="142" t="n"/>
      <c r="G97" s="143" t="n"/>
      <c r="H97" s="56" t="n"/>
      <c r="I97" s="57" t="n"/>
      <c r="J97" s="56" t="n"/>
      <c r="K97" s="56" t="n"/>
      <c r="L97" s="50">
        <f>CONCATENATE(H97,M97)</f>
        <v/>
      </c>
      <c r="M97" s="51">
        <f>IF(OR(ISBLANK(J97),ISBLANK(K97)),IF(OR(H97="ALI",H97="AIE"),"L",IF(ISBLANK(H97),"","A")),IF(H97="EE",IF(K97&gt;=3,IF(J97&gt;=5,"H","A"),IF(K97&gt;=2,IF(J97&gt;=16,"H",IF(J97&lt;=4,"L","A")),IF(J97&lt;=15,"L","A"))),IF(OR(H97="SE",H97="CE"),IF(K97&gt;=4,IF(J97&gt;=6,"H","A"),IF(K97&gt;=2,IF(J97&gt;=20,"H",IF(J97&lt;=5,"L","A")),IF(J97&lt;=19,"L","A"))),IF(OR(H97="ALI",H97="AIE"),IF(K97&gt;=6,IF(J97&gt;=20,"H","A"),IF(K97&gt;=2,IF(J97&gt;=51,"H",IF(J97&lt;=19,"L","A")),IF(J97&lt;=50,"L","A")))))))</f>
        <v/>
      </c>
      <c r="N97" s="52">
        <f>IF(M97="L","Baixa",IF(M97="A","Média",IF(M97="","","Alta")))</f>
        <v/>
      </c>
      <c r="O97" s="53">
        <f>IF(ISBLANK(H97),"",IF(H97="ALI",IF(M97="L",7,IF(M97="A",10,15)),IF(H97="AIE",IF(M97="L",5,IF(M97="A",7,10)),IF(H97="SE",IF(M97="L",4,IF(M97="A",5,7)),IF(OR(H97="EE",H97="CE"),IF(M97="L",3,IF(M97="A",4,6)))))))</f>
        <v/>
      </c>
      <c r="P97" s="54">
        <f>IF(I97="I",O97*Contagem!$W$15,IF(I97="E",O97*Contagem!$W$17,IF(I97="A",O97*Contagem!$W$16,IF(I97="T",O97*Contagem!$W$18,""))))</f>
        <v/>
      </c>
      <c r="Q97" s="55" t="n"/>
    </row>
    <row r="98" ht="12" customHeight="1" s="73">
      <c r="A98" s="14">
        <f>IF(H98="",IF(C98="",A97,A97+1),A97)</f>
        <v/>
      </c>
      <c r="B98" s="48">
        <f>IF(A98=A97,"",CONCATENATE("F",A98))</f>
        <v/>
      </c>
      <c r="C98" s="85" t="inlineStr">
        <is>
          <t>Configuração das APIs</t>
        </is>
      </c>
      <c r="D98" s="142" t="n"/>
      <c r="E98" s="142" t="n"/>
      <c r="F98" s="142" t="n"/>
      <c r="G98" s="143" t="n"/>
      <c r="H98" s="56" t="n"/>
      <c r="I98" s="57" t="n"/>
      <c r="J98" s="56" t="n"/>
      <c r="K98" s="56" t="n"/>
      <c r="L98" s="50">
        <f>CONCATENATE(H98,M98)</f>
        <v/>
      </c>
      <c r="M98" s="51">
        <f>IF(OR(ISBLANK(J98),ISBLANK(K98)),IF(OR(H98="ALI",H98="AIE"),"L",IF(ISBLANK(H98),"","A")),IF(H98="EE",IF(K98&gt;=3,IF(J98&gt;=5,"H","A"),IF(K98&gt;=2,IF(J98&gt;=16,"H",IF(J98&lt;=4,"L","A")),IF(J98&lt;=15,"L","A"))),IF(OR(H98="SE",H98="CE"),IF(K98&gt;=4,IF(J98&gt;=6,"H","A"),IF(K98&gt;=2,IF(J98&gt;=20,"H",IF(J98&lt;=5,"L","A")),IF(J98&lt;=19,"L","A"))),IF(OR(H98="ALI",H98="AIE"),IF(K98&gt;=6,IF(J98&gt;=20,"H","A"),IF(K98&gt;=2,IF(J98&gt;=51,"H",IF(J98&lt;=19,"L","A")),IF(J98&lt;=50,"L","A")))))))</f>
        <v/>
      </c>
      <c r="N98" s="52">
        <f>IF(M98="L","Baixa",IF(M98="A","Média",IF(M98="","","Alta")))</f>
        <v/>
      </c>
      <c r="O98" s="53">
        <f>IF(ISBLANK(H98),"",IF(H98="ALI",IF(M98="L",7,IF(M98="A",10,15)),IF(H98="AIE",IF(M98="L",5,IF(M98="A",7,10)),IF(H98="SE",IF(M98="L",4,IF(M98="A",5,7)),IF(OR(H98="EE",H98="CE"),IF(M98="L",3,IF(M98="A",4,6)))))))</f>
        <v/>
      </c>
      <c r="P98" s="54">
        <f>IF(I98="I",O98*Contagem!$W$15,IF(I98="E",O98*Contagem!$W$17,IF(I98="A",O98*Contagem!$W$16,IF(I98="T",O98*Contagem!$W$18,""))))</f>
        <v/>
      </c>
      <c r="Q98" s="55" t="n"/>
    </row>
    <row r="99" ht="12" customHeight="1" s="73">
      <c r="A99" s="14">
        <f>IF(H99="",IF(C99="",A98,A98+1),A98)</f>
        <v/>
      </c>
      <c r="B99" s="48">
        <f>IF(A99=A98,"",CONCATENATE("F",A99))</f>
        <v/>
      </c>
      <c r="C99" s="85" t="inlineStr">
        <is>
          <t>APIs - consultar configuração REGIN</t>
        </is>
      </c>
      <c r="D99" s="142" t="n"/>
      <c r="E99" s="142" t="n"/>
      <c r="F99" s="142" t="n"/>
      <c r="G99" s="143" t="n"/>
      <c r="H99" s="56" t="inlineStr">
        <is>
          <t>CE</t>
        </is>
      </c>
      <c r="I99" s="57" t="inlineStr">
        <is>
          <t>I</t>
        </is>
      </c>
      <c r="J99" s="56" t="n">
        <v>10</v>
      </c>
      <c r="K99" s="56" t="n">
        <v>1</v>
      </c>
      <c r="L99" s="50">
        <f>CONCATENATE(H99,M99)</f>
        <v/>
      </c>
      <c r="M99" s="51">
        <f>IF(OR(ISBLANK(J99),ISBLANK(K99)),IF(OR(H99="ALI",H99="AIE"),"L",IF(ISBLANK(H99),"","A")),IF(H99="EE",IF(K99&gt;=3,IF(J99&gt;=5,"H","A"),IF(K99&gt;=2,IF(J99&gt;=16,"H",IF(J99&lt;=4,"L","A")),IF(J99&lt;=15,"L","A"))),IF(OR(H99="SE",H99="CE"),IF(K99&gt;=4,IF(J99&gt;=6,"H","A"),IF(K99&gt;=2,IF(J99&gt;=20,"H",IF(J99&lt;=5,"L","A")),IF(J99&lt;=19,"L","A"))),IF(OR(H99="ALI",H99="AIE"),IF(K99&gt;=6,IF(J99&gt;=20,"H","A"),IF(K99&gt;=2,IF(J99&gt;=51,"H",IF(J99&lt;=19,"L","A")),IF(J99&lt;=50,"L","A")))))))</f>
        <v/>
      </c>
      <c r="N99" s="52">
        <f>IF(M99="L","Baixa",IF(M99="A","Média",IF(M99="","","Alta")))</f>
        <v/>
      </c>
      <c r="O99" s="53">
        <f>IF(ISBLANK(H99),"",IF(H99="ALI",IF(M99="L",7,IF(M99="A",10,15)),IF(H99="AIE",IF(M99="L",5,IF(M99="A",7,10)),IF(H99="SE",IF(M99="L",4,IF(M99="A",5,7)),IF(OR(H99="EE",H99="CE"),IF(M99="L",3,IF(M99="A",4,6)))))))</f>
        <v/>
      </c>
      <c r="P99" s="54">
        <f>IF(I99="I",O99*Contagem!$W$15,IF(I99="E",O99*Contagem!$W$17,IF(I99="A",O99*Contagem!$W$16,IF(I99="T",O99*Contagem!$W$18,""))))</f>
        <v/>
      </c>
      <c r="Q99" s="55" t="inlineStr">
        <is>
          <t>Prova: Rota GET /gestao/config-apis?aba=regin (manter-parametros). Tela: gestao/config-apis/index, aba REGIN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Processo elementar independente: na visão lógica do usuário (CPM Parte 1 §5.5.2.1) cada integração é um cadastro independente, consultado e mantido por si; a consulta da integração REGIN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TD=10 (integração, descrição, usar produção, URL de homologação, URL de produção, usuário, senha (só indica se há valor gravado), CNPJ da Prefeitura, ajuda do campo, ação). AR=1 (Parâmetro). Recontagem 16/10/2026: mantida (linha 472 da contagem de 01/10/2026).</t>
        </is>
      </c>
    </row>
    <row r="100" ht="12" customHeight="1" s="73">
      <c r="A100" s="14">
        <f>IF(H100="",IF(C100="",A99,A99+1),A99)</f>
        <v/>
      </c>
      <c r="B100" s="48">
        <f>IF(A100=A99,"",CONCATENATE("F",A100))</f>
        <v/>
      </c>
      <c r="C100" s="85" t="inlineStr">
        <is>
          <t>APIs - consultar configuração Inscrição imobiliária</t>
        </is>
      </c>
      <c r="D100" s="142" t="n"/>
      <c r="E100" s="142" t="n"/>
      <c r="F100" s="142" t="n"/>
      <c r="G100" s="143" t="n"/>
      <c r="H100" s="56" t="inlineStr">
        <is>
          <t>CE</t>
        </is>
      </c>
      <c r="I100" s="57" t="inlineStr">
        <is>
          <t>I</t>
        </is>
      </c>
      <c r="J100" s="56" t="n">
        <v>8</v>
      </c>
      <c r="K100" s="56" t="n">
        <v>1</v>
      </c>
      <c r="L100" s="50">
        <f>CONCATENATE(H100,M100)</f>
        <v/>
      </c>
      <c r="M100" s="51">
        <f>IF(OR(ISBLANK(J100),ISBLANK(K100)),IF(OR(H100="ALI",H100="AIE"),"L",IF(ISBLANK(H100),"","A")),IF(H100="EE",IF(K100&gt;=3,IF(J100&gt;=5,"H","A"),IF(K100&gt;=2,IF(J100&gt;=16,"H",IF(J100&lt;=4,"L","A")),IF(J100&lt;=15,"L","A"))),IF(OR(H100="SE",H100="CE"),IF(K100&gt;=4,IF(J100&gt;=6,"H","A"),IF(K100&gt;=2,IF(J100&gt;=20,"H",IF(J100&lt;=5,"L","A")),IF(J100&lt;=19,"L","A"))),IF(OR(H100="ALI",H100="AIE"),IF(K100&gt;=6,IF(J100&gt;=20,"H","A"),IF(K100&gt;=2,IF(J100&gt;=51,"H",IF(J100&lt;=19,"L","A")),IF(J100&lt;=50,"L","A")))))))</f>
        <v/>
      </c>
      <c r="N100" s="52">
        <f>IF(M100="L","Baixa",IF(M100="A","Média",IF(M100="","","Alta")))</f>
        <v/>
      </c>
      <c r="O100" s="53">
        <f>IF(ISBLANK(H100),"",IF(H100="ALI",IF(M100="L",7,IF(M100="A",10,15)),IF(H100="AIE",IF(M100="L",5,IF(M100="A",7,10)),IF(H100="SE",IF(M100="L",4,IF(M100="A",5,7)),IF(OR(H100="EE",H100="CE"),IF(M100="L",3,IF(M100="A",4,6)))))))</f>
        <v/>
      </c>
      <c r="P100" s="54">
        <f>IF(I100="I",O100*Contagem!$W$15,IF(I100="E",O100*Contagem!$W$17,IF(I100="A",O100*Contagem!$W$16,IF(I100="T",O100*Contagem!$W$18,""))))</f>
        <v/>
      </c>
      <c r="Q100" s="55" t="inlineStr">
        <is>
          <t>Prova: Rota GET /gestao/config-apis?aba=inscricao (manter-parametros). Tela: gestao/config-apis/index, aba Inscrição imobiliária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Processo elementar independente: na visão lógica do usuário (CPM Parte 1 §5.5.2.1) cada integração é um cadastro independente, consultado e mantido por si; a consulta da integração Inscrição imobiliária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TD=8 (integração, descrição, consulta habilitada, usar produção, URL de homologação, URL de produção, ajuda do campo, ação). AR=1 (Parâmetro). Recontagem 16/10/2026: mantida (linha 474 da contagem de 01/10/2026).</t>
        </is>
      </c>
    </row>
    <row r="101" ht="12" customHeight="1" s="73">
      <c r="A101" s="14">
        <f>IF(H101="",IF(C101="",A100,A100+1),A100)</f>
        <v/>
      </c>
      <c r="B101" s="48">
        <f>IF(A101=A100,"",CONCATENATE("F",A101))</f>
        <v/>
      </c>
      <c r="C101" s="85" t="inlineStr">
        <is>
          <t>APIs - consultar configuração CPF e CNPJ</t>
        </is>
      </c>
      <c r="D101" s="142" t="n"/>
      <c r="E101" s="142" t="n"/>
      <c r="F101" s="142" t="n"/>
      <c r="G101" s="143" t="n"/>
      <c r="H101" s="56" t="inlineStr">
        <is>
          <t>CE</t>
        </is>
      </c>
      <c r="I101" s="57" t="inlineStr">
        <is>
          <t>I</t>
        </is>
      </c>
      <c r="J101" s="56" t="n">
        <v>8</v>
      </c>
      <c r="K101" s="56" t="n">
        <v>1</v>
      </c>
      <c r="L101" s="50">
        <f>CONCATENATE(H101,M101)</f>
        <v/>
      </c>
      <c r="M101" s="51">
        <f>IF(OR(ISBLANK(J101),ISBLANK(K101)),IF(OR(H101="ALI",H101="AIE"),"L",IF(ISBLANK(H101),"","A")),IF(H101="EE",IF(K101&gt;=3,IF(J101&gt;=5,"H","A"),IF(K101&gt;=2,IF(J101&gt;=16,"H",IF(J101&lt;=4,"L","A")),IF(J101&lt;=15,"L","A"))),IF(OR(H101="SE",H101="CE"),IF(K101&gt;=4,IF(J101&gt;=6,"H","A"),IF(K101&gt;=2,IF(J101&gt;=20,"H",IF(J101&lt;=5,"L","A")),IF(J101&lt;=19,"L","A"))),IF(OR(H101="ALI",H101="AIE"),IF(K101&gt;=6,IF(J101&gt;=20,"H","A"),IF(K101&gt;=2,IF(J101&gt;=51,"H",IF(J101&lt;=19,"L","A")),IF(J101&lt;=50,"L","A")))))))</f>
        <v/>
      </c>
      <c r="N101" s="52">
        <f>IF(M101="L","Baixa",IF(M101="A","Média",IF(M101="","","Alta")))</f>
        <v/>
      </c>
      <c r="O101" s="53">
        <f>IF(ISBLANK(H101),"",IF(H101="ALI",IF(M101="L",7,IF(M101="A",10,15)),IF(H101="AIE",IF(M101="L",5,IF(M101="A",7,10)),IF(H101="SE",IF(M101="L",4,IF(M101="A",5,7)),IF(OR(H101="EE",H101="CE"),IF(M101="L",3,IF(M101="A",4,6)))))))</f>
        <v/>
      </c>
      <c r="P101" s="54">
        <f>IF(I101="I",O101*Contagem!$W$15,IF(I101="E",O101*Contagem!$W$17,IF(I101="A",O101*Contagem!$W$16,IF(I101="T",O101*Contagem!$W$18,""))))</f>
        <v/>
      </c>
      <c r="Q101" s="55" t="inlineStr">
        <is>
          <t>Prova: Rota GET /gestao/config-apis?aba=sedur_contato (manter-parametros). Tela: gestao/config-apis/index, aba CPF e CNPJ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Processo elementar independente: na visão lógica do usuário (CPM Parte 1 §5.5.2.1) cada integração é um cadastro independente, consultado e mantido por si; a consulta da integração CPF e CNPJ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TD=8 (integração, descrição, consulta de CNPJ habilitada, usar produção, URL de homologação, URL de produção, ajuda do campo, ação). AR=1 (Parâmetro). Recontagem 16/10/2026: mantida (linha 476 da contagem de 01/10/2026).</t>
        </is>
      </c>
    </row>
    <row r="102" ht="12" customHeight="1" s="73">
      <c r="A102" s="14">
        <f>IF(H102="",IF(C102="",A101,A101+1),A101)</f>
        <v/>
      </c>
      <c r="B102" s="48">
        <f>IF(A102=A101,"",CONCATENATE("F",A102))</f>
        <v/>
      </c>
      <c r="C102" s="85" t="inlineStr">
        <is>
          <t>APIs - consultar configuração Autenticação SEDUR</t>
        </is>
      </c>
      <c r="D102" s="142" t="n"/>
      <c r="E102" s="142" t="n"/>
      <c r="F102" s="142" t="n"/>
      <c r="G102" s="143" t="n"/>
      <c r="H102" s="56" t="inlineStr">
        <is>
          <t>CE</t>
        </is>
      </c>
      <c r="I102" s="57" t="inlineStr">
        <is>
          <t>I</t>
        </is>
      </c>
      <c r="J102" s="56" t="n">
        <v>8</v>
      </c>
      <c r="K102" s="56" t="n">
        <v>1</v>
      </c>
      <c r="L102" s="50">
        <f>CONCATENATE(H102,M102)</f>
        <v/>
      </c>
      <c r="M102" s="51">
        <f>IF(OR(ISBLANK(J102),ISBLANK(K102)),IF(OR(H102="ALI",H102="AIE"),"L",IF(ISBLANK(H102),"","A")),IF(H102="EE",IF(K102&gt;=3,IF(J102&gt;=5,"H","A"),IF(K102&gt;=2,IF(J102&gt;=16,"H",IF(J102&lt;=4,"L","A")),IF(J102&lt;=15,"L","A"))),IF(OR(H102="SE",H102="CE"),IF(K102&gt;=4,IF(J102&gt;=6,"H","A"),IF(K102&gt;=2,IF(J102&gt;=20,"H",IF(J102&lt;=5,"L","A")),IF(J102&lt;=19,"L","A"))),IF(OR(H102="ALI",H102="AIE"),IF(K102&gt;=6,IF(J102&gt;=20,"H","A"),IF(K102&gt;=2,IF(J102&gt;=51,"H",IF(J102&lt;=19,"L","A")),IF(J102&lt;=50,"L","A")))))))</f>
        <v/>
      </c>
      <c r="N102" s="52">
        <f>IF(M102="L","Baixa",IF(M102="A","Média",IF(M102="","","Alta")))</f>
        <v/>
      </c>
      <c r="O102" s="53">
        <f>IF(ISBLANK(H102),"",IF(H102="ALI",IF(M102="L",7,IF(M102="A",10,15)),IF(H102="AIE",IF(M102="L",5,IF(M102="A",7,10)),IF(H102="SE",IF(M102="L",4,IF(M102="A",5,7)),IF(OR(H102="EE",H102="CE"),IF(M102="L",3,IF(M102="A",4,6)))))))</f>
        <v/>
      </c>
      <c r="P102" s="54">
        <f>IF(I102="I",O102*Contagem!$W$15,IF(I102="E",O102*Contagem!$W$17,IF(I102="A",O102*Contagem!$W$16,IF(I102="T",O102*Contagem!$W$18,""))))</f>
        <v/>
      </c>
      <c r="Q102" s="55" t="inlineStr">
        <is>
          <t>Prova: Rota GET /gestao/config-apis?aba=sedur_auth (manter-parametros). Tela: gestao/config-apis/index, aba Autenticação SEDUR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Processo elementar independente: na visão lógica do usuário (CPM Parte 1 §5.5.2.1) cada integração é um cadastro independente, consultado e mantido por si; a consulta da integração Autenticação SEDUR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TD=8 (integração, descrição, login AD habilitado, usar produção, URL de homologação, URL de produção, ajuda do campo, ação). AR=1 (Parâmetro). Recontagem 16/10/2026: mantida (linha 478 da contagem de 01/10/2026).</t>
        </is>
      </c>
    </row>
    <row r="103" ht="12" customHeight="1" s="73">
      <c r="A103" s="14">
        <f>IF(H103="",IF(C103="",A102,A102+1),A102)</f>
        <v/>
      </c>
      <c r="B103" s="48">
        <f>IF(A103=A102,"",CONCATENATE("F",A103))</f>
        <v/>
      </c>
      <c r="C103" s="85" t="inlineStr">
        <is>
          <t>APIs - consultar configuração GOV.BR</t>
        </is>
      </c>
      <c r="D103" s="142" t="n"/>
      <c r="E103" s="142" t="n"/>
      <c r="F103" s="142" t="n"/>
      <c r="G103" s="143" t="n"/>
      <c r="H103" s="56" t="inlineStr">
        <is>
          <t>CE</t>
        </is>
      </c>
      <c r="I103" s="57" t="inlineStr">
        <is>
          <t>I</t>
        </is>
      </c>
      <c r="J103" s="56" t="n">
        <v>11</v>
      </c>
      <c r="K103" s="56" t="n">
        <v>1</v>
      </c>
      <c r="L103" s="50">
        <f>CONCATENATE(H103,M103)</f>
        <v/>
      </c>
      <c r="M103" s="51">
        <f>IF(OR(ISBLANK(J103),ISBLANK(K103)),IF(OR(H103="ALI",H103="AIE"),"L",IF(ISBLANK(H103),"","A")),IF(H103="EE",IF(K103&gt;=3,IF(J103&gt;=5,"H","A"),IF(K103&gt;=2,IF(J103&gt;=16,"H",IF(J103&lt;=4,"L","A")),IF(J103&lt;=15,"L","A"))),IF(OR(H103="SE",H103="CE"),IF(K103&gt;=4,IF(J103&gt;=6,"H","A"),IF(K103&gt;=2,IF(J103&gt;=20,"H",IF(J103&lt;=5,"L","A")),IF(J103&lt;=19,"L","A"))),IF(OR(H103="ALI",H103="AIE"),IF(K103&gt;=6,IF(J103&gt;=20,"H","A"),IF(K103&gt;=2,IF(J103&gt;=51,"H",IF(J103&lt;=19,"L","A")),IF(J103&lt;=50,"L","A")))))))</f>
        <v/>
      </c>
      <c r="N103" s="52">
        <f>IF(M103="L","Baixa",IF(M103="A","Média",IF(M103="","","Alta")))</f>
        <v/>
      </c>
      <c r="O103" s="53">
        <f>IF(ISBLANK(H103),"",IF(H103="ALI",IF(M103="L",7,IF(M103="A",10,15)),IF(H103="AIE",IF(M103="L",5,IF(M103="A",7,10)),IF(H103="SE",IF(M103="L",4,IF(M103="A",5,7)),IF(OR(H103="EE",H103="CE"),IF(M103="L",3,IF(M103="A",4,6)))))))</f>
        <v/>
      </c>
      <c r="P103" s="54">
        <f>IF(I103="I",O103*Contagem!$W$15,IF(I103="E",O103*Contagem!$W$17,IF(I103="A",O103*Contagem!$W$16,IF(I103="T",O103*Contagem!$W$18,""))))</f>
        <v/>
      </c>
      <c r="Q103" s="55" t="inlineStr">
        <is>
          <t>Prova: Rota GET /gestao/config-apis?aba=govbr (manter-parametros). Tela: gestao/config-apis/index, aba GOV.BR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Processo elementar independente: na visão lógica do usuário (CPM Parte 1 §5.5.2.1) cada integração é um cadastro independente, consultado e mantido por si; a consulta da integração GOV.BR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TD=11 (integração, descrição, login GOV.BR habilitado, usar produção, URL de homologação, URL de produção, client ID (só indica se há valor gravado), client secret (só indica se há valor gravado), nível mínimo, ajuda do campo, ação). AR=1 (Parâmetro). Recontagem 16/10/2026: mantida (linha 480 da contagem de 01/10/2026).</t>
        </is>
      </c>
    </row>
    <row r="104" ht="12" customHeight="1" s="73">
      <c r="A104" s="14">
        <f>IF(H104="",IF(C104="",A103,A103+1),A103)</f>
        <v/>
      </c>
      <c r="B104" s="48">
        <f>IF(A104=A103,"",CONCATENATE("F",A104))</f>
        <v/>
      </c>
      <c r="C104" s="85" t="inlineStr">
        <is>
          <t>APIs - consultar configuração Geocodificação</t>
        </is>
      </c>
      <c r="D104" s="142" t="n"/>
      <c r="E104" s="142" t="n"/>
      <c r="F104" s="142" t="n"/>
      <c r="G104" s="143" t="n"/>
      <c r="H104" s="56" t="inlineStr">
        <is>
          <t>CE</t>
        </is>
      </c>
      <c r="I104" s="57" t="inlineStr">
        <is>
          <t>I</t>
        </is>
      </c>
      <c r="J104" s="56" t="n">
        <v>8</v>
      </c>
      <c r="K104" s="56" t="n">
        <v>1</v>
      </c>
      <c r="L104" s="50">
        <f>CONCATENATE(H104,M104)</f>
        <v/>
      </c>
      <c r="M104" s="51">
        <f>IF(OR(ISBLANK(J104),ISBLANK(K104)),IF(OR(H104="ALI",H104="AIE"),"L",IF(ISBLANK(H104),"","A")),IF(H104="EE",IF(K104&gt;=3,IF(J104&gt;=5,"H","A"),IF(K104&gt;=2,IF(J104&gt;=16,"H",IF(J104&lt;=4,"L","A")),IF(J104&lt;=15,"L","A"))),IF(OR(H104="SE",H104="CE"),IF(K104&gt;=4,IF(J104&gt;=6,"H","A"),IF(K104&gt;=2,IF(J104&gt;=20,"H",IF(J104&lt;=5,"L","A")),IF(J104&lt;=19,"L","A"))),IF(OR(H104="ALI",H104="AIE"),IF(K104&gt;=6,IF(J104&gt;=20,"H","A"),IF(K104&gt;=2,IF(J104&gt;=51,"H",IF(J104&lt;=19,"L","A")),IF(J104&lt;=50,"L","A")))))))</f>
        <v/>
      </c>
      <c r="N104" s="52">
        <f>IF(M104="L","Baixa",IF(M104="A","Média",IF(M104="","","Alta")))</f>
        <v/>
      </c>
      <c r="O104" s="53">
        <f>IF(ISBLANK(H104),"",IF(H104="ALI",IF(M104="L",7,IF(M104="A",10,15)),IF(H104="AIE",IF(M104="L",5,IF(M104="A",7,10)),IF(H104="SE",IF(M104="L",4,IF(M104="A",5,7)),IF(OR(H104="EE",H104="CE"),IF(M104="L",3,IF(M104="A",4,6)))))))</f>
        <v/>
      </c>
      <c r="P104" s="54">
        <f>IF(I104="I",O104*Contagem!$W$15,IF(I104="E",O104*Contagem!$W$17,IF(I104="A",O104*Contagem!$W$16,IF(I104="T",O104*Contagem!$W$18,""))))</f>
        <v/>
      </c>
      <c r="Q104" s="55" t="inlineStr">
        <is>
          <t>Prova: Rota GET /gestao/config-apis?aba=geocoding (manter-parametros). Tela: gestao/config-apis/index, aba Geocodificação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Processo elementar independente: na visão lógica do usuário (CPM Parte 1 §5.5.2.1) cada integração é um cadastro independente, consultado e mantido por si; a consulta da integração Geocodificação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TD=8 (integração, descrição, geocodificação habilitada, usar produção, URL de homologação, URL de produção, ajuda do campo, ação). AR=1 (Parâmetro). Recontagem 16/10/2026: mantida (linha 482 da contagem de 01/10/2026).</t>
        </is>
      </c>
    </row>
    <row r="105" ht="12" customHeight="1" s="73">
      <c r="A105" s="14">
        <f>IF(H105="",IF(C105="",A104,A104+1),A104)</f>
        <v/>
      </c>
      <c r="B105" s="48">
        <f>IF(A105=A104,"",CONCATENATE("F",A105))</f>
        <v/>
      </c>
      <c r="C105" s="85" t="inlineStr">
        <is>
          <t>APIs - consultar configuração GeoServer</t>
        </is>
      </c>
      <c r="D105" s="142" t="n"/>
      <c r="E105" s="142" t="n"/>
      <c r="F105" s="142" t="n"/>
      <c r="G105" s="143" t="n"/>
      <c r="H105" s="56" t="inlineStr">
        <is>
          <t>CE</t>
        </is>
      </c>
      <c r="I105" s="57" t="inlineStr">
        <is>
          <t>I</t>
        </is>
      </c>
      <c r="J105" s="56" t="n">
        <v>11</v>
      </c>
      <c r="K105" s="56" t="n">
        <v>1</v>
      </c>
      <c r="L105" s="50">
        <f>CONCATENATE(H105,M105)</f>
        <v/>
      </c>
      <c r="M105" s="51">
        <f>IF(OR(ISBLANK(J105),ISBLANK(K105)),IF(OR(H105="ALI",H105="AIE"),"L",IF(ISBLANK(H105),"","A")),IF(H105="EE",IF(K105&gt;=3,IF(J105&gt;=5,"H","A"),IF(K105&gt;=2,IF(J105&gt;=16,"H",IF(J105&lt;=4,"L","A")),IF(J105&lt;=15,"L","A"))),IF(OR(H105="SE",H105="CE"),IF(K105&gt;=4,IF(J105&gt;=6,"H","A"),IF(K105&gt;=2,IF(J105&gt;=20,"H",IF(J105&lt;=5,"L","A")),IF(J105&lt;=19,"L","A"))),IF(OR(H105="ALI",H105="AIE"),IF(K105&gt;=6,IF(J105&gt;=20,"H","A"),IF(K105&gt;=2,IF(J105&gt;=51,"H",IF(J105&lt;=19,"L","A")),IF(J105&lt;=50,"L","A")))))))</f>
        <v/>
      </c>
      <c r="N105" s="52">
        <f>IF(M105="L","Baixa",IF(M105="A","Média",IF(M105="","","Alta")))</f>
        <v/>
      </c>
      <c r="O105" s="53">
        <f>IF(ISBLANK(H105),"",IF(H105="ALI",IF(M105="L",7,IF(M105="A",10,15)),IF(H105="AIE",IF(M105="L",5,IF(M105="A",7,10)),IF(H105="SE",IF(M105="L",4,IF(M105="A",5,7)),IF(OR(H105="EE",H105="CE"),IF(M105="L",3,IF(M105="A",4,6)))))))</f>
        <v/>
      </c>
      <c r="P105" s="54">
        <f>IF(I105="I",O105*Contagem!$W$15,IF(I105="E",O105*Contagem!$W$17,IF(I105="A",O105*Contagem!$W$16,IF(I105="T",O105*Contagem!$W$18,""))))</f>
        <v/>
      </c>
      <c r="Q105" s="55" t="inlineStr">
        <is>
          <t>Prova: Rota GET /gestao/config-apis?aba=geoserver (manter-parametros). Tela: gestao/config-apis/index, aba GeoServer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Processo elementar independente: na visão lógica do usuário (CPM Parte 1 §5.5.2.1) cada integração é um cadastro independente, consultado e mantido por si; a consulta da integração GeoServer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TD=11 (integração, descrição, consulta de zona habilitada, regras territoriais habilitadas, classificação viária habilitada, polígono do endereçamento habilitado, usar produção, URL de homologação, URL de produção, ajuda do campo, ação). AR=1 (Parâmetro). Recontagem 16/10/2026: alterada (linha 484 da contagem de 01/10/2026: "APIs - consultar configuração GeoServer", CE Baixa 3 PF, TD 10, AR 1). Motivo: TD 10 para 11: a aba passou a exibir o interruptor "Polígono do endereçamento habilitado" (features.geoserver_enderecamento, commit f8abe514 de 02/10/2026). PF inalterado (Baixa).</t>
        </is>
      </c>
    </row>
    <row r="106" ht="12" customHeight="1" s="73">
      <c r="A106" s="14">
        <f>IF(H106="",IF(C106="",A105,A105+1),A105)</f>
        <v/>
      </c>
      <c r="B106" s="48">
        <f>IF(A106=A105,"",CONCATENATE("F",A106))</f>
        <v/>
      </c>
      <c r="C106" s="85" t="inlineStr">
        <is>
          <t>APIs - consultar configuração Cadastro municipal (SEMAP)</t>
        </is>
      </c>
      <c r="D106" s="142" t="n"/>
      <c r="E106" s="142" t="n"/>
      <c r="F106" s="142" t="n"/>
      <c r="G106" s="143" t="n"/>
      <c r="H106" s="56" t="inlineStr">
        <is>
          <t>CE</t>
        </is>
      </c>
      <c r="I106" s="57" t="inlineStr">
        <is>
          <t>I</t>
        </is>
      </c>
      <c r="J106" s="56" t="n">
        <v>7</v>
      </c>
      <c r="K106" s="56" t="n">
        <v>1</v>
      </c>
      <c r="L106" s="50">
        <f>CONCATENATE(H106,M106)</f>
        <v/>
      </c>
      <c r="M106" s="51">
        <f>IF(OR(ISBLANK(J106),ISBLANK(K106)),IF(OR(H106="ALI",H106="AIE"),"L",IF(ISBLANK(H106),"","A")),IF(H106="EE",IF(K106&gt;=3,IF(J106&gt;=5,"H","A"),IF(K106&gt;=2,IF(J106&gt;=16,"H",IF(J106&lt;=4,"L","A")),IF(J106&lt;=15,"L","A"))),IF(OR(H106="SE",H106="CE"),IF(K106&gt;=4,IF(J106&gt;=6,"H","A"),IF(K106&gt;=2,IF(J106&gt;=20,"H",IF(J106&lt;=5,"L","A")),IF(J106&lt;=19,"L","A"))),IF(OR(H106="ALI",H106="AIE"),IF(K106&gt;=6,IF(J106&gt;=20,"H","A"),IF(K106&gt;=2,IF(J106&gt;=51,"H",IF(J106&lt;=19,"L","A")),IF(J106&lt;=50,"L","A")))))))</f>
        <v/>
      </c>
      <c r="N106" s="52">
        <f>IF(M106="L","Baixa",IF(M106="A","Média",IF(M106="","","Alta")))</f>
        <v/>
      </c>
      <c r="O106" s="53">
        <f>IF(ISBLANK(H106),"",IF(H106="ALI",IF(M106="L",7,IF(M106="A",10,15)),IF(H106="AIE",IF(M106="L",5,IF(M106="A",7,10)),IF(H106="SE",IF(M106="L",4,IF(M106="A",5,7)),IF(OR(H106="EE",H106="CE"),IF(M106="L",3,IF(M106="A",4,6)))))))</f>
        <v/>
      </c>
      <c r="P106" s="54">
        <f>IF(I106="I",O106*Contagem!$W$15,IF(I106="E",O106*Contagem!$W$17,IF(I106="A",O106*Contagem!$W$16,IF(I106="T",O106*Contagem!$W$18,""))))</f>
        <v/>
      </c>
      <c r="Q106" s="55" t="inlineStr">
        <is>
          <t>Prova: Rota GET /gestao/config-apis?aba=arcgis_semap (manter-parametros). Tela: gestao/config-apis/index, aba Cadastro municipal (SEMAP) (menu Configuração &gt; APIs). O gestor abre a configuração da integração e vê os valores em uso, montados por ApiIntegracaoController@edit a partir dos parâmetros listados em ApiIntegracaoCatalog para esta integração; credenciais nunca são reexibidas. Lê Parâmetro; não grava (o método edit não chama AuditService nem altera registro). Teste: tests/Feature/Gestao/ApiIntegracaoControllerTest.php::test_administrador_ve_as_abas_sem_credencial_em_claro (confere as 8 abas e o client secret do GOV.BR só com a indicação de valor gravado) e ::test_token_do_semap_e_gravado_criptografado_e_nao_volta_na_tela. Processo elementar independente: na visão lógica do usuário (CPM Parte 1 §5.5.2.1) cada integração é um cadastro independente, consultado e mantido por si; a consulta da integração Cadastro municipal (SEMAP) é completa por si e não altera dados. A carga conjunta das oito abas numa resposta é decisão de interface (as integrações poderiam ser itens de menu separados) e não define o processo elementar. Unicidade (§5.5.2.2): o conjunto de DER desta aba e a lógica de apresentação (campos e credenciais mascaradas próprios da integração) diferem das demais abas, logo é consulta distinta. Classificação: CE, só recupera e apresenta, sem cálculo, derivação ou atualização de ALI (§5.5.3). TD=7 (integração, descrição, consulta do lote por inscrição habilitada, URL de consulta da camada, token (só indica se há valor gravado), ajuda do campo, ação). AR=1 (Parâmetro). Recontagem 16/10/2026: nova (não constava da contagem de 01/10/2026). Aba nova desde a contagem anterior (commit 8ac04e49 de 03/10/2026; token na mesma aba): oitava integração de ApiIntegracaoCatalog.</t>
        </is>
      </c>
    </row>
    <row r="107" ht="12" customHeight="1" s="73">
      <c r="A107" s="14">
        <f>IF(H107="",IF(C107="",A106,A106+1),A106)</f>
        <v/>
      </c>
      <c r="B107" s="48">
        <f>IF(A107=A106,"",CONCATENATE("F",A107))</f>
        <v/>
      </c>
      <c r="C107" s="85" t="inlineStr">
        <is>
          <t>APIs - alterar configuração REGIN</t>
        </is>
      </c>
      <c r="D107" s="142" t="n"/>
      <c r="E107" s="142" t="n"/>
      <c r="F107" s="142" t="n"/>
      <c r="G107" s="143" t="n"/>
      <c r="H107" s="56" t="inlineStr">
        <is>
          <t>EE</t>
        </is>
      </c>
      <c r="I107" s="57" t="inlineStr">
        <is>
          <t>I</t>
        </is>
      </c>
      <c r="J107" s="56" t="n">
        <v>8</v>
      </c>
      <c r="K107" s="56" t="n">
        <v>2</v>
      </c>
      <c r="L107" s="50">
        <f>CONCATENATE(H107,M107)</f>
        <v/>
      </c>
      <c r="M107" s="51">
        <f>IF(OR(ISBLANK(J107),ISBLANK(K107)),IF(OR(H107="ALI",H107="AIE"),"L",IF(ISBLANK(H107),"","A")),IF(H107="EE",IF(K107&gt;=3,IF(J107&gt;=5,"H","A"),IF(K107&gt;=2,IF(J107&gt;=16,"H",IF(J107&lt;=4,"L","A")),IF(J107&lt;=15,"L","A"))),IF(OR(H107="SE",H107="CE"),IF(K107&gt;=4,IF(J107&gt;=6,"H","A"),IF(K107&gt;=2,IF(J107&gt;=20,"H",IF(J107&lt;=5,"L","A")),IF(J107&lt;=19,"L","A"))),IF(OR(H107="ALI",H107="AIE"),IF(K107&gt;=6,IF(J107&gt;=20,"H","A"),IF(K107&gt;=2,IF(J107&gt;=51,"H",IF(J107&lt;=19,"L","A")),IF(J107&lt;=50,"L","A")))))))</f>
        <v/>
      </c>
      <c r="N107" s="52">
        <f>IF(M107="L","Baixa",IF(M107="A","Média",IF(M107="","","Alta")))</f>
        <v/>
      </c>
      <c r="O107" s="53">
        <f>IF(ISBLANK(H107),"",IF(H107="ALI",IF(M107="L",7,IF(M107="A",10,15)),IF(H107="AIE",IF(M107="L",5,IF(M107="A",7,10)),IF(H107="SE",IF(M107="L",4,IF(M107="A",5,7)),IF(OR(H107="EE",H107="CE"),IF(M107="L",3,IF(M107="A",4,6)))))))</f>
        <v/>
      </c>
      <c r="P107" s="54">
        <f>IF(I107="I",O107*Contagem!$W$15,IF(I107="E",O107*Contagem!$W$17,IF(I107="A",O107*Contagem!$W$16,IF(I107="T",O107*Contagem!$W$18,""))))</f>
        <v/>
      </c>
      <c r="Q107" s="55" t="inlineStr">
        <is>
          <t>Prova: Rota PUT /gestao/config-apis/regin (manter-parametros). Tela: gestao/config-apis/index, aba REGIN. O gestor altera e salva. Valida os seis campos da aba (senha com mínimo de 8 caracteres; em branco mantém a atual); não espelha URL ativa (a URL ativa do REGIN é resolvida pelo interruptor em ReginIntegrationSettings). A tela legada GET/PUT /gestao/config-regin grava um subconjunto destes mesmos parâmetros com a mesma lógica, não está no menu (resources/js/navigation/gestao-nav.ts só aponta /gestao/config-apis) e não é contada à parte. O botão Testar conexão da aba (POST /gestao/config-regin/testar) é teste técnico e não é contado. Grava os Parâmetro alterados e registra na Trilha o valor anterior e o novo (sensível como [criptografado]). Teste: tests/Feature/Gestao/ApiIntegracaoControllerTest.php::test_senha_em_branco_nao_apaga_a_credencial.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TD=8 (usar produção, URL de homologação, URL de produção, usuário, senha, CNPJ da Prefeitura, mensagem, ação salvar). AR=2 (Parâmetro, Trilha de auditoria). Recontagem 16/10/2026: mantida (linha 473 da contagem de 01/10/2026).</t>
        </is>
      </c>
    </row>
    <row r="108" ht="12" customHeight="1" s="73">
      <c r="A108" s="14">
        <f>IF(H108="",IF(C108="",A107,A107+1),A107)</f>
        <v/>
      </c>
      <c r="B108" s="48">
        <f>IF(A108=A107,"",CONCATENATE("F",A108))</f>
        <v/>
      </c>
      <c r="C108" s="85" t="inlineStr">
        <is>
          <t>APIs - alterar configuração Inscrição imobiliária</t>
        </is>
      </c>
      <c r="D108" s="142" t="n"/>
      <c r="E108" s="142" t="n"/>
      <c r="F108" s="142" t="n"/>
      <c r="G108" s="143" t="n"/>
      <c r="H108" s="56" t="inlineStr">
        <is>
          <t>EE</t>
        </is>
      </c>
      <c r="I108" s="57" t="inlineStr">
        <is>
          <t>I</t>
        </is>
      </c>
      <c r="J108" s="56" t="n">
        <v>6</v>
      </c>
      <c r="K108" s="56" t="n">
        <v>2</v>
      </c>
      <c r="L108" s="50">
        <f>CONCATENATE(H108,M108)</f>
        <v/>
      </c>
      <c r="M108" s="51">
        <f>IF(OR(ISBLANK(J108),ISBLANK(K108)),IF(OR(H108="ALI",H108="AIE"),"L",IF(ISBLANK(H108),"","A")),IF(H108="EE",IF(K108&gt;=3,IF(J108&gt;=5,"H","A"),IF(K108&gt;=2,IF(J108&gt;=16,"H",IF(J108&lt;=4,"L","A")),IF(J108&lt;=15,"L","A"))),IF(OR(H108="SE",H108="CE"),IF(K108&gt;=4,IF(J108&gt;=6,"H","A"),IF(K108&gt;=2,IF(J108&gt;=20,"H",IF(J108&lt;=5,"L","A")),IF(J108&lt;=19,"L","A"))),IF(OR(H108="ALI",H108="AIE"),IF(K108&gt;=6,IF(J108&gt;=20,"H","A"),IF(K108&gt;=2,IF(J108&gt;=51,"H",IF(J108&lt;=19,"L","A")),IF(J108&lt;=50,"L","A")))))))</f>
        <v/>
      </c>
      <c r="N108" s="52">
        <f>IF(M108="L","Baixa",IF(M108="A","Média",IF(M108="","","Alta")))</f>
        <v/>
      </c>
      <c r="O108" s="53">
        <f>IF(ISBLANK(H108),"",IF(H108="ALI",IF(M108="L",7,IF(M108="A",10,15)),IF(H108="AIE",IF(M108="L",5,IF(M108="A",7,10)),IF(H108="SE",IF(M108="L",4,IF(M108="A",5,7)),IF(OR(H108="EE",H108="CE"),IF(M108="L",3,IF(M108="A",4,6)))))))</f>
        <v/>
      </c>
      <c r="P108" s="54">
        <f>IF(I108="I",O108*Contagem!$W$15,IF(I108="E",O108*Contagem!$W$17,IF(I108="A",O108*Contagem!$W$16,IF(I108="T",O108*Contagem!$W$18,""))))</f>
        <v/>
      </c>
      <c r="Q108" s="55" t="inlineStr">
        <is>
          <t>Prova: Rota PUT /gestao/config-apis/inscricao (manter-parametros). Tela: gestao/config-apis/index, aba Inscrição imobiliária. O gestor altera e salva. Valida os campos da aba e espelha a URL ativa em integrations.inscricao_imobiliaria.base_url conforme o interruptor. A tela legada GET/PUT /gestao/config-inscricao-imobiliaria grava os mesmos parâmetros (sem o interruptor de consulta habilitada) com a mesma lógica, não está no menu e não é contada à parte. O Testar conexão da aba é teste técnico e não é contado. Grava os Parâmetro alterados e registra na Trilha o valor anterior e o novo (sensível como [criptografado]). Teste: sem teste próprio da aba em ApiIntegracaoControllerTest; a gravação dos mesmos parâmetros com espelhamento é coberta por tests/Feature/Realty/InscricaoImobiliariaIntegrationControllerTest.php::test_grava_toggle_e_urls_e_escolhe_a_url_de_homologacao.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TD=6 (consulta habilitada, usar produção, URL de homologação, URL de produção, mensagem, ação salvar). AR=2 (Parâmetro, Trilha de auditoria). Recontagem 16/10/2026: mantida (linha 475 da contagem de 01/10/2026).</t>
        </is>
      </c>
    </row>
    <row r="109" ht="12" customHeight="1" s="73">
      <c r="A109" s="14">
        <f>IF(H109="",IF(C109="",A108,A108+1),A108)</f>
        <v/>
      </c>
      <c r="B109" s="48">
        <f>IF(A109=A108,"",CONCATENATE("F",A109))</f>
        <v/>
      </c>
      <c r="C109" s="85" t="inlineStr">
        <is>
          <t>APIs - alterar configuração CPF e CNPJ</t>
        </is>
      </c>
      <c r="D109" s="142" t="n"/>
      <c r="E109" s="142" t="n"/>
      <c r="F109" s="142" t="n"/>
      <c r="G109" s="143" t="n"/>
      <c r="H109" s="56" t="inlineStr">
        <is>
          <t>EE</t>
        </is>
      </c>
      <c r="I109" s="57" t="inlineStr">
        <is>
          <t>I</t>
        </is>
      </c>
      <c r="J109" s="56" t="n">
        <v>6</v>
      </c>
      <c r="K109" s="56" t="n">
        <v>2</v>
      </c>
      <c r="L109" s="50">
        <f>CONCATENATE(H109,M109)</f>
        <v/>
      </c>
      <c r="M109" s="51">
        <f>IF(OR(ISBLANK(J109),ISBLANK(K109)),IF(OR(H109="ALI",H109="AIE"),"L",IF(ISBLANK(H109),"","A")),IF(H109="EE",IF(K109&gt;=3,IF(J109&gt;=5,"H","A"),IF(K109&gt;=2,IF(J109&gt;=16,"H",IF(J109&lt;=4,"L","A")),IF(J109&lt;=15,"L","A"))),IF(OR(H109="SE",H109="CE"),IF(K109&gt;=4,IF(J109&gt;=6,"H","A"),IF(K109&gt;=2,IF(J109&gt;=20,"H",IF(J109&lt;=5,"L","A")),IF(J109&lt;=19,"L","A"))),IF(OR(H109="ALI",H109="AIE"),IF(K109&gt;=6,IF(J109&gt;=20,"H","A"),IF(K109&gt;=2,IF(J109&gt;=51,"H",IF(J109&lt;=19,"L","A")),IF(J109&lt;=50,"L","A")))))))</f>
        <v/>
      </c>
      <c r="N109" s="52">
        <f>IF(M109="L","Baixa",IF(M109="A","Média",IF(M109="","","Alta")))</f>
        <v/>
      </c>
      <c r="O109" s="53">
        <f>IF(ISBLANK(H109),"",IF(H109="ALI",IF(M109="L",7,IF(M109="A",10,15)),IF(H109="AIE",IF(M109="L",5,IF(M109="A",7,10)),IF(H109="SE",IF(M109="L",4,IF(M109="A",5,7)),IF(OR(H109="EE",H109="CE"),IF(M109="L",3,IF(M109="A",4,6)))))))</f>
        <v/>
      </c>
      <c r="P109" s="54">
        <f>IF(I109="I",O109*Contagem!$W$15,IF(I109="E",O109*Contagem!$W$17,IF(I109="A",O109*Contagem!$W$16,IF(I109="T",O109*Contagem!$W$18,""))))</f>
        <v/>
      </c>
      <c r="Q109" s="55" t="inlineStr">
        <is>
          <t>Prova: Rota PUT /gestao/config-apis/sedur_contato (manter-parametros). Tela: gestao/config-apis/index, aba CPF e CNPJ. O gestor altera e salva. Valida os campos da aba e espelha a URL ativa em integrations.sedur_contato.base_url. Grava os Parâmetro alterados e registra na Trilha o valor anterior e o novo (sensível como [criptografado]). Teste: tests/Feature/Gestao/ApiIntegracaoControllerTest.php::test_atualiza_a_url_do_contato_sedur e ::test_url_invalida_e_rejeitada.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TD=6 (consulta de CNPJ habilitada, usar produção, URL de homologação, URL de produção, mensagem, ação salvar). AR=2 (Parâmetro, Trilha de auditoria). Recontagem 16/10/2026: mantida (linha 477 da contagem de 01/10/2026).</t>
        </is>
      </c>
    </row>
    <row r="110" ht="12" customHeight="1" s="73">
      <c r="A110" s="14">
        <f>IF(H110="",IF(C110="",A109,A109+1),A109)</f>
        <v/>
      </c>
      <c r="B110" s="48">
        <f>IF(A110=A109,"",CONCATENATE("F",A110))</f>
        <v/>
      </c>
      <c r="C110" s="85" t="inlineStr">
        <is>
          <t>APIs - alterar configuração Autenticação SEDUR</t>
        </is>
      </c>
      <c r="D110" s="142" t="n"/>
      <c r="E110" s="142" t="n"/>
      <c r="F110" s="142" t="n"/>
      <c r="G110" s="143" t="n"/>
      <c r="H110" s="56" t="inlineStr">
        <is>
          <t>EE</t>
        </is>
      </c>
      <c r="I110" s="57" t="inlineStr">
        <is>
          <t>I</t>
        </is>
      </c>
      <c r="J110" s="56" t="n">
        <v>6</v>
      </c>
      <c r="K110" s="56" t="n">
        <v>2</v>
      </c>
      <c r="L110" s="50">
        <f>CONCATENATE(H110,M110)</f>
        <v/>
      </c>
      <c r="M110" s="51">
        <f>IF(OR(ISBLANK(J110),ISBLANK(K110)),IF(OR(H110="ALI",H110="AIE"),"L",IF(ISBLANK(H110),"","A")),IF(H110="EE",IF(K110&gt;=3,IF(J110&gt;=5,"H","A"),IF(K110&gt;=2,IF(J110&gt;=16,"H",IF(J110&lt;=4,"L","A")),IF(J110&lt;=15,"L","A"))),IF(OR(H110="SE",H110="CE"),IF(K110&gt;=4,IF(J110&gt;=6,"H","A"),IF(K110&gt;=2,IF(J110&gt;=20,"H",IF(J110&lt;=5,"L","A")),IF(J110&lt;=19,"L","A"))),IF(OR(H110="ALI",H110="AIE"),IF(K110&gt;=6,IF(J110&gt;=20,"H","A"),IF(K110&gt;=2,IF(J110&gt;=51,"H",IF(J110&lt;=19,"L","A")),IF(J110&lt;=50,"L","A")))))))</f>
        <v/>
      </c>
      <c r="N110" s="52">
        <f>IF(M110="L","Baixa",IF(M110="A","Média",IF(M110="","","Alta")))</f>
        <v/>
      </c>
      <c r="O110" s="53">
        <f>IF(ISBLANK(H110),"",IF(H110="ALI",IF(M110="L",7,IF(M110="A",10,15)),IF(H110="AIE",IF(M110="L",5,IF(M110="A",7,10)),IF(H110="SE",IF(M110="L",4,IF(M110="A",5,7)),IF(OR(H110="EE",H110="CE"),IF(M110="L",3,IF(M110="A",4,6)))))))</f>
        <v/>
      </c>
      <c r="P110" s="54">
        <f>IF(I110="I",O110*Contagem!$W$15,IF(I110="E",O110*Contagem!$W$17,IF(I110="A",O110*Contagem!$W$16,IF(I110="T",O110*Contagem!$W$18,""))))</f>
        <v/>
      </c>
      <c r="Q110" s="55" t="inlineStr">
        <is>
          <t>Prova: Rota PUT /gestao/config-apis/sedur_auth (manter-parametros). Tela: gestao/config-apis/index, aba Autenticação SEDUR. O gestor altera e salva. Valida os campos da aba e espelha a URL ativa em integrations.sedur_auth.base_url. Grava os Parâmetro alterados e registra na Trilha o valor anterior e o novo (sensível como [criptografado]). Teste: sem teste próprio da aba; o mecanismo comum é coberto por tests/Feature/Gestao/ApiIntegracaoControllerTest.php::test_atualiza_a_url_do_contato_sedur.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TD=6 (login AD habilitado, usar produção, URL de homologação, URL de produção, mensagem, ação salvar). AR=2 (Parâmetro, Trilha de auditoria). Recontagem 16/10/2026: mantida (linha 479 da contagem de 01/10/2026).</t>
        </is>
      </c>
    </row>
    <row r="111" ht="12" customHeight="1" s="73">
      <c r="A111" s="14">
        <f>IF(H111="",IF(C111="",A110,A110+1),A110)</f>
        <v/>
      </c>
      <c r="B111" s="48">
        <f>IF(A111=A110,"",CONCATENATE("F",A111))</f>
        <v/>
      </c>
      <c r="C111" s="85" t="inlineStr">
        <is>
          <t>APIs - alterar configuração GOV.BR</t>
        </is>
      </c>
      <c r="D111" s="142" t="n"/>
      <c r="E111" s="142" t="n"/>
      <c r="F111" s="142" t="n"/>
      <c r="G111" s="143" t="n"/>
      <c r="H111" s="56" t="inlineStr">
        <is>
          <t>EE</t>
        </is>
      </c>
      <c r="I111" s="57" t="inlineStr">
        <is>
          <t>I</t>
        </is>
      </c>
      <c r="J111" s="56" t="n">
        <v>9</v>
      </c>
      <c r="K111" s="56" t="n">
        <v>2</v>
      </c>
      <c r="L111" s="50">
        <f>CONCATENATE(H111,M111)</f>
        <v/>
      </c>
      <c r="M111" s="51">
        <f>IF(OR(ISBLANK(J111),ISBLANK(K111)),IF(OR(H111="ALI",H111="AIE"),"L",IF(ISBLANK(H111),"","A")),IF(H111="EE",IF(K111&gt;=3,IF(J111&gt;=5,"H","A"),IF(K111&gt;=2,IF(J111&gt;=16,"H",IF(J111&lt;=4,"L","A")),IF(J111&lt;=15,"L","A"))),IF(OR(H111="SE",H111="CE"),IF(K111&gt;=4,IF(J111&gt;=6,"H","A"),IF(K111&gt;=2,IF(J111&gt;=20,"H",IF(J111&lt;=5,"L","A")),IF(J111&lt;=19,"L","A"))),IF(OR(H111="ALI",H111="AIE"),IF(K111&gt;=6,IF(J111&gt;=20,"H","A"),IF(K111&gt;=2,IF(J111&gt;=51,"H",IF(J111&lt;=19,"L","A")),IF(J111&lt;=50,"L","A")))))))</f>
        <v/>
      </c>
      <c r="N111" s="52">
        <f>IF(M111="L","Baixa",IF(M111="A","Média",IF(M111="","","Alta")))</f>
        <v/>
      </c>
      <c r="O111" s="53">
        <f>IF(ISBLANK(H111),"",IF(H111="ALI",IF(M111="L",7,IF(M111="A",10,15)),IF(H111="AIE",IF(M111="L",5,IF(M111="A",7,10)),IF(H111="SE",IF(M111="L",4,IF(M111="A",5,7)),IF(OR(H111="EE",H111="CE"),IF(M111="L",3,IF(M111="A",4,6)))))))</f>
        <v/>
      </c>
      <c r="P111" s="54">
        <f>IF(I111="I",O111*Contagem!$W$15,IF(I111="E",O111*Contagem!$W$17,IF(I111="A",O111*Contagem!$W$16,IF(I111="T",O111*Contagem!$W$18,""))))</f>
        <v/>
      </c>
      <c r="Q111" s="55" t="inlineStr">
        <is>
          <t>Prova: Rota PUT /gestao/config-apis/govbr (manter-parametros). Tela: gestao/config-apis/index, aba GOV.BR. O gestor altera e salva. Valida os campos da aba (credenciais em branco mantêm as atuais; nível mínimo entre bronze, prata e ouro) e espelha a URL ativa em integrations.govbr.base_url. Grava os Parâmetro alterados e registra na Trilha o valor anterior e o novo (sensível como [criptografado]). Teste: sem teste próprio de gravação da aba; o mascaramento do client secret é coberto por tests/Feature/Gestao/ApiIntegracaoControllerTest.php::test_administrador_ve_as_abas_sem_credencial_em_claro.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TD=9 (login GOV.BR habilitado, usar produção, URL de homologação, URL de produção, client ID, client secret, nível mínimo, mensagem, ação salvar). AR=2 (Parâmetro, Trilha de auditoria). Recontagem 16/10/2026: mantida (linha 481 da contagem de 01/10/2026).</t>
        </is>
      </c>
    </row>
    <row r="112" ht="12" customHeight="1" s="73">
      <c r="A112" s="14">
        <f>IF(H112="",IF(C112="",A111,A111+1),A111)</f>
        <v/>
      </c>
      <c r="B112" s="48">
        <f>IF(A112=A111,"",CONCATENATE("F",A112))</f>
        <v/>
      </c>
      <c r="C112" s="85" t="inlineStr">
        <is>
          <t>APIs - alterar configuração Geocodificação</t>
        </is>
      </c>
      <c r="D112" s="142" t="n"/>
      <c r="E112" s="142" t="n"/>
      <c r="F112" s="142" t="n"/>
      <c r="G112" s="143" t="n"/>
      <c r="H112" s="56" t="inlineStr">
        <is>
          <t>EE</t>
        </is>
      </c>
      <c r="I112" s="57" t="inlineStr">
        <is>
          <t>I</t>
        </is>
      </c>
      <c r="J112" s="56" t="n">
        <v>6</v>
      </c>
      <c r="K112" s="56" t="n">
        <v>2</v>
      </c>
      <c r="L112" s="50">
        <f>CONCATENATE(H112,M112)</f>
        <v/>
      </c>
      <c r="M112" s="51">
        <f>IF(OR(ISBLANK(J112),ISBLANK(K112)),IF(OR(H112="ALI",H112="AIE"),"L",IF(ISBLANK(H112),"","A")),IF(H112="EE",IF(K112&gt;=3,IF(J112&gt;=5,"H","A"),IF(K112&gt;=2,IF(J112&gt;=16,"H",IF(J112&lt;=4,"L","A")),IF(J112&lt;=15,"L","A"))),IF(OR(H112="SE",H112="CE"),IF(K112&gt;=4,IF(J112&gt;=6,"H","A"),IF(K112&gt;=2,IF(J112&gt;=20,"H",IF(J112&lt;=5,"L","A")),IF(J112&lt;=19,"L","A"))),IF(OR(H112="ALI",H112="AIE"),IF(K112&gt;=6,IF(J112&gt;=20,"H","A"),IF(K112&gt;=2,IF(J112&gt;=51,"H",IF(J112&lt;=19,"L","A")),IF(J112&lt;=50,"L","A")))))))</f>
        <v/>
      </c>
      <c r="N112" s="52">
        <f>IF(M112="L","Baixa",IF(M112="A","Média",IF(M112="","","Alta")))</f>
        <v/>
      </c>
      <c r="O112" s="53">
        <f>IF(ISBLANK(H112),"",IF(H112="ALI",IF(M112="L",7,IF(M112="A",10,15)),IF(H112="AIE",IF(M112="L",5,IF(M112="A",7,10)),IF(H112="SE",IF(M112="L",4,IF(M112="A",5,7)),IF(OR(H112="EE",H112="CE"),IF(M112="L",3,IF(M112="A",4,6)))))))</f>
        <v/>
      </c>
      <c r="P112" s="54">
        <f>IF(I112="I",O112*Contagem!$W$15,IF(I112="E",O112*Contagem!$W$17,IF(I112="A",O112*Contagem!$W$16,IF(I112="T",O112*Contagem!$W$18,""))))</f>
        <v/>
      </c>
      <c r="Q112" s="55" t="inlineStr">
        <is>
          <t>Prova: Rota PUT /gestao/config-apis/geocoding (manter-parametros). Tela: gestao/config-apis/index, aba Geocodificação. O gestor altera e salva. Valida os campos da aba e espelha a URL ativa em integrations.geocoding.base_url. Grava os Parâmetro alterados e registra na Trilha o valor anterior e o novo (sensível como [criptografado]). Teste: sem teste próprio da aba; o mecanismo comum é coberto por tests/Feature/Gestao/ApiIntegracaoControllerTest.php::test_atualiza_a_url_do_contato_sedur.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TD=6 (geocodificação habilitada, usar produção, URL de homologação, URL de produção, mensagem, ação salvar). AR=2 (Parâmetro, Trilha de auditoria). Recontagem 16/10/2026: mantida (linha 483 da contagem de 01/10/2026).</t>
        </is>
      </c>
    </row>
    <row r="113" ht="12" customHeight="1" s="73">
      <c r="A113" s="14">
        <f>IF(H113="",IF(C113="",A112,A112+1),A112)</f>
        <v/>
      </c>
      <c r="B113" s="48">
        <f>IF(A113=A112,"",CONCATENATE("F",A113))</f>
        <v/>
      </c>
      <c r="C113" s="85" t="inlineStr">
        <is>
          <t>APIs - alterar configuração GeoServer</t>
        </is>
      </c>
      <c r="D113" s="142" t="n"/>
      <c r="E113" s="142" t="n"/>
      <c r="F113" s="142" t="n"/>
      <c r="G113" s="143" t="n"/>
      <c r="H113" s="56" t="inlineStr">
        <is>
          <t>EE</t>
        </is>
      </c>
      <c r="I113" s="57" t="inlineStr">
        <is>
          <t>I</t>
        </is>
      </c>
      <c r="J113" s="56" t="n">
        <v>9</v>
      </c>
      <c r="K113" s="56" t="n">
        <v>2</v>
      </c>
      <c r="L113" s="50">
        <f>CONCATENATE(H113,M113)</f>
        <v/>
      </c>
      <c r="M113" s="51">
        <f>IF(OR(ISBLANK(J113),ISBLANK(K113)),IF(OR(H113="ALI",H113="AIE"),"L",IF(ISBLANK(H113),"","A")),IF(H113="EE",IF(K113&gt;=3,IF(J113&gt;=5,"H","A"),IF(K113&gt;=2,IF(J113&gt;=16,"H",IF(J113&lt;=4,"L","A")),IF(J113&lt;=15,"L","A"))),IF(OR(H113="SE",H113="CE"),IF(K113&gt;=4,IF(J113&gt;=6,"H","A"),IF(K113&gt;=2,IF(J113&gt;=20,"H",IF(J113&lt;=5,"L","A")),IF(J113&lt;=19,"L","A"))),IF(OR(H113="ALI",H113="AIE"),IF(K113&gt;=6,IF(J113&gt;=20,"H","A"),IF(K113&gt;=2,IF(J113&gt;=51,"H",IF(J113&lt;=19,"L","A")),IF(J113&lt;=50,"L","A")))))))</f>
        <v/>
      </c>
      <c r="N113" s="52">
        <f>IF(M113="L","Baixa",IF(M113="A","Média",IF(M113="","","Alta")))</f>
        <v/>
      </c>
      <c r="O113" s="53">
        <f>IF(ISBLANK(H113),"",IF(H113="ALI",IF(M113="L",7,IF(M113="A",10,15)),IF(H113="AIE",IF(M113="L",5,IF(M113="A",7,10)),IF(H113="SE",IF(M113="L",4,IF(M113="A",5,7)),IF(OR(H113="EE",H113="CE"),IF(M113="L",3,IF(M113="A",4,6)))))))</f>
        <v/>
      </c>
      <c r="P113" s="54">
        <f>IF(I113="I",O113*Contagem!$W$15,IF(I113="E",O113*Contagem!$W$17,IF(I113="A",O113*Contagem!$W$16,IF(I113="T",O113*Contagem!$W$18,""))))</f>
        <v/>
      </c>
      <c r="Q113" s="55" t="inlineStr">
        <is>
          <t>Prova: Rota PUT /gestao/config-apis/geoserver (manter-parametros). Tela: gestao/config-apis/index, aba GeoServer. O gestor altera e salva. Valida os campos da aba e espelha a URL ativa em integrations.geoserver.base_url. Grava os Parâmetro alterados e registra na Trilha o valor anterior e o novo (sensível como [criptografado]). Teste: sem teste próprio da aba; o mecanismo comum é coberto por tests/Feature/Gestao/ApiIntegracaoControllerTest.php::test_atualiza_a_url_do_contato_sedur.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TD=9 (consulta de zona habilitada, regras territoriais habilitadas, classificação viária habilitada, polígono do endereçamento habilitado, usar produção, URL de homologação, URL de produção, mensagem, ação salvar). AR=2 (Parâmetro, Trilha de auditoria). Recontagem 16/10/2026: alterada (linha 485 da contagem de 01/10/2026: "APIs - alterar configuração GeoServer", EE Média 4 PF, TD 8, AR 2). Motivo: TD 8 para 9: a aba ganhou o interruptor "Polígono do endereçamento habilitado" (features.geoserver_enderecamento, commit f8abe514 de 02/10/2026). PF inalterado (Média).</t>
        </is>
      </c>
    </row>
    <row r="114" ht="12" customHeight="1" s="73">
      <c r="A114" s="14">
        <f>IF(H114="",IF(C114="",A113,A113+1),A113)</f>
        <v/>
      </c>
      <c r="B114" s="48">
        <f>IF(A114=A113,"",CONCATENATE("F",A114))</f>
        <v/>
      </c>
      <c r="C114" s="85" t="inlineStr">
        <is>
          <t>APIs - alterar configuração Cadastro municipal (SEMAP)</t>
        </is>
      </c>
      <c r="D114" s="142" t="n"/>
      <c r="E114" s="142" t="n"/>
      <c r="F114" s="142" t="n"/>
      <c r="G114" s="143" t="n"/>
      <c r="H114" s="56" t="inlineStr">
        <is>
          <t>EE</t>
        </is>
      </c>
      <c r="I114" s="57" t="inlineStr">
        <is>
          <t>I</t>
        </is>
      </c>
      <c r="J114" s="56" t="n">
        <v>5</v>
      </c>
      <c r="K114" s="56" t="n">
        <v>2</v>
      </c>
      <c r="L114" s="50">
        <f>CONCATENATE(H114,M114)</f>
        <v/>
      </c>
      <c r="M114" s="51">
        <f>IF(OR(ISBLANK(J114),ISBLANK(K114)),IF(OR(H114="ALI",H114="AIE"),"L",IF(ISBLANK(H114),"","A")),IF(H114="EE",IF(K114&gt;=3,IF(J114&gt;=5,"H","A"),IF(K114&gt;=2,IF(J114&gt;=16,"H",IF(J114&lt;=4,"L","A")),IF(J114&lt;=15,"L","A"))),IF(OR(H114="SE",H114="CE"),IF(K114&gt;=4,IF(J114&gt;=6,"H","A"),IF(K114&gt;=2,IF(J114&gt;=20,"H",IF(J114&lt;=5,"L","A")),IF(J114&lt;=19,"L","A"))),IF(OR(H114="ALI",H114="AIE"),IF(K114&gt;=6,IF(J114&gt;=20,"H","A"),IF(K114&gt;=2,IF(J114&gt;=51,"H",IF(J114&lt;=19,"L","A")),IF(J114&lt;=50,"L","A")))))))</f>
        <v/>
      </c>
      <c r="N114" s="52">
        <f>IF(M114="L","Baixa",IF(M114="A","Média",IF(M114="","","Alta")))</f>
        <v/>
      </c>
      <c r="O114" s="53">
        <f>IF(ISBLANK(H114),"",IF(H114="ALI",IF(M114="L",7,IF(M114="A",10,15)),IF(H114="AIE",IF(M114="L",5,IF(M114="A",7,10)),IF(H114="SE",IF(M114="L",4,IF(M114="A",5,7)),IF(OR(H114="EE",H114="CE"),IF(M114="L",3,IF(M114="A",4,6)))))))</f>
        <v/>
      </c>
      <c r="P114" s="54">
        <f>IF(I114="I",O114*Contagem!$W$15,IF(I114="E",O114*Contagem!$W$17,IF(I114="A",O114*Contagem!$W$16,IF(I114="T",O114*Contagem!$W$18,""))))</f>
        <v/>
      </c>
      <c r="Q114" s="55" t="inlineStr">
        <is>
          <t>Prova: Rota PUT /gestao/config-apis/arcgis_semap (manter-parametros). Tela: gestao/config-apis/index, aba Cadastro municipal (SEMAP). O gestor altera e salva. Valida os campos da aba (token até 2048 caracteres, gravado criptografado, em branco mantém o atual); não espelha URL ativa. Liga a busca do lote no ArcGIS da Prefeitura quando o endereçamento não traz o polígono. Grava os Parâmetro alterados e registra na Trilha o valor anterior e o novo (sensível como [criptografado]). Teste: tests/Feature/Gestao/ApiIntegracaoControllerTest.php::test_token_do_semap_e_gravado_criptografado_e_nao_volta_na_tela. Processo elementar independente: menor unidade com significado para o gestor; completa por si (salva a aba e a nova configuração passa a valer sem deploy); deixa o negócio consistente (valores validados e auditados). Unicidade (§5.5.2.2): cada aba é um PUT próprio (/gestao/config-apis/{aba}) com conjunto de DER definido em ApiIntegracaoCatalog e regras próprias montadas por UpdateApiIntegracaoRequest a partir das validation_rules de cada parâmetro; as abas diferem em DER e em lógica (espelhamento da URL ativa, credencial em branco preservada), por isso são processos distintos. Classificação: EE, a intenção primária é manter o ALI Parâmetro e alterar o comportamento da integração (§5.5.3). TD=5 (consulta do lote por inscrição habilitada, URL de consulta da camada, token, mensagem, ação salvar). AR=2 (Parâmetro, Trilha de auditoria). Recontagem 16/10/2026: nova (não constava da contagem de 01/10/2026). Aba nova desde a contagem anterior (commit 8ac04e49 de 03/10/2026; token na mesma aba): oitava aba de ApiIntegracaoCatalog.</t>
        </is>
      </c>
    </row>
    <row r="115" ht="12" customHeight="1" s="73">
      <c r="A115" s="14">
        <f>IF(H115="",IF(C115="",A114,A114+1),A114)</f>
        <v/>
      </c>
      <c r="B115" s="48">
        <f>IF(A115=A114,"",CONCATENATE("F",A115))</f>
        <v/>
      </c>
      <c r="C115" s="85" t="n"/>
      <c r="D115" s="142" t="n"/>
      <c r="E115" s="142" t="n"/>
      <c r="F115" s="142" t="n"/>
      <c r="G115" s="143" t="n"/>
      <c r="H115" s="56" t="n"/>
      <c r="I115" s="57" t="n"/>
      <c r="J115" s="56" t="n"/>
      <c r="K115" s="56" t="n"/>
      <c r="L115" s="50">
        <f>CONCATENATE(H115,M115)</f>
        <v/>
      </c>
      <c r="M115" s="51">
        <f>IF(OR(ISBLANK(J115),ISBLANK(K115)),IF(OR(H115="ALI",H115="AIE"),"L",IF(ISBLANK(H115),"","A")),IF(H115="EE",IF(K115&gt;=3,IF(J115&gt;=5,"H","A"),IF(K115&gt;=2,IF(J115&gt;=16,"H",IF(J115&lt;=4,"L","A")),IF(J115&lt;=15,"L","A"))),IF(OR(H115="SE",H115="CE"),IF(K115&gt;=4,IF(J115&gt;=6,"H","A"),IF(K115&gt;=2,IF(J115&gt;=20,"H",IF(J115&lt;=5,"L","A")),IF(J115&lt;=19,"L","A"))),IF(OR(H115="ALI",H115="AIE"),IF(K115&gt;=6,IF(J115&gt;=20,"H","A"),IF(K115&gt;=2,IF(J115&gt;=51,"H",IF(J115&lt;=19,"L","A")),IF(J115&lt;=50,"L","A")))))))</f>
        <v/>
      </c>
      <c r="N115" s="52">
        <f>IF(M115="L","Baixa",IF(M115="A","Média",IF(M115="","","Alta")))</f>
        <v/>
      </c>
      <c r="O115" s="53">
        <f>IF(ISBLANK(H115),"",IF(H115="ALI",IF(M115="L",7,IF(M115="A",10,15)),IF(H115="AIE",IF(M115="L",5,IF(M115="A",7,10)),IF(H115="SE",IF(M115="L",4,IF(M115="A",5,7)),IF(OR(H115="EE",H115="CE"),IF(M115="L",3,IF(M115="A",4,6)))))))</f>
        <v/>
      </c>
      <c r="P115" s="54">
        <f>IF(I115="I",O115*Contagem!$W$15,IF(I115="E",O115*Contagem!$W$17,IF(I115="A",O115*Contagem!$W$16,IF(I115="T",O115*Contagem!$W$18,""))))</f>
        <v/>
      </c>
      <c r="Q115" s="55" t="n"/>
    </row>
    <row r="116" ht="12" customHeight="1" s="73">
      <c r="A116" s="14">
        <f>IF(H116="",IF(C116="",A115,A115+1),A115)</f>
        <v/>
      </c>
      <c r="B116" s="48">
        <f>IF(A116=A115,"",CONCATENATE("F",A116))</f>
        <v/>
      </c>
      <c r="C116" s="85" t="inlineStr">
        <is>
          <t>Servidores de e-mail</t>
        </is>
      </c>
      <c r="D116" s="142" t="n"/>
      <c r="E116" s="142" t="n"/>
      <c r="F116" s="142" t="n"/>
      <c r="G116" s="143" t="n"/>
      <c r="H116" s="56" t="n"/>
      <c r="I116" s="57" t="n"/>
      <c r="J116" s="56" t="n"/>
      <c r="K116" s="56" t="n"/>
      <c r="L116" s="50">
        <f>CONCATENATE(H116,M116)</f>
        <v/>
      </c>
      <c r="M116" s="51">
        <f>IF(OR(ISBLANK(J116),ISBLANK(K116)),IF(OR(H116="ALI",H116="AIE"),"L",IF(ISBLANK(H116),"","A")),IF(H116="EE",IF(K116&gt;=3,IF(J116&gt;=5,"H","A"),IF(K116&gt;=2,IF(J116&gt;=16,"H",IF(J116&lt;=4,"L","A")),IF(J116&lt;=15,"L","A"))),IF(OR(H116="SE",H116="CE"),IF(K116&gt;=4,IF(J116&gt;=6,"H","A"),IF(K116&gt;=2,IF(J116&gt;=20,"H",IF(J116&lt;=5,"L","A")),IF(J116&lt;=19,"L","A"))),IF(OR(H116="ALI",H116="AIE"),IF(K116&gt;=6,IF(J116&gt;=20,"H","A"),IF(K116&gt;=2,IF(J116&gt;=51,"H",IF(J116&lt;=19,"L","A")),IF(J116&lt;=50,"L","A")))))))</f>
        <v/>
      </c>
      <c r="N116" s="52">
        <f>IF(M116="L","Baixa",IF(M116="A","Média",IF(M116="","","Alta")))</f>
        <v/>
      </c>
      <c r="O116" s="53">
        <f>IF(ISBLANK(H116),"",IF(H116="ALI",IF(M116="L",7,IF(M116="A",10,15)),IF(H116="AIE",IF(M116="L",5,IF(M116="A",7,10)),IF(H116="SE",IF(M116="L",4,IF(M116="A",5,7)),IF(OR(H116="EE",H116="CE"),IF(M116="L",3,IF(M116="A",4,6)))))))</f>
        <v/>
      </c>
      <c r="P116" s="54">
        <f>IF(I116="I",O116*Contagem!$W$15,IF(I116="E",O116*Contagem!$W$17,IF(I116="A",O116*Contagem!$W$16,IF(I116="T",O116*Contagem!$W$18,""))))</f>
        <v/>
      </c>
      <c r="Q116" s="55" t="n"/>
    </row>
    <row r="117" ht="12" customHeight="1" s="73">
      <c r="A117" s="14">
        <f>IF(H117="",IF(C117="",A116,A116+1),A116)</f>
        <v/>
      </c>
      <c r="B117" s="48">
        <f>IF(A117=A116,"",CONCATENATE("F",A117))</f>
        <v/>
      </c>
      <c r="C117" s="85" t="inlineStr">
        <is>
          <t>Dados - Servidor de e-mail</t>
        </is>
      </c>
      <c r="D117" s="142" t="n"/>
      <c r="E117" s="142" t="n"/>
      <c r="F117" s="142" t="n"/>
      <c r="G117" s="143" t="n"/>
      <c r="H117" s="56" t="inlineStr">
        <is>
          <t>ALI</t>
        </is>
      </c>
      <c r="I117" s="57" t="inlineStr">
        <is>
          <t>I</t>
        </is>
      </c>
      <c r="J117" s="56" t="n">
        <v>12</v>
      </c>
      <c r="K117" s="56" t="n">
        <v>1</v>
      </c>
      <c r="L117" s="50">
        <f>CONCATENATE(H117,M117)</f>
        <v/>
      </c>
      <c r="M117" s="51">
        <f>IF(OR(ISBLANK(J117),ISBLANK(K117)),IF(OR(H117="ALI",H117="AIE"),"L",IF(ISBLANK(H117),"","A")),IF(H117="EE",IF(K117&gt;=3,IF(J117&gt;=5,"H","A"),IF(K117&gt;=2,IF(J117&gt;=16,"H",IF(J117&lt;=4,"L","A")),IF(J117&lt;=15,"L","A"))),IF(OR(H117="SE",H117="CE"),IF(K117&gt;=4,IF(J117&gt;=6,"H","A"),IF(K117&gt;=2,IF(J117&gt;=20,"H",IF(J117&lt;=5,"L","A")),IF(J117&lt;=19,"L","A"))),IF(OR(H117="ALI",H117="AIE"),IF(K117&gt;=6,IF(J117&gt;=20,"H","A"),IF(K117&gt;=2,IF(J117&gt;=51,"H",IF(J117&lt;=19,"L","A")),IF(J117&lt;=50,"L","A")))))))</f>
        <v/>
      </c>
      <c r="N117" s="52">
        <f>IF(M117="L","Baixa",IF(M117="A","Média",IF(M117="","","Alta")))</f>
        <v/>
      </c>
      <c r="O117" s="53">
        <f>IF(ISBLANK(H117),"",IF(H117="ALI",IF(M117="L",7,IF(M117="A",10,15)),IF(H117="AIE",IF(M117="L",5,IF(M117="A",7,10)),IF(H117="SE",IF(M117="L",4,IF(M117="A",5,7)),IF(OR(H117="EE",H117="CE"),IF(M117="L",3,IF(M117="A",4,6)))))))</f>
        <v/>
      </c>
      <c r="P117" s="54">
        <f>IF(I117="I",O117*Contagem!$W$15,IF(I117="E",O117*Contagem!$W$17,IF(I117="A",O117*Contagem!$W$16,IF(I117="T",O117*Contagem!$W$18,""))))</f>
        <v/>
      </c>
      <c r="Q117" s="55" t="inlineStr">
        <is>
          <t>Prova: Model app/Models/EmailServer.php (senha com Crypt); migration database/migrations/2026_06_15_175125_create_email_servers_table.php (sem alterações posteriores). Mantido por EmailServerController store, update e destroy (com setAsDefault). Lido pelo envio de e-mails do sistema. Arquivo lógico: configuração SMTP reconhecida pelo gestor, com credencial e servidor padrão, mantida por tela; um registro lógico sem tabela filha. Teste: tests/Feature/Email/EmailServerCrudTest.php::test_cadastra_servidor_e_define_como_padrao_desmarcando_o_anterior. TD=12 (nome, driver, host, porta, criptografia, tempo limite, usuário, senha, e-mail do remetente, nome do remetente, ativo, padrão). TR=1 (Servidor de e-mail). Recontagem 16/10/2026: mantida (linha 408 da contagem de 01/10/2026).</t>
        </is>
      </c>
    </row>
    <row r="118" ht="12" customHeight="1" s="73">
      <c r="A118" s="14">
        <f>IF(H118="",IF(C118="",A117,A117+1),A117)</f>
        <v/>
      </c>
      <c r="B118" s="48">
        <f>IF(A118=A117,"",CONCATENATE("F",A118))</f>
        <v/>
      </c>
      <c r="C118" s="85" t="inlineStr">
        <is>
          <t>Servidores de e-mail - consultar</t>
        </is>
      </c>
      <c r="D118" s="142" t="n"/>
      <c r="E118" s="142" t="n"/>
      <c r="F118" s="142" t="n"/>
      <c r="G118" s="143" t="n"/>
      <c r="H118" s="56" t="inlineStr">
        <is>
          <t>CE</t>
        </is>
      </c>
      <c r="I118" s="57" t="inlineStr">
        <is>
          <t>I</t>
        </is>
      </c>
      <c r="J118" s="56" t="n">
        <v>13</v>
      </c>
      <c r="K118" s="56" t="n">
        <v>1</v>
      </c>
      <c r="L118" s="50">
        <f>CONCATENATE(H118,M118)</f>
        <v/>
      </c>
      <c r="M118" s="51">
        <f>IF(OR(ISBLANK(J118),ISBLANK(K118)),IF(OR(H118="ALI",H118="AIE"),"L",IF(ISBLANK(H118),"","A")),IF(H118="EE",IF(K118&gt;=3,IF(J118&gt;=5,"H","A"),IF(K118&gt;=2,IF(J118&gt;=16,"H",IF(J118&lt;=4,"L","A")),IF(J118&lt;=15,"L","A"))),IF(OR(H118="SE",H118="CE"),IF(K118&gt;=4,IF(J118&gt;=6,"H","A"),IF(K118&gt;=2,IF(J118&gt;=20,"H",IF(J118&lt;=5,"L","A")),IF(J118&lt;=19,"L","A"))),IF(OR(H118="ALI",H118="AIE"),IF(K118&gt;=6,IF(J118&gt;=20,"H","A"),IF(K118&gt;=2,IF(J118&gt;=51,"H",IF(J118&lt;=19,"L","A")),IF(J118&lt;=50,"L","A")))))))</f>
        <v/>
      </c>
      <c r="N118" s="52">
        <f>IF(M118="L","Baixa",IF(M118="A","Média",IF(M118="","","Alta")))</f>
        <v/>
      </c>
      <c r="O118" s="53">
        <f>IF(ISBLANK(H118),"",IF(H118="ALI",IF(M118="L",7,IF(M118="A",10,15)),IF(H118="AIE",IF(M118="L",5,IF(M118="A",7,10)),IF(H118="SE",IF(M118="L",4,IF(M118="A",5,7)),IF(OR(H118="EE",H118="CE"),IF(M118="L",3,IF(M118="A",4,6)))))))</f>
        <v/>
      </c>
      <c r="P118" s="54">
        <f>IF(I118="I",O118*Contagem!$W$15,IF(I118="E",O118*Contagem!$W$17,IF(I118="A",O118*Contagem!$W$16,IF(I118="T",O118*Contagem!$W$18,""))))</f>
        <v/>
      </c>
      <c r="Q118" s="55" t="inlineStr">
        <is>
          <t>Prova: Rota GET /gestao/config-email (manter-config-email). Tela: gestao/config-email/index. O gestor abre a lista; o controller monta o DTO com senha mascarada, padrão primeiro. Lê Servidor de e-mail; não grava. Teste: tests/Feature/Email/EmailServerCrudTest.php::test_administrador_acessa_a_tela_de_configuracao. Processo elementar independente: menor unidade com significado para o gestor; completa por si; nada muda; lógica única de recuperação. Classificação: CE, sem cálculo nem derivação (§5.5.3). TD=13 (nome, driver, host, porta, criptografia, tempo limite, usuário, senha mascarada, e-mail do remetente, nome do remetente, ativo, padrão, ação). AR=1 (Servidor de e-mail). Recontagem 16/10/2026: mantida (linha 409 da contagem de 01/10/2026).</t>
        </is>
      </c>
    </row>
    <row r="119" ht="12" customHeight="1" s="73">
      <c r="A119" s="14">
        <f>IF(H119="",IF(C119="",A118,A118+1),A118)</f>
        <v/>
      </c>
      <c r="B119" s="48">
        <f>IF(A119=A118,"",CONCATENATE("F",A119))</f>
        <v/>
      </c>
      <c r="C119" s="85" t="inlineStr">
        <is>
          <t>Servidores de e-mail - incluir</t>
        </is>
      </c>
      <c r="D119" s="142" t="n"/>
      <c r="E119" s="142" t="n"/>
      <c r="F119" s="142" t="n"/>
      <c r="G119" s="143" t="n"/>
      <c r="H119" s="56" t="inlineStr">
        <is>
          <t>EE</t>
        </is>
      </c>
      <c r="I119" s="57" t="inlineStr">
        <is>
          <t>I</t>
        </is>
      </c>
      <c r="J119" s="56" t="n">
        <v>14</v>
      </c>
      <c r="K119" s="56" t="n">
        <v>2</v>
      </c>
      <c r="L119" s="50">
        <f>CONCATENATE(H119,M119)</f>
        <v/>
      </c>
      <c r="M119" s="51">
        <f>IF(OR(ISBLANK(J119),ISBLANK(K119)),IF(OR(H119="ALI",H119="AIE"),"L",IF(ISBLANK(H119),"","A")),IF(H119="EE",IF(K119&gt;=3,IF(J119&gt;=5,"H","A"),IF(K119&gt;=2,IF(J119&gt;=16,"H",IF(J119&lt;=4,"L","A")),IF(J119&lt;=15,"L","A"))),IF(OR(H119="SE",H119="CE"),IF(K119&gt;=4,IF(J119&gt;=6,"H","A"),IF(K119&gt;=2,IF(J119&gt;=20,"H",IF(J119&lt;=5,"L","A")),IF(J119&lt;=19,"L","A"))),IF(OR(H119="ALI",H119="AIE"),IF(K119&gt;=6,IF(J119&gt;=20,"H","A"),IF(K119&gt;=2,IF(J119&gt;=51,"H",IF(J119&lt;=19,"L","A")),IF(J119&lt;=50,"L","A")))))))</f>
        <v/>
      </c>
      <c r="N119" s="52">
        <f>IF(M119="L","Baixa",IF(M119="A","Média",IF(M119="","","Alta")))</f>
        <v/>
      </c>
      <c r="O119" s="53">
        <f>IF(ISBLANK(H119),"",IF(H119="ALI",IF(M119="L",7,IF(M119="A",10,15)),IF(H119="AIE",IF(M119="L",5,IF(M119="A",7,10)),IF(H119="SE",IF(M119="L",4,IF(M119="A",5,7)),IF(OR(H119="EE",H119="CE"),IF(M119="L",3,IF(M119="A",4,6)))))))</f>
        <v/>
      </c>
      <c r="P119" s="54">
        <f>IF(I119="I",O119*Contagem!$W$15,IF(I119="E",O119*Contagem!$W$17,IF(I119="A",O119*Contagem!$W$16,IF(I119="T",O119*Contagem!$W$18,""))))</f>
        <v/>
      </c>
      <c r="Q119" s="55" t="inlineStr">
        <is>
          <t>Prova: Rota POST /gestao/config-email (manter-config-email). Tela: gestao/config-email/index. StoreEmailServerRequest valida driver, porta (1 a 65535), criptografia e tempo limite (1 a 300); grava o servidor com senha criptografada, desmarca o padrão anterior e audita sem a senha. Teste: tests/Feature/Email/EmailServerCrudTest.php::test_cadastra_servidor_e_define_como_padrao_desmarcando_o_anterior e ::test_porta_e_timeout_fora_da_faixa_sao_recusados. Processo elementar independente: menor unidade com significado para o gestor; completa por si; deixa um único padrão; lógica única de inclusão. Classificação: EE, mantém o ALI (§5.5.3). TD=14 (nome, driver, host, porta, criptografia, tempo limite, usuário, senha, e-mail do remetente, nome do remetente, ativo, padrão, mensagem, ação). AR=2 (Servidor de e-mail, Trilha de auditoria). Recontagem 16/10/2026: mantida (linha 410 da contagem de 01/10/2026).</t>
        </is>
      </c>
    </row>
    <row r="120" ht="12" customHeight="1" s="73">
      <c r="A120" s="14">
        <f>IF(H120="",IF(C120="",A119,A119+1),A119)</f>
        <v/>
      </c>
      <c r="B120" s="48">
        <f>IF(A120=A119,"",CONCATENATE("F",A120))</f>
        <v/>
      </c>
      <c r="C120" s="85" t="inlineStr">
        <is>
          <t>Servidores de e-mail - alterar</t>
        </is>
      </c>
      <c r="D120" s="142" t="n"/>
      <c r="E120" s="142" t="n"/>
      <c r="F120" s="142" t="n"/>
      <c r="G120" s="143" t="n"/>
      <c r="H120" s="56" t="inlineStr">
        <is>
          <t>EE</t>
        </is>
      </c>
      <c r="I120" s="57" t="inlineStr">
        <is>
          <t>I</t>
        </is>
      </c>
      <c r="J120" s="56" t="n">
        <v>14</v>
      </c>
      <c r="K120" s="56" t="n">
        <v>2</v>
      </c>
      <c r="L120" s="50">
        <f>CONCATENATE(H120,M120)</f>
        <v/>
      </c>
      <c r="M120" s="51">
        <f>IF(OR(ISBLANK(J120),ISBLANK(K120)),IF(OR(H120="ALI",H120="AIE"),"L",IF(ISBLANK(H120),"","A")),IF(H120="EE",IF(K120&gt;=3,IF(J120&gt;=5,"H","A"),IF(K120&gt;=2,IF(J120&gt;=16,"H",IF(J120&lt;=4,"L","A")),IF(J120&lt;=15,"L","A"))),IF(OR(H120="SE",H120="CE"),IF(K120&gt;=4,IF(J120&gt;=6,"H","A"),IF(K120&gt;=2,IF(J120&gt;=20,"H",IF(J120&lt;=5,"L","A")),IF(J120&lt;=19,"L","A"))),IF(OR(H120="ALI",H120="AIE"),IF(K120&gt;=6,IF(J120&gt;=20,"H","A"),IF(K120&gt;=2,IF(J120&gt;=51,"H",IF(J120&lt;=19,"L","A")),IF(J120&lt;=50,"L","A")))))))</f>
        <v/>
      </c>
      <c r="N120" s="52">
        <f>IF(M120="L","Baixa",IF(M120="A","Média",IF(M120="","","Alta")))</f>
        <v/>
      </c>
      <c r="O120" s="53">
        <f>IF(ISBLANK(H120),"",IF(H120="ALI",IF(M120="L",7,IF(M120="A",10,15)),IF(H120="AIE",IF(M120="L",5,IF(M120="A",7,10)),IF(H120="SE",IF(M120="L",4,IF(M120="A",5,7)),IF(OR(H120="EE",H120="CE"),IF(M120="L",3,IF(M120="A",4,6)))))))</f>
        <v/>
      </c>
      <c r="P120" s="54">
        <f>IF(I120="I",O120*Contagem!$W$15,IF(I120="E",O120*Contagem!$W$17,IF(I120="A",O120*Contagem!$W$16,IF(I120="T",O120*Contagem!$W$18,""))))</f>
        <v/>
      </c>
      <c r="Q120" s="55" t="inlineStr">
        <is>
          <t>Prova: Rota PUT /gestao/config-email/{emailServer} (manter-config-email). Tela: gestao/config-email/index. O gestor altera o servidor; senha em branco mantém a atual; marcar como padrão desmarca o anterior; audita sem a senha. Teste: tests/Feature/Email/EmailServerCrudTest.php::test_atualizar_com_senha_em_branco_mantem_a_senha_atual. Processo elementar independente: menor unidade com significado para o gestor; completa por si; credencial preservada se omitida; lógica própria (senha em branco) distinta da inclusão. Classificação: EE, mantém o ALI (§5.5.3). TD=14 (nome, driver, host, porta, criptografia, tempo limite, usuário, senha, e-mail do remetente, nome do remetente, ativo, padrão, mensagem, ação). AR=2 (Servidor de e-mail, Trilha de auditoria). Recontagem 16/10/2026: mantida (linha 411 da contagem de 01/10/2026).</t>
        </is>
      </c>
    </row>
    <row r="121" ht="12" customHeight="1" s="73">
      <c r="A121" s="14">
        <f>IF(H121="",IF(C121="",A120,A120+1),A120)</f>
        <v/>
      </c>
      <c r="B121" s="48">
        <f>IF(A121=A120,"",CONCATENATE("F",A121))</f>
        <v/>
      </c>
      <c r="C121" s="85" t="inlineStr">
        <is>
          <t>Servidores de e-mail - excluir</t>
        </is>
      </c>
      <c r="D121" s="142" t="n"/>
      <c r="E121" s="142" t="n"/>
      <c r="F121" s="142" t="n"/>
      <c r="G121" s="143" t="n"/>
      <c r="H121" s="56" t="inlineStr">
        <is>
          <t>EE</t>
        </is>
      </c>
      <c r="I121" s="57" t="inlineStr">
        <is>
          <t>I</t>
        </is>
      </c>
      <c r="J121" s="56" t="n">
        <v>3</v>
      </c>
      <c r="K121" s="56" t="n">
        <v>2</v>
      </c>
      <c r="L121" s="50">
        <f>CONCATENATE(H121,M121)</f>
        <v/>
      </c>
      <c r="M121" s="51">
        <f>IF(OR(ISBLANK(J121),ISBLANK(K121)),IF(OR(H121="ALI",H121="AIE"),"L",IF(ISBLANK(H121),"","A")),IF(H121="EE",IF(K121&gt;=3,IF(J121&gt;=5,"H","A"),IF(K121&gt;=2,IF(J121&gt;=16,"H",IF(J121&lt;=4,"L","A")),IF(J121&lt;=15,"L","A"))),IF(OR(H121="SE",H121="CE"),IF(K121&gt;=4,IF(J121&gt;=6,"H","A"),IF(K121&gt;=2,IF(J121&gt;=20,"H",IF(J121&lt;=5,"L","A")),IF(J121&lt;=19,"L","A"))),IF(OR(H121="ALI",H121="AIE"),IF(K121&gt;=6,IF(J121&gt;=20,"H","A"),IF(K121&gt;=2,IF(J121&gt;=51,"H",IF(J121&lt;=19,"L","A")),IF(J121&lt;=50,"L","A")))))))</f>
        <v/>
      </c>
      <c r="N121" s="52">
        <f>IF(M121="L","Baixa",IF(M121="A","Média",IF(M121="","","Alta")))</f>
        <v/>
      </c>
      <c r="O121" s="53">
        <f>IF(ISBLANK(H121),"",IF(H121="ALI",IF(M121="L",7,IF(M121="A",10,15)),IF(H121="AIE",IF(M121="L",5,IF(M121="A",7,10)),IF(H121="SE",IF(M121="L",4,IF(M121="A",5,7)),IF(OR(H121="EE",H121="CE"),IF(M121="L",3,IF(M121="A",4,6)))))))</f>
        <v/>
      </c>
      <c r="P121" s="54">
        <f>IF(I121="I",O121*Contagem!$W$15,IF(I121="E",O121*Contagem!$W$17,IF(I121="A",O121*Contagem!$W$16,IF(I121="T",O121*Contagem!$W$18,""))))</f>
        <v/>
      </c>
      <c r="Q121" s="55" t="inlineStr">
        <is>
          <t>Prova: Rota DELETE /gestao/config-email/{emailServer} (manter-config-email). Tela: gestao/config-email/index. O gestor confirma a exclusão; o registro é removido e a exclusão auditada. Teste: tests/Feature/Email/EmailServerCrudTest.php::test_excluir_remove_o_servidor. Processo elementar independente: menor unidade com significado para o gestor; completa por si; servidor removido e auditado; lógica única de exclusão. Classificação: EE, mantém o ALI (§5.5.3). TD=3 (servidor, mensagem, ação). AR=2 (Servidor de e-mail, Trilha de auditoria). Recontagem 16/10/2026: mantida (linha 412 da contagem de 01/10/2026).</t>
        </is>
      </c>
    </row>
    <row r="122" ht="12" customHeight="1" s="73">
      <c r="A122" s="14">
        <f>IF(H122="",IF(C122="",A121,A121+1),A121)</f>
        <v/>
      </c>
      <c r="B122" s="48">
        <f>IF(A122=A121,"",CONCATENATE("F",A122))</f>
        <v/>
      </c>
      <c r="C122" s="85" t="n"/>
      <c r="D122" s="142" t="n"/>
      <c r="E122" s="142" t="n"/>
      <c r="F122" s="142" t="n"/>
      <c r="G122" s="143" t="n"/>
      <c r="H122" s="56" t="n"/>
      <c r="I122" s="57" t="n"/>
      <c r="J122" s="56" t="n"/>
      <c r="K122" s="56" t="n"/>
      <c r="L122" s="50">
        <f>CONCATENATE(H122,M122)</f>
        <v/>
      </c>
      <c r="M122" s="51">
        <f>IF(OR(ISBLANK(J122),ISBLANK(K122)),IF(OR(H122="ALI",H122="AIE"),"L",IF(ISBLANK(H122),"","A")),IF(H122="EE",IF(K122&gt;=3,IF(J122&gt;=5,"H","A"),IF(K122&gt;=2,IF(J122&gt;=16,"H",IF(J122&lt;=4,"L","A")),IF(J122&lt;=15,"L","A"))),IF(OR(H122="SE",H122="CE"),IF(K122&gt;=4,IF(J122&gt;=6,"H","A"),IF(K122&gt;=2,IF(J122&gt;=20,"H",IF(J122&lt;=5,"L","A")),IF(J122&lt;=19,"L","A"))),IF(OR(H122="ALI",H122="AIE"),IF(K122&gt;=6,IF(J122&gt;=20,"H","A"),IF(K122&gt;=2,IF(J122&gt;=51,"H",IF(J122&lt;=19,"L","A")),IF(J122&lt;=50,"L","A")))))))</f>
        <v/>
      </c>
      <c r="N122" s="52">
        <f>IF(M122="L","Baixa",IF(M122="A","Média",IF(M122="","","Alta")))</f>
        <v/>
      </c>
      <c r="O122" s="53">
        <f>IF(ISBLANK(H122),"",IF(H122="ALI",IF(M122="L",7,IF(M122="A",10,15)),IF(H122="AIE",IF(M122="L",5,IF(M122="A",7,10)),IF(H122="SE",IF(M122="L",4,IF(M122="A",5,7)),IF(OR(H122="EE",H122="CE"),IF(M122="L",3,IF(M122="A",4,6)))))))</f>
        <v/>
      </c>
      <c r="P122" s="54">
        <f>IF(I122="I",O122*Contagem!$W$15,IF(I122="E",O122*Contagem!$W$17,IF(I122="A",O122*Contagem!$W$16,IF(I122="T",O122*Contagem!$W$18,""))))</f>
        <v/>
      </c>
      <c r="Q122" s="55" t="n"/>
    </row>
    <row r="123" ht="12" customHeight="1" s="73">
      <c r="A123" s="14">
        <f>IF(H123="",IF(C123="",A122,A122+1),A122)</f>
        <v/>
      </c>
      <c r="B123" s="48">
        <f>IF(A123=A122,"",CONCATENATE("F",A123))</f>
        <v/>
      </c>
      <c r="C123" s="85" t="inlineStr">
        <is>
          <t>Configuração de inteligência artificial</t>
        </is>
      </c>
      <c r="D123" s="142" t="n"/>
      <c r="E123" s="142" t="n"/>
      <c r="F123" s="142" t="n"/>
      <c r="G123" s="143" t="n"/>
      <c r="H123" s="56" t="n"/>
      <c r="I123" s="57" t="n"/>
      <c r="J123" s="56" t="n"/>
      <c r="K123" s="56" t="n"/>
      <c r="L123" s="50">
        <f>CONCATENATE(H123,M123)</f>
        <v/>
      </c>
      <c r="M123" s="51">
        <f>IF(OR(ISBLANK(J123),ISBLANK(K123)),IF(OR(H123="ALI",H123="AIE"),"L",IF(ISBLANK(H123),"","A")),IF(H123="EE",IF(K123&gt;=3,IF(J123&gt;=5,"H","A"),IF(K123&gt;=2,IF(J123&gt;=16,"H",IF(J123&lt;=4,"L","A")),IF(J123&lt;=15,"L","A"))),IF(OR(H123="SE",H123="CE"),IF(K123&gt;=4,IF(J123&gt;=6,"H","A"),IF(K123&gt;=2,IF(J123&gt;=20,"H",IF(J123&lt;=5,"L","A")),IF(J123&lt;=19,"L","A"))),IF(OR(H123="ALI",H123="AIE"),IF(K123&gt;=6,IF(J123&gt;=20,"H","A"),IF(K123&gt;=2,IF(J123&gt;=51,"H",IF(J123&lt;=19,"L","A")),IF(J123&lt;=50,"L","A")))))))</f>
        <v/>
      </c>
      <c r="N123" s="52">
        <f>IF(M123="L","Baixa",IF(M123="A","Média",IF(M123="","","Alta")))</f>
        <v/>
      </c>
      <c r="O123" s="53">
        <f>IF(ISBLANK(H123),"",IF(H123="ALI",IF(M123="L",7,IF(M123="A",10,15)),IF(H123="AIE",IF(M123="L",5,IF(M123="A",7,10)),IF(H123="SE",IF(M123="L",4,IF(M123="A",5,7)),IF(OR(H123="EE",H123="CE"),IF(M123="L",3,IF(M123="A",4,6)))))))</f>
        <v/>
      </c>
      <c r="P123" s="54">
        <f>IF(I123="I",O123*Contagem!$W$15,IF(I123="E",O123*Contagem!$W$17,IF(I123="A",O123*Contagem!$W$16,IF(I123="T",O123*Contagem!$W$18,""))))</f>
        <v/>
      </c>
      <c r="Q123" s="55" t="n"/>
    </row>
    <row r="124" ht="12" customHeight="1" s="73">
      <c r="A124" s="14">
        <f>IF(H124="",IF(C124="",A123,A123+1),A123)</f>
        <v/>
      </c>
      <c r="B124" s="48">
        <f>IF(A124=A123,"",CONCATENATE("F",A124))</f>
        <v/>
      </c>
      <c r="C124" s="85" t="inlineStr">
        <is>
          <t>Dados - Provedor de inteligência artificial</t>
        </is>
      </c>
      <c r="D124" s="142" t="n"/>
      <c r="E124" s="142" t="n"/>
      <c r="F124" s="142" t="n"/>
      <c r="G124" s="143" t="n"/>
      <c r="H124" s="56" t="inlineStr">
        <is>
          <t>ALI</t>
        </is>
      </c>
      <c r="I124" s="57" t="inlineStr">
        <is>
          <t>I</t>
        </is>
      </c>
      <c r="J124" s="56" t="n">
        <v>11</v>
      </c>
      <c r="K124" s="56" t="n">
        <v>1</v>
      </c>
      <c r="L124" s="50">
        <f>CONCATENATE(H124,M124)</f>
        <v/>
      </c>
      <c r="M124" s="51">
        <f>IF(OR(ISBLANK(J124),ISBLANK(K124)),IF(OR(H124="ALI",H124="AIE"),"L",IF(ISBLANK(H124),"","A")),IF(H124="EE",IF(K124&gt;=3,IF(J124&gt;=5,"H","A"),IF(K124&gt;=2,IF(J124&gt;=16,"H",IF(J124&lt;=4,"L","A")),IF(J124&lt;=15,"L","A"))),IF(OR(H124="SE",H124="CE"),IF(K124&gt;=4,IF(J124&gt;=6,"H","A"),IF(K124&gt;=2,IF(J124&gt;=20,"H",IF(J124&lt;=5,"L","A")),IF(J124&lt;=19,"L","A"))),IF(OR(H124="ALI",H124="AIE"),IF(K124&gt;=6,IF(J124&gt;=20,"H","A"),IF(K124&gt;=2,IF(J124&gt;=51,"H",IF(J124&lt;=19,"L","A")),IF(J124&lt;=50,"L","A")))))))</f>
        <v/>
      </c>
      <c r="N124" s="52">
        <f>IF(M124="L","Baixa",IF(M124="A","Média",IF(M124="","","Alta")))</f>
        <v/>
      </c>
      <c r="O124" s="53">
        <f>IF(ISBLANK(H124),"",IF(H124="ALI",IF(M124="L",7,IF(M124="A",10,15)),IF(H124="AIE",IF(M124="L",5,IF(M124="A",7,10)),IF(H124="SE",IF(M124="L",4,IF(M124="A",5,7)),IF(OR(H124="EE",H124="CE"),IF(M124="L",3,IF(M124="A",4,6)))))))</f>
        <v/>
      </c>
      <c r="P124" s="54">
        <f>IF(I124="I",O124*Contagem!$W$15,IF(I124="E",O124*Contagem!$W$17,IF(I124="A",O124*Contagem!$W$16,IF(I124="T",O124*Contagem!$W$18,""))))</f>
        <v/>
      </c>
      <c r="Q124" s="55" t="inlineStr">
        <is>
          <t>Prova: Model AiConfiguration; migration database/migrations/2026_06_15_174330_create_ai_configurations_table.php (sem alterações posteriores). Mantido em /gestao/config-ia (AiConfigurationController store, update, destroy, toggleActivation). Chave criptografada, exibida só mascarada; lido por AiConfigResolver. Arquivo lógico: o gestor cadastra e escolhe qual provedor atende cada capacidade, com credencial e limites próprios; um registro lógico sem tabela filha. Teste: tests/Feature/Ai/AiConfigurationControllerTest.php::test_cadastra_e_define_padrao_desmarcando_a_anterior_da_mesma_capacidade. TD=11 (nome, provedor, capacidade, URL base, chave de API, modelo, temperatura, máximo de tokens, tempo limite (ms), ativo, padrão da capacidade). TR=1 (Provedor de inteligência artificial). Recontagem 16/10/2026: mantida (linha 341 da contagem de 01/10/2026).</t>
        </is>
      </c>
    </row>
    <row r="125" ht="12" customHeight="1" s="73">
      <c r="A125" s="14">
        <f>IF(H125="",IF(C125="",A124,A124+1),A124)</f>
        <v/>
      </c>
      <c r="B125" s="48">
        <f>IF(A125=A124,"",CONCATENATE("F",A125))</f>
        <v/>
      </c>
      <c r="C125" s="85" t="inlineStr">
        <is>
          <t>Provedores de IA - consultar</t>
        </is>
      </c>
      <c r="D125" s="142" t="n"/>
      <c r="E125" s="142" t="n"/>
      <c r="F125" s="142" t="n"/>
      <c r="G125" s="143" t="n"/>
      <c r="H125" s="56" t="inlineStr">
        <is>
          <t>CE</t>
        </is>
      </c>
      <c r="I125" s="57" t="inlineStr">
        <is>
          <t>I</t>
        </is>
      </c>
      <c r="J125" s="56" t="n">
        <v>12</v>
      </c>
      <c r="K125" s="56" t="n">
        <v>1</v>
      </c>
      <c r="L125" s="50">
        <f>CONCATENATE(H125,M125)</f>
        <v/>
      </c>
      <c r="M125" s="51">
        <f>IF(OR(ISBLANK(J125),ISBLANK(K125)),IF(OR(H125="ALI",H125="AIE"),"L",IF(ISBLANK(H125),"","A")),IF(H125="EE",IF(K125&gt;=3,IF(J125&gt;=5,"H","A"),IF(K125&gt;=2,IF(J125&gt;=16,"H",IF(J125&lt;=4,"L","A")),IF(J125&lt;=15,"L","A"))),IF(OR(H125="SE",H125="CE"),IF(K125&gt;=4,IF(J125&gt;=6,"H","A"),IF(K125&gt;=2,IF(J125&gt;=20,"H",IF(J125&lt;=5,"L","A")),IF(J125&lt;=19,"L","A"))),IF(OR(H125="ALI",H125="AIE"),IF(K125&gt;=6,IF(J125&gt;=20,"H","A"),IF(K125&gt;=2,IF(J125&gt;=51,"H",IF(J125&lt;=19,"L","A")),IF(J125&lt;=50,"L","A")))))))</f>
        <v/>
      </c>
      <c r="N125" s="52">
        <f>IF(M125="L","Baixa",IF(M125="A","Média",IF(M125="","","Alta")))</f>
        <v/>
      </c>
      <c r="O125" s="53">
        <f>IF(ISBLANK(H125),"",IF(H125="ALI",IF(M125="L",7,IF(M125="A",10,15)),IF(H125="AIE",IF(M125="L",5,IF(M125="A",7,10)),IF(H125="SE",IF(M125="L",4,IF(M125="A",5,7)),IF(OR(H125="EE",H125="CE"),IF(M125="L",3,IF(M125="A",4,6)))))))</f>
        <v/>
      </c>
      <c r="P125" s="54">
        <f>IF(I125="I",O125*Contagem!$W$15,IF(I125="E",O125*Contagem!$W$17,IF(I125="A",O125*Contagem!$W$16,IF(I125="T",O125*Contagem!$W$18,""))))</f>
        <v/>
      </c>
      <c r="Q125" s="55" t="inlineStr">
        <is>
          <t>Prova: Rota GET /gestao/config-ia (manter-config-ia). Tela: gestao/config-ia/index. O gestor vê os provedores, ordenados por padrão, capacidade e nome, com a chave mascarada (DTO campo a campo). Lê Provedor de IA; não grava. Teste: tests/Feature/Ai/AiConfigurationControllerTest.php::test_a_listagem_usa_mascara_e_nunca_expoe_a_api_key_em_claro. Processo elementar independente: menor unidade com significado para o gestor; completa por si; só leitura; lógica única. Classificação: CE, sem cálculo nem derivação (§5.5.3). TD=12 (nome, provedor, capacidade, URL base, chave mascarada, modelo, temperatura, máximo de tokens, tempo limite (ms), ativo, padrão da capacidade, ação). AR=1 (Provedor de inteligência artificial). Recontagem 16/10/2026: mantida (linha 342 da contagem de 01/10/2026).</t>
        </is>
      </c>
    </row>
    <row r="126" ht="12" customHeight="1" s="73">
      <c r="A126" s="14">
        <f>IF(H126="",IF(C126="",A125,A125+1),A125)</f>
        <v/>
      </c>
      <c r="B126" s="48">
        <f>IF(A126=A125,"",CONCATENATE("F",A126))</f>
        <v/>
      </c>
      <c r="C126" s="85" t="inlineStr">
        <is>
          <t>Provedores de IA - incluir</t>
        </is>
      </c>
      <c r="D126" s="142" t="n"/>
      <c r="E126" s="142" t="n"/>
      <c r="F126" s="142" t="n"/>
      <c r="G126" s="143" t="n"/>
      <c r="H126" s="56" t="inlineStr">
        <is>
          <t>EE</t>
        </is>
      </c>
      <c r="I126" s="57" t="inlineStr">
        <is>
          <t>I</t>
        </is>
      </c>
      <c r="J126" s="56" t="n">
        <v>13</v>
      </c>
      <c r="K126" s="56" t="n">
        <v>2</v>
      </c>
      <c r="L126" s="50">
        <f>CONCATENATE(H126,M126)</f>
        <v/>
      </c>
      <c r="M126" s="51">
        <f>IF(OR(ISBLANK(J126),ISBLANK(K126)),IF(OR(H126="ALI",H126="AIE"),"L",IF(ISBLANK(H126),"","A")),IF(H126="EE",IF(K126&gt;=3,IF(J126&gt;=5,"H","A"),IF(K126&gt;=2,IF(J126&gt;=16,"H",IF(J126&lt;=4,"L","A")),IF(J126&lt;=15,"L","A"))),IF(OR(H126="SE",H126="CE"),IF(K126&gt;=4,IF(J126&gt;=6,"H","A"),IF(K126&gt;=2,IF(J126&gt;=20,"H",IF(J126&lt;=5,"L","A")),IF(J126&lt;=19,"L","A"))),IF(OR(H126="ALI",H126="AIE"),IF(K126&gt;=6,IF(J126&gt;=20,"H","A"),IF(K126&gt;=2,IF(J126&gt;=51,"H",IF(J126&lt;=19,"L","A")),IF(J126&lt;=50,"L","A")))))))</f>
        <v/>
      </c>
      <c r="N126" s="52">
        <f>IF(M126="L","Baixa",IF(M126="A","Média",IF(M126="","","Alta")))</f>
        <v/>
      </c>
      <c r="O126" s="53">
        <f>IF(ISBLANK(H126),"",IF(H126="ALI",IF(M126="L",7,IF(M126="A",10,15)),IF(H126="AIE",IF(M126="L",5,IF(M126="A",7,10)),IF(H126="SE",IF(M126="L",4,IF(M126="A",5,7)),IF(OR(H126="EE",H126="CE"),IF(M126="L",3,IF(M126="A",4,6)))))))</f>
        <v/>
      </c>
      <c r="P126" s="54">
        <f>IF(I126="I",O126*Contagem!$W$15,IF(I126="E",O126*Contagem!$W$17,IF(I126="A",O126*Contagem!$W$16,IF(I126="T",O126*Contagem!$W$18,""))))</f>
        <v/>
      </c>
      <c r="Q126" s="55" t="inlineStr">
        <is>
          <t>Prova: Rota POST /gestao/config-ia (manter-config-ia). Tela: gestao/config-ia/index. StoreAiConfigurationRequest valida provedor, capacidade, URL base HTTPS na allowlist, chave obrigatória se ativo e limites; grava, desmarca o padrão anterior da mesma capacidade e audita sem a credencial. Teste: tests/Feature/Ai/AiConfigurationControllerTest.php::test_cadastra_e_define_padrao_desmarcando_a_anterior_da_mesma_capacidade e ::test_base_url_fora_da_allowlist_e_rejeitada. Processo elementar independente: menor unidade com significado para o gestor; completa por si; um só padrão por capacidade; lógica única de inclusão. Classificação: EE, mantém o ALI (§5.5.3). TD=13 (nome, provedor, capacidade, URL base, chave de API, modelo, temperatura, máximo de tokens, tempo limite (ms), ativo, padrão da capacidade, mensagem, ação). AR=2 (Provedor de inteligência artificial, Trilha de auditoria). Recontagem 16/10/2026: mantida (linha 343 da contagem de 01/10/2026).</t>
        </is>
      </c>
    </row>
    <row r="127" ht="12" customHeight="1" s="73">
      <c r="A127" s="14">
        <f>IF(H127="",IF(C127="",A126,A126+1),A126)</f>
        <v/>
      </c>
      <c r="B127" s="48">
        <f>IF(A127=A126,"",CONCATENATE("F",A127))</f>
        <v/>
      </c>
      <c r="C127" s="85" t="inlineStr">
        <is>
          <t>Provedores de IA - alterar</t>
        </is>
      </c>
      <c r="D127" s="142" t="n"/>
      <c r="E127" s="142" t="n"/>
      <c r="F127" s="142" t="n"/>
      <c r="G127" s="143" t="n"/>
      <c r="H127" s="56" t="inlineStr">
        <is>
          <t>EE</t>
        </is>
      </c>
      <c r="I127" s="57" t="inlineStr">
        <is>
          <t>I</t>
        </is>
      </c>
      <c r="J127" s="56" t="n">
        <v>13</v>
      </c>
      <c r="K127" s="56" t="n">
        <v>2</v>
      </c>
      <c r="L127" s="50">
        <f>CONCATENATE(H127,M127)</f>
        <v/>
      </c>
      <c r="M127" s="51">
        <f>IF(OR(ISBLANK(J127),ISBLANK(K127)),IF(OR(H127="ALI",H127="AIE"),"L",IF(ISBLANK(H127),"","A")),IF(H127="EE",IF(K127&gt;=3,IF(J127&gt;=5,"H","A"),IF(K127&gt;=2,IF(J127&gt;=16,"H",IF(J127&lt;=4,"L","A")),IF(J127&lt;=15,"L","A"))),IF(OR(H127="SE",H127="CE"),IF(K127&gt;=4,IF(J127&gt;=6,"H","A"),IF(K127&gt;=2,IF(J127&gt;=20,"H",IF(J127&lt;=5,"L","A")),IF(J127&lt;=19,"L","A"))),IF(OR(H127="ALI",H127="AIE"),IF(K127&gt;=6,IF(J127&gt;=20,"H","A"),IF(K127&gt;=2,IF(J127&gt;=51,"H",IF(J127&lt;=19,"L","A")),IF(J127&lt;=50,"L","A")))))))</f>
        <v/>
      </c>
      <c r="N127" s="52">
        <f>IF(M127="L","Baixa",IF(M127="A","Média",IF(M127="","","Alta")))</f>
        <v/>
      </c>
      <c r="O127" s="53">
        <f>IF(ISBLANK(H127),"",IF(H127="ALI",IF(M127="L",7,IF(M127="A",10,15)),IF(H127="AIE",IF(M127="L",5,IF(M127="A",7,10)),IF(H127="SE",IF(M127="L",4,IF(M127="A",5,7)),IF(OR(H127="EE",H127="CE"),IF(M127="L",3,IF(M127="A",4,6)))))))</f>
        <v/>
      </c>
      <c r="P127" s="54">
        <f>IF(I127="I",O127*Contagem!$W$15,IF(I127="E",O127*Contagem!$W$17,IF(I127="A",O127*Contagem!$W$16,IF(I127="T",O127*Contagem!$W$18,""))))</f>
        <v/>
      </c>
      <c r="Q127" s="55" t="inlineStr">
        <is>
          <t>Prova: Rota PUT /gestao/config-ia/{aiConfiguration} (manter-config-ia). Tela: gestao/config-ia/index. O gestor altera os dados; chave em branco mantém a atual; ajusta o padrão da capacidade e audita sem a credencial. Teste: tests/Feature/Ai/AiConfigurationControllerTest.php::test_atualizar_com_chave_em_branco_mantem_a_chave_atual. Processo elementar independente: menor unidade com significado para o gestor; completa por si; credencial preservada se omitida; lógica própria distinta da inclusão. Classificação: EE, mantém o ALI (§5.5.3). TD=13 (nome, provedor, capacidade, URL base, chave de API, modelo, temperatura, máximo de tokens, tempo limite (ms), ativo, padrão da capacidade, mensagem, ação). AR=2 (Provedor de inteligência artificial, Trilha de auditoria). Recontagem 16/10/2026: mantida (linha 344 da contagem de 01/10/2026).</t>
        </is>
      </c>
    </row>
    <row r="128" ht="12" customHeight="1" s="73">
      <c r="A128" s="14">
        <f>IF(H128="",IF(C128="",A127,A127+1),A127)</f>
        <v/>
      </c>
      <c r="B128" s="48">
        <f>IF(A128=A127,"",CONCATENATE("F",A128))</f>
        <v/>
      </c>
      <c r="C128" s="85" t="inlineStr">
        <is>
          <t>Provedores de IA - excluir</t>
        </is>
      </c>
      <c r="D128" s="142" t="n"/>
      <c r="E128" s="142" t="n"/>
      <c r="F128" s="142" t="n"/>
      <c r="G128" s="143" t="n"/>
      <c r="H128" s="56" t="inlineStr">
        <is>
          <t>EE</t>
        </is>
      </c>
      <c r="I128" s="57" t="inlineStr">
        <is>
          <t>I</t>
        </is>
      </c>
      <c r="J128" s="56" t="n">
        <v>3</v>
      </c>
      <c r="K128" s="56" t="n">
        <v>2</v>
      </c>
      <c r="L128" s="50">
        <f>CONCATENATE(H128,M128)</f>
        <v/>
      </c>
      <c r="M128" s="51">
        <f>IF(OR(ISBLANK(J128),ISBLANK(K128)),IF(OR(H128="ALI",H128="AIE"),"L",IF(ISBLANK(H128),"","A")),IF(H128="EE",IF(K128&gt;=3,IF(J128&gt;=5,"H","A"),IF(K128&gt;=2,IF(J128&gt;=16,"H",IF(J128&lt;=4,"L","A")),IF(J128&lt;=15,"L","A"))),IF(OR(H128="SE",H128="CE"),IF(K128&gt;=4,IF(J128&gt;=6,"H","A"),IF(K128&gt;=2,IF(J128&gt;=20,"H",IF(J128&lt;=5,"L","A")),IF(J128&lt;=19,"L","A"))),IF(OR(H128="ALI",H128="AIE"),IF(K128&gt;=6,IF(J128&gt;=20,"H","A"),IF(K128&gt;=2,IF(J128&gt;=51,"H",IF(J128&lt;=19,"L","A")),IF(J128&lt;=50,"L","A")))))))</f>
        <v/>
      </c>
      <c r="N128" s="52">
        <f>IF(M128="L","Baixa",IF(M128="A","Média",IF(M128="","","Alta")))</f>
        <v/>
      </c>
      <c r="O128" s="53">
        <f>IF(ISBLANK(H128),"",IF(H128="ALI",IF(M128="L",7,IF(M128="A",10,15)),IF(H128="AIE",IF(M128="L",5,IF(M128="A",7,10)),IF(H128="SE",IF(M128="L",4,IF(M128="A",5,7)),IF(OR(H128="EE",H128="CE"),IF(M128="L",3,IF(M128="A",4,6)))))))</f>
        <v/>
      </c>
      <c r="P128" s="54">
        <f>IF(I128="I",O128*Contagem!$W$15,IF(I128="E",O128*Contagem!$W$17,IF(I128="A",O128*Contagem!$W$16,IF(I128="T",O128*Contagem!$W$18,""))))</f>
        <v/>
      </c>
      <c r="Q128" s="55" t="inlineStr">
        <is>
          <t>Prova: Rota DELETE /gestao/config-ia/{aiConfiguration} (manter-config-ia). Tela: gestao/config-ia/index. O gestor confirma; o registro é removido e a exclusão auditada com nome, provedor e capacidade. Teste: tests/Feature/Ai/AiConfigurationControllerTest.php::test_excluir_remove_a_configuracao. Processo elementar independente: menor unidade com significado para o gestor; completa por si; lógica única de exclusão. Classificação: EE, mantém o ALI (§5.5.3). TD=3 (provedor, mensagem, ação). AR=2 (Provedor de inteligência artificial, Trilha de auditoria). Recontagem 16/10/2026: mantida (linha 345 da contagem de 01/10/2026).</t>
        </is>
      </c>
    </row>
    <row r="129" ht="12" customHeight="1" s="73">
      <c r="A129" s="14">
        <f>IF(H129="",IF(C129="",A128,A128+1),A128)</f>
        <v/>
      </c>
      <c r="B129" s="48">
        <f>IF(A129=A128,"",CONCATENATE("F",A129))</f>
        <v/>
      </c>
      <c r="C129" s="85" t="inlineStr">
        <is>
          <t>Provedores de IA - ativar ou inativar</t>
        </is>
      </c>
      <c r="D129" s="142" t="n"/>
      <c r="E129" s="142" t="n"/>
      <c r="F129" s="142" t="n"/>
      <c r="G129" s="143" t="n"/>
      <c r="H129" s="56" t="inlineStr">
        <is>
          <t>EE</t>
        </is>
      </c>
      <c r="I129" s="57" t="inlineStr">
        <is>
          <t>I</t>
        </is>
      </c>
      <c r="J129" s="56" t="n">
        <v>4</v>
      </c>
      <c r="K129" s="56" t="n">
        <v>2</v>
      </c>
      <c r="L129" s="50">
        <f>CONCATENATE(H129,M129)</f>
        <v/>
      </c>
      <c r="M129" s="51">
        <f>IF(OR(ISBLANK(J129),ISBLANK(K129)),IF(OR(H129="ALI",H129="AIE"),"L",IF(ISBLANK(H129),"","A")),IF(H129="EE",IF(K129&gt;=3,IF(J129&gt;=5,"H","A"),IF(K129&gt;=2,IF(J129&gt;=16,"H",IF(J129&lt;=4,"L","A")),IF(J129&lt;=15,"L","A"))),IF(OR(H129="SE",H129="CE"),IF(K129&gt;=4,IF(J129&gt;=6,"H","A"),IF(K129&gt;=2,IF(J129&gt;=20,"H",IF(J129&lt;=5,"L","A")),IF(J129&lt;=19,"L","A"))),IF(OR(H129="ALI",H129="AIE"),IF(K129&gt;=6,IF(J129&gt;=20,"H","A"),IF(K129&gt;=2,IF(J129&gt;=51,"H",IF(J129&lt;=19,"L","A")),IF(J129&lt;=50,"L","A")))))))</f>
        <v/>
      </c>
      <c r="N129" s="52">
        <f>IF(M129="L","Baixa",IF(M129="A","Média",IF(M129="","","Alta")))</f>
        <v/>
      </c>
      <c r="O129" s="53">
        <f>IF(ISBLANK(H129),"",IF(H129="ALI",IF(M129="L",7,IF(M129="A",10,15)),IF(H129="AIE",IF(M129="L",5,IF(M129="A",7,10)),IF(H129="SE",IF(M129="L",4,IF(M129="A",5,7)),IF(OR(H129="EE",H129="CE"),IF(M129="L",3,IF(M129="A",4,6)))))))</f>
        <v/>
      </c>
      <c r="P129" s="54">
        <f>IF(I129="I",O129*Contagem!$W$15,IF(I129="E",O129*Contagem!$W$17,IF(I129="A",O129*Contagem!$W$16,IF(I129="T",O129*Contagem!$W$18,""))))</f>
        <v/>
      </c>
      <c r="Q129" s="55" t="inlineStr">
        <is>
          <t>Prova: Rota PUT /gestao/config-ia/{aiConfiguration}/ativacao (manter-config-ia). Tela: gestao/config-ia/index. O gestor alterna a situação; ativar sem chave de API é recusado. Grava e audita ativar ou desativar. Teste: tests/Feature/Ai/AiConfigurationControllerTest.php::test_alterna_a_ativacao_da_configuracao e ::test_nao_ativa_configuracao_sem_chave_de_api. Processo elementar independente: menor unidade com significado para o gestor; completa por si; não ativa sem credencial; lógica própria de mudança de situação. Classificação: EE, mantém o ALI e altera o comportamento das funções de IA (§5.5.3). TD=4 (provedor, ativo, mensagem, ação). AR=2 (Provedor de inteligência artificial, Trilha de auditoria). Recontagem 16/10/2026: mantida (linha 346 da contagem de 01/10/2026).</t>
        </is>
      </c>
    </row>
    <row r="130" ht="12" customHeight="1" s="73">
      <c r="A130" s="14">
        <f>IF(H130="",IF(C130="",A129,A129+1),A129)</f>
        <v/>
      </c>
      <c r="B130" s="48">
        <f>IF(A130=A129,"",CONCATENATE("F",A130))</f>
        <v/>
      </c>
      <c r="C130" s="85" t="n"/>
      <c r="D130" s="142" t="n"/>
      <c r="E130" s="142" t="n"/>
      <c r="F130" s="142" t="n"/>
      <c r="G130" s="143" t="n"/>
      <c r="H130" s="56" t="n"/>
      <c r="I130" s="57" t="n"/>
      <c r="J130" s="56" t="n"/>
      <c r="K130" s="56" t="n"/>
      <c r="L130" s="50">
        <f>CONCATENATE(H130,M130)</f>
        <v/>
      </c>
      <c r="M130" s="51">
        <f>IF(OR(ISBLANK(J130),ISBLANK(K130)),IF(OR(H130="ALI",H130="AIE"),"L",IF(ISBLANK(H130),"","A")),IF(H130="EE",IF(K130&gt;=3,IF(J130&gt;=5,"H","A"),IF(K130&gt;=2,IF(J130&gt;=16,"H",IF(J130&lt;=4,"L","A")),IF(J130&lt;=15,"L","A"))),IF(OR(H130="SE",H130="CE"),IF(K130&gt;=4,IF(J130&gt;=6,"H","A"),IF(K130&gt;=2,IF(J130&gt;=20,"H",IF(J130&lt;=5,"L","A")),IF(J130&lt;=19,"L","A"))),IF(OR(H130="ALI",H130="AIE"),IF(K130&gt;=6,IF(J130&gt;=20,"H","A"),IF(K130&gt;=2,IF(J130&gt;=51,"H",IF(J130&lt;=19,"L","A")),IF(J130&lt;=50,"L","A")))))))</f>
        <v/>
      </c>
      <c r="N130" s="52">
        <f>IF(M130="L","Baixa",IF(M130="A","Média",IF(M130="","","Alta")))</f>
        <v/>
      </c>
      <c r="O130" s="53">
        <f>IF(ISBLANK(H130),"",IF(H130="ALI",IF(M130="L",7,IF(M130="A",10,15)),IF(H130="AIE",IF(M130="L",5,IF(M130="A",7,10)),IF(H130="SE",IF(M130="L",4,IF(M130="A",5,7)),IF(OR(H130="EE",H130="CE"),IF(M130="L",3,IF(M130="A",4,6)))))))</f>
        <v/>
      </c>
      <c r="P130" s="54">
        <f>IF(I130="I",O130*Contagem!$W$15,IF(I130="E",O130*Contagem!$W$17,IF(I130="A",O130*Contagem!$W$16,IF(I130="T",O130*Contagem!$W$18,""))))</f>
        <v/>
      </c>
      <c r="Q130" s="55" t="n"/>
    </row>
    <row r="131" ht="12" customHeight="1" s="73">
      <c r="A131" s="14">
        <f>IF(H131="",IF(C131="",A130,A130+1),A130)</f>
        <v/>
      </c>
      <c r="B131" s="48">
        <f>IF(A131=A130,"",CONCATENATE("F",A131))</f>
        <v/>
      </c>
      <c r="C131" s="85" t="inlineStr">
        <is>
          <t>Valores da TLL</t>
        </is>
      </c>
      <c r="D131" s="142" t="n"/>
      <c r="E131" s="142" t="n"/>
      <c r="F131" s="142" t="n"/>
      <c r="G131" s="143" t="n"/>
      <c r="H131" s="56" t="n"/>
      <c r="I131" s="57" t="n"/>
      <c r="J131" s="56" t="n"/>
      <c r="K131" s="56" t="n"/>
      <c r="L131" s="50">
        <f>CONCATENATE(H131,M131)</f>
        <v/>
      </c>
      <c r="M131" s="51">
        <f>IF(OR(ISBLANK(J131),ISBLANK(K131)),IF(OR(H131="ALI",H131="AIE"),"L",IF(ISBLANK(H131),"","A")),IF(H131="EE",IF(K131&gt;=3,IF(J131&gt;=5,"H","A"),IF(K131&gt;=2,IF(J131&gt;=16,"H",IF(J131&lt;=4,"L","A")),IF(J131&lt;=15,"L","A"))),IF(OR(H131="SE",H131="CE"),IF(K131&gt;=4,IF(J131&gt;=6,"H","A"),IF(K131&gt;=2,IF(J131&gt;=20,"H",IF(J131&lt;=5,"L","A")),IF(J131&lt;=19,"L","A"))),IF(OR(H131="ALI",H131="AIE"),IF(K131&gt;=6,IF(J131&gt;=20,"H","A"),IF(K131&gt;=2,IF(J131&gt;=51,"H",IF(J131&lt;=19,"L","A")),IF(J131&lt;=50,"L","A")))))))</f>
        <v/>
      </c>
      <c r="N131" s="52">
        <f>IF(M131="L","Baixa",IF(M131="A","Média",IF(M131="","","Alta")))</f>
        <v/>
      </c>
      <c r="O131" s="53">
        <f>IF(ISBLANK(H131),"",IF(H131="ALI",IF(M131="L",7,IF(M131="A",10,15)),IF(H131="AIE",IF(M131="L",5,IF(M131="A",7,10)),IF(H131="SE",IF(M131="L",4,IF(M131="A",5,7)),IF(OR(H131="EE",H131="CE"),IF(M131="L",3,IF(M131="A",4,6)))))))</f>
        <v/>
      </c>
      <c r="P131" s="54">
        <f>IF(I131="I",O131*Contagem!$W$15,IF(I131="E",O131*Contagem!$W$17,IF(I131="A",O131*Contagem!$W$16,IF(I131="T",O131*Contagem!$W$18,""))))</f>
        <v/>
      </c>
      <c r="Q131" s="55" t="n"/>
    </row>
    <row r="132" ht="12" customHeight="1" s="73">
      <c r="A132" s="14">
        <f>IF(H132="",IF(C132="",A131,A131+1),A131)</f>
        <v/>
      </c>
      <c r="B132" s="48">
        <f>IF(A132=A131,"",CONCATENATE("F",A132))</f>
        <v/>
      </c>
      <c r="C132" s="85" t="inlineStr">
        <is>
          <t>Dados - Valor da TLL</t>
        </is>
      </c>
      <c r="D132" s="142" t="n"/>
      <c r="E132" s="142" t="n"/>
      <c r="F132" s="142" t="n"/>
      <c r="G132" s="143" t="n"/>
      <c r="H132" s="56" t="inlineStr">
        <is>
          <t>ALI</t>
        </is>
      </c>
      <c r="I132" s="57" t="inlineStr">
        <is>
          <t>I</t>
        </is>
      </c>
      <c r="J132" s="56" t="n">
        <v>10</v>
      </c>
      <c r="K132" s="56" t="n">
        <v>1</v>
      </c>
      <c r="L132" s="50">
        <f>CONCATENATE(H132,M132)</f>
        <v/>
      </c>
      <c r="M132" s="51">
        <f>IF(OR(ISBLANK(J132),ISBLANK(K132)),IF(OR(H132="ALI",H132="AIE"),"L",IF(ISBLANK(H132),"","A")),IF(H132="EE",IF(K132&gt;=3,IF(J132&gt;=5,"H","A"),IF(K132&gt;=2,IF(J132&gt;=16,"H",IF(J132&lt;=4,"L","A")),IF(J132&lt;=15,"L","A"))),IF(OR(H132="SE",H132="CE"),IF(K132&gt;=4,IF(J132&gt;=6,"H","A"),IF(K132&gt;=2,IF(J132&gt;=20,"H",IF(J132&lt;=5,"L","A")),IF(J132&lt;=19,"L","A"))),IF(OR(H132="ALI",H132="AIE"),IF(K132&gt;=6,IF(J132&gt;=20,"H","A"),IF(K132&gt;=2,IF(J132&gt;=51,"H",IF(J132&lt;=19,"L","A")),IF(J132&lt;=50,"L","A")))))))</f>
        <v/>
      </c>
      <c r="N132" s="52">
        <f>IF(M132="L","Baixa",IF(M132="A","Média",IF(M132="","","Alta")))</f>
        <v/>
      </c>
      <c r="O132" s="53">
        <f>IF(ISBLANK(H132),"",IF(H132="ALI",IF(M132="L",7,IF(M132="A",10,15)),IF(H132="AIE",IF(M132="L",5,IF(M132="A",7,10)),IF(H132="SE",IF(M132="L",4,IF(M132="A",5,7)),IF(OR(H132="EE",H132="CE"),IF(M132="L",3,IF(M132="A",4,6)))))))</f>
        <v/>
      </c>
      <c r="P132" s="54">
        <f>IF(I132="I",O132*Contagem!$W$15,IF(I132="E",O132*Contagem!$W$17,IF(I132="A",O132*Contagem!$W$16,IF(I132="T",O132*Contagem!$W$18,""))))</f>
        <v/>
      </c>
      <c r="Q132" s="55" t="inlineStr">
        <is>
          <t>Prova: Model TllValor (HasAuditoria); migrations 2026_09_20_224755_create_tll_valores_table, 2026_09_21_152938_add_rule_version_id_to_tll_valores_table e 2026_09_21_221500_add_especificacao_to_tll_valores_table. Mantido por TllValorController@store, update, toggleActivation e gerarExercicio (TllPropagacaoExercicio). A carga inicial TllValoresImportService só roda pelo TllValoresSeeder (carga técnica, sem transação de usuário). Arquivo lógico: tabela de valores da Taxa de Licença de Localização por exercício, usada no cálculo do DAM; valor monetário não substituível por descrição, logo não é dado de código. Teste: tests/Feature/Analise/TllValorControllerTest.php::test_cria_valor_auditado. TD=10 (código TLL, especificação, exercício, valor, taxa de serviço, código TLL SEFAZ, código de serviço SEFAZ, serviço SEFAZ, situação, versão de regras). TR=1 (Valor da TLL). Recontagem 16/10/2026: mantida (linha 427 da contagem de 01/10/2026).</t>
        </is>
      </c>
    </row>
    <row r="133" ht="12" customHeight="1" s="73">
      <c r="A133" s="14">
        <f>IF(H133="",IF(C133="",A132,A132+1),A132)</f>
        <v/>
      </c>
      <c r="B133" s="48">
        <f>IF(A133=A132,"",CONCATENATE("F",A133))</f>
        <v/>
      </c>
      <c r="C133" s="85" t="inlineStr">
        <is>
          <t>TLL - consultar valores</t>
        </is>
      </c>
      <c r="D133" s="142" t="n"/>
      <c r="E133" s="142" t="n"/>
      <c r="F133" s="142" t="n"/>
      <c r="G133" s="143" t="n"/>
      <c r="H133" s="56" t="inlineStr">
        <is>
          <t>SE</t>
        </is>
      </c>
      <c r="I133" s="57" t="inlineStr">
        <is>
          <t>I</t>
        </is>
      </c>
      <c r="J133" s="56" t="n">
        <v>15</v>
      </c>
      <c r="K133" s="56" t="n">
        <v>2</v>
      </c>
      <c r="L133" s="50">
        <f>CONCATENATE(H133,M133)</f>
        <v/>
      </c>
      <c r="M133" s="51">
        <f>IF(OR(ISBLANK(J133),ISBLANK(K133)),IF(OR(H133="ALI",H133="AIE"),"L",IF(ISBLANK(H133),"","A")),IF(H133="EE",IF(K133&gt;=3,IF(J133&gt;=5,"H","A"),IF(K133&gt;=2,IF(J133&gt;=16,"H",IF(J133&lt;=4,"L","A")),IF(J133&lt;=15,"L","A"))),IF(OR(H133="SE",H133="CE"),IF(K133&gt;=4,IF(J133&gt;=6,"H","A"),IF(K133&gt;=2,IF(J133&gt;=20,"H",IF(J133&lt;=5,"L","A")),IF(J133&lt;=19,"L","A"))),IF(OR(H133="ALI",H133="AIE"),IF(K133&gt;=6,IF(J133&gt;=20,"H","A"),IF(K133&gt;=2,IF(J133&gt;=51,"H",IF(J133&lt;=19,"L","A")),IF(J133&lt;=50,"L","A")))))))</f>
        <v/>
      </c>
      <c r="N133" s="52">
        <f>IF(M133="L","Baixa",IF(M133="A","Média",IF(M133="","","Alta")))</f>
        <v/>
      </c>
      <c r="O133" s="53">
        <f>IF(ISBLANK(H133),"",IF(H133="ALI",IF(M133="L",7,IF(M133="A",10,15)),IF(H133="AIE",IF(M133="L",5,IF(M133="A",7,10)),IF(H133="SE",IF(M133="L",4,IF(M133="A",5,7)),IF(OR(H133="EE",H133="CE"),IF(M133="L",3,IF(M133="A",4,6)))))))</f>
        <v/>
      </c>
      <c r="P133" s="54">
        <f>IF(I133="I",O133*Contagem!$W$15,IF(I133="E",O133*Contagem!$W$17,IF(I133="A",O133*Contagem!$W$16,IF(I133="T",O133*Contagem!$W$18,""))))</f>
        <v/>
      </c>
      <c r="Q133" s="55" t="inlineStr">
        <is>
          <t>Prova: Rota GET /gestao/tll (manter-parametros). Tela: gestao/tll/index. TllValorController@index lista os valores com busca por código, CNAE ou especificação e filtros de exercício e situação, conta os CNAEs vinculados pela planilha vigente (TllCnaeVinculo::contarPara) e deriva, por exercício em rascunho, se o usuário pode publicar. Lê Valor da TLL (inclusive a versão do exercício, subgrupo) e Planilha de enquadramento; não grava. Teste: tests/Feature/Analise/TllCnaeVinculoTest.php::test_lista_expoe_contagem_de_cnaes_da_planilha_vigente. Processo elementar independente: menor unidade com significado para o gestor; completa por si; não grava; lógica única de listagem com contagem. Classificação: SE, apresenta dado derivado (contagem de CNAEs e permissão de publicar) (§5.5.3). TD=15 (código TLL, especificação, exercício, valor, taxa de serviço, código TLL SEFAZ, código de serviço SEFAZ, serviço SEFAZ, situação, quantidade de CNAEs, situação do exercício, decreto, pode publicar, busca, ação). AR=2 (Valor da TLL, Planilha de enquadramento). Recontagem (catálogo): Versão de regras deixou de ser arquivo lógico próprio e é subgrupo de Valor da TLL; AR ajustado. Recontagem 16/10/2026: alterada (linha 428 da contagem de 01/10/2026: "TLL - consultar valores", SE Média 5 PF, TD 14, AR 3). Motivo: TD 14 para 15: o painel de exercícios mostra também o decreto (source) do rascunho; PF inalterado. Catálogo: retirado Versão de regras (subgrupo de outro arquivo).</t>
        </is>
      </c>
    </row>
    <row r="134" ht="12" customHeight="1" s="73">
      <c r="A134" s="14">
        <f>IF(H134="",IF(C134="",A133,A133+1),A133)</f>
        <v/>
      </c>
      <c r="B134" s="48">
        <f>IF(A134=A133,"",CONCATENATE("F",A134))</f>
        <v/>
      </c>
      <c r="C134" s="85" t="inlineStr">
        <is>
          <t>TLL - consultar CNAEs do valor</t>
        </is>
      </c>
      <c r="D134" s="142" t="n"/>
      <c r="E134" s="142" t="n"/>
      <c r="F134" s="142" t="n"/>
      <c r="G134" s="143" t="n"/>
      <c r="H134" s="56" t="inlineStr">
        <is>
          <t>CE</t>
        </is>
      </c>
      <c r="I134" s="57" t="inlineStr">
        <is>
          <t>I</t>
        </is>
      </c>
      <c r="J134" s="56" t="n">
        <v>3</v>
      </c>
      <c r="K134" s="56" t="n">
        <v>2</v>
      </c>
      <c r="L134" s="50">
        <f>CONCATENATE(H134,M134)</f>
        <v/>
      </c>
      <c r="M134" s="51">
        <f>IF(OR(ISBLANK(J134),ISBLANK(K134)),IF(OR(H134="ALI",H134="AIE"),"L",IF(ISBLANK(H134),"","A")),IF(H134="EE",IF(K134&gt;=3,IF(J134&gt;=5,"H","A"),IF(K134&gt;=2,IF(J134&gt;=16,"H",IF(J134&lt;=4,"L","A")),IF(J134&lt;=15,"L","A"))),IF(OR(H134="SE",H134="CE"),IF(K134&gt;=4,IF(J134&gt;=6,"H","A"),IF(K134&gt;=2,IF(J134&gt;=20,"H",IF(J134&lt;=5,"L","A")),IF(J134&lt;=19,"L","A"))),IF(OR(H134="ALI",H134="AIE"),IF(K134&gt;=6,IF(J134&gt;=20,"H","A"),IF(K134&gt;=2,IF(J134&gt;=51,"H",IF(J134&lt;=19,"L","A")),IF(J134&lt;=50,"L","A")))))))</f>
        <v/>
      </c>
      <c r="N134" s="52">
        <f>IF(M134="L","Baixa",IF(M134="A","Média",IF(M134="","","Alta")))</f>
        <v/>
      </c>
      <c r="O134" s="53">
        <f>IF(ISBLANK(H134),"",IF(H134="ALI",IF(M134="L",7,IF(M134="A",10,15)),IF(H134="AIE",IF(M134="L",5,IF(M134="A",7,10)),IF(H134="SE",IF(M134="L",4,IF(M134="A",5,7)),IF(OR(H134="EE",H134="CE"),IF(M134="L",3,IF(M134="A",4,6)))))))</f>
        <v/>
      </c>
      <c r="P134" s="54">
        <f>IF(I134="I",O134*Contagem!$W$15,IF(I134="E",O134*Contagem!$W$17,IF(I134="A",O134*Contagem!$W$16,IF(I134="T",O134*Contagem!$W$18,""))))</f>
        <v/>
      </c>
      <c r="Q134" s="55" t="inlineStr">
        <is>
          <t>Prova: Rota GET /gestao/tll/{tllValor}/cnaes (manter-parametros). Tela: gestao/tll/index (abre a lista de CNAEs do valor). TllCnaeVinculo::listar lê o enquadramento da planilha vigente e devolve os CNAEs distintos, sem gravar. Teste: tests/Feature/Analise/TllCnaeVinculoTest.php::test_endpoint_lista_cnaes_distintos_e_separa_isenta_do_residual e ::test_endpoint_de_cnaes_exige_permissao_e_nao_grava_vinculo. Processo elementar independente: menor unidade com significado para o gestor; completa por si; não altera dados; consulta própria completa, não é lista de valores auxiliar. Classificação: CE, recupera e apresenta sem cálculo (§5.5.3). TD=3 (CNAE, denominação, ação). AR=2 (Valor da TLL, Planilha de enquadramento). Recontagem (catálogo): Versão de regras deixou de ser arquivo lógico próprio e é subgrupo de Valor da TLL; AR ajustado. Recontagem 16/10/2026: alterada (linha 429 da contagem de 01/10/2026: "TLL - consultar CNAEs do valor", CE Baixa 3 PF, TD 3, AR 3). Motivo: Catálogo: retirado Versão de regras (subgrupo de outro arquivo).</t>
        </is>
      </c>
    </row>
    <row r="135" ht="12" customHeight="1" s="73">
      <c r="A135" s="14">
        <f>IF(H135="",IF(C135="",A134,A134+1),A134)</f>
        <v/>
      </c>
      <c r="B135" s="48">
        <f>IF(A135=A134,"",CONCATENATE("F",A135))</f>
        <v/>
      </c>
      <c r="C135" s="85" t="inlineStr">
        <is>
          <t>TLL - incluir valor</t>
        </is>
      </c>
      <c r="D135" s="142" t="n"/>
      <c r="E135" s="142" t="n"/>
      <c r="F135" s="142" t="n"/>
      <c r="G135" s="143" t="n"/>
      <c r="H135" s="56" t="inlineStr">
        <is>
          <t>EE</t>
        </is>
      </c>
      <c r="I135" s="57" t="inlineStr">
        <is>
          <t>I</t>
        </is>
      </c>
      <c r="J135" s="56" t="n">
        <v>11</v>
      </c>
      <c r="K135" s="56" t="n">
        <v>2</v>
      </c>
      <c r="L135" s="50">
        <f>CONCATENATE(H135,M135)</f>
        <v/>
      </c>
      <c r="M135" s="51">
        <f>IF(OR(ISBLANK(J135),ISBLANK(K135)),IF(OR(H135="ALI",H135="AIE"),"L",IF(ISBLANK(H135),"","A")),IF(H135="EE",IF(K135&gt;=3,IF(J135&gt;=5,"H","A"),IF(K135&gt;=2,IF(J135&gt;=16,"H",IF(J135&lt;=4,"L","A")),IF(J135&lt;=15,"L","A"))),IF(OR(H135="SE",H135="CE"),IF(K135&gt;=4,IF(J135&gt;=6,"H","A"),IF(K135&gt;=2,IF(J135&gt;=20,"H",IF(J135&lt;=5,"L","A")),IF(J135&lt;=19,"L","A"))),IF(OR(H135="ALI",H135="AIE"),IF(K135&gt;=6,IF(J135&gt;=20,"H","A"),IF(K135&gt;=2,IF(J135&gt;=51,"H",IF(J135&lt;=19,"L","A")),IF(J135&lt;=50,"L","A")))))))</f>
        <v/>
      </c>
      <c r="N135" s="52">
        <f>IF(M135="L","Baixa",IF(M135="A","Média",IF(M135="","","Alta")))</f>
        <v/>
      </c>
      <c r="O135" s="53">
        <f>IF(ISBLANK(H135),"",IF(H135="ALI",IF(M135="L",7,IF(M135="A",10,15)),IF(H135="AIE",IF(M135="L",5,IF(M135="A",7,10)),IF(H135="SE",IF(M135="L",4,IF(M135="A",5,7)),IF(OR(H135="EE",H135="CE"),IF(M135="L",3,IF(M135="A",4,6)))))))</f>
        <v/>
      </c>
      <c r="P135" s="54">
        <f>IF(I135="I",O135*Contagem!$W$15,IF(I135="E",O135*Contagem!$W$17,IF(I135="A",O135*Contagem!$W$16,IF(I135="T",O135*Contagem!$W$18,""))))</f>
        <v/>
      </c>
      <c r="Q135" s="55" t="inlineStr">
        <is>
          <t>Prova: Rota POST /gestao/tll (manter-parametros). Tela: gestao/tll/index. TllValorRequest valida e recusa código, exercício e especificação repetidos; o model grava o Valor da TLL e a auditoria automática (HasAuditoria). Teste: tests/Feature/Analise/TllValorControllerTest.php::test_cria_valor_auditado e ::test_codigo_e_exercicio_duplicados_sao_rejeitados. Processo elementar independente: menor unidade com significado para o gestor; completa por si; deixa a tabela com o novo valor; lógica única de inclusão. Classificação: EE, mantém o ALI (§5.5.3). TD=11 (código TLL, especificação, exercício, valor, taxa de serviço, código TLL SEFAZ, código de serviço SEFAZ, serviço SEFAZ, situação, mensagem, ação). AR=2 (Valor da TLL, Trilha de auditoria). Recontagem 16/10/2026: alterada (linha 430 da contagem de 01/10/2026: "TLL - incluir valor", EE Baixa 3 PF, TD 11, AR 1). Motivo: AR 1 para 2: TllValor usa HasAuditoria, então a inclusão grava a Trilha de auditoria (o próprio teste se chama test_cria_valor_auditado). Critério igual ao aplicado a e-mail, IA e parâmetros. PF 3 para 4.</t>
        </is>
      </c>
    </row>
    <row r="136" ht="12" customHeight="1" s="73">
      <c r="A136" s="14">
        <f>IF(H136="",IF(C136="",A135,A135+1),A135)</f>
        <v/>
      </c>
      <c r="B136" s="48">
        <f>IF(A136=A135,"",CONCATENATE("F",A136))</f>
        <v/>
      </c>
      <c r="C136" s="85" t="inlineStr">
        <is>
          <t>TLL - alterar valor</t>
        </is>
      </c>
      <c r="D136" s="142" t="n"/>
      <c r="E136" s="142" t="n"/>
      <c r="F136" s="142" t="n"/>
      <c r="G136" s="143" t="n"/>
      <c r="H136" s="56" t="inlineStr">
        <is>
          <t>EE</t>
        </is>
      </c>
      <c r="I136" s="57" t="inlineStr">
        <is>
          <t>I</t>
        </is>
      </c>
      <c r="J136" s="56" t="n">
        <v>11</v>
      </c>
      <c r="K136" s="56" t="n">
        <v>2</v>
      </c>
      <c r="L136" s="50">
        <f>CONCATENATE(H136,M136)</f>
        <v/>
      </c>
      <c r="M136" s="51">
        <f>IF(OR(ISBLANK(J136),ISBLANK(K136)),IF(OR(H136="ALI",H136="AIE"),"L",IF(ISBLANK(H136),"","A")),IF(H136="EE",IF(K136&gt;=3,IF(J136&gt;=5,"H","A"),IF(K136&gt;=2,IF(J136&gt;=16,"H",IF(J136&lt;=4,"L","A")),IF(J136&lt;=15,"L","A"))),IF(OR(H136="SE",H136="CE"),IF(K136&gt;=4,IF(J136&gt;=6,"H","A"),IF(K136&gt;=2,IF(J136&gt;=20,"H",IF(J136&lt;=5,"L","A")),IF(J136&lt;=19,"L","A"))),IF(OR(H136="ALI",H136="AIE"),IF(K136&gt;=6,IF(J136&gt;=20,"H","A"),IF(K136&gt;=2,IF(J136&gt;=51,"H",IF(J136&lt;=19,"L","A")),IF(J136&lt;=50,"L","A")))))))</f>
        <v/>
      </c>
      <c r="N136" s="52">
        <f>IF(M136="L","Baixa",IF(M136="A","Média",IF(M136="","","Alta")))</f>
        <v/>
      </c>
      <c r="O136" s="53">
        <f>IF(ISBLANK(H136),"",IF(H136="ALI",IF(M136="L",7,IF(M136="A",10,15)),IF(H136="AIE",IF(M136="L",5,IF(M136="A",7,10)),IF(H136="SE",IF(M136="L",4,IF(M136="A",5,7)),IF(OR(H136="EE",H136="CE"),IF(M136="L",3,IF(M136="A",4,6)))))))</f>
        <v/>
      </c>
      <c r="P136" s="54">
        <f>IF(I136="I",O136*Contagem!$W$15,IF(I136="E",O136*Contagem!$W$17,IF(I136="A",O136*Contagem!$W$16,IF(I136="T",O136*Contagem!$W$18,""))))</f>
        <v/>
      </c>
      <c r="Q136" s="55" t="inlineStr">
        <is>
          <t>Prova: Rota PUT /gestao/tll/{tllValor} (manter-parametros). Tela: gestao/tll/index. O gestor altera os dados; TllValorRequest valida (unicidade ignorando o próprio registro) e o model grava com auditoria automática. Teste: tests/Feature/Analise/TllValorControllerTest.php::test_edita_valor. Processo elementar independente: menor unidade com significado para o gestor; completa por si; deixa o valor atualizado; lógica única de alteração. Classificação: EE, mantém o ALI (§5.5.3). TD=11 (código TLL, especificação, exercício, valor, taxa de serviço, código TLL SEFAZ, código de serviço SEFAZ, serviço SEFAZ, situação, mensagem, ação). AR=2 (Valor da TLL, Trilha de auditoria). Recontagem 16/10/2026: alterada (linha 431 da contagem de 01/10/2026: "TLL - alterar valor", EE Baixa 3 PF, TD 11, AR 1). Motivo: AR 1 para 2: a alteração grava a Trilha de auditoria pelo HasAuditoria do model TllValor. PF 3 para 4.</t>
        </is>
      </c>
    </row>
    <row r="137" ht="12" customHeight="1" s="73">
      <c r="A137" s="14">
        <f>IF(H137="",IF(C137="",A136,A136+1),A136)</f>
        <v/>
      </c>
      <c r="B137" s="48">
        <f>IF(A137=A136,"",CONCATENATE("F",A137))</f>
        <v/>
      </c>
      <c r="C137" s="85" t="inlineStr">
        <is>
          <t>TLL - ativar ou inativar valor</t>
        </is>
      </c>
      <c r="D137" s="142" t="n"/>
      <c r="E137" s="142" t="n"/>
      <c r="F137" s="142" t="n"/>
      <c r="G137" s="143" t="n"/>
      <c r="H137" s="56" t="inlineStr">
        <is>
          <t>EE</t>
        </is>
      </c>
      <c r="I137" s="57" t="inlineStr">
        <is>
          <t>I</t>
        </is>
      </c>
      <c r="J137" s="56" t="n">
        <v>3</v>
      </c>
      <c r="K137" s="56" t="n">
        <v>2</v>
      </c>
      <c r="L137" s="50">
        <f>CONCATENATE(H137,M137)</f>
        <v/>
      </c>
      <c r="M137" s="51">
        <f>IF(OR(ISBLANK(J137),ISBLANK(K137)),IF(OR(H137="ALI",H137="AIE"),"L",IF(ISBLANK(H137),"","A")),IF(H137="EE",IF(K137&gt;=3,IF(J137&gt;=5,"H","A"),IF(K137&gt;=2,IF(J137&gt;=16,"H",IF(J137&lt;=4,"L","A")),IF(J137&lt;=15,"L","A"))),IF(OR(H137="SE",H137="CE"),IF(K137&gt;=4,IF(J137&gt;=6,"H","A"),IF(K137&gt;=2,IF(J137&gt;=20,"H",IF(J137&lt;=5,"L","A")),IF(J137&lt;=19,"L","A"))),IF(OR(H137="ALI",H137="AIE"),IF(K137&gt;=6,IF(J137&gt;=20,"H","A"),IF(K137&gt;=2,IF(J137&gt;=51,"H",IF(J137&lt;=19,"L","A")),IF(J137&lt;=50,"L","A")))))))</f>
        <v/>
      </c>
      <c r="N137" s="52">
        <f>IF(M137="L","Baixa",IF(M137="A","Média",IF(M137="","","Alta")))</f>
        <v/>
      </c>
      <c r="O137" s="53">
        <f>IF(ISBLANK(H137),"",IF(H137="ALI",IF(M137="L",7,IF(M137="A",10,15)),IF(H137="AIE",IF(M137="L",5,IF(M137="A",7,10)),IF(H137="SE",IF(M137="L",4,IF(M137="A",5,7)),IF(OR(H137="EE",H137="CE"),IF(M137="L",3,IF(M137="A",4,6)))))))</f>
        <v/>
      </c>
      <c r="P137" s="54">
        <f>IF(I137="I",O137*Contagem!$W$15,IF(I137="E",O137*Contagem!$W$17,IF(I137="A",O137*Contagem!$W$16,IF(I137="T",O137*Contagem!$W$18,""))))</f>
        <v/>
      </c>
      <c r="Q137" s="55" t="inlineStr">
        <is>
          <t>Prova: Rota PUT /gestao/tll/{tllValor}/ativacao (manter-parametros). Tela: gestao/tll/index. O gestor inativa ou reativa o valor sem excluir; o valor sai ou volta ao cálculo do DAM. Teste: tests/Feature/Analise/TllValorControllerTest.php::test_inativa_preserva_o_historico. Processo elementar independente: menor unidade com significado para o gestor; completa por si; lógica própria de ativação. Classificação: EE, mantém o ALI e altera o comportamento do cálculo (§5.5.3). TD=3 (situação, mensagem, ação). AR=2 (Valor da TLL, Trilha de auditoria). Recontagem 16/10/2026: alterada (linha 432 da contagem de 01/10/2026: "TLL - ativar ou inativar valor", EE Baixa 3 PF, TD 3, AR 1). Motivo: AR 1 para 2: a mudança de situação grava a Trilha de auditoria pelo HasAuditoria. PF inalterado.</t>
        </is>
      </c>
    </row>
    <row r="138" ht="12" customHeight="1" s="73">
      <c r="A138" s="14">
        <f>IF(H138="",IF(C138="",A137,A137+1),A137)</f>
        <v/>
      </c>
      <c r="B138" s="48">
        <f>IF(A138=A137,"",CONCATENATE("F",A138))</f>
        <v/>
      </c>
      <c r="C138" s="85" t="inlineStr">
        <is>
          <t>TLL - criar exercício por fator de reajuste</t>
        </is>
      </c>
      <c r="D138" s="142" t="n"/>
      <c r="E138" s="142" t="n"/>
      <c r="F138" s="142" t="n"/>
      <c r="G138" s="143" t="n"/>
      <c r="H138" s="56" t="inlineStr">
        <is>
          <t>EE</t>
        </is>
      </c>
      <c r="I138" s="57" t="inlineStr">
        <is>
          <t>I</t>
        </is>
      </c>
      <c r="J138" s="56" t="n">
        <v>6</v>
      </c>
      <c r="K138" s="56" t="n">
        <v>2</v>
      </c>
      <c r="L138" s="50">
        <f>CONCATENATE(H138,M138)</f>
        <v/>
      </c>
      <c r="M138" s="51">
        <f>IF(OR(ISBLANK(J138),ISBLANK(K138)),IF(OR(H138="ALI",H138="AIE"),"L",IF(ISBLANK(H138),"","A")),IF(H138="EE",IF(K138&gt;=3,IF(J138&gt;=5,"H","A"),IF(K138&gt;=2,IF(J138&gt;=16,"H",IF(J138&lt;=4,"L","A")),IF(J138&lt;=15,"L","A"))),IF(OR(H138="SE",H138="CE"),IF(K138&gt;=4,IF(J138&gt;=6,"H","A"),IF(K138&gt;=2,IF(J138&gt;=20,"H",IF(J138&lt;=5,"L","A")),IF(J138&lt;=19,"L","A"))),IF(OR(H138="ALI",H138="AIE"),IF(K138&gt;=6,IF(J138&gt;=20,"H","A"),IF(K138&gt;=2,IF(J138&gt;=51,"H",IF(J138&lt;=19,"L","A")),IF(J138&lt;=50,"L","A")))))))</f>
        <v/>
      </c>
      <c r="N138" s="52">
        <f>IF(M138="L","Baixa",IF(M138="A","Média",IF(M138="","","Alta")))</f>
        <v/>
      </c>
      <c r="O138" s="53">
        <f>IF(ISBLANK(H138),"",IF(H138="ALI",IF(M138="L",7,IF(M138="A",10,15)),IF(H138="AIE",IF(M138="L",5,IF(M138="A",7,10)),IF(H138="SE",IF(M138="L",4,IF(M138="A",5,7)),IF(OR(H138="EE",H138="CE"),IF(M138="L",3,IF(M138="A",4,6)))))))</f>
        <v/>
      </c>
      <c r="P138" s="54">
        <f>IF(I138="I",O138*Contagem!$W$15,IF(I138="E",O138*Contagem!$W$17,IF(I138="A",O138*Contagem!$W$16,IF(I138="T",O138*Contagem!$W$18,""))))</f>
        <v/>
      </c>
      <c r="Q138" s="55" t="inlineStr">
        <is>
          <t>Prova: Rota POST /gestao/tll/exercicios (manter-parametros). Tela: gestao/tll/index. O gestor informa exercício de origem, destino, fator (maior que 0 e até 2) e decreto (PropagacaoTllRequest); TllPropagacaoExercicio abre a versão de regras em rascunho, clona as linhas ativas reajustadas, inativa as que não existem na origem e audita. Recusa exercício já publicado. Teste: tests/Feature/Analise/TllValorControllerTest.php::test_gerar_exercicio_cria_rascunho_e_clona_linhas. Processo elementar independente: menor unidade com significado para o gestor; completa por si; deixa o novo exercício em rascunho; lógica única de propagação com reajuste. Classificação: EE, mantém Valor da TLL, inclusive a versão do exercício (subgrupo) (§5.5.3). TD=6 (exercício de origem, exercício de destino, fator de reajuste, decreto, mensagem, ação). AR=2 (Valor da TLL, Trilha de auditoria). Recontagem (catálogo): Versão de regras deixou de ser arquivo lógico próprio e é subgrupo de Valor da TLL; AR ajustado. Recontagem 16/10/2026: mantida (linha 433 da contagem de 01/10/2026).</t>
        </is>
      </c>
    </row>
    <row r="139" ht="12" customHeight="1" s="73">
      <c r="A139" s="14">
        <f>IF(H139="",IF(C139="",A138,A138+1),A138)</f>
        <v/>
      </c>
      <c r="B139" s="48">
        <f>IF(A139=A138,"",CONCATENATE("F",A139))</f>
        <v/>
      </c>
      <c r="C139" s="85" t="inlineStr">
        <is>
          <t>TLL - publicar exercício</t>
        </is>
      </c>
      <c r="D139" s="142" t="n"/>
      <c r="E139" s="142" t="n"/>
      <c r="F139" s="142" t="n"/>
      <c r="G139" s="143" t="n"/>
      <c r="H139" s="56" t="inlineStr">
        <is>
          <t>EE</t>
        </is>
      </c>
      <c r="I139" s="57" t="inlineStr">
        <is>
          <t>I</t>
        </is>
      </c>
      <c r="J139" s="56" t="n">
        <v>3</v>
      </c>
      <c r="K139" s="56" t="n">
        <v>2</v>
      </c>
      <c r="L139" s="50">
        <f>CONCATENATE(H139,M139)</f>
        <v/>
      </c>
      <c r="M139" s="51">
        <f>IF(OR(ISBLANK(J139),ISBLANK(K139)),IF(OR(H139="ALI",H139="AIE"),"L",IF(ISBLANK(H139),"","A")),IF(H139="EE",IF(K139&gt;=3,IF(J139&gt;=5,"H","A"),IF(K139&gt;=2,IF(J139&gt;=16,"H",IF(J139&lt;=4,"L","A")),IF(J139&lt;=15,"L","A"))),IF(OR(H139="SE",H139="CE"),IF(K139&gt;=4,IF(J139&gt;=6,"H","A"),IF(K139&gt;=2,IF(J139&gt;=20,"H",IF(J139&lt;=5,"L","A")),IF(J139&lt;=19,"L","A"))),IF(OR(H139="ALI",H139="AIE"),IF(K139&gt;=6,IF(J139&gt;=20,"H","A"),IF(K139&gt;=2,IF(J139&gt;=51,"H",IF(J139&lt;=19,"L","A")),IF(J139&lt;=50,"L","A")))))))</f>
        <v/>
      </c>
      <c r="N139" s="52">
        <f>IF(M139="L","Baixa",IF(M139="A","Média",IF(M139="","","Alta")))</f>
        <v/>
      </c>
      <c r="O139" s="53">
        <f>IF(ISBLANK(H139),"",IF(H139="ALI",IF(M139="L",7,IF(M139="A",10,15)),IF(H139="AIE",IF(M139="L",5,IF(M139="A",7,10)),IF(H139="SE",IF(M139="L",4,IF(M139="A",5,7)),IF(OR(H139="EE",H139="CE"),IF(M139="L",3,IF(M139="A",4,6)))))))</f>
        <v/>
      </c>
      <c r="P139" s="54">
        <f>IF(I139="I",O139*Contagem!$W$15,IF(I139="E",O139*Contagem!$W$17,IF(I139="A",O139*Contagem!$W$16,IF(I139="T",O139*Contagem!$W$18,""))))</f>
        <v/>
      </c>
      <c r="Q139" s="55" t="inlineStr">
        <is>
          <t>Prova: Rota POST /gestao/tll/exercicios/{exercicio}/publicar (manter-parametros). Tela: gestao/tll/index. Um segundo gestor publica o rascunho do exercício (quatro olhos); RuleVersionService@publish substitui a vigente anterior do domínio, torna o rascunho vigente e audita. Teste: tests/Feature/Analise/TllValorControllerTest.php::test_publicar_exige_quatro_olhos. Processo elementar independente: menor unidade com significado para o gestor; completa por si; deixa o exercício vigente para o cálculo; lógica única de publicação. Classificação: EE, mantém Valor da TLL (versão do exercício, subgrupo) (§5.5.3). TD=3 (exercício, mensagem, ação). AR=2 (Valor da TLL, Trilha de auditoria). Recontagem (catálogo): Versão de regras deixou de ser arquivo lógico próprio e é subgrupo de Valor da TLL; AR ajustado. Recontagem 16/10/2026: alterada (linha 434 da contagem de 01/10/2026: "TLL - publicar exercício", EE Baixa 3 PF, TD 3, AR 1). Motivo: AR 1 para 2: RuleVersionService@publish grava a Trilha de auditoria (evento publicacao-versao). PF inalterado. Catálogo: retirado Versão de regras (subgrupo de outro arquivo).</t>
        </is>
      </c>
    </row>
    <row r="140" ht="12" customHeight="1" s="73">
      <c r="A140" s="14">
        <f>IF(H140="",IF(C140="",A139,A139+1),A139)</f>
        <v/>
      </c>
      <c r="B140" s="48">
        <f>IF(A140=A139,"",CONCATENATE("F",A140))</f>
        <v/>
      </c>
      <c r="C140" s="85" t="n"/>
      <c r="D140" s="142" t="n"/>
      <c r="E140" s="142" t="n"/>
      <c r="F140" s="142" t="n"/>
      <c r="G140" s="143" t="n"/>
      <c r="H140" s="56" t="n"/>
      <c r="I140" s="57" t="n"/>
      <c r="J140" s="56" t="n"/>
      <c r="K140" s="56" t="n"/>
      <c r="L140" s="50">
        <f>CONCATENATE(H140,M140)</f>
        <v/>
      </c>
      <c r="M140" s="51">
        <f>IF(OR(ISBLANK(J140),ISBLANK(K140)),IF(OR(H140="ALI",H140="AIE"),"L",IF(ISBLANK(H140),"","A")),IF(H140="EE",IF(K140&gt;=3,IF(J140&gt;=5,"H","A"),IF(K140&gt;=2,IF(J140&gt;=16,"H",IF(J140&lt;=4,"L","A")),IF(J140&lt;=15,"L","A"))),IF(OR(H140="SE",H140="CE"),IF(K140&gt;=4,IF(J140&gt;=6,"H","A"),IF(K140&gt;=2,IF(J140&gt;=20,"H",IF(J140&lt;=5,"L","A")),IF(J140&lt;=19,"L","A"))),IF(OR(H140="ALI",H140="AIE"),IF(K140&gt;=6,IF(J140&gt;=20,"H","A"),IF(K140&gt;=2,IF(J140&gt;=51,"H",IF(J140&lt;=19,"L","A")),IF(J140&lt;=50,"L","A")))))))</f>
        <v/>
      </c>
      <c r="N140" s="52">
        <f>IF(M140="L","Baixa",IF(M140="A","Média",IF(M140="","","Alta")))</f>
        <v/>
      </c>
      <c r="O140" s="53">
        <f>IF(ISBLANK(H140),"",IF(H140="ALI",IF(M140="L",7,IF(M140="A",10,15)),IF(H140="AIE",IF(M140="L",5,IF(M140="A",7,10)),IF(H140="SE",IF(M140="L",4,IF(M140="A",5,7)),IF(OR(H140="EE",H140="CE"),IF(M140="L",3,IF(M140="A",4,6)))))))</f>
        <v/>
      </c>
      <c r="P140" s="54">
        <f>IF(I140="I",O140*Contagem!$W$15,IF(I140="E",O140*Contagem!$W$17,IF(I140="A",O140*Contagem!$W$16,IF(I140="T",O140*Contagem!$W$18,""))))</f>
        <v/>
      </c>
      <c r="Q140" s="55" t="n"/>
    </row>
    <row r="141" ht="12" customHeight="1" s="73">
      <c r="A141" s="14">
        <f>IF(H141="",IF(C141="",A140,A140+1),A140)</f>
        <v/>
      </c>
      <c r="B141" s="48">
        <f>IF(A141=A140,"",CONCATENATE("F",A141))</f>
        <v/>
      </c>
      <c r="C141" s="85" t="inlineStr">
        <is>
          <t>Gatilhos de risco</t>
        </is>
      </c>
      <c r="D141" s="142" t="n"/>
      <c r="E141" s="142" t="n"/>
      <c r="F141" s="142" t="n"/>
      <c r="G141" s="143" t="n"/>
      <c r="H141" s="56" t="n"/>
      <c r="I141" s="57" t="n"/>
      <c r="J141" s="56" t="n"/>
      <c r="K141" s="56" t="n"/>
      <c r="L141" s="50">
        <f>CONCATENATE(H141,M141)</f>
        <v/>
      </c>
      <c r="M141" s="51">
        <f>IF(OR(ISBLANK(J141),ISBLANK(K141)),IF(OR(H141="ALI",H141="AIE"),"L",IF(ISBLANK(H141),"","A")),IF(H141="EE",IF(K141&gt;=3,IF(J141&gt;=5,"H","A"),IF(K141&gt;=2,IF(J141&gt;=16,"H",IF(J141&lt;=4,"L","A")),IF(J141&lt;=15,"L","A"))),IF(OR(H141="SE",H141="CE"),IF(K141&gt;=4,IF(J141&gt;=6,"H","A"),IF(K141&gt;=2,IF(J141&gt;=20,"H",IF(J141&lt;=5,"L","A")),IF(J141&lt;=19,"L","A"))),IF(OR(H141="ALI",H141="AIE"),IF(K141&gt;=6,IF(J141&gt;=20,"H","A"),IF(K141&gt;=2,IF(J141&gt;=51,"H",IF(J141&lt;=19,"L","A")),IF(J141&lt;=50,"L","A")))))))</f>
        <v/>
      </c>
      <c r="N141" s="52">
        <f>IF(M141="L","Baixa",IF(M141="A","Média",IF(M141="","","Alta")))</f>
        <v/>
      </c>
      <c r="O141" s="53">
        <f>IF(ISBLANK(H141),"",IF(H141="ALI",IF(M141="L",7,IF(M141="A",10,15)),IF(H141="AIE",IF(M141="L",5,IF(M141="A",7,10)),IF(H141="SE",IF(M141="L",4,IF(M141="A",5,7)),IF(OR(H141="EE",H141="CE"),IF(M141="L",3,IF(M141="A",4,6)))))))</f>
        <v/>
      </c>
      <c r="P141" s="54">
        <f>IF(I141="I",O141*Contagem!$W$15,IF(I141="E",O141*Contagem!$W$17,IF(I141="A",O141*Contagem!$W$16,IF(I141="T",O141*Contagem!$W$18,""))))</f>
        <v/>
      </c>
      <c r="Q141" s="55" t="n"/>
    </row>
    <row r="142" ht="12" customHeight="1" s="73">
      <c r="A142" s="14">
        <f>IF(H142="",IF(C142="",A141,A141+1),A141)</f>
        <v/>
      </c>
      <c r="B142" s="48">
        <f>IF(A142=A141,"",CONCATENATE("F",A142))</f>
        <v/>
      </c>
      <c r="C142" s="85" t="inlineStr">
        <is>
          <t>Dados - Gatilho de risco</t>
        </is>
      </c>
      <c r="D142" s="142" t="n"/>
      <c r="E142" s="142" t="n"/>
      <c r="F142" s="142" t="n"/>
      <c r="G142" s="143" t="n"/>
      <c r="H142" s="56" t="inlineStr">
        <is>
          <t>ALI</t>
        </is>
      </c>
      <c r="I142" s="57" t="inlineStr">
        <is>
          <t>I</t>
        </is>
      </c>
      <c r="J142" s="56" t="n">
        <v>5</v>
      </c>
      <c r="K142" s="56" t="n">
        <v>1</v>
      </c>
      <c r="L142" s="50">
        <f>CONCATENATE(H142,M142)</f>
        <v/>
      </c>
      <c r="M142" s="51">
        <f>IF(OR(ISBLANK(J142),ISBLANK(K142)),IF(OR(H142="ALI",H142="AIE"),"L",IF(ISBLANK(H142),"","A")),IF(H142="EE",IF(K142&gt;=3,IF(J142&gt;=5,"H","A"),IF(K142&gt;=2,IF(J142&gt;=16,"H",IF(J142&lt;=4,"L","A")),IF(J142&lt;=15,"L","A"))),IF(OR(H142="SE",H142="CE"),IF(K142&gt;=4,IF(J142&gt;=6,"H","A"),IF(K142&gt;=2,IF(J142&gt;=20,"H",IF(J142&lt;=5,"L","A")),IF(J142&lt;=19,"L","A"))),IF(OR(H142="ALI",H142="AIE"),IF(K142&gt;=6,IF(J142&gt;=20,"H","A"),IF(K142&gt;=2,IF(J142&gt;=51,"H",IF(J142&lt;=19,"L","A")),IF(J142&lt;=50,"L","A")))))))</f>
        <v/>
      </c>
      <c r="N142" s="52">
        <f>IF(M142="L","Baixa",IF(M142="A","Média",IF(M142="","","Alta")))</f>
        <v/>
      </c>
      <c r="O142" s="53">
        <f>IF(ISBLANK(H142),"",IF(H142="ALI",IF(M142="L",7,IF(M142="A",10,15)),IF(H142="AIE",IF(M142="L",5,IF(M142="A",7,10)),IF(H142="SE",IF(M142="L",4,IF(M142="A",5,7)),IF(OR(H142="EE",H142="CE"),IF(M142="L",3,IF(M142="A",4,6)))))))</f>
        <v/>
      </c>
      <c r="P142" s="54">
        <f>IF(I142="I",O142*Contagem!$W$15,IF(I142="E",O142*Contagem!$W$17,IF(I142="A",O142*Contagem!$W$16,IF(I142="T",O142*Contagem!$W$18,""))))</f>
        <v/>
      </c>
      <c r="Q142" s="55" t="inlineStr">
        <is>
          <t>Prova: Model RiskTrigger (HasAuditoria); migration 2026_06_14_014719_create_risk_triggers_table. Mantido por RiskTriggerController@update e toggleActivation; os códigos vêm de enum e não há inclusão nem exclusão. Lido pelo motor de risco para tirar o processo do fluxo expresso. Arquivo lógico: cada gatilho decide se o processo vai à análise técnica, com motivo exibido; muda o comportamento do sistema, logo não é dado de código. Teste: tests/Feature/Risco/RiskTriggerCrudTest.php::test_toggle_desativa_gatilho_e_o_motor_para_de_aplicar. TD=5 (código, título, motivo, situação, categoria). TR=1 (Gatilho de risco). Recontagem 16/10/2026: mantida (linha 302 da contagem de 01/10/2026).</t>
        </is>
      </c>
    </row>
    <row r="143" ht="12" customHeight="1" s="73">
      <c r="A143" s="14">
        <f>IF(H143="",IF(C143="",A142,A142+1),A142)</f>
        <v/>
      </c>
      <c r="B143" s="48">
        <f>IF(A143=A142,"",CONCATENATE("F",A143))</f>
        <v/>
      </c>
      <c r="C143" s="85" t="inlineStr">
        <is>
          <t>Gatilhos de risco - consultar</t>
        </is>
      </c>
      <c r="D143" s="142" t="n"/>
      <c r="E143" s="142" t="n"/>
      <c r="F143" s="142" t="n"/>
      <c r="G143" s="143" t="n"/>
      <c r="H143" s="56" t="inlineStr">
        <is>
          <t>CE</t>
        </is>
      </c>
      <c r="I143" s="57" t="inlineStr">
        <is>
          <t>I</t>
        </is>
      </c>
      <c r="J143" s="56" t="n">
        <v>5</v>
      </c>
      <c r="K143" s="56" t="n">
        <v>1</v>
      </c>
      <c r="L143" s="50">
        <f>CONCATENATE(H143,M143)</f>
        <v/>
      </c>
      <c r="M143" s="51">
        <f>IF(OR(ISBLANK(J143),ISBLANK(K143)),IF(OR(H143="ALI",H143="AIE"),"L",IF(ISBLANK(H143),"","A")),IF(H143="EE",IF(K143&gt;=3,IF(J143&gt;=5,"H","A"),IF(K143&gt;=2,IF(J143&gt;=16,"H",IF(J143&lt;=4,"L","A")),IF(J143&lt;=15,"L","A"))),IF(OR(H143="SE",H143="CE"),IF(K143&gt;=4,IF(J143&gt;=6,"H","A"),IF(K143&gt;=2,IF(J143&gt;=20,"H",IF(J143&lt;=5,"L","A")),IF(J143&lt;=19,"L","A"))),IF(OR(H143="ALI",H143="AIE"),IF(K143&gt;=6,IF(J143&gt;=20,"H","A"),IF(K143&gt;=2,IF(J143&gt;=51,"H",IF(J143&lt;=19,"L","A")),IF(J143&lt;=50,"L","A")))))))</f>
        <v/>
      </c>
      <c r="N143" s="52">
        <f>IF(M143="L","Baixa",IF(M143="A","Média",IF(M143="","","Alta")))</f>
        <v/>
      </c>
      <c r="O143" s="53">
        <f>IF(ISBLANK(H143),"",IF(H143="ALI",IF(M143="L",7,IF(M143="A",10,15)),IF(H143="AIE",IF(M143="L",5,IF(M143="A",7,10)),IF(H143="SE",IF(M143="L",4,IF(M143="A",5,7)),IF(OR(H143="EE",H143="CE"),IF(M143="L",3,IF(M143="A",4,6)))))))</f>
        <v/>
      </c>
      <c r="P143" s="54">
        <f>IF(I143="I",O143*Contagem!$W$15,IF(I143="E",O143*Contagem!$W$17,IF(I143="A",O143*Contagem!$W$16,IF(I143="T",O143*Contagem!$W$18,""))))</f>
        <v/>
      </c>
      <c r="Q143" s="55" t="inlineStr">
        <is>
          <t>Prova: Rota GET /gestao/gatilhos-risco (manter-gatilhos-risco). Tela: gestao/gatilhos-risco/index. O gestor lista os gatilhos ordenados por código. Lê Gatilho de risco; não grava. Teste: tests/Feature/Risco/RiskTriggerCrudTest.php::test_lista_exige_permissao. Processo elementar independente: menor unidade com significado para o gestor; completa por si; nada é alterado; lógica única. Classificação: CE, sem cálculo nem derivação (§5.5.3). TD=5 (código, título, motivo, situação, ação). AR=1 (Gatilho de risco). Recontagem 16/10/2026: alterada (linha 303 da contagem de 01/10/2026: "Gatilhos de risco - consultar", CE Baixa 3 PF, TD 6, AR 1). Motivo: TD 6 para 5: a tela mostra só o rótulo do código (codigo_label), não o código técnico e a descrição como campos separados. PF inalterado.</t>
        </is>
      </c>
    </row>
    <row r="144" ht="12" customHeight="1" s="73">
      <c r="A144" s="14">
        <f>IF(H144="",IF(C144="",A143,A143+1),A143)</f>
        <v/>
      </c>
      <c r="B144" s="48">
        <f>IF(A144=A143,"",CONCATENATE("F",A144))</f>
        <v/>
      </c>
      <c r="C144" s="85" t="inlineStr">
        <is>
          <t>Gatilhos de risco - alterar</t>
        </is>
      </c>
      <c r="D144" s="142" t="n"/>
      <c r="E144" s="142" t="n"/>
      <c r="F144" s="142" t="n"/>
      <c r="G144" s="143" t="n"/>
      <c r="H144" s="56" t="inlineStr">
        <is>
          <t>EE</t>
        </is>
      </c>
      <c r="I144" s="57" t="inlineStr">
        <is>
          <t>I</t>
        </is>
      </c>
      <c r="J144" s="56" t="n">
        <v>4</v>
      </c>
      <c r="K144" s="56" t="n">
        <v>2</v>
      </c>
      <c r="L144" s="50">
        <f>CONCATENATE(H144,M144)</f>
        <v/>
      </c>
      <c r="M144" s="51">
        <f>IF(OR(ISBLANK(J144),ISBLANK(K144)),IF(OR(H144="ALI",H144="AIE"),"L",IF(ISBLANK(H144),"","A")),IF(H144="EE",IF(K144&gt;=3,IF(J144&gt;=5,"H","A"),IF(K144&gt;=2,IF(J144&gt;=16,"H",IF(J144&lt;=4,"L","A")),IF(J144&lt;=15,"L","A"))),IF(OR(H144="SE",H144="CE"),IF(K144&gt;=4,IF(J144&gt;=6,"H","A"),IF(K144&gt;=2,IF(J144&gt;=20,"H",IF(J144&lt;=5,"L","A")),IF(J144&lt;=19,"L","A"))),IF(OR(H144="ALI",H144="AIE"),IF(K144&gt;=6,IF(J144&gt;=20,"H","A"),IF(K144&gt;=2,IF(J144&gt;=51,"H",IF(J144&lt;=19,"L","A")),IF(J144&lt;=50,"L","A")))))))</f>
        <v/>
      </c>
      <c r="N144" s="52">
        <f>IF(M144="L","Baixa",IF(M144="A","Média",IF(M144="","","Alta")))</f>
        <v/>
      </c>
      <c r="O144" s="53">
        <f>IF(ISBLANK(H144),"",IF(H144="ALI",IF(M144="L",7,IF(M144="A",10,15)),IF(H144="AIE",IF(M144="L",5,IF(M144="A",7,10)),IF(H144="SE",IF(M144="L",4,IF(M144="A",5,7)),IF(OR(H144="EE",H144="CE"),IF(M144="L",3,IF(M144="A",4,6)))))))</f>
        <v/>
      </c>
      <c r="P144" s="54">
        <f>IF(I144="I",O144*Contagem!$W$15,IF(I144="E",O144*Contagem!$W$17,IF(I144="A",O144*Contagem!$W$16,IF(I144="T",O144*Contagem!$W$18,""))))</f>
        <v/>
      </c>
      <c r="Q144" s="55" t="inlineStr">
        <is>
          <t>Prova: Rota PUT /gestao/gatilhos-risco/{riskTrigger} (manter-gatilhos-risco). Tela: gestao/gatilhos-risco/index. O gestor edita título e motivo (UpdateRiskTriggerRequest); o model grava com auditoria. Teste: tests/Feature/Risco/RiskTriggerCrudTest.php::test_edita_titulo_e_motivo_com_auditoria. Processo elementar independente: menor unidade com significado para o gestor; completa por si; motivo atualizado para o fluxo; lógica única. Classificação: EE, mantém o ALI (§5.5.3). TD=4 (título, motivo, mensagem, ação). AR=2 (Gatilho de risco, Trilha de auditoria). Recontagem 16/10/2026: alterada (linha 304 da contagem de 01/10/2026: "Gatilhos de risco - alterar", EE Baixa 3 PF, TD 4, AR 1). Motivo: AR 1 para 2: RiskTrigger usa HasAuditoria e a alteração grava a Trilha de auditoria (teste test_edita_titulo_e_motivo_com_auditoria). PF inalterado.</t>
        </is>
      </c>
    </row>
    <row r="145" ht="12" customHeight="1" s="73">
      <c r="A145" s="14">
        <f>IF(H145="",IF(C145="",A144,A144+1),A144)</f>
        <v/>
      </c>
      <c r="B145" s="48">
        <f>IF(A145=A144,"",CONCATENATE("F",A145))</f>
        <v/>
      </c>
      <c r="C145" s="85" t="inlineStr">
        <is>
          <t>Gatilhos de risco - ativar ou inativar</t>
        </is>
      </c>
      <c r="D145" s="142" t="n"/>
      <c r="E145" s="142" t="n"/>
      <c r="F145" s="142" t="n"/>
      <c r="G145" s="143" t="n"/>
      <c r="H145" s="56" t="inlineStr">
        <is>
          <t>EE</t>
        </is>
      </c>
      <c r="I145" s="57" t="inlineStr">
        <is>
          <t>I</t>
        </is>
      </c>
      <c r="J145" s="56" t="n">
        <v>4</v>
      </c>
      <c r="K145" s="56" t="n">
        <v>2</v>
      </c>
      <c r="L145" s="50">
        <f>CONCATENATE(H145,M145)</f>
        <v/>
      </c>
      <c r="M145" s="51">
        <f>IF(OR(ISBLANK(J145),ISBLANK(K145)),IF(OR(H145="ALI",H145="AIE"),"L",IF(ISBLANK(H145),"","A")),IF(H145="EE",IF(K145&gt;=3,IF(J145&gt;=5,"H","A"),IF(K145&gt;=2,IF(J145&gt;=16,"H",IF(J145&lt;=4,"L","A")),IF(J145&lt;=15,"L","A"))),IF(OR(H145="SE",H145="CE"),IF(K145&gt;=4,IF(J145&gt;=6,"H","A"),IF(K145&gt;=2,IF(J145&gt;=20,"H",IF(J145&lt;=5,"L","A")),IF(J145&lt;=19,"L","A"))),IF(OR(H145="ALI",H145="AIE"),IF(K145&gt;=6,IF(J145&gt;=20,"H","A"),IF(K145&gt;=2,IF(J145&gt;=51,"H",IF(J145&lt;=19,"L","A")),IF(J145&lt;=50,"L","A")))))))</f>
        <v/>
      </c>
      <c r="N145" s="52">
        <f>IF(M145="L","Baixa",IF(M145="A","Média",IF(M145="","","Alta")))</f>
        <v/>
      </c>
      <c r="O145" s="53">
        <f>IF(ISBLANK(H145),"",IF(H145="ALI",IF(M145="L",7,IF(M145="A",10,15)),IF(H145="AIE",IF(M145="L",5,IF(M145="A",7,10)),IF(H145="SE",IF(M145="L",4,IF(M145="A",5,7)),IF(OR(H145="EE",H145="CE"),IF(M145="L",3,IF(M145="A",4,6)))))))</f>
        <v/>
      </c>
      <c r="P145" s="54">
        <f>IF(I145="I",O145*Contagem!$W$15,IF(I145="E",O145*Contagem!$W$17,IF(I145="A",O145*Contagem!$W$16,IF(I145="T",O145*Contagem!$W$18,""))))</f>
        <v/>
      </c>
      <c r="Q145" s="55" t="inlineStr">
        <is>
          <t>Prova: Rota PUT /gestao/gatilhos-risco/{riskTrigger}/ativacao (manter-gatilhos-risco). Tela: gestao/gatilhos-risco/index. O gestor liga ou desliga o gatilho; desligado, o motor deixa de encaminhar à análise. Teste: tests/Feature/Risco/RiskTriggerCrudTest.php::test_toggle_desativa_gatilho_e_o_motor_para_de_aplicar. Processo elementar independente: menor unidade com significado para o gestor; completa por si; lógica própria que muda o roteamento do expresso. Classificação: EE, mantém o ALI e altera o comportamento (§5.5.3). TD=4 (gatilho, situação, mensagem, ação). AR=2 (Gatilho de risco, Trilha de auditoria). Recontagem 16/10/2026: alterada (linha 305 da contagem de 01/10/2026: "Gatilhos de risco - ativar ou inativar", EE Baixa 3 PF, TD 4, AR 1). Motivo: AR 1 para 2: a mudança de situação grava a Trilha de auditoria pelo HasAuditoria. PF inalterado.</t>
        </is>
      </c>
    </row>
    <row r="146" ht="12" customHeight="1" s="73">
      <c r="A146" s="14">
        <f>IF(H146="",IF(C146="",A145,A145+1),A145)</f>
        <v/>
      </c>
      <c r="B146" s="48">
        <f>IF(A146=A145,"",CONCATENATE("F",A146))</f>
        <v/>
      </c>
      <c r="C146" s="85" t="n"/>
      <c r="D146" s="142" t="n"/>
      <c r="E146" s="142" t="n"/>
      <c r="F146" s="142" t="n"/>
      <c r="G146" s="143" t="n"/>
      <c r="H146" s="56" t="n"/>
      <c r="I146" s="57" t="n"/>
      <c r="J146" s="56" t="n"/>
      <c r="K146" s="56" t="n"/>
      <c r="L146" s="50">
        <f>CONCATENATE(H146,M146)</f>
        <v/>
      </c>
      <c r="M146" s="51">
        <f>IF(OR(ISBLANK(J146),ISBLANK(K146)),IF(OR(H146="ALI",H146="AIE"),"L",IF(ISBLANK(H146),"","A")),IF(H146="EE",IF(K146&gt;=3,IF(J146&gt;=5,"H","A"),IF(K146&gt;=2,IF(J146&gt;=16,"H",IF(J146&lt;=4,"L","A")),IF(J146&lt;=15,"L","A"))),IF(OR(H146="SE",H146="CE"),IF(K146&gt;=4,IF(J146&gt;=6,"H","A"),IF(K146&gt;=2,IF(J146&gt;=20,"H",IF(J146&lt;=5,"L","A")),IF(J146&lt;=19,"L","A"))),IF(OR(H146="ALI",H146="AIE"),IF(K146&gt;=6,IF(J146&gt;=20,"H","A"),IF(K146&gt;=2,IF(J146&gt;=51,"H",IF(J146&lt;=19,"L","A")),IF(J146&lt;=50,"L","A")))))))</f>
        <v/>
      </c>
      <c r="N146" s="52">
        <f>IF(M146="L","Baixa",IF(M146="A","Média",IF(M146="","","Alta")))</f>
        <v/>
      </c>
      <c r="O146" s="53">
        <f>IF(ISBLANK(H146),"",IF(H146="ALI",IF(M146="L",7,IF(M146="A",10,15)),IF(H146="AIE",IF(M146="L",5,IF(M146="A",7,10)),IF(H146="SE",IF(M146="L",4,IF(M146="A",5,7)),IF(OR(H146="EE",H146="CE"),IF(M146="L",3,IF(M146="A",4,6)))))))</f>
        <v/>
      </c>
      <c r="P146" s="54">
        <f>IF(I146="I",O146*Contagem!$W$15,IF(I146="E",O146*Contagem!$W$17,IF(I146="A",O146*Contagem!$W$16,IF(I146="T",O146*Contagem!$W$18,""))))</f>
        <v/>
      </c>
      <c r="Q146" s="55" t="n"/>
    </row>
    <row r="147" ht="12" customHeight="1" s="73">
      <c r="A147" s="14">
        <f>IF(H147="",IF(C147="",A146,A146+1),A146)</f>
        <v/>
      </c>
      <c r="B147" s="48">
        <f>IF(A147=A146,"",CONCATENATE("F",A147))</f>
        <v/>
      </c>
      <c r="C147" s="85" t="inlineStr">
        <is>
          <t>Quadro 10 da LOUOS (permissão de uso por zona)</t>
        </is>
      </c>
      <c r="D147" s="142" t="n"/>
      <c r="E147" s="142" t="n"/>
      <c r="F147" s="142" t="n"/>
      <c r="G147" s="143" t="n"/>
      <c r="H147" s="56" t="n"/>
      <c r="I147" s="57" t="n"/>
      <c r="J147" s="56" t="n"/>
      <c r="K147" s="56" t="n"/>
      <c r="L147" s="50">
        <f>CONCATENATE(H147,M147)</f>
        <v/>
      </c>
      <c r="M147" s="51">
        <f>IF(OR(ISBLANK(J147),ISBLANK(K147)),IF(OR(H147="ALI",H147="AIE"),"L",IF(ISBLANK(H147),"","A")),IF(H147="EE",IF(K147&gt;=3,IF(J147&gt;=5,"H","A"),IF(K147&gt;=2,IF(J147&gt;=16,"H",IF(J147&lt;=4,"L","A")),IF(J147&lt;=15,"L","A"))),IF(OR(H147="SE",H147="CE"),IF(K147&gt;=4,IF(J147&gt;=6,"H","A"),IF(K147&gt;=2,IF(J147&gt;=20,"H",IF(J147&lt;=5,"L","A")),IF(J147&lt;=19,"L","A"))),IF(OR(H147="ALI",H147="AIE"),IF(K147&gt;=6,IF(J147&gt;=20,"H","A"),IF(K147&gt;=2,IF(J147&gt;=51,"H",IF(J147&lt;=19,"L","A")),IF(J147&lt;=50,"L","A")))))))</f>
        <v/>
      </c>
      <c r="N147" s="52">
        <f>IF(M147="L","Baixa",IF(M147="A","Média",IF(M147="","","Alta")))</f>
        <v/>
      </c>
      <c r="O147" s="53">
        <f>IF(ISBLANK(H147),"",IF(H147="ALI",IF(M147="L",7,IF(M147="A",10,15)),IF(H147="AIE",IF(M147="L",5,IF(M147="A",7,10)),IF(H147="SE",IF(M147="L",4,IF(M147="A",5,7)),IF(OR(H147="EE",H147="CE"),IF(M147="L",3,IF(M147="A",4,6)))))))</f>
        <v/>
      </c>
      <c r="P147" s="54">
        <f>IF(I147="I",O147*Contagem!$W$15,IF(I147="E",O147*Contagem!$W$17,IF(I147="A",O147*Contagem!$W$16,IF(I147="T",O147*Contagem!$W$18,""))))</f>
        <v/>
      </c>
      <c r="Q147" s="55" t="n"/>
    </row>
    <row r="148" ht="12" customHeight="1" s="73">
      <c r="A148" s="14">
        <f>IF(H148="",IF(C148="",A147,A147+1),A147)</f>
        <v/>
      </c>
      <c r="B148" s="48">
        <f>IF(A148=A147,"",CONCATENATE("F",A148))</f>
        <v/>
      </c>
      <c r="C148" s="85" t="inlineStr">
        <is>
          <t>Dados - Permissão de uso por zona (Quadro 10)</t>
        </is>
      </c>
      <c r="D148" s="142" t="n"/>
      <c r="E148" s="142" t="n"/>
      <c r="F148" s="142" t="n"/>
      <c r="G148" s="143" t="n"/>
      <c r="H148" s="56" t="inlineStr">
        <is>
          <t>ALI</t>
        </is>
      </c>
      <c r="I148" s="57" t="inlineStr">
        <is>
          <t>I</t>
        </is>
      </c>
      <c r="J148" s="56" t="n">
        <v>15</v>
      </c>
      <c r="K148" s="56" t="n">
        <v>2</v>
      </c>
      <c r="L148" s="50">
        <f>CONCATENATE(H148,M148)</f>
        <v/>
      </c>
      <c r="M148" s="51">
        <f>IF(OR(ISBLANK(J148),ISBLANK(K148)),IF(OR(H148="ALI",H148="AIE"),"L",IF(ISBLANK(H148),"","A")),IF(H148="EE",IF(K148&gt;=3,IF(J148&gt;=5,"H","A"),IF(K148&gt;=2,IF(J148&gt;=16,"H",IF(J148&lt;=4,"L","A")),IF(J148&lt;=15,"L","A"))),IF(OR(H148="SE",H148="CE"),IF(K148&gt;=4,IF(J148&gt;=6,"H","A"),IF(K148&gt;=2,IF(J148&gt;=20,"H",IF(J148&lt;=5,"L","A")),IF(J148&lt;=19,"L","A"))),IF(OR(H148="ALI",H148="AIE"),IF(K148&gt;=6,IF(J148&gt;=20,"H","A"),IF(K148&gt;=2,IF(J148&gt;=51,"H",IF(J148&lt;=19,"L","A")),IF(J148&lt;=50,"L","A")))))))</f>
        <v/>
      </c>
      <c r="N148" s="52">
        <f>IF(M148="L","Baixa",IF(M148="A","Média",IF(M148="","","Alta")))</f>
        <v/>
      </c>
      <c r="O148" s="53">
        <f>IF(ISBLANK(H148),"",IF(H148="ALI",IF(M148="L",7,IF(M148="A",10,15)),IF(H148="AIE",IF(M148="L",5,IF(M148="A",7,10)),IF(H148="SE",IF(M148="L",4,IF(M148="A",5,7)),IF(OR(H148="EE",H148="CE"),IF(M148="L",3,IF(M148="A",4,6)))))))</f>
        <v/>
      </c>
      <c r="P148" s="54">
        <f>IF(I148="I",O148*Contagem!$W$15,IF(I148="E",O148*Contagem!$W$17,IF(I148="A",O148*Contagem!$W$16,IF(I148="T",O148*Contagem!$W$18,""))))</f>
        <v/>
      </c>
      <c r="Q148" s="55" t="inlineStr">
        <is>
          <t>Prova: Model app/Models/LouosQuadro10Permissao.php e app/Models/RuleVersion.php (domínio RuleDomain::LouosQuadro10); migrations database/migrations/2026_06_14_045748_create_louos_quadro10_permissoes_table.php, 2026_06_14_052540_add_unique_indexes_to_louos_quadro10_and_quadro11_tables.php e 2026_06_14_013329_create_rule_versions_table.php. Mantido pelo rascunho da LOUOS (LouosDraftController, LouosDraftService, LouosQuadro10ImportService, LouosQuadroCopier) e por RuleVersionService (publicar, ativar). Lido pelo motor (LouosEnquadramentoService, inclusive a observação (a)/(b) que liga a regra RT-05). Teste: tests/Feature/Louos/LouosDraftServiceTest.php::test_crud_quadro10_e_quadro11a. Arquivo lógico: quadro legal da LOUOS (Lei 9.148/2016) reconhecido pelo gestor, versionado e publicado por quatro olhos. Teste de independência (CPM 4.3.1 Parte 1 §5.4.2 c e Parte 3 Cap. 2, Método de (In)Dependência de Entidades, Situação 1): a linha só existe ligada a uma versão (rule_version_id NOT NULL com cascadeOnDelete na migration) e a exclusão da versão elimina as linhas; o cabeçalho de versão (tabela física compartilhada rule_versions, tipada pela coluna domain) só tem sentido para o usuário como versão deste conjunto normativo. Versão e linhas formam um único arquivo lógico, com a versão como RLR. Não é dado de código: a permissão por zona e grupo de uso decide a viabilidade locacional. TD=15 (zona, grupo de uso, subgrupo, permissão, referência de condicionante, base legal, observação, versão, situação da versão (rascunho, vigente, substituída), vigência inicial, vigência final, fonte, publicada em, autor do rascunho, publicador). TR=2 (Linha de permissão por zona, Versão do Quadro 10). Recontagem 16/10/2026: alterada (linha 498 da contagem de 01/10/2026: "Dados - Permissão de uso por zona (Quadro 10)", ALI Baixa 7 PF, TD 8, AR 1). Motivo: Absorve como RLR o cabeçalho de versão do domínio louos_quadro10, antes contado no ALI Dados - Versão de regras (linha 510, removida). TD 8→15, TR 1→2; complexidade continua Baixa (7 PF).</t>
        </is>
      </c>
    </row>
    <row r="149" ht="12" customHeight="1" s="73">
      <c r="A149" s="14">
        <f>IF(H149="",IF(C149="",A148,A148+1),A148)</f>
        <v/>
      </c>
      <c r="B149" s="48">
        <f>IF(A149=A148,"",CONCATENATE("F",A149))</f>
        <v/>
      </c>
      <c r="C149" s="85" t="inlineStr">
        <is>
          <t>Quadro 10 da LOUOS - consultar rascunho</t>
        </is>
      </c>
      <c r="D149" s="142" t="n"/>
      <c r="E149" s="142" t="n"/>
      <c r="F149" s="142" t="n"/>
      <c r="G149" s="143" t="n"/>
      <c r="H149" s="56" t="inlineStr">
        <is>
          <t>SE</t>
        </is>
      </c>
      <c r="I149" s="57" t="inlineStr">
        <is>
          <t>I</t>
        </is>
      </c>
      <c r="J149" s="56" t="n">
        <v>13</v>
      </c>
      <c r="K149" s="56" t="n">
        <v>2</v>
      </c>
      <c r="L149" s="50">
        <f>CONCATENATE(H149,M149)</f>
        <v/>
      </c>
      <c r="M149" s="51">
        <f>IF(OR(ISBLANK(J149),ISBLANK(K149)),IF(OR(H149="ALI",H149="AIE"),"L",IF(ISBLANK(H149),"","A")),IF(H149="EE",IF(K149&gt;=3,IF(J149&gt;=5,"H","A"),IF(K149&gt;=2,IF(J149&gt;=16,"H",IF(J149&lt;=4,"L","A")),IF(J149&lt;=15,"L","A"))),IF(OR(H149="SE",H149="CE"),IF(K149&gt;=4,IF(J149&gt;=6,"H","A"),IF(K149&gt;=2,IF(J149&gt;=20,"H",IF(J149&lt;=5,"L","A")),IF(J149&lt;=19,"L","A"))),IF(OR(H149="ALI",H149="AIE"),IF(K149&gt;=6,IF(J149&gt;=20,"H","A"),IF(K149&gt;=2,IF(J149&gt;=51,"H",IF(J149&lt;=19,"L","A")),IF(J149&lt;=50,"L","A")))))))</f>
        <v/>
      </c>
      <c r="N149" s="52">
        <f>IF(M149="L","Baixa",IF(M149="A","Média",IF(M149="","","Alta")))</f>
        <v/>
      </c>
      <c r="O149" s="53">
        <f>IF(ISBLANK(H149),"",IF(H149="ALI",IF(M149="L",7,IF(M149="A",10,15)),IF(H149="AIE",IF(M149="L",5,IF(M149="A",7,10)),IF(H149="SE",IF(M149="L",4,IF(M149="A",5,7)),IF(OR(H149="EE",H149="CE"),IF(M149="L",3,IF(M149="A",4,6)))))))</f>
        <v/>
      </c>
      <c r="P149" s="54">
        <f>IF(I149="I",O149*Contagem!$W$15,IF(I149="E",O149*Contagem!$W$17,IF(I149="A",O149*Contagem!$W$16,IF(I149="T",O149*Contagem!$W$18,""))))</f>
        <v/>
      </c>
      <c r="Q149" s="55" t="inlineStr">
        <is>
          <t>Prova: Rota GET /gestao/louos/rascunho?quadro=quadro10 (manter-louos). Tela: gestao/louos/rascunho. O gestor abre o rascunho do Quadro 10; LouosDraftController::show lista as linhas do rascunho com busca e LouosDraftService::diff compara por chave natural com a vigente. Lê o Quadro 10 (versões e linhas) e o Usuário autor. Teste: tests/Feature/Louos/LouosDraftEndpointsTest.php::test_manter_louos_abre_rascunho_e_ve_pagina; tests/Feature/Louos/LouosDraftServiceTest.php::test_diff_conta_novas_alteradas_e_excluidas. Processo elementar independente: completo para o gestor conferir o rascunho antes de publicar; nada é gravado; lógica própria de comparação com a vigente. Classificação: SE, porque apresenta dados derivados (quantidade de linhas novas, alteradas e excluídas calculada contra a vigente), §5.5.3. TD=13 (versão do rascunho, autor do rascunho, zona, grupo de uso, subgrupo, permissão, referência de condicionante, base legal, linhas novas, linhas alteradas, linhas excluídas, busca, ação consultar). AR=2 (Permissão de uso por zona (Quadro 10), Usuário). Recontagem 16/10/2026: alterada (linha 224 da contagem de 01/10/2026: "Quadros LOUOS - consultar rascunho", SE Alta 7 PF, TD 15, AR 4). Motivo: Desmembrada por quadro: a linha anterior juntava Quadro 10 e 11A com DER e FTR somados, mas cada execução trata um só quadro, com campos e arquivo diferentes (unicidade, CPM 4.3.1 Parte 1 §5.5.2.2). A parte do Quadro 11A virou função própria. Versão de regras deixa de ser FTR (passou a RLR do Quadro 10). TD 15→13, AR 4→2; SE Alta→Média (7→5).</t>
        </is>
      </c>
    </row>
    <row r="150" ht="12" customHeight="1" s="73">
      <c r="A150" s="14">
        <f>IF(H150="",IF(C150="",A149,A149+1),A149)</f>
        <v/>
      </c>
      <c r="B150" s="48">
        <f>IF(A150=A149,"",CONCATENATE("F",A150))</f>
        <v/>
      </c>
      <c r="C150" s="85" t="inlineStr">
        <is>
          <t>Quadro 10 da LOUOS - abrir rascunho</t>
        </is>
      </c>
      <c r="D150" s="142" t="n"/>
      <c r="E150" s="142" t="n"/>
      <c r="F150" s="142" t="n"/>
      <c r="G150" s="143" t="n"/>
      <c r="H150" s="56" t="inlineStr">
        <is>
          <t>EE</t>
        </is>
      </c>
      <c r="I150" s="57" t="inlineStr">
        <is>
          <t>I</t>
        </is>
      </c>
      <c r="J150" s="56" t="n">
        <v>3</v>
      </c>
      <c r="K150" s="56" t="n">
        <v>2</v>
      </c>
      <c r="L150" s="50">
        <f>CONCATENATE(H150,M150)</f>
        <v/>
      </c>
      <c r="M150" s="51">
        <f>IF(OR(ISBLANK(J150),ISBLANK(K150)),IF(OR(H150="ALI",H150="AIE"),"L",IF(ISBLANK(H150),"","A")),IF(H150="EE",IF(K150&gt;=3,IF(J150&gt;=5,"H","A"),IF(K150&gt;=2,IF(J150&gt;=16,"H",IF(J150&lt;=4,"L","A")),IF(J150&lt;=15,"L","A"))),IF(OR(H150="SE",H150="CE"),IF(K150&gt;=4,IF(J150&gt;=6,"H","A"),IF(K150&gt;=2,IF(J150&gt;=20,"H",IF(J150&lt;=5,"L","A")),IF(J150&lt;=19,"L","A"))),IF(OR(H150="ALI",H150="AIE"),IF(K150&gt;=6,IF(J150&gt;=20,"H","A"),IF(K150&gt;=2,IF(J150&gt;=51,"H",IF(J150&lt;=19,"L","A")),IF(J150&lt;=50,"L","A")))))))</f>
        <v/>
      </c>
      <c r="N150" s="52">
        <f>IF(M150="L","Baixa",IF(M150="A","Média",IF(M150="","","Alta")))</f>
        <v/>
      </c>
      <c r="O150" s="53">
        <f>IF(ISBLANK(H150),"",IF(H150="ALI",IF(M150="L",7,IF(M150="A",10,15)),IF(H150="AIE",IF(M150="L",5,IF(M150="A",7,10)),IF(H150="SE",IF(M150="L",4,IF(M150="A",5,7)),IF(OR(H150="EE",H150="CE"),IF(M150="L",3,IF(M150="A",4,6)))))))</f>
        <v/>
      </c>
      <c r="P150" s="54">
        <f>IF(I150="I",O150*Contagem!$W$15,IF(I150="E",O150*Contagem!$W$17,IF(I150="A",O150*Contagem!$W$16,IF(I150="T",O150*Contagem!$W$18,""))))</f>
        <v/>
      </c>
      <c r="Q150" s="55" t="inlineStr">
        <is>
          <t>Prova: Rota POST /gestao/louos/rascunho com quadro=quadro10 (manter-louos). Tela: gestao/louos/rascunho. O gestor informa a versão; LouosDraftService::abrirOuRetomar cria a versão em rascunho (RuleVersionService::openDraft), copia as linhas da vigente (LouosQuadroCopier) e audita rascunho-aberto; se já há rascunho, retoma. Teste: tests/Feature/Louos/LouosDraftServiceTest.php::test_abrir_rascunho_materializa_linhas_da_vigente. Processo elementar independente: deixa um rascunho editável coexistindo com a vigente; lógica própria (cópia integral e versão única por domínio). Classificação: EE, mantém o Quadro 10. TD=3 (versão, mensagem, ação abrir). AR=2 (Permissão de uso por zona (Quadro 10), Trilha de auditoria). Recontagem 16/10/2026: alterada (linha 225 da contagem de 01/10/2026: "Quadros LOUOS - abrir rascunho", EE Média 4 PF, TD 4, AR 4). Motivo: Desmembrada por quadro (unicidade §5.5.2.2). Versão de regras passa a RLR do Quadro 10. TD 4→3 (o seletor de quadro deixa de ser DER, pois a função é de um só quadro), AR 4→2; Média→Baixa (4→3).</t>
        </is>
      </c>
    </row>
    <row r="151" ht="12" customHeight="1" s="73">
      <c r="A151" s="14">
        <f>IF(H151="",IF(C151="",A150,A150+1),A150)</f>
        <v/>
      </c>
      <c r="B151" s="48">
        <f>IF(A151=A150,"",CONCATENATE("F",A151))</f>
        <v/>
      </c>
      <c r="C151" s="85" t="inlineStr">
        <is>
          <t>Quadro 10 da LOUOS - incluir linha no rascunho</t>
        </is>
      </c>
      <c r="D151" s="142" t="n"/>
      <c r="E151" s="142" t="n"/>
      <c r="F151" s="142" t="n"/>
      <c r="G151" s="143" t="n"/>
      <c r="H151" s="56" t="inlineStr">
        <is>
          <t>EE</t>
        </is>
      </c>
      <c r="I151" s="57" t="inlineStr">
        <is>
          <t>I</t>
        </is>
      </c>
      <c r="J151" s="56" t="n">
        <v>8</v>
      </c>
      <c r="K151" s="56" t="n">
        <v>2</v>
      </c>
      <c r="L151" s="50">
        <f>CONCATENATE(H151,M151)</f>
        <v/>
      </c>
      <c r="M151" s="51">
        <f>IF(OR(ISBLANK(J151),ISBLANK(K151)),IF(OR(H151="ALI",H151="AIE"),"L",IF(ISBLANK(H151),"","A")),IF(H151="EE",IF(K151&gt;=3,IF(J151&gt;=5,"H","A"),IF(K151&gt;=2,IF(J151&gt;=16,"H",IF(J151&lt;=4,"L","A")),IF(J151&lt;=15,"L","A"))),IF(OR(H151="SE",H151="CE"),IF(K151&gt;=4,IF(J151&gt;=6,"H","A"),IF(K151&gt;=2,IF(J151&gt;=20,"H",IF(J151&lt;=5,"L","A")),IF(J151&lt;=19,"L","A"))),IF(OR(H151="ALI",H151="AIE"),IF(K151&gt;=6,IF(J151&gt;=20,"H","A"),IF(K151&gt;=2,IF(J151&gt;=51,"H",IF(J151&lt;=19,"L","A")),IF(J151&lt;=50,"L","A")))))))</f>
        <v/>
      </c>
      <c r="N151" s="52">
        <f>IF(M151="L","Baixa",IF(M151="A","Média",IF(M151="","","Alta")))</f>
        <v/>
      </c>
      <c r="O151" s="53">
        <f>IF(ISBLANK(H151),"",IF(H151="ALI",IF(M151="L",7,IF(M151="A",10,15)),IF(H151="AIE",IF(M151="L",5,IF(M151="A",7,10)),IF(H151="SE",IF(M151="L",4,IF(M151="A",5,7)),IF(OR(H151="EE",H151="CE"),IF(M151="L",3,IF(M151="A",4,6)))))))</f>
        <v/>
      </c>
      <c r="P151" s="54">
        <f>IF(I151="I",O151*Contagem!$W$15,IF(I151="E",O151*Contagem!$W$17,IF(I151="A",O151*Contagem!$W$16,IF(I151="T",O151*Contagem!$W$18,""))))</f>
        <v/>
      </c>
      <c r="Q151" s="55" t="inlineStr">
        <is>
          <t>Prova: Rota POST /gestao/louos/rascunho/linhas com quadro=quadro10 (manter-louos). Tela: gestao/louos/rascunho (campos de ALTERACAO_FIELDS.quadro10). LouosDraftService::inserirLinha valida (LouosLinhaRules), recusa chave natural repetida (zona, grupo de uso, subgrupo), grava a linha no rascunho e audita. Teste: tests/Feature/Louos/LouosDraftEndpointsTest.php::test_store_update_destroy_linha_via_http. Processo elementar independente: completo (preenche a linha e recebe confirmação); vigente intacta. Classificação: EE, mantém o Quadro 10. TD=8 (zona, grupo de uso, subgrupo, permissão, referência de condicionante, base legal, mensagem, ação salvar). AR=2 (Permissão de uso por zona (Quadro 10), Trilha de auditoria). Recontagem 16/10/2026: alterada (linha 226 da contagem de 01/10/2026: "Quadros LOUOS - incluir linha", EE Alta 6 PF, TD 12, AR 4). Motivo: Desmembrada por quadro (unicidade §5.5.2.2): campos do Quadro 10 (zona, subgrupo, permissão, condicionante) diferem dos do 11A. Observação saiu dos DER: o formulário (resources/js/pages/gestao/louos/quadro-fields.ts) não a oferece. TD 12→8, AR 4→2; Alta→Média (6→4).</t>
        </is>
      </c>
    </row>
    <row r="152" ht="12" customHeight="1" s="73">
      <c r="A152" s="14">
        <f>IF(H152="",IF(C152="",A151,A151+1),A151)</f>
        <v/>
      </c>
      <c r="B152" s="48">
        <f>IF(A152=A151,"",CONCATENATE("F",A152))</f>
        <v/>
      </c>
      <c r="C152" s="85" t="inlineStr">
        <is>
          <t>Quadro 10 da LOUOS - alterar linha do rascunho</t>
        </is>
      </c>
      <c r="D152" s="142" t="n"/>
      <c r="E152" s="142" t="n"/>
      <c r="F152" s="142" t="n"/>
      <c r="G152" s="143" t="n"/>
      <c r="H152" s="56" t="inlineStr">
        <is>
          <t>EE</t>
        </is>
      </c>
      <c r="I152" s="57" t="inlineStr">
        <is>
          <t>I</t>
        </is>
      </c>
      <c r="J152" s="56" t="n">
        <v>8</v>
      </c>
      <c r="K152" s="56" t="n">
        <v>2</v>
      </c>
      <c r="L152" s="50">
        <f>CONCATENATE(H152,M152)</f>
        <v/>
      </c>
      <c r="M152" s="51">
        <f>IF(OR(ISBLANK(J152),ISBLANK(K152)),IF(OR(H152="ALI",H152="AIE"),"L",IF(ISBLANK(H152),"","A")),IF(H152="EE",IF(K152&gt;=3,IF(J152&gt;=5,"H","A"),IF(K152&gt;=2,IF(J152&gt;=16,"H",IF(J152&lt;=4,"L","A")),IF(J152&lt;=15,"L","A"))),IF(OR(H152="SE",H152="CE"),IF(K152&gt;=4,IF(J152&gt;=6,"H","A"),IF(K152&gt;=2,IF(J152&gt;=20,"H",IF(J152&lt;=5,"L","A")),IF(J152&lt;=19,"L","A"))),IF(OR(H152="ALI",H152="AIE"),IF(K152&gt;=6,IF(J152&gt;=20,"H","A"),IF(K152&gt;=2,IF(J152&gt;=51,"H",IF(J152&lt;=19,"L","A")),IF(J152&lt;=50,"L","A")))))))</f>
        <v/>
      </c>
      <c r="N152" s="52">
        <f>IF(M152="L","Baixa",IF(M152="A","Média",IF(M152="","","Alta")))</f>
        <v/>
      </c>
      <c r="O152" s="53">
        <f>IF(ISBLANK(H152),"",IF(H152="ALI",IF(M152="L",7,IF(M152="A",10,15)),IF(H152="AIE",IF(M152="L",5,IF(M152="A",7,10)),IF(H152="SE",IF(M152="L",4,IF(M152="A",5,7)),IF(OR(H152="EE",H152="CE"),IF(M152="L",3,IF(M152="A",4,6)))))))</f>
        <v/>
      </c>
      <c r="P152" s="54">
        <f>IF(I152="I",O152*Contagem!$W$15,IF(I152="E",O152*Contagem!$W$17,IF(I152="A",O152*Contagem!$W$16,IF(I152="T",O152*Contagem!$W$18,""))))</f>
        <v/>
      </c>
      <c r="Q152" s="55" t="inlineStr">
        <is>
          <t>Prova: Rota PUT /gestao/louos/rascunho/linhas/{linha} com quadro=quadro10 (manter-louos). Tela: gestao/louos/rascunho. LouosDraftService::alterarLinha só aceita linha do rascunho aberto, checa a chave natural excluindo a própria linha, grava e audita. Teste: tests/Feature/Louos/LouosDraftEndpointsTest.php::test_store_update_destroy_linha_via_http. Processo elementar independente: corrige uma regra antes da publicação sem tocar a vigente. Classificação: EE, mantém o Quadro 10. TD=8 (zona, grupo de uso, subgrupo, permissão, referência de condicionante, base legal, mensagem, ação salvar). AR=2 (Permissão de uso por zona (Quadro 10), Trilha de auditoria). Recontagem 16/10/2026: alterada (linha 227 da contagem de 01/10/2026: "Quadros LOUOS - alterar linha", EE Alta 6 PF, TD 12, AR 4). Motivo: Desmembrada por quadro (unicidade §5.5.2.2). TD 12→8, AR 4→2; Alta→Média (6→4).</t>
        </is>
      </c>
    </row>
    <row r="153" ht="12" customHeight="1" s="73">
      <c r="A153" s="14">
        <f>IF(H153="",IF(C153="",A152,A152+1),A152)</f>
        <v/>
      </c>
      <c r="B153" s="48">
        <f>IF(A153=A152,"",CONCATENATE("F",A153))</f>
        <v/>
      </c>
      <c r="C153" s="85" t="inlineStr">
        <is>
          <t>Quadro 10 da LOUOS - excluir linha do rascunho</t>
        </is>
      </c>
      <c r="D153" s="142" t="n"/>
      <c r="E153" s="142" t="n"/>
      <c r="F153" s="142" t="n"/>
      <c r="G153" s="143" t="n"/>
      <c r="H153" s="56" t="inlineStr">
        <is>
          <t>EE</t>
        </is>
      </c>
      <c r="I153" s="57" t="inlineStr">
        <is>
          <t>I</t>
        </is>
      </c>
      <c r="J153" s="56" t="n">
        <v>3</v>
      </c>
      <c r="K153" s="56" t="n">
        <v>2</v>
      </c>
      <c r="L153" s="50">
        <f>CONCATENATE(H153,M153)</f>
        <v/>
      </c>
      <c r="M153" s="51">
        <f>IF(OR(ISBLANK(J153),ISBLANK(K153)),IF(OR(H153="ALI",H153="AIE"),"L",IF(ISBLANK(H153),"","A")),IF(H153="EE",IF(K153&gt;=3,IF(J153&gt;=5,"H","A"),IF(K153&gt;=2,IF(J153&gt;=16,"H",IF(J153&lt;=4,"L","A")),IF(J153&lt;=15,"L","A"))),IF(OR(H153="SE",H153="CE"),IF(K153&gt;=4,IF(J153&gt;=6,"H","A"),IF(K153&gt;=2,IF(J153&gt;=20,"H",IF(J153&lt;=5,"L","A")),IF(J153&lt;=19,"L","A"))),IF(OR(H153="ALI",H153="AIE"),IF(K153&gt;=6,IF(J153&gt;=20,"H","A"),IF(K153&gt;=2,IF(J153&gt;=51,"H",IF(J153&lt;=19,"L","A")),IF(J153&lt;=50,"L","A")))))))</f>
        <v/>
      </c>
      <c r="N153" s="52">
        <f>IF(M153="L","Baixa",IF(M153="A","Média",IF(M153="","","Alta")))</f>
        <v/>
      </c>
      <c r="O153" s="53">
        <f>IF(ISBLANK(H153),"",IF(H153="ALI",IF(M153="L",7,IF(M153="A",10,15)),IF(H153="AIE",IF(M153="L",5,IF(M153="A",7,10)),IF(H153="SE",IF(M153="L",4,IF(M153="A",5,7)),IF(OR(H153="EE",H153="CE"),IF(M153="L",3,IF(M153="A",4,6)))))))</f>
        <v/>
      </c>
      <c r="P153" s="54">
        <f>IF(I153="I",O153*Contagem!$W$15,IF(I153="E",O153*Contagem!$W$17,IF(I153="A",O153*Contagem!$W$16,IF(I153="T",O153*Contagem!$W$18,""))))</f>
        <v/>
      </c>
      <c r="Q153" s="55" t="inlineStr">
        <is>
          <t>Prova: Rota DELETE /gestao/louos/rascunho/linhas/{linha} com quadro=quadro10 (manter-louos). Tela: gestao/louos/rascunho (modal Excluir linha). LouosDraftService::excluirLinha remove só linha do rascunho aberto e audita. Teste: tests/Feature/Louos/LouosDraftServiceTest.php::test_inserir_alterar_e_excluir_linha_so_no_rascunho. Processo elementar independente: retira a regra do rascunho com a vigente preservada. Classificação: EE, mantém o Quadro 10. TD=3 (linha selecionada, mensagem, ação excluir). AR=2 (Permissão de uso por zona (Quadro 10), Trilha de auditoria). Recontagem 16/10/2026: alterada (linha 228 da contagem de 01/10/2026: "Quadros LOUOS - excluir linha", EE Média 4 PF, TD 3, AR 4). Motivo: Desmembrada por quadro (unicidade §5.5.2.2). AR 4→2; Média→Baixa (4→3).</t>
        </is>
      </c>
    </row>
    <row r="154" ht="12" customHeight="1" s="73">
      <c r="A154" s="14">
        <f>IF(H154="",IF(C154="",A153,A153+1),A153)</f>
        <v/>
      </c>
      <c r="B154" s="48">
        <f>IF(A154=A153,"",CONCATENATE("F",A154))</f>
        <v/>
      </c>
      <c r="C154" s="85" t="inlineStr">
        <is>
          <t>Quadro 10 da LOUOS - importar CSV no rascunho</t>
        </is>
      </c>
      <c r="D154" s="142" t="n"/>
      <c r="E154" s="142" t="n"/>
      <c r="F154" s="142" t="n"/>
      <c r="G154" s="143" t="n"/>
      <c r="H154" s="56" t="inlineStr">
        <is>
          <t>EE</t>
        </is>
      </c>
      <c r="I154" s="57" t="inlineStr">
        <is>
          <t>I</t>
        </is>
      </c>
      <c r="J154" s="56" t="n">
        <v>14</v>
      </c>
      <c r="K154" s="56" t="n">
        <v>2</v>
      </c>
      <c r="L154" s="50">
        <f>CONCATENATE(H154,M154)</f>
        <v/>
      </c>
      <c r="M154" s="51">
        <f>IF(OR(ISBLANK(J154),ISBLANK(K154)),IF(OR(H154="ALI",H154="AIE"),"L",IF(ISBLANK(H154),"","A")),IF(H154="EE",IF(K154&gt;=3,IF(J154&gt;=5,"H","A"),IF(K154&gt;=2,IF(J154&gt;=16,"H",IF(J154&lt;=4,"L","A")),IF(J154&lt;=15,"L","A"))),IF(OR(H154="SE",H154="CE"),IF(K154&gt;=4,IF(J154&gt;=6,"H","A"),IF(K154&gt;=2,IF(J154&gt;=20,"H",IF(J154&lt;=5,"L","A")),IF(J154&lt;=19,"L","A"))),IF(OR(H154="ALI",H154="AIE"),IF(K154&gt;=6,IF(J154&gt;=20,"H","A"),IF(K154&gt;=2,IF(J154&gt;=51,"H",IF(J154&lt;=19,"L","A")),IF(J154&lt;=50,"L","A")))))))</f>
        <v/>
      </c>
      <c r="N154" s="52">
        <f>IF(M154="L","Baixa",IF(M154="A","Média",IF(M154="","","Alta")))</f>
        <v/>
      </c>
      <c r="O154" s="53">
        <f>IF(ISBLANK(H154),"",IF(H154="ALI",IF(M154="L",7,IF(M154="A",10,15)),IF(H154="AIE",IF(M154="L",5,IF(M154="A",7,10)),IF(H154="SE",IF(M154="L",4,IF(M154="A",5,7)),IF(OR(H154="EE",H154="CE"),IF(M154="L",3,IF(M154="A",4,6)))))))</f>
        <v/>
      </c>
      <c r="P154" s="54">
        <f>IF(I154="I",O154*Contagem!$W$15,IF(I154="E",O154*Contagem!$W$17,IF(I154="A",O154*Contagem!$W$16,IF(I154="T",O154*Contagem!$W$18,""))))</f>
        <v/>
      </c>
      <c r="Q154" s="55" t="inlineStr">
        <is>
          <t>Prova: Rota POST /gestao/louos/rascunho/importar com quadro=quadro10 (manter-louos). Tela: gestao/louos/rascunho (modal Importar CSV e relatório). LouosDraftService::importarCsv apaga as linhas se substituir for marcado, faz upsert por chave natural e audita o relatório. Teste: tests/Feature/Louos/LouosDraftEndpointsTest.php::test_importar_csv_retorna_relatorio_em_flash; tests/Feature/Louos/LouosQuadro10ImportServiceTest.php::test_rejeita_permissao_desconhecida_sem_inserir. Processo elementar independente: carga em lote completa com relatório de aceitas e rejeitadas. Classificação: EE, mantém o Quadro 10. O download GET /gestao/louos/modelo-csv e o manual GET /gestao/louos/manual são conteúdo estático e não contam. TD=14 (arquivo CSV, substituir linhas, zona, grupo de uso, subgrupo, permissão, referência de condicionante, base legal, linhas lidas, linhas inseridas, linhas atualizadas, motivo da rejeição, mensagem, ação importar). AR=2 (Permissão de uso por zona (Quadro 10), Trilha de auditoria). Recontagem 16/10/2026: alterada (linha 229 da contagem de 01/10/2026: "Quadros LOUOS - importar planilha", EE Alta 6 PF, TD 10, AR 4). Motivo: Desmembrada por quadro (unicidade §5.5.2.2): layout do CSV e serviço de importação próprios (LouosQuadro10ImportService). Passa a contar os campos do arquivo que cruzam a fronteira (cabeçalho em LouosDraftController::CSV_HEADERS). TD 10→14, AR 4→2; Alta→Média (6→4).</t>
        </is>
      </c>
    </row>
    <row r="155" ht="12" customHeight="1" s="73">
      <c r="A155" s="14">
        <f>IF(H155="",IF(C155="",A154,A154+1),A154)</f>
        <v/>
      </c>
      <c r="B155" s="48">
        <f>IF(A155=A154,"",CONCATENATE("F",A155))</f>
        <v/>
      </c>
      <c r="C155" s="85" t="inlineStr">
        <is>
          <t>Quadro 10 da LOUOS - publicar rascunho</t>
        </is>
      </c>
      <c r="D155" s="142" t="n"/>
      <c r="E155" s="142" t="n"/>
      <c r="F155" s="142" t="n"/>
      <c r="G155" s="143" t="n"/>
      <c r="H155" s="56" t="inlineStr">
        <is>
          <t>EE</t>
        </is>
      </c>
      <c r="I155" s="57" t="inlineStr">
        <is>
          <t>I</t>
        </is>
      </c>
      <c r="J155" s="56" t="n">
        <v>3</v>
      </c>
      <c r="K155" s="56" t="n">
        <v>2</v>
      </c>
      <c r="L155" s="50">
        <f>CONCATENATE(H155,M155)</f>
        <v/>
      </c>
      <c r="M155" s="51">
        <f>IF(OR(ISBLANK(J155),ISBLANK(K155)),IF(OR(H155="ALI",H155="AIE"),"L",IF(ISBLANK(H155),"","A")),IF(H155="EE",IF(K155&gt;=3,IF(J155&gt;=5,"H","A"),IF(K155&gt;=2,IF(J155&gt;=16,"H",IF(J155&lt;=4,"L","A")),IF(J155&lt;=15,"L","A"))),IF(OR(H155="SE",H155="CE"),IF(K155&gt;=4,IF(J155&gt;=6,"H","A"),IF(K155&gt;=2,IF(J155&gt;=20,"H",IF(J155&lt;=5,"L","A")),IF(J155&lt;=19,"L","A"))),IF(OR(H155="ALI",H155="AIE"),IF(K155&gt;=6,IF(J155&gt;=20,"H","A"),IF(K155&gt;=2,IF(J155&gt;=51,"H",IF(J155&lt;=19,"L","A")),IF(J155&lt;=50,"L","A")))))))</f>
        <v/>
      </c>
      <c r="N155" s="52">
        <f>IF(M155="L","Baixa",IF(M155="A","Média",IF(M155="","","Alta")))</f>
        <v/>
      </c>
      <c r="O155" s="53">
        <f>IF(ISBLANK(H155),"",IF(H155="ALI",IF(M155="L",7,IF(M155="A",10,15)),IF(H155="AIE",IF(M155="L",5,IF(M155="A",7,10)),IF(H155="SE",IF(M155="L",4,IF(M155="A",5,7)),IF(OR(H155="EE",H155="CE"),IF(M155="L",3,IF(M155="A",4,6)))))))</f>
        <v/>
      </c>
      <c r="P155" s="54">
        <f>IF(I155="I",O155*Contagem!$W$15,IF(I155="E",O155*Contagem!$W$17,IF(I155="A",O155*Contagem!$W$16,IF(I155="T",O155*Contagem!$W$18,""))))</f>
        <v/>
      </c>
      <c r="Q155" s="55" t="inlineStr">
        <is>
          <t>Prova: Rota PUT /gestao/louos/rascunho/publicar com quadro=quadro10 e PUT /gestao/louos/simulacao/publicar (manter-louos). Telas: gestao/louos/rascunho e gestao/louos/sandbox. LouosDraftService::publicar exige rascunho, recusa zona fora da lista de zonas ativas (validação contra dado de código, não é FTR), aplica quatro olhos em RuleVersionService::publish, fecha a vigente anterior e audita o diff. Teste: tests/Feature/Louos/LouosDraftZonaValidationTest.php::test_endpoint_de_publicacao_retorna_flash_error_com_a_zona; tests/Feature/Louos/LouosSandboxTest.php::test_publicar_exige_quatro_olhos. Processo elementar independente: troca a versão em uso do Quadro 10 ou nada muda. Unicidade: as duas rotas têm os mesmos DER, FTR e lógica (§5.5.2.2), contadas uma vez. Classificação: EE, altera o comportamento do motor e mantém o Quadro 10. TD=3 (versão do rascunho, mensagem, ação publicar). AR=2 (Permissão de uso por zona (Quadro 10), Trilha de auditoria). Recontagem 16/10/2026: alterada (linha 230 da contagem de 01/10/2026: "Quadros LOUOS - publicar rascunho", EE Média 4 PF, TD 3, AR 6). Motivo: Desmembrada por quadro (unicidade §5.5.2.2): a guarda de zonas é exclusiva do Quadro 10. Zona urbanística e Via deixam de ser FTR (dados de código, removidos) e Versão de regras passou a RLR. AR 6→2; Média→Baixa (4→3). A publicação feita pela tela de simulação (PUT /gestao/louos/simulacao/publicar) chama o mesmo LouosDraftService::publicar e é o mesmo processo elementar.</t>
        </is>
      </c>
    </row>
    <row r="156" ht="12" customHeight="1" s="73">
      <c r="A156" s="14">
        <f>IF(H156="",IF(C156="",A155,A155+1),A155)</f>
        <v/>
      </c>
      <c r="B156" s="48">
        <f>IF(A156=A155,"",CONCATENATE("F",A156))</f>
        <v/>
      </c>
      <c r="C156" s="85" t="inlineStr">
        <is>
          <t>Quadro 10 da LOUOS - descartar rascunho</t>
        </is>
      </c>
      <c r="D156" s="142" t="n"/>
      <c r="E156" s="142" t="n"/>
      <c r="F156" s="142" t="n"/>
      <c r="G156" s="143" t="n"/>
      <c r="H156" s="56" t="inlineStr">
        <is>
          <t>EE</t>
        </is>
      </c>
      <c r="I156" s="57" t="inlineStr">
        <is>
          <t>I</t>
        </is>
      </c>
      <c r="J156" s="56" t="n">
        <v>3</v>
      </c>
      <c r="K156" s="56" t="n">
        <v>2</v>
      </c>
      <c r="L156" s="50">
        <f>CONCATENATE(H156,M156)</f>
        <v/>
      </c>
      <c r="M156" s="51">
        <f>IF(OR(ISBLANK(J156),ISBLANK(K156)),IF(OR(H156="ALI",H156="AIE"),"L",IF(ISBLANK(H156),"","A")),IF(H156="EE",IF(K156&gt;=3,IF(J156&gt;=5,"H","A"),IF(K156&gt;=2,IF(J156&gt;=16,"H",IF(J156&lt;=4,"L","A")),IF(J156&lt;=15,"L","A"))),IF(OR(H156="SE",H156="CE"),IF(K156&gt;=4,IF(J156&gt;=6,"H","A"),IF(K156&gt;=2,IF(J156&gt;=20,"H",IF(J156&lt;=5,"L","A")),IF(J156&lt;=19,"L","A"))),IF(OR(H156="ALI",H156="AIE"),IF(K156&gt;=6,IF(J156&gt;=20,"H","A"),IF(K156&gt;=2,IF(J156&gt;=51,"H",IF(J156&lt;=19,"L","A")),IF(J156&lt;=50,"L","A")))))))</f>
        <v/>
      </c>
      <c r="N156" s="52">
        <f>IF(M156="L","Baixa",IF(M156="A","Média",IF(M156="","","Alta")))</f>
        <v/>
      </c>
      <c r="O156" s="53">
        <f>IF(ISBLANK(H156),"",IF(H156="ALI",IF(M156="L",7,IF(M156="A",10,15)),IF(H156="AIE",IF(M156="L",5,IF(M156="A",7,10)),IF(H156="SE",IF(M156="L",4,IF(M156="A",5,7)),IF(OR(H156="EE",H156="CE"),IF(M156="L",3,IF(M156="A",4,6)))))))</f>
        <v/>
      </c>
      <c r="P156" s="54">
        <f>IF(I156="I",O156*Contagem!$W$15,IF(I156="E",O156*Contagem!$W$17,IF(I156="A",O156*Contagem!$W$16,IF(I156="T",O156*Contagem!$W$18,""))))</f>
        <v/>
      </c>
      <c r="Q156" s="55" t="inlineStr">
        <is>
          <t>Prova: Rota DELETE /gestao/louos/rascunho com quadro=quadro10 (manter-louos). Tela: gestao/louos/rascunho. LouosDraftService::descartar exclui as linhas e a versão em rascunho e audita. Teste: tests/Feature/Louos/LouosDraftServiceTest.php::test_descartar_remove_rascunho_e_preserva_vigente. Processo elementar independente: elimina o rascunho com a vigente preservada. Classificação: EE, mantém o Quadro 10. TD=3 (versão do rascunho, mensagem, ação descartar). AR=2 (Permissão de uso por zona (Quadro 10), Trilha de auditoria). Recontagem 16/10/2026: alterada (linha 231 da contagem de 01/10/2026: "Quadros LOUOS - descartar rascunho", EE Média 4 PF, TD 3, AR 4). Motivo: Desmembrada por quadro (unicidade §5.5.2.2). AR 4→2; Média→Baixa (4→3).</t>
        </is>
      </c>
    </row>
    <row r="157" ht="12" customHeight="1" s="73">
      <c r="A157" s="14">
        <f>IF(H157="",IF(C157="",A156,A156+1),A156)</f>
        <v/>
      </c>
      <c r="B157" s="48">
        <f>IF(A157=A156,"",CONCATENATE("F",A157))</f>
        <v/>
      </c>
      <c r="C157" s="85" t="inlineStr">
        <is>
          <t>Quadro 10 da LOUOS - ativar versão publicada</t>
        </is>
      </c>
      <c r="D157" s="142" t="n"/>
      <c r="E157" s="142" t="n"/>
      <c r="F157" s="142" t="n"/>
      <c r="G157" s="143" t="n"/>
      <c r="H157" s="56" t="inlineStr">
        <is>
          <t>EE</t>
        </is>
      </c>
      <c r="I157" s="57" t="inlineStr">
        <is>
          <t>I</t>
        </is>
      </c>
      <c r="J157" s="56" t="n">
        <v>3</v>
      </c>
      <c r="K157" s="56" t="n">
        <v>2</v>
      </c>
      <c r="L157" s="50">
        <f>CONCATENATE(H157,M157)</f>
        <v/>
      </c>
      <c r="M157" s="51">
        <f>IF(OR(ISBLANK(J157),ISBLANK(K157)),IF(OR(H157="ALI",H157="AIE"),"L",IF(ISBLANK(H157),"","A")),IF(H157="EE",IF(K157&gt;=3,IF(J157&gt;=5,"H","A"),IF(K157&gt;=2,IF(J157&gt;=16,"H",IF(J157&lt;=4,"L","A")),IF(J157&lt;=15,"L","A"))),IF(OR(H157="SE",H157="CE"),IF(K157&gt;=4,IF(J157&gt;=6,"H","A"),IF(K157&gt;=2,IF(J157&gt;=20,"H",IF(J157&lt;=5,"L","A")),IF(J157&lt;=19,"L","A"))),IF(OR(H157="ALI",H157="AIE"),IF(K157&gt;=6,IF(J157&gt;=20,"H","A"),IF(K157&gt;=2,IF(J157&gt;=51,"H",IF(J157&lt;=19,"L","A")),IF(J157&lt;=50,"L","A")))))))</f>
        <v/>
      </c>
      <c r="N157" s="52">
        <f>IF(M157="L","Baixa",IF(M157="A","Média",IF(M157="","","Alta")))</f>
        <v/>
      </c>
      <c r="O157" s="53">
        <f>IF(ISBLANK(H157),"",IF(H157="ALI",IF(M157="L",7,IF(M157="A",10,15)),IF(H157="AIE",IF(M157="L",5,IF(M157="A",7,10)),IF(H157="SE",IF(M157="L",4,IF(M157="A",5,7)),IF(OR(H157="EE",H157="CE"),IF(M157="L",3,IF(M157="A",4,6)))))))</f>
        <v/>
      </c>
      <c r="P157" s="54">
        <f>IF(I157="I",O157*Contagem!$W$15,IF(I157="E",O157*Contagem!$W$17,IF(I157="A",O157*Contagem!$W$16,IF(I157="T",O157*Contagem!$W$18,""))))</f>
        <v/>
      </c>
      <c r="Q157" s="55" t="inlineStr">
        <is>
          <t>Prova: Rota PUT /gestao/louos/versoes/{versao}/ativar com quadro=quadro10 (manter-louos). Tela: gestao/louos/index, aba Quadros (histórico, resources/js/pages/gestao/louos/aba-quadros.tsx). LouosController::activate confere o domínio; RuleVersionService::activate recusa rascunho, fecha a vigente como substituída e torna a escolhida vigente, com auditoria. Teste: tests/Feature/Louos/LouosDraftEndpointsTest.php::test_ativar_versao_substituida_torna_vigente. Processo elementar independente: volta a pôr em uso uma versão já publicada; uma única vigente por quadro. Classificação: EE, altera o comportamento do motor. TD=3 (versão, mensagem, ação ativar). AR=2 (Permissão de uso por zona (Quadro 10), Trilha de auditoria). Recontagem 16/10/2026: alterada (linha 283 da contagem de 01/10/2026: "Motor de regras - ativar versão", EE Baixa 3 PF, TD 4, AR 1). Motivo: Renomeada de "Motor de regras - ativar versão" e desmembrada por quadro (unicidade §5.5.2.2). FTR corrigido: Versão de regras passou a RLR do Quadro 10 e RuleVersionService::activate grava a trilha (evento ativacao-versao), antes omitida. TD 4→3, AR 1→2; Baixa (3 PF).</t>
        </is>
      </c>
    </row>
    <row r="158" ht="12" customHeight="1" s="73">
      <c r="A158" s="14">
        <f>IF(H158="",IF(C158="",A157,A157+1),A157)</f>
        <v/>
      </c>
      <c r="B158" s="48">
        <f>IF(A158=A157,"",CONCATENATE("F",A158))</f>
        <v/>
      </c>
      <c r="C158" s="85" t="n"/>
      <c r="D158" s="142" t="n"/>
      <c r="E158" s="142" t="n"/>
      <c r="F158" s="142" t="n"/>
      <c r="G158" s="143" t="n"/>
      <c r="H158" s="56" t="n"/>
      <c r="I158" s="57" t="n"/>
      <c r="J158" s="56" t="n"/>
      <c r="K158" s="56" t="n"/>
      <c r="L158" s="50">
        <f>CONCATENATE(H158,M158)</f>
        <v/>
      </c>
      <c r="M158" s="51">
        <f>IF(OR(ISBLANK(J158),ISBLANK(K158)),IF(OR(H158="ALI",H158="AIE"),"L",IF(ISBLANK(H158),"","A")),IF(H158="EE",IF(K158&gt;=3,IF(J158&gt;=5,"H","A"),IF(K158&gt;=2,IF(J158&gt;=16,"H",IF(J158&lt;=4,"L","A")),IF(J158&lt;=15,"L","A"))),IF(OR(H158="SE",H158="CE"),IF(K158&gt;=4,IF(J158&gt;=6,"H","A"),IF(K158&gt;=2,IF(J158&gt;=20,"H",IF(J158&lt;=5,"L","A")),IF(J158&lt;=19,"L","A"))),IF(OR(H158="ALI",H158="AIE"),IF(K158&gt;=6,IF(J158&gt;=20,"H","A"),IF(K158&gt;=2,IF(J158&gt;=51,"H",IF(J158&lt;=19,"L","A")),IF(J158&lt;=50,"L","A")))))))</f>
        <v/>
      </c>
      <c r="N158" s="52">
        <f>IF(M158="L","Baixa",IF(M158="A","Média",IF(M158="","","Alta")))</f>
        <v/>
      </c>
      <c r="O158" s="53">
        <f>IF(ISBLANK(H158),"",IF(H158="ALI",IF(M158="L",7,IF(M158="A",10,15)),IF(H158="AIE",IF(M158="L",5,IF(M158="A",7,10)),IF(H158="SE",IF(M158="L",4,IF(M158="A",5,7)),IF(OR(H158="EE",H158="CE"),IF(M158="L",3,IF(M158="A",4,6)))))))</f>
        <v/>
      </c>
      <c r="P158" s="54">
        <f>IF(I158="I",O158*Contagem!$W$15,IF(I158="E",O158*Contagem!$W$17,IF(I158="A",O158*Contagem!$W$16,IF(I158="T",O158*Contagem!$W$18,""))))</f>
        <v/>
      </c>
      <c r="Q158" s="55" t="n"/>
    </row>
    <row r="159" ht="12" customHeight="1" s="73">
      <c r="A159" s="14">
        <f>IF(H159="",IF(C159="",A158,A158+1),A158)</f>
        <v/>
      </c>
      <c r="B159" s="48">
        <f>IF(A159=A158,"",CONCATENATE("F",A159))</f>
        <v/>
      </c>
      <c r="C159" s="85" t="inlineStr">
        <is>
          <t>Quadro 11A da LOUOS (condição de instalação por via)</t>
        </is>
      </c>
      <c r="D159" s="142" t="n"/>
      <c r="E159" s="142" t="n"/>
      <c r="F159" s="142" t="n"/>
      <c r="G159" s="143" t="n"/>
      <c r="H159" s="56" t="n"/>
      <c r="I159" s="57" t="n"/>
      <c r="J159" s="56" t="n"/>
      <c r="K159" s="56" t="n"/>
      <c r="L159" s="50">
        <f>CONCATENATE(H159,M159)</f>
        <v/>
      </c>
      <c r="M159" s="51">
        <f>IF(OR(ISBLANK(J159),ISBLANK(K159)),IF(OR(H159="ALI",H159="AIE"),"L",IF(ISBLANK(H159),"","A")),IF(H159="EE",IF(K159&gt;=3,IF(J159&gt;=5,"H","A"),IF(K159&gt;=2,IF(J159&gt;=16,"H",IF(J159&lt;=4,"L","A")),IF(J159&lt;=15,"L","A"))),IF(OR(H159="SE",H159="CE"),IF(K159&gt;=4,IF(J159&gt;=6,"H","A"),IF(K159&gt;=2,IF(J159&gt;=20,"H",IF(J159&lt;=5,"L","A")),IF(J159&lt;=19,"L","A"))),IF(OR(H159="ALI",H159="AIE"),IF(K159&gt;=6,IF(J159&gt;=20,"H","A"),IF(K159&gt;=2,IF(J159&gt;=51,"H",IF(J159&lt;=19,"L","A")),IF(J159&lt;=50,"L","A")))))))</f>
        <v/>
      </c>
      <c r="N159" s="52">
        <f>IF(M159="L","Baixa",IF(M159="A","Média",IF(M159="","","Alta")))</f>
        <v/>
      </c>
      <c r="O159" s="53">
        <f>IF(ISBLANK(H159),"",IF(H159="ALI",IF(M159="L",7,IF(M159="A",10,15)),IF(H159="AIE",IF(M159="L",5,IF(M159="A",7,10)),IF(H159="SE",IF(M159="L",4,IF(M159="A",5,7)),IF(OR(H159="EE",H159="CE"),IF(M159="L",3,IF(M159="A",4,6)))))))</f>
        <v/>
      </c>
      <c r="P159" s="54">
        <f>IF(I159="I",O159*Contagem!$W$15,IF(I159="E",O159*Contagem!$W$17,IF(I159="A",O159*Contagem!$W$16,IF(I159="T",O159*Contagem!$W$18,""))))</f>
        <v/>
      </c>
      <c r="Q159" s="55" t="n"/>
    </row>
    <row r="160" ht="12" customHeight="1" s="73">
      <c r="A160" s="14">
        <f>IF(H160="",IF(C160="",A159,A159+1),A159)</f>
        <v/>
      </c>
      <c r="B160" s="48">
        <f>IF(A160=A159,"",CONCATENATE("F",A160))</f>
        <v/>
      </c>
      <c r="C160" s="85" t="inlineStr">
        <is>
          <t>Dados - Condição de instalação por via (Quadro 11A)</t>
        </is>
      </c>
      <c r="D160" s="142" t="n"/>
      <c r="E160" s="142" t="n"/>
      <c r="F160" s="142" t="n"/>
      <c r="G160" s="143" t="n"/>
      <c r="H160" s="56" t="inlineStr">
        <is>
          <t>ALI</t>
        </is>
      </c>
      <c r="I160" s="57" t="inlineStr">
        <is>
          <t>I</t>
        </is>
      </c>
      <c r="J160" s="56" t="n">
        <v>13</v>
      </c>
      <c r="K160" s="56" t="n">
        <v>2</v>
      </c>
      <c r="L160" s="50">
        <f>CONCATENATE(H160,M160)</f>
        <v/>
      </c>
      <c r="M160" s="51">
        <f>IF(OR(ISBLANK(J160),ISBLANK(K160)),IF(OR(H160="ALI",H160="AIE"),"L",IF(ISBLANK(H160),"","A")),IF(H160="EE",IF(K160&gt;=3,IF(J160&gt;=5,"H","A"),IF(K160&gt;=2,IF(J160&gt;=16,"H",IF(J160&lt;=4,"L","A")),IF(J160&lt;=15,"L","A"))),IF(OR(H160="SE",H160="CE"),IF(K160&gt;=4,IF(J160&gt;=6,"H","A"),IF(K160&gt;=2,IF(J160&gt;=20,"H",IF(J160&lt;=5,"L","A")),IF(J160&lt;=19,"L","A"))),IF(OR(H160="ALI",H160="AIE"),IF(K160&gt;=6,IF(J160&gt;=20,"H","A"),IF(K160&gt;=2,IF(J160&gt;=51,"H",IF(J160&lt;=19,"L","A")),IF(J160&lt;=50,"L","A")))))))</f>
        <v/>
      </c>
      <c r="N160" s="52">
        <f>IF(M160="L","Baixa",IF(M160="A","Média",IF(M160="","","Alta")))</f>
        <v/>
      </c>
      <c r="O160" s="53">
        <f>IF(ISBLANK(H160),"",IF(H160="ALI",IF(M160="L",7,IF(M160="A",10,15)),IF(H160="AIE",IF(M160="L",5,IF(M160="A",7,10)),IF(H160="SE",IF(M160="L",4,IF(M160="A",5,7)),IF(OR(H160="EE",H160="CE"),IF(M160="L",3,IF(M160="A",4,6)))))))</f>
        <v/>
      </c>
      <c r="P160" s="54">
        <f>IF(I160="I",O160*Contagem!$W$15,IF(I160="E",O160*Contagem!$W$17,IF(I160="A",O160*Contagem!$W$16,IF(I160="T",O160*Contagem!$W$18,""))))</f>
        <v/>
      </c>
      <c r="Q160" s="55" t="inlineStr">
        <is>
          <t>Prova: Model app/Models/LouosQuadro11CondicaoVia.php e app/Models/RuleVersion.php (domínio RuleDomain::LouosQuadro11a); migrations database/migrations/2026_06_14_045748_create_louos_quadro11_condicoes_via_table.php, 2026_06_14_052540_add_unique_indexes_to_louos_quadro10_and_quadro11_tables.php e 2026_06_14_013329_create_rule_versions_table.php. Mantido pelo rascunho da LOUOS (LouosDraftService, LouosQuadro11ImportService) e por RuleVersionService; lido pelo motor (LouosEnquadramentoService). Teste: tests/Feature/Louos/LouosQuadro11ImportServiceTest.php::test_reimport_faz_upsert. Arquivo lógico: quadro legal das condições complementares de instalação por classe de via, versionado. Teste de independência (CPM 4.3.1 Parte 1 §5.4.2 c e Parte 3 Cap. 2, Método de (In)Dependência de Entidades, Situação 1): a linha só existe ligada a uma versão (rule_version_id NOT NULL com cascadeOnDelete na migration) e a exclusão da versão elimina as linhas; o cabeçalho de versão (tabela física compartilhada rule_versions, tipada pela coluna domain) só tem sentido para o usuário como versão deste conjunto normativo. Versão e linhas formam um único arquivo lógico, com a versão como RLR. Não é dado de código: as condições por classe de via e grupo de uso decidem a viabilidade. TD=13 (classe de via, grupo de uso, condições, base legal, observação, versão, situação da versão (rascunho, vigente, substituída), vigência inicial, vigência final, fonte, publicada em, autor do rascunho, publicador). TR=2 (Linha de condição por via, Versão do Quadro 11A). Recontagem 16/10/2026: alterada (linha 503 da contagem de 01/10/2026: "Dados - Condição de instalação por via (Quadro 11A)", ALI Baixa 7 PF, TD 6, AR 1). Motivo: Absorve como RLR o cabeçalho de versão do domínio louos_quadro11a, antes contado em Dados - Versão de regras (linha 510, removida). TD 6→13, TR 1→2; continua Baixa (7 PF).</t>
        </is>
      </c>
    </row>
    <row r="161" ht="12" customHeight="1" s="73">
      <c r="A161" s="14">
        <f>IF(H161="",IF(C161="",A160,A160+1),A160)</f>
        <v/>
      </c>
      <c r="B161" s="48">
        <f>IF(A161=A160,"",CONCATENATE("F",A161))</f>
        <v/>
      </c>
      <c r="C161" s="85" t="inlineStr">
        <is>
          <t>Quadro 11A da LOUOS - consultar rascunho</t>
        </is>
      </c>
      <c r="D161" s="142" t="n"/>
      <c r="E161" s="142" t="n"/>
      <c r="F161" s="142" t="n"/>
      <c r="G161" s="143" t="n"/>
      <c r="H161" s="56" t="inlineStr">
        <is>
          <t>SE</t>
        </is>
      </c>
      <c r="I161" s="57" t="inlineStr">
        <is>
          <t>I</t>
        </is>
      </c>
      <c r="J161" s="56" t="n">
        <v>11</v>
      </c>
      <c r="K161" s="56" t="n">
        <v>2</v>
      </c>
      <c r="L161" s="50">
        <f>CONCATENATE(H161,M161)</f>
        <v/>
      </c>
      <c r="M161" s="51">
        <f>IF(OR(ISBLANK(J161),ISBLANK(K161)),IF(OR(H161="ALI",H161="AIE"),"L",IF(ISBLANK(H161),"","A")),IF(H161="EE",IF(K161&gt;=3,IF(J161&gt;=5,"H","A"),IF(K161&gt;=2,IF(J161&gt;=16,"H",IF(J161&lt;=4,"L","A")),IF(J161&lt;=15,"L","A"))),IF(OR(H161="SE",H161="CE"),IF(K161&gt;=4,IF(J161&gt;=6,"H","A"),IF(K161&gt;=2,IF(J161&gt;=20,"H",IF(J161&lt;=5,"L","A")),IF(J161&lt;=19,"L","A"))),IF(OR(H161="ALI",H161="AIE"),IF(K161&gt;=6,IF(J161&gt;=20,"H","A"),IF(K161&gt;=2,IF(J161&gt;=51,"H",IF(J161&lt;=19,"L","A")),IF(J161&lt;=50,"L","A")))))))</f>
        <v/>
      </c>
      <c r="N161" s="52">
        <f>IF(M161="L","Baixa",IF(M161="A","Média",IF(M161="","","Alta")))</f>
        <v/>
      </c>
      <c r="O161" s="53">
        <f>IF(ISBLANK(H161),"",IF(H161="ALI",IF(M161="L",7,IF(M161="A",10,15)),IF(H161="AIE",IF(M161="L",5,IF(M161="A",7,10)),IF(H161="SE",IF(M161="L",4,IF(M161="A",5,7)),IF(OR(H161="EE",H161="CE"),IF(M161="L",3,IF(M161="A",4,6)))))))</f>
        <v/>
      </c>
      <c r="P161" s="54">
        <f>IF(I161="I",O161*Contagem!$W$15,IF(I161="E",O161*Contagem!$W$17,IF(I161="A",O161*Contagem!$W$16,IF(I161="T",O161*Contagem!$W$18,""))))</f>
        <v/>
      </c>
      <c r="Q161" s="55" t="inlineStr">
        <is>
          <t>Prova: Rota GET /gestao/louos/rascunho?quadro=quadro11a (manter-louos). Tela: gestao/louos/rascunho. Lista as linhas do rascunho do Quadro 11A com busca e o diff por chave natural contra a vigente (LouosDraftService::diff). Lê o Quadro 11A e o Usuário autor. Teste: tests/Feature/Louos/LouosDraftServiceTest.php::test_diff_conta_novas_alteradas_e_excluidas. Processo elementar independente: conferência completa do rascunho do Quadro 11A; nada é gravado. Classificação: SE, apresenta contagens derivadas da comparação com a vigente. TD=11 (versão do rascunho, autor do rascunho, classe de via, grupo de uso, condições, base legal, linhas novas, linhas alteradas, linhas excluídas, busca, ação consultar). AR=2 (Condição de instalação por via (Quadro 11A), Usuário). Recontagem 16/10/2026: nova (não constava da contagem de 01/10/2026). Função nova por desmembramento: antes estava somada à linha 224 junto com o Quadro 10. Os DER e o arquivo lógico do Quadro 11A diferem dos do Quadro 10, logo é processo distinto (unicidade, CPM 4.3.1 Parte 1 §5.5.2.2).</t>
        </is>
      </c>
    </row>
    <row r="162" ht="12" customHeight="1" s="73">
      <c r="A162" s="14">
        <f>IF(H162="",IF(C162="",A161,A161+1),A161)</f>
        <v/>
      </c>
      <c r="B162" s="48">
        <f>IF(A162=A161,"",CONCATENATE("F",A162))</f>
        <v/>
      </c>
      <c r="C162" s="85" t="inlineStr">
        <is>
          <t>Quadro 11A da LOUOS - abrir rascunho</t>
        </is>
      </c>
      <c r="D162" s="142" t="n"/>
      <c r="E162" s="142" t="n"/>
      <c r="F162" s="142" t="n"/>
      <c r="G162" s="143" t="n"/>
      <c r="H162" s="56" t="inlineStr">
        <is>
          <t>EE</t>
        </is>
      </c>
      <c r="I162" s="57" t="inlineStr">
        <is>
          <t>I</t>
        </is>
      </c>
      <c r="J162" s="56" t="n">
        <v>3</v>
      </c>
      <c r="K162" s="56" t="n">
        <v>2</v>
      </c>
      <c r="L162" s="50">
        <f>CONCATENATE(H162,M162)</f>
        <v/>
      </c>
      <c r="M162" s="51">
        <f>IF(OR(ISBLANK(J162),ISBLANK(K162)),IF(OR(H162="ALI",H162="AIE"),"L",IF(ISBLANK(H162),"","A")),IF(H162="EE",IF(K162&gt;=3,IF(J162&gt;=5,"H","A"),IF(K162&gt;=2,IF(J162&gt;=16,"H",IF(J162&lt;=4,"L","A")),IF(J162&lt;=15,"L","A"))),IF(OR(H162="SE",H162="CE"),IF(K162&gt;=4,IF(J162&gt;=6,"H","A"),IF(K162&gt;=2,IF(J162&gt;=20,"H",IF(J162&lt;=5,"L","A")),IF(J162&lt;=19,"L","A"))),IF(OR(H162="ALI",H162="AIE"),IF(K162&gt;=6,IF(J162&gt;=20,"H","A"),IF(K162&gt;=2,IF(J162&gt;=51,"H",IF(J162&lt;=19,"L","A")),IF(J162&lt;=50,"L","A")))))))</f>
        <v/>
      </c>
      <c r="N162" s="52">
        <f>IF(M162="L","Baixa",IF(M162="A","Média",IF(M162="","","Alta")))</f>
        <v/>
      </c>
      <c r="O162" s="53">
        <f>IF(ISBLANK(H162),"",IF(H162="ALI",IF(M162="L",7,IF(M162="A",10,15)),IF(H162="AIE",IF(M162="L",5,IF(M162="A",7,10)),IF(H162="SE",IF(M162="L",4,IF(M162="A",5,7)),IF(OR(H162="EE",H162="CE"),IF(M162="L",3,IF(M162="A",4,6)))))))</f>
        <v/>
      </c>
      <c r="P162" s="54">
        <f>IF(I162="I",O162*Contagem!$W$15,IF(I162="E",O162*Contagem!$W$17,IF(I162="A",O162*Contagem!$W$16,IF(I162="T",O162*Contagem!$W$18,""))))</f>
        <v/>
      </c>
      <c r="Q162" s="55" t="inlineStr">
        <is>
          <t>Prova: Rota POST /gestao/louos/rascunho com quadro=quadro11a (manter-louos). Tela: gestao/louos/rascunho. LouosDraftService::abrirOuRetomar cria o rascunho, copia as linhas vigentes e audita. Teste: tests/Feature/Louos/LouosDraftServiceTest.php::test_retomar_rascunho_aberto_e_idempotente. Processo elementar independente: rascunho editável coexistindo com a vigente. Classificação: EE, mantém o Quadro 11A. TD=3 (versão, mensagem, ação abrir). AR=2 (Condição de instalação por via (Quadro 11A), Trilha de auditoria). Recontagem 16/10/2026: nova (não constava da contagem de 01/10/2026). Função nova por desmembramento: antes estava somada à linha 225 junto com o Quadro 10. Os DER e o arquivo lógico do Quadro 11A diferem dos do Quadro 10, logo é processo distinto (unicidade, CPM 4.3.1 Parte 1 §5.5.2.2).</t>
        </is>
      </c>
    </row>
    <row r="163" ht="12" customHeight="1" s="73">
      <c r="A163" s="14">
        <f>IF(H163="",IF(C163="",A162,A162+1),A162)</f>
        <v/>
      </c>
      <c r="B163" s="48">
        <f>IF(A163=A162,"",CONCATENATE("F",A163))</f>
        <v/>
      </c>
      <c r="C163" s="85" t="inlineStr">
        <is>
          <t>Quadro 11A da LOUOS - incluir linha no rascunho</t>
        </is>
      </c>
      <c r="D163" s="142" t="n"/>
      <c r="E163" s="142" t="n"/>
      <c r="F163" s="142" t="n"/>
      <c r="G163" s="143" t="n"/>
      <c r="H163" s="56" t="inlineStr">
        <is>
          <t>EE</t>
        </is>
      </c>
      <c r="I163" s="57" t="inlineStr">
        <is>
          <t>I</t>
        </is>
      </c>
      <c r="J163" s="56" t="n">
        <v>6</v>
      </c>
      <c r="K163" s="56" t="n">
        <v>2</v>
      </c>
      <c r="L163" s="50">
        <f>CONCATENATE(H163,M163)</f>
        <v/>
      </c>
      <c r="M163" s="51">
        <f>IF(OR(ISBLANK(J163),ISBLANK(K163)),IF(OR(H163="ALI",H163="AIE"),"L",IF(ISBLANK(H163),"","A")),IF(H163="EE",IF(K163&gt;=3,IF(J163&gt;=5,"H","A"),IF(K163&gt;=2,IF(J163&gt;=16,"H",IF(J163&lt;=4,"L","A")),IF(J163&lt;=15,"L","A"))),IF(OR(H163="SE",H163="CE"),IF(K163&gt;=4,IF(J163&gt;=6,"H","A"),IF(K163&gt;=2,IF(J163&gt;=20,"H",IF(J163&lt;=5,"L","A")),IF(J163&lt;=19,"L","A"))),IF(OR(H163="ALI",H163="AIE"),IF(K163&gt;=6,IF(J163&gt;=20,"H","A"),IF(K163&gt;=2,IF(J163&gt;=51,"H",IF(J163&lt;=19,"L","A")),IF(J163&lt;=50,"L","A")))))))</f>
        <v/>
      </c>
      <c r="N163" s="52">
        <f>IF(M163="L","Baixa",IF(M163="A","Média",IF(M163="","","Alta")))</f>
        <v/>
      </c>
      <c r="O163" s="53">
        <f>IF(ISBLANK(H163),"",IF(H163="ALI",IF(M163="L",7,IF(M163="A",10,15)),IF(H163="AIE",IF(M163="L",5,IF(M163="A",7,10)),IF(H163="SE",IF(M163="L",4,IF(M163="A",5,7)),IF(OR(H163="EE",H163="CE"),IF(M163="L",3,IF(M163="A",4,6)))))))</f>
        <v/>
      </c>
      <c r="P163" s="54">
        <f>IF(I163="I",O163*Contagem!$W$15,IF(I163="E",O163*Contagem!$W$17,IF(I163="A",O163*Contagem!$W$16,IF(I163="T",O163*Contagem!$W$18,""))))</f>
        <v/>
      </c>
      <c r="Q163" s="55" t="inlineStr">
        <is>
          <t>Prova: Rota POST /gestao/louos/rascunho/linhas com quadro=quadro11a (manter-louos). Tela: gestao/louos/rascunho (campos de ALTERACAO_FIELDS.quadro11a). LouosDraftService::inserirLinha recusa chave natural repetida (classe de via, grupo de uso), grava e audita. Teste: tests/Feature/Louos/LouosDraftServiceTest.php::test_crud_quadro10_e_quadro11a. Processo elementar independente: inclui uma condição no rascunho. Classificação: EE, mantém o Quadro 11A. TD=6 (classe de via, grupo de uso, condições, base legal, mensagem, ação salvar). AR=2 (Condição de instalação por via (Quadro 11A), Trilha de auditoria). Recontagem 16/10/2026: nova (não constava da contagem de 01/10/2026). Função nova por desmembramento: antes estava somada à linha 226 junto com o Quadro 10. Os DER e o arquivo lógico do Quadro 11A diferem dos do Quadro 10, logo é processo distinto (unicidade, CPM 4.3.1 Parte 1 §5.5.2.2).</t>
        </is>
      </c>
    </row>
    <row r="164" ht="12" customHeight="1" s="73">
      <c r="A164" s="14">
        <f>IF(H164="",IF(C164="",A163,A163+1),A163)</f>
        <v/>
      </c>
      <c r="B164" s="48">
        <f>IF(A164=A163,"",CONCATENATE("F",A164))</f>
        <v/>
      </c>
      <c r="C164" s="85" t="inlineStr">
        <is>
          <t>Quadro 11A da LOUOS - alterar linha do rascunho</t>
        </is>
      </c>
      <c r="D164" s="142" t="n"/>
      <c r="E164" s="142" t="n"/>
      <c r="F164" s="142" t="n"/>
      <c r="G164" s="143" t="n"/>
      <c r="H164" s="56" t="inlineStr">
        <is>
          <t>EE</t>
        </is>
      </c>
      <c r="I164" s="57" t="inlineStr">
        <is>
          <t>I</t>
        </is>
      </c>
      <c r="J164" s="56" t="n">
        <v>6</v>
      </c>
      <c r="K164" s="56" t="n">
        <v>2</v>
      </c>
      <c r="L164" s="50">
        <f>CONCATENATE(H164,M164)</f>
        <v/>
      </c>
      <c r="M164" s="51">
        <f>IF(OR(ISBLANK(J164),ISBLANK(K164)),IF(OR(H164="ALI",H164="AIE"),"L",IF(ISBLANK(H164),"","A")),IF(H164="EE",IF(K164&gt;=3,IF(J164&gt;=5,"H","A"),IF(K164&gt;=2,IF(J164&gt;=16,"H",IF(J164&lt;=4,"L","A")),IF(J164&lt;=15,"L","A"))),IF(OR(H164="SE",H164="CE"),IF(K164&gt;=4,IF(J164&gt;=6,"H","A"),IF(K164&gt;=2,IF(J164&gt;=20,"H",IF(J164&lt;=5,"L","A")),IF(J164&lt;=19,"L","A"))),IF(OR(H164="ALI",H164="AIE"),IF(K164&gt;=6,IF(J164&gt;=20,"H","A"),IF(K164&gt;=2,IF(J164&gt;=51,"H",IF(J164&lt;=19,"L","A")),IF(J164&lt;=50,"L","A")))))))</f>
        <v/>
      </c>
      <c r="N164" s="52">
        <f>IF(M164="L","Baixa",IF(M164="A","Média",IF(M164="","","Alta")))</f>
        <v/>
      </c>
      <c r="O164" s="53">
        <f>IF(ISBLANK(H164),"",IF(H164="ALI",IF(M164="L",7,IF(M164="A",10,15)),IF(H164="AIE",IF(M164="L",5,IF(M164="A",7,10)),IF(H164="SE",IF(M164="L",4,IF(M164="A",5,7)),IF(OR(H164="EE",H164="CE"),IF(M164="L",3,IF(M164="A",4,6)))))))</f>
        <v/>
      </c>
      <c r="P164" s="54">
        <f>IF(I164="I",O164*Contagem!$W$15,IF(I164="E",O164*Contagem!$W$17,IF(I164="A",O164*Contagem!$W$16,IF(I164="T",O164*Contagem!$W$18,""))))</f>
        <v/>
      </c>
      <c r="Q164" s="55" t="inlineStr">
        <is>
          <t>Prova: Rota PUT /gestao/louos/rascunho/linhas/{linha} com quadro=quadro11a (manter-louos). Tela: gestao/louos/rascunho. LouosDraftService::alterarLinha altera só linha do rascunho, sem colidir chave, e audita. Teste: tests/Feature/Louos/LouosDraftServiceTest.php::test_crud_quadro10_e_quadro11a. Processo elementar independente: corrige a condição antes de publicar. Classificação: EE, mantém o Quadro 11A. TD=6 (classe de via, grupo de uso, condições, base legal, mensagem, ação salvar). AR=2 (Condição de instalação por via (Quadro 11A), Trilha de auditoria). Recontagem 16/10/2026: nova (não constava da contagem de 01/10/2026). Função nova por desmembramento: antes estava somada à linha 227 junto com o Quadro 10. Os DER e o arquivo lógico do Quadro 11A diferem dos do Quadro 10, logo é processo distinto (unicidade, CPM 4.3.1 Parte 1 §5.5.2.2).</t>
        </is>
      </c>
    </row>
    <row r="165" ht="12" customHeight="1" s="73">
      <c r="A165" s="14">
        <f>IF(H165="",IF(C165="",A164,A164+1),A164)</f>
        <v/>
      </c>
      <c r="B165" s="48">
        <f>IF(A165=A164,"",CONCATENATE("F",A165))</f>
        <v/>
      </c>
      <c r="C165" s="85" t="inlineStr">
        <is>
          <t>Quadro 11A da LOUOS - excluir linha do rascunho</t>
        </is>
      </c>
      <c r="D165" s="142" t="n"/>
      <c r="E165" s="142" t="n"/>
      <c r="F165" s="142" t="n"/>
      <c r="G165" s="143" t="n"/>
      <c r="H165" s="56" t="inlineStr">
        <is>
          <t>EE</t>
        </is>
      </c>
      <c r="I165" s="57" t="inlineStr">
        <is>
          <t>I</t>
        </is>
      </c>
      <c r="J165" s="56" t="n">
        <v>3</v>
      </c>
      <c r="K165" s="56" t="n">
        <v>2</v>
      </c>
      <c r="L165" s="50">
        <f>CONCATENATE(H165,M165)</f>
        <v/>
      </c>
      <c r="M165" s="51">
        <f>IF(OR(ISBLANK(J165),ISBLANK(K165)),IF(OR(H165="ALI",H165="AIE"),"L",IF(ISBLANK(H165),"","A")),IF(H165="EE",IF(K165&gt;=3,IF(J165&gt;=5,"H","A"),IF(K165&gt;=2,IF(J165&gt;=16,"H",IF(J165&lt;=4,"L","A")),IF(J165&lt;=15,"L","A"))),IF(OR(H165="SE",H165="CE"),IF(K165&gt;=4,IF(J165&gt;=6,"H","A"),IF(K165&gt;=2,IF(J165&gt;=20,"H",IF(J165&lt;=5,"L","A")),IF(J165&lt;=19,"L","A"))),IF(OR(H165="ALI",H165="AIE"),IF(K165&gt;=6,IF(J165&gt;=20,"H","A"),IF(K165&gt;=2,IF(J165&gt;=51,"H",IF(J165&lt;=19,"L","A")),IF(J165&lt;=50,"L","A")))))))</f>
        <v/>
      </c>
      <c r="N165" s="52">
        <f>IF(M165="L","Baixa",IF(M165="A","Média",IF(M165="","","Alta")))</f>
        <v/>
      </c>
      <c r="O165" s="53">
        <f>IF(ISBLANK(H165),"",IF(H165="ALI",IF(M165="L",7,IF(M165="A",10,15)),IF(H165="AIE",IF(M165="L",5,IF(M165="A",7,10)),IF(H165="SE",IF(M165="L",4,IF(M165="A",5,7)),IF(OR(H165="EE",H165="CE"),IF(M165="L",3,IF(M165="A",4,6)))))))</f>
        <v/>
      </c>
      <c r="P165" s="54">
        <f>IF(I165="I",O165*Contagem!$W$15,IF(I165="E",O165*Contagem!$W$17,IF(I165="A",O165*Contagem!$W$16,IF(I165="T",O165*Contagem!$W$18,""))))</f>
        <v/>
      </c>
      <c r="Q165" s="55" t="inlineStr">
        <is>
          <t>Prova: Rota DELETE /gestao/louos/rascunho/linhas/{linha} com quadro=quadro11a (manter-louos). Tela: gestao/louos/rascunho. LouosDraftService::excluirLinha remove só linha do rascunho e audita. Teste: tests/Feature/Louos/LouosDraftServiceTest.php::test_crud_quadro10_e_quadro11a. Processo elementar independente: retira a condição do rascunho. Classificação: EE, mantém o Quadro 11A. TD=3 (linha selecionada, mensagem, ação excluir). AR=2 (Condição de instalação por via (Quadro 11A), Trilha de auditoria). Recontagem 16/10/2026: nova (não constava da contagem de 01/10/2026). Função nova por desmembramento: antes estava somada à linha 228 junto com o Quadro 10. Os DER e o arquivo lógico do Quadro 11A diferem dos do Quadro 10, logo é processo distinto (unicidade, CPM 4.3.1 Parte 1 §5.5.2.2).</t>
        </is>
      </c>
    </row>
    <row r="166" ht="12" customHeight="1" s="73">
      <c r="A166" s="14">
        <f>IF(H166="",IF(C166="",A165,A165+1),A165)</f>
        <v/>
      </c>
      <c r="B166" s="48">
        <f>IF(A166=A165,"",CONCATENATE("F",A166))</f>
        <v/>
      </c>
      <c r="C166" s="85" t="inlineStr">
        <is>
          <t>Quadro 11A da LOUOS - importar CSV no rascunho</t>
        </is>
      </c>
      <c r="D166" s="142" t="n"/>
      <c r="E166" s="142" t="n"/>
      <c r="F166" s="142" t="n"/>
      <c r="G166" s="143" t="n"/>
      <c r="H166" s="56" t="inlineStr">
        <is>
          <t>EE</t>
        </is>
      </c>
      <c r="I166" s="57" t="inlineStr">
        <is>
          <t>I</t>
        </is>
      </c>
      <c r="J166" s="56" t="n">
        <v>12</v>
      </c>
      <c r="K166" s="56" t="n">
        <v>2</v>
      </c>
      <c r="L166" s="50">
        <f>CONCATENATE(H166,M166)</f>
        <v/>
      </c>
      <c r="M166" s="51">
        <f>IF(OR(ISBLANK(J166),ISBLANK(K166)),IF(OR(H166="ALI",H166="AIE"),"L",IF(ISBLANK(H166),"","A")),IF(H166="EE",IF(K166&gt;=3,IF(J166&gt;=5,"H","A"),IF(K166&gt;=2,IF(J166&gt;=16,"H",IF(J166&lt;=4,"L","A")),IF(J166&lt;=15,"L","A"))),IF(OR(H166="SE",H166="CE"),IF(K166&gt;=4,IF(J166&gt;=6,"H","A"),IF(K166&gt;=2,IF(J166&gt;=20,"H",IF(J166&lt;=5,"L","A")),IF(J166&lt;=19,"L","A"))),IF(OR(H166="ALI",H166="AIE"),IF(K166&gt;=6,IF(J166&gt;=20,"H","A"),IF(K166&gt;=2,IF(J166&gt;=51,"H",IF(J166&lt;=19,"L","A")),IF(J166&lt;=50,"L","A")))))))</f>
        <v/>
      </c>
      <c r="N166" s="52">
        <f>IF(M166="L","Baixa",IF(M166="A","Média",IF(M166="","","Alta")))</f>
        <v/>
      </c>
      <c r="O166" s="53">
        <f>IF(ISBLANK(H166),"",IF(H166="ALI",IF(M166="L",7,IF(M166="A",10,15)),IF(H166="AIE",IF(M166="L",5,IF(M166="A",7,10)),IF(H166="SE",IF(M166="L",4,IF(M166="A",5,7)),IF(OR(H166="EE",H166="CE"),IF(M166="L",3,IF(M166="A",4,6)))))))</f>
        <v/>
      </c>
      <c r="P166" s="54">
        <f>IF(I166="I",O166*Contagem!$W$15,IF(I166="E",O166*Contagem!$W$17,IF(I166="A",O166*Contagem!$W$16,IF(I166="T",O166*Contagem!$W$18,""))))</f>
        <v/>
      </c>
      <c r="Q166" s="55" t="inlineStr">
        <is>
          <t>Prova: Rota POST /gestao/louos/rascunho/importar com quadro=quadro11a (manter-louos). Tela: gestao/louos/rascunho. LouosQuadro11ImportService faz upsert por chave natural, condições separadas por ponto e vírgula; LouosDraftService::importarCsv audita o relatório. Teste: tests/Feature/Louos/LouosQuadro11ImportServiceTest.php::test_condicoes_separadas_por_ponto_e_virgula_viram_array. Processo elementar independente: carga em lote com relatório. Classificação: EE, mantém o Quadro 11A. TD=12 (arquivo CSV, substituir linhas, classe de via, grupo de uso, condições, base legal, linhas lidas, linhas inseridas, linhas atualizadas, motivo da rejeição, mensagem, ação importar). AR=2 (Condição de instalação por via (Quadro 11A), Trilha de auditoria). Recontagem 16/10/2026: nova (não constava da contagem de 01/10/2026). Função nova por desmembramento: antes estava somada à linha 229 junto com o Quadro 10. Os DER e o arquivo lógico do Quadro 11A diferem dos do Quadro 10, logo é processo distinto (unicidade, CPM 4.3.1 Parte 1 §5.5.2.2).</t>
        </is>
      </c>
    </row>
    <row r="167" ht="12" customHeight="1" s="73">
      <c r="A167" s="14">
        <f>IF(H167="",IF(C167="",A166,A166+1),A166)</f>
        <v/>
      </c>
      <c r="B167" s="48">
        <f>IF(A167=A166,"",CONCATENATE("F",A167))</f>
        <v/>
      </c>
      <c r="C167" s="85" t="inlineStr">
        <is>
          <t>Quadro 11A da LOUOS - publicar rascunho</t>
        </is>
      </c>
      <c r="D167" s="142" t="n"/>
      <c r="E167" s="142" t="n"/>
      <c r="F167" s="142" t="n"/>
      <c r="G167" s="143" t="n"/>
      <c r="H167" s="56" t="inlineStr">
        <is>
          <t>EE</t>
        </is>
      </c>
      <c r="I167" s="57" t="inlineStr">
        <is>
          <t>I</t>
        </is>
      </c>
      <c r="J167" s="56" t="n">
        <v>3</v>
      </c>
      <c r="K167" s="56" t="n">
        <v>2</v>
      </c>
      <c r="L167" s="50">
        <f>CONCATENATE(H167,M167)</f>
        <v/>
      </c>
      <c r="M167" s="51">
        <f>IF(OR(ISBLANK(J167),ISBLANK(K167)),IF(OR(H167="ALI",H167="AIE"),"L",IF(ISBLANK(H167),"","A")),IF(H167="EE",IF(K167&gt;=3,IF(J167&gt;=5,"H","A"),IF(K167&gt;=2,IF(J167&gt;=16,"H",IF(J167&lt;=4,"L","A")),IF(J167&lt;=15,"L","A"))),IF(OR(H167="SE",H167="CE"),IF(K167&gt;=4,IF(J167&gt;=6,"H","A"),IF(K167&gt;=2,IF(J167&gt;=20,"H",IF(J167&lt;=5,"L","A")),IF(J167&lt;=19,"L","A"))),IF(OR(H167="ALI",H167="AIE"),IF(K167&gt;=6,IF(J167&gt;=20,"H","A"),IF(K167&gt;=2,IF(J167&gt;=51,"H",IF(J167&lt;=19,"L","A")),IF(J167&lt;=50,"L","A")))))))</f>
        <v/>
      </c>
      <c r="N167" s="52">
        <f>IF(M167="L","Baixa",IF(M167="A","Média",IF(M167="","","Alta")))</f>
        <v/>
      </c>
      <c r="O167" s="53">
        <f>IF(ISBLANK(H167),"",IF(H167="ALI",IF(M167="L",7,IF(M167="A",10,15)),IF(H167="AIE",IF(M167="L",5,IF(M167="A",7,10)),IF(H167="SE",IF(M167="L",4,IF(M167="A",5,7)),IF(OR(H167="EE",H167="CE"),IF(M167="L",3,IF(M167="A",4,6)))))))</f>
        <v/>
      </c>
      <c r="P167" s="54">
        <f>IF(I167="I",O167*Contagem!$W$15,IF(I167="E",O167*Contagem!$W$17,IF(I167="A",O167*Contagem!$W$16,IF(I167="T",O167*Contagem!$W$18,""))))</f>
        <v/>
      </c>
      <c r="Q167" s="55" t="inlineStr">
        <is>
          <t>Prova: Rota PUT /gestao/louos/rascunho/publicar com quadro=quadro11a e PUT /gestao/louos/simulacao/publicar (manter-louos). Telas: gestao/louos/rascunho e gestao/louos/sandbox. LouosDraftService::publicar recusa classe de via fora da lista de vias ativas, aplica quatro olhos, fecha a vigente anterior e audita o diff. Teste: tests/Feature/Louos/ViaCrudTest.php::test_publicar_quadro11a_com_via_fora_do_cadastro_e_rejeitado. Processo elementar independente: troca a versão em uso do Quadro 11A. Unicidade: as duas rotas têm a mesma lógica (LouosDraftService::publicar), contadas uma vez. Classificação: EE, altera o comportamento do motor. TD=3 (versão do rascunho, mensagem, ação publicar). AR=2 (Condição de instalação por via (Quadro 11A), Trilha de auditoria). Recontagem 16/10/2026: nova (não constava da contagem de 01/10/2026). Função nova por desmembramento: antes estava somada à linha 230 junto com o Quadro 10. Os DER e o arquivo lógico do Quadro 11A diferem dos do Quadro 10, logo é processo distinto (unicidade, CPM 4.3.1 Parte 1 §5.5.2.2). A guarda de classe de via contra a lista de vias ativas valida contra dado de código e não é FTR.</t>
        </is>
      </c>
    </row>
    <row r="168" ht="12" customHeight="1" s="73">
      <c r="A168" s="14">
        <f>IF(H168="",IF(C168="",A167,A167+1),A167)</f>
        <v/>
      </c>
      <c r="B168" s="48">
        <f>IF(A168=A167,"",CONCATENATE("F",A168))</f>
        <v/>
      </c>
      <c r="C168" s="85" t="inlineStr">
        <is>
          <t>Quadro 11A da LOUOS - descartar rascunho</t>
        </is>
      </c>
      <c r="D168" s="142" t="n"/>
      <c r="E168" s="142" t="n"/>
      <c r="F168" s="142" t="n"/>
      <c r="G168" s="143" t="n"/>
      <c r="H168" s="56" t="inlineStr">
        <is>
          <t>EE</t>
        </is>
      </c>
      <c r="I168" s="57" t="inlineStr">
        <is>
          <t>I</t>
        </is>
      </c>
      <c r="J168" s="56" t="n">
        <v>3</v>
      </c>
      <c r="K168" s="56" t="n">
        <v>2</v>
      </c>
      <c r="L168" s="50">
        <f>CONCATENATE(H168,M168)</f>
        <v/>
      </c>
      <c r="M168" s="51">
        <f>IF(OR(ISBLANK(J168),ISBLANK(K168)),IF(OR(H168="ALI",H168="AIE"),"L",IF(ISBLANK(H168),"","A")),IF(H168="EE",IF(K168&gt;=3,IF(J168&gt;=5,"H","A"),IF(K168&gt;=2,IF(J168&gt;=16,"H",IF(J168&lt;=4,"L","A")),IF(J168&lt;=15,"L","A"))),IF(OR(H168="SE",H168="CE"),IF(K168&gt;=4,IF(J168&gt;=6,"H","A"),IF(K168&gt;=2,IF(J168&gt;=20,"H",IF(J168&lt;=5,"L","A")),IF(J168&lt;=19,"L","A"))),IF(OR(H168="ALI",H168="AIE"),IF(K168&gt;=6,IF(J168&gt;=20,"H","A"),IF(K168&gt;=2,IF(J168&gt;=51,"H",IF(J168&lt;=19,"L","A")),IF(J168&lt;=50,"L","A")))))))</f>
        <v/>
      </c>
      <c r="N168" s="52">
        <f>IF(M168="L","Baixa",IF(M168="A","Média",IF(M168="","","Alta")))</f>
        <v/>
      </c>
      <c r="O168" s="53">
        <f>IF(ISBLANK(H168),"",IF(H168="ALI",IF(M168="L",7,IF(M168="A",10,15)),IF(H168="AIE",IF(M168="L",5,IF(M168="A",7,10)),IF(H168="SE",IF(M168="L",4,IF(M168="A",5,7)),IF(OR(H168="EE",H168="CE"),IF(M168="L",3,IF(M168="A",4,6)))))))</f>
        <v/>
      </c>
      <c r="P168" s="54">
        <f>IF(I168="I",O168*Contagem!$W$15,IF(I168="E",O168*Contagem!$W$17,IF(I168="A",O168*Contagem!$W$16,IF(I168="T",O168*Contagem!$W$18,""))))</f>
        <v/>
      </c>
      <c r="Q168" s="55" t="inlineStr">
        <is>
          <t>Prova: Rota DELETE /gestao/louos/rascunho com quadro=quadro11a (manter-louos). Tela: gestao/louos/rascunho. LouosDraftService::descartar exclui linhas e versão do rascunho e audita. Teste: tests/Feature/Louos/LouosDraftServiceTest.php::test_descartar_remove_rascunho_e_preserva_vigente. Processo elementar independente: rascunho eliminado, vigente preservada. Classificação: EE, mantém o Quadro 11A. TD=3 (versão do rascunho, mensagem, ação descartar). AR=2 (Condição de instalação por via (Quadro 11A), Trilha de auditoria). Recontagem 16/10/2026: nova (não constava da contagem de 01/10/2026). Função nova por desmembramento: antes estava somada à linha 231 junto com o Quadro 10. Os DER e o arquivo lógico do Quadro 11A diferem dos do Quadro 10, logo é processo distinto (unicidade, CPM 4.3.1 Parte 1 §5.5.2.2).</t>
        </is>
      </c>
    </row>
    <row r="169" ht="12" customHeight="1" s="73">
      <c r="A169" s="14">
        <f>IF(H169="",IF(C169="",A168,A168+1),A168)</f>
        <v/>
      </c>
      <c r="B169" s="48">
        <f>IF(A169=A168,"",CONCATENATE("F",A169))</f>
        <v/>
      </c>
      <c r="C169" s="85" t="inlineStr">
        <is>
          <t>Quadro 11A da LOUOS - ativar versão publicada</t>
        </is>
      </c>
      <c r="D169" s="142" t="n"/>
      <c r="E169" s="142" t="n"/>
      <c r="F169" s="142" t="n"/>
      <c r="G169" s="143" t="n"/>
      <c r="H169" s="56" t="inlineStr">
        <is>
          <t>EE</t>
        </is>
      </c>
      <c r="I169" s="57" t="inlineStr">
        <is>
          <t>I</t>
        </is>
      </c>
      <c r="J169" s="56" t="n">
        <v>3</v>
      </c>
      <c r="K169" s="56" t="n">
        <v>2</v>
      </c>
      <c r="L169" s="50">
        <f>CONCATENATE(H169,M169)</f>
        <v/>
      </c>
      <c r="M169" s="51">
        <f>IF(OR(ISBLANK(J169),ISBLANK(K169)),IF(OR(H169="ALI",H169="AIE"),"L",IF(ISBLANK(H169),"","A")),IF(H169="EE",IF(K169&gt;=3,IF(J169&gt;=5,"H","A"),IF(K169&gt;=2,IF(J169&gt;=16,"H",IF(J169&lt;=4,"L","A")),IF(J169&lt;=15,"L","A"))),IF(OR(H169="SE",H169="CE"),IF(K169&gt;=4,IF(J169&gt;=6,"H","A"),IF(K169&gt;=2,IF(J169&gt;=20,"H",IF(J169&lt;=5,"L","A")),IF(J169&lt;=19,"L","A"))),IF(OR(H169="ALI",H169="AIE"),IF(K169&gt;=6,IF(J169&gt;=20,"H","A"),IF(K169&gt;=2,IF(J169&gt;=51,"H",IF(J169&lt;=19,"L","A")),IF(J169&lt;=50,"L","A")))))))</f>
        <v/>
      </c>
      <c r="N169" s="52">
        <f>IF(M169="L","Baixa",IF(M169="A","Média",IF(M169="","","Alta")))</f>
        <v/>
      </c>
      <c r="O169" s="53">
        <f>IF(ISBLANK(H169),"",IF(H169="ALI",IF(M169="L",7,IF(M169="A",10,15)),IF(H169="AIE",IF(M169="L",5,IF(M169="A",7,10)),IF(H169="SE",IF(M169="L",4,IF(M169="A",5,7)),IF(OR(H169="EE",H169="CE"),IF(M169="L",3,IF(M169="A",4,6)))))))</f>
        <v/>
      </c>
      <c r="P169" s="54">
        <f>IF(I169="I",O169*Contagem!$W$15,IF(I169="E",O169*Contagem!$W$17,IF(I169="A",O169*Contagem!$W$16,IF(I169="T",O169*Contagem!$W$18,""))))</f>
        <v/>
      </c>
      <c r="Q169" s="55" t="inlineStr">
        <is>
          <t>Prova: Rota PUT /gestao/louos/versoes/{versao}/ativar com quadro=quadro11a (manter-louos). Tela: gestao/louos/index, aba Quadros. RuleVersionService::activate fecha a vigente e torna a escolhida vigente, com auditoria. Teste: tests/Unit/Rules/RuleVersionServiceTest.php::test_activate_promove_versao_substituida_e_fecha_vigente_sem_apagar. Processo elementar independente: reativa versão publicada do Quadro 11A. Classificação: EE, altera o comportamento do motor. TD=3 (versão, mensagem, ação ativar). AR=2 (Condição de instalação por via (Quadro 11A), Trilha de auditoria). Recontagem 16/10/2026: nova (não constava da contagem de 01/10/2026). Função nova por desmembramento: antes estava somada à linha 283 junto com o Quadro 10. Os DER e o arquivo lógico do Quadro 11A diferem dos do Quadro 10, logo é processo distinto (unicidade, CPM 4.3.1 Parte 1 §5.5.2.2).</t>
        </is>
      </c>
    </row>
    <row r="170" ht="12" customHeight="1" s="73">
      <c r="A170" s="14">
        <f>IF(H170="",IF(C170="",A169,A169+1),A169)</f>
        <v/>
      </c>
      <c r="B170" s="48">
        <f>IF(A170=A169,"",CONCATENATE("F",A170))</f>
        <v/>
      </c>
      <c r="C170" s="85" t="n"/>
      <c r="D170" s="142" t="n"/>
      <c r="E170" s="142" t="n"/>
      <c r="F170" s="142" t="n"/>
      <c r="G170" s="143" t="n"/>
      <c r="H170" s="56" t="n"/>
      <c r="I170" s="57" t="n"/>
      <c r="J170" s="56" t="n"/>
      <c r="K170" s="56" t="n"/>
      <c r="L170" s="50">
        <f>CONCATENATE(H170,M170)</f>
        <v/>
      </c>
      <c r="M170" s="51">
        <f>IF(OR(ISBLANK(J170),ISBLANK(K170)),IF(OR(H170="ALI",H170="AIE"),"L",IF(ISBLANK(H170),"","A")),IF(H170="EE",IF(K170&gt;=3,IF(J170&gt;=5,"H","A"),IF(K170&gt;=2,IF(J170&gt;=16,"H",IF(J170&lt;=4,"L","A")),IF(J170&lt;=15,"L","A"))),IF(OR(H170="SE",H170="CE"),IF(K170&gt;=4,IF(J170&gt;=6,"H","A"),IF(K170&gt;=2,IF(J170&gt;=20,"H",IF(J170&lt;=5,"L","A")),IF(J170&lt;=19,"L","A"))),IF(OR(H170="ALI",H170="AIE"),IF(K170&gt;=6,IF(J170&gt;=20,"H","A"),IF(K170&gt;=2,IF(J170&gt;=51,"H",IF(J170&lt;=19,"L","A")),IF(J170&lt;=50,"L","A")))))))</f>
        <v/>
      </c>
      <c r="N170" s="52">
        <f>IF(M170="L","Baixa",IF(M170="A","Média",IF(M170="","","Alta")))</f>
        <v/>
      </c>
      <c r="O170" s="53">
        <f>IF(ISBLANK(H170),"",IF(H170="ALI",IF(M170="L",7,IF(M170="A",10,15)),IF(H170="AIE",IF(M170="L",5,IF(M170="A",7,10)),IF(H170="SE",IF(M170="L",4,IF(M170="A",5,7)),IF(OR(H170="EE",H170="CE"),IF(M170="L",3,IF(M170="A",4,6)))))))</f>
        <v/>
      </c>
      <c r="P170" s="54">
        <f>IF(I170="I",O170*Contagem!$W$15,IF(I170="E",O170*Contagem!$W$17,IF(I170="A",O170*Contagem!$W$16,IF(I170="T",O170*Contagem!$W$18,""))))</f>
        <v/>
      </c>
      <c r="Q170" s="55" t="n"/>
    </row>
    <row r="171" ht="12" customHeight="1" s="73">
      <c r="A171" s="14">
        <f>IF(H171="",IF(C171="",A170,A170+1),A170)</f>
        <v/>
      </c>
      <c r="B171" s="48">
        <f>IF(A171=A170,"",CONCATENATE("F",A171))</f>
        <v/>
      </c>
      <c r="C171" s="85" t="inlineStr">
        <is>
          <t>Motor de regras da LOUOS - consulta e simulação</t>
        </is>
      </c>
      <c r="D171" s="142" t="n"/>
      <c r="E171" s="142" t="n"/>
      <c r="F171" s="142" t="n"/>
      <c r="G171" s="143" t="n"/>
      <c r="H171" s="56" t="n"/>
      <c r="I171" s="57" t="n"/>
      <c r="J171" s="56" t="n"/>
      <c r="K171" s="56" t="n"/>
      <c r="L171" s="50">
        <f>CONCATENATE(H171,M171)</f>
        <v/>
      </c>
      <c r="M171" s="51">
        <f>IF(OR(ISBLANK(J171),ISBLANK(K171)),IF(OR(H171="ALI",H171="AIE"),"L",IF(ISBLANK(H171),"","A")),IF(H171="EE",IF(K171&gt;=3,IF(J171&gt;=5,"H","A"),IF(K171&gt;=2,IF(J171&gt;=16,"H",IF(J171&lt;=4,"L","A")),IF(J171&lt;=15,"L","A"))),IF(OR(H171="SE",H171="CE"),IF(K171&gt;=4,IF(J171&gt;=6,"H","A"),IF(K171&gt;=2,IF(J171&gt;=20,"H",IF(J171&lt;=5,"L","A")),IF(J171&lt;=19,"L","A"))),IF(OR(H171="ALI",H171="AIE"),IF(K171&gt;=6,IF(J171&gt;=20,"H","A"),IF(K171&gt;=2,IF(J171&gt;=51,"H",IF(J171&lt;=19,"L","A")),IF(J171&lt;=50,"L","A")))))))</f>
        <v/>
      </c>
      <c r="N171" s="52">
        <f>IF(M171="L","Baixa",IF(M171="A","Média",IF(M171="","","Alta")))</f>
        <v/>
      </c>
      <c r="O171" s="53">
        <f>IF(ISBLANK(H171),"",IF(H171="ALI",IF(M171="L",7,IF(M171="A",10,15)),IF(H171="AIE",IF(M171="L",5,IF(M171="A",7,10)),IF(H171="SE",IF(M171="L",4,IF(M171="A",5,7)),IF(OR(H171="EE",H171="CE"),IF(M171="L",3,IF(M171="A",4,6)))))))</f>
        <v/>
      </c>
      <c r="P171" s="54">
        <f>IF(I171="I",O171*Contagem!$W$15,IF(I171="E",O171*Contagem!$W$17,IF(I171="A",O171*Contagem!$W$16,IF(I171="T",O171*Contagem!$W$18,""))))</f>
        <v/>
      </c>
      <c r="Q171" s="55" t="n"/>
    </row>
    <row r="172" ht="12" customHeight="1" s="73">
      <c r="A172" s="14">
        <f>IF(H172="",IF(C172="",A171,A171+1),A171)</f>
        <v/>
      </c>
      <c r="B172" s="48">
        <f>IF(A172=A171,"",CONCATENATE("F",A172))</f>
        <v/>
      </c>
      <c r="C172" s="85" t="inlineStr">
        <is>
          <t>Motor de regras - consultar quadros da LOUOS</t>
        </is>
      </c>
      <c r="D172" s="142" t="n"/>
      <c r="E172" s="142" t="n"/>
      <c r="F172" s="142" t="n"/>
      <c r="G172" s="143" t="n"/>
      <c r="H172" s="56" t="inlineStr">
        <is>
          <t>SE</t>
        </is>
      </c>
      <c r="I172" s="57" t="inlineStr">
        <is>
          <t>I</t>
        </is>
      </c>
      <c r="J172" s="56" t="n">
        <v>17</v>
      </c>
      <c r="K172" s="56" t="n">
        <v>3</v>
      </c>
      <c r="L172" s="50">
        <f>CONCATENATE(H172,M172)</f>
        <v/>
      </c>
      <c r="M172" s="51">
        <f>IF(OR(ISBLANK(J172),ISBLANK(K172)),IF(OR(H172="ALI",H172="AIE"),"L",IF(ISBLANK(H172),"","A")),IF(H172="EE",IF(K172&gt;=3,IF(J172&gt;=5,"H","A"),IF(K172&gt;=2,IF(J172&gt;=16,"H",IF(J172&lt;=4,"L","A")),IF(J172&lt;=15,"L","A"))),IF(OR(H172="SE",H172="CE"),IF(K172&gt;=4,IF(J172&gt;=6,"H","A"),IF(K172&gt;=2,IF(J172&gt;=20,"H",IF(J172&lt;=5,"L","A")),IF(J172&lt;=19,"L","A"))),IF(OR(H172="ALI",H172="AIE"),IF(K172&gt;=6,IF(J172&gt;=20,"H","A"),IF(K172&gt;=2,IF(J172&gt;=51,"H",IF(J172&lt;=19,"L","A")),IF(J172&lt;=50,"L","A")))))))</f>
        <v/>
      </c>
      <c r="N172" s="52">
        <f>IF(M172="L","Baixa",IF(M172="A","Média",IF(M172="","","Alta")))</f>
        <v/>
      </c>
      <c r="O172" s="53">
        <f>IF(ISBLANK(H172),"",IF(H172="ALI",IF(M172="L",7,IF(M172="A",10,15)),IF(H172="AIE",IF(M172="L",5,IF(M172="A",7,10)),IF(H172="SE",IF(M172="L",4,IF(M172="A",5,7)),IF(OR(H172="EE",H172="CE"),IF(M172="L",3,IF(M172="A",4,6)))))))</f>
        <v/>
      </c>
      <c r="P172" s="54">
        <f>IF(I172="I",O172*Contagem!$W$15,IF(I172="E",O172*Contagem!$W$17,IF(I172="A",O172*Contagem!$W$16,IF(I172="T",O172*Contagem!$W$18,""))))</f>
        <v/>
      </c>
      <c r="Q172" s="55" t="inlineStr">
        <is>
          <t>Prova: Rota GET /gestao/louos?aba=quadros (consultar-louos). Tela: gestao/louos/index, aba Quadros (aba-quadros.tsx). Mostra o resumo das versões vigentes dos dois quadros com total de linhas, a lista paginada do quadro escolhido com busca e o histórico de versões com total por versão; LouosController::index audita a consulta. Teste: tests/Feature/Louos/LouosConsultaTest.php::test_analista_consulta_quadros_vigentes. Processo elementar independente: o analista recebe as regras vigentes; DER e lógica próprios, distintos das abas Enquadramento e Territoriais. Classificação: SE, apresenta totais calculados e grava a trilha (§5.5.3). TD=17 (quadro, busca, zona, grupo de uso, subgrupo, permissão, referência de condicionante, base legal, classe de via, condições, versão, vigência inicial, vigência final, fonte, situação da versão, total de registros, ação consultar). AR=3 (Permissão de uso por zona (Quadro 10), Condição de instalação por via (Quadro 11A), Trilha de auditoria). Recontagem 16/10/2026: alterada (linha 280 da contagem de 01/10/2026: "Motor de regras - consultar quadros da LOUOS", SE Média 5 PF, TD 18, AR 3). Motivo: Mantida como função única porque cada execução lê os dois quadros (LouosController::resumoQuadros mostra a vigente e o total do 10 e do 11A, além da lista do quadro escolhido). Versão de regras passou a RLR dos quadros; a consulta grava trilha (evento consulta-quadros), antes omitida. TD 18→17 (aba é navegação), AR 3; Média (5 PF).</t>
        </is>
      </c>
    </row>
    <row r="173" ht="12" customHeight="1" s="73">
      <c r="A173" s="14">
        <f>IF(H173="",IF(C173="",A172,A172+1),A172)</f>
        <v/>
      </c>
      <c r="B173" s="48">
        <f>IF(A173=A172,"",CONCATENATE("F",A173))</f>
        <v/>
      </c>
      <c r="C173" s="85" t="inlineStr">
        <is>
          <t>Simulação de regras - simular aplicação de rascunho</t>
        </is>
      </c>
      <c r="D173" s="142" t="n"/>
      <c r="E173" s="142" t="n"/>
      <c r="F173" s="142" t="n"/>
      <c r="G173" s="143" t="n"/>
      <c r="H173" s="56" t="inlineStr">
        <is>
          <t>SE</t>
        </is>
      </c>
      <c r="I173" s="57" t="inlineStr">
        <is>
          <t>I</t>
        </is>
      </c>
      <c r="J173" s="56" t="n">
        <v>14</v>
      </c>
      <c r="K173" s="56" t="n">
        <v>7</v>
      </c>
      <c r="L173" s="50">
        <f>CONCATENATE(H173,M173)</f>
        <v/>
      </c>
      <c r="M173" s="51">
        <f>IF(OR(ISBLANK(J173),ISBLANK(K173)),IF(OR(H173="ALI",H173="AIE"),"L",IF(ISBLANK(H173),"","A")),IF(H173="EE",IF(K173&gt;=3,IF(J173&gt;=5,"H","A"),IF(K173&gt;=2,IF(J173&gt;=16,"H",IF(J173&lt;=4,"L","A")),IF(J173&lt;=15,"L","A"))),IF(OR(H173="SE",H173="CE"),IF(K173&gt;=4,IF(J173&gt;=6,"H","A"),IF(K173&gt;=2,IF(J173&gt;=20,"H",IF(J173&lt;=5,"L","A")),IF(J173&lt;=19,"L","A"))),IF(OR(H173="ALI",H173="AIE"),IF(K173&gt;=6,IF(J173&gt;=20,"H","A"),IF(K173&gt;=2,IF(J173&gt;=51,"H",IF(J173&lt;=19,"L","A")),IF(J173&lt;=50,"L","A")))))))</f>
        <v/>
      </c>
      <c r="N173" s="52">
        <f>IF(M173="L","Baixa",IF(M173="A","Média",IF(M173="","","Alta")))</f>
        <v/>
      </c>
      <c r="O173" s="53">
        <f>IF(ISBLANK(H173),"",IF(H173="ALI",IF(M173="L",7,IF(M173="A",10,15)),IF(H173="AIE",IF(M173="L",5,IF(M173="A",7,10)),IF(H173="SE",IF(M173="L",4,IF(M173="A",5,7)),IF(OR(H173="EE",H173="CE"),IF(M173="L",3,IF(M173="A",4,6)))))))</f>
        <v/>
      </c>
      <c r="P173" s="54">
        <f>IF(I173="I",O173*Contagem!$W$15,IF(I173="E",O173*Contagem!$W$17,IF(I173="A",O173*Contagem!$W$16,IF(I173="T",O173*Contagem!$W$18,""))))</f>
        <v/>
      </c>
      <c r="Q173" s="55" t="inlineStr">
        <is>
          <t>Prova: Rota POST /gestao/louos/simulacao (manter-louos). Tela: gestao/louos/sandbox. LouosSandboxSimulationService monta cenários com CNAEs ativos e a zona do Quadro 10 vigente, roda o motor com a vigente e com o rascunho sem persistir, calcula total, quantos mudariam e a distribuição, e audita a simulação. Teste: tests/Feature/Louos/LouosSandboxTest.php::test_simulacao_reexecuta_o_motor_e_conta_divergencias. Processo elementar independente: relatório de impacto completo antes de publicar; nada muda na vigente. Classificação: SE, calcula e apresenta o impacto (§5.5.3). TD=14 (quadro, versão do rascunho, tamanho da amostra, amostra usada, total de cenários, mudariam, distribuição da mudança, CNAE do cenário, zona do cenário, área do cenário, resultado vigente, resultado simulado, motivo simulado, ação simular). AR=7 (CNAE, Permissão de uso por zona (Quadro 10), Condição de instalação por via (Quadro 11A), Planilha de enquadramento, Regra territorial, Texto decisório, Trilha de auditoria). Recontagem 16/10/2026: alterada (linha 193 da contagem de 01/10/2026: "Simulação de regras - simular aplicação", SE Alta 7 PF, TD 14, AR 6). Motivo: FTR revisados pelo código: sai Versão de regras (RLR dos quadros) e Zona urbanística (dado de código; a zona do cenário vem do próprio Quadro 10 vigente, LouosSandboxSimulationService::zonaFixa); entram Planilha de enquadramento, Regra territorial e Texto decisório, lidos pelo motor real (LouosEnquadramentoService, TratamentoRamoResolver, TerritorialRuleService, DecisionTextCatalog). AR 6→7; continua Alta (7 PF). Função única para os dois quadros: o motor lê ambos em toda simulação.</t>
        </is>
      </c>
    </row>
    <row r="174" ht="12" customHeight="1" s="73">
      <c r="A174" s="14">
        <f>IF(H174="",IF(C174="",A173,A173+1),A173)</f>
        <v/>
      </c>
      <c r="B174" s="48">
        <f>IF(A174=A173,"",CONCATENATE("F",A174))</f>
        <v/>
      </c>
      <c r="C174" s="85" t="n"/>
      <c r="D174" s="142" t="n"/>
      <c r="E174" s="142" t="n"/>
      <c r="F174" s="142" t="n"/>
      <c r="G174" s="143" t="n"/>
      <c r="H174" s="56" t="n"/>
      <c r="I174" s="57" t="n"/>
      <c r="J174" s="56" t="n"/>
      <c r="K174" s="56" t="n"/>
      <c r="L174" s="50">
        <f>CONCATENATE(H174,M174)</f>
        <v/>
      </c>
      <c r="M174" s="51">
        <f>IF(OR(ISBLANK(J174),ISBLANK(K174)),IF(OR(H174="ALI",H174="AIE"),"L",IF(ISBLANK(H174),"","A")),IF(H174="EE",IF(K174&gt;=3,IF(J174&gt;=5,"H","A"),IF(K174&gt;=2,IF(J174&gt;=16,"H",IF(J174&lt;=4,"L","A")),IF(J174&lt;=15,"L","A"))),IF(OR(H174="SE",H174="CE"),IF(K174&gt;=4,IF(J174&gt;=6,"H","A"),IF(K174&gt;=2,IF(J174&gt;=20,"H",IF(J174&lt;=5,"L","A")),IF(J174&lt;=19,"L","A"))),IF(OR(H174="ALI",H174="AIE"),IF(K174&gt;=6,IF(J174&gt;=20,"H","A"),IF(K174&gt;=2,IF(J174&gt;=51,"H",IF(J174&lt;=19,"L","A")),IF(J174&lt;=50,"L","A")))))))</f>
        <v/>
      </c>
      <c r="N174" s="52">
        <f>IF(M174="L","Baixa",IF(M174="A","Média",IF(M174="","","Alta")))</f>
        <v/>
      </c>
      <c r="O174" s="53">
        <f>IF(ISBLANK(H174),"",IF(H174="ALI",IF(M174="L",7,IF(M174="A",10,15)),IF(H174="AIE",IF(M174="L",5,IF(M174="A",7,10)),IF(H174="SE",IF(M174="L",4,IF(M174="A",5,7)),IF(OR(H174="EE",H174="CE"),IF(M174="L",3,IF(M174="A",4,6)))))))</f>
        <v/>
      </c>
      <c r="P174" s="54">
        <f>IF(I174="I",O174*Contagem!$W$15,IF(I174="E",O174*Contagem!$W$17,IF(I174="A",O174*Contagem!$W$16,IF(I174="T",O174*Contagem!$W$18,""))))</f>
        <v/>
      </c>
      <c r="Q174" s="55" t="n"/>
    </row>
    <row r="175" ht="12" customHeight="1" s="73">
      <c r="A175" s="14">
        <f>IF(H175="",IF(C175="",A174,A174+1),A174)</f>
        <v/>
      </c>
      <c r="B175" s="48">
        <f>IF(A175=A174,"",CONCATENATE("F",A175))</f>
        <v/>
      </c>
      <c r="C175" s="85" t="inlineStr">
        <is>
          <t>Planilha de enquadramento (tratamento por CNAE)</t>
        </is>
      </c>
      <c r="D175" s="142" t="n"/>
      <c r="E175" s="142" t="n"/>
      <c r="F175" s="142" t="n"/>
      <c r="G175" s="143" t="n"/>
      <c r="H175" s="56" t="n"/>
      <c r="I175" s="57" t="n"/>
      <c r="J175" s="56" t="n"/>
      <c r="K175" s="56" t="n"/>
      <c r="L175" s="50">
        <f>CONCATENATE(H175,M175)</f>
        <v/>
      </c>
      <c r="M175" s="51">
        <f>IF(OR(ISBLANK(J175),ISBLANK(K175)),IF(OR(H175="ALI",H175="AIE"),"L",IF(ISBLANK(H175),"","A")),IF(H175="EE",IF(K175&gt;=3,IF(J175&gt;=5,"H","A"),IF(K175&gt;=2,IF(J175&gt;=16,"H",IF(J175&lt;=4,"L","A")),IF(J175&lt;=15,"L","A"))),IF(OR(H175="SE",H175="CE"),IF(K175&gt;=4,IF(J175&gt;=6,"H","A"),IF(K175&gt;=2,IF(J175&gt;=20,"H",IF(J175&lt;=5,"L","A")),IF(J175&lt;=19,"L","A"))),IF(OR(H175="ALI",H175="AIE"),IF(K175&gt;=6,IF(J175&gt;=20,"H","A"),IF(K175&gt;=2,IF(J175&gt;=51,"H",IF(J175&lt;=19,"L","A")),IF(J175&lt;=50,"L","A")))))))</f>
        <v/>
      </c>
      <c r="N175" s="52">
        <f>IF(M175="L","Baixa",IF(M175="A","Média",IF(M175="","","Alta")))</f>
        <v/>
      </c>
      <c r="O175" s="53">
        <f>IF(ISBLANK(H175),"",IF(H175="ALI",IF(M175="L",7,IF(M175="A",10,15)),IF(H175="AIE",IF(M175="L",5,IF(M175="A",7,10)),IF(H175="SE",IF(M175="L",4,IF(M175="A",5,7)),IF(OR(H175="EE",H175="CE"),IF(M175="L",3,IF(M175="A",4,6)))))))</f>
        <v/>
      </c>
      <c r="P175" s="54">
        <f>IF(I175="I",O175*Contagem!$W$15,IF(I175="E",O175*Contagem!$W$17,IF(I175="A",O175*Contagem!$W$16,IF(I175="T",O175*Contagem!$W$18,""))))</f>
        <v/>
      </c>
      <c r="Q175" s="55" t="n"/>
    </row>
    <row r="176" ht="12" customHeight="1" s="73">
      <c r="A176" s="14">
        <f>IF(H176="",IF(C176="",A175,A175+1),A175)</f>
        <v/>
      </c>
      <c r="B176" s="48">
        <f>IF(A176=A175,"",CONCATENATE("F",A176))</f>
        <v/>
      </c>
      <c r="C176" s="85" t="inlineStr">
        <is>
          <t>Dados - Planilha de enquadramento</t>
        </is>
      </c>
      <c r="D176" s="142" t="n"/>
      <c r="E176" s="142" t="n"/>
      <c r="F176" s="142" t="n"/>
      <c r="G176" s="143" t="n"/>
      <c r="H176" s="56" t="inlineStr">
        <is>
          <t>ALI</t>
        </is>
      </c>
      <c r="I176" s="57" t="inlineStr">
        <is>
          <t>I</t>
        </is>
      </c>
      <c r="J176" s="56" t="n">
        <v>52</v>
      </c>
      <c r="K176" s="56" t="n">
        <v>10</v>
      </c>
      <c r="L176" s="50">
        <f>CONCATENATE(H176,M176)</f>
        <v/>
      </c>
      <c r="M176" s="51">
        <f>IF(OR(ISBLANK(J176),ISBLANK(K176)),IF(OR(H176="ALI",H176="AIE"),"L",IF(ISBLANK(H176),"","A")),IF(H176="EE",IF(K176&gt;=3,IF(J176&gt;=5,"H","A"),IF(K176&gt;=2,IF(J176&gt;=16,"H",IF(J176&lt;=4,"L","A")),IF(J176&lt;=15,"L","A"))),IF(OR(H176="SE",H176="CE"),IF(K176&gt;=4,IF(J176&gt;=6,"H","A"),IF(K176&gt;=2,IF(J176&gt;=20,"H",IF(J176&lt;=5,"L","A")),IF(J176&lt;=19,"L","A"))),IF(OR(H176="ALI",H176="AIE"),IF(K176&gt;=6,IF(J176&gt;=20,"H","A"),IF(K176&gt;=2,IF(J176&gt;=51,"H",IF(J176&lt;=19,"L","A")),IF(J176&lt;=50,"L","A")))))))</f>
        <v/>
      </c>
      <c r="N176" s="52">
        <f>IF(M176="L","Baixa",IF(M176="A","Média",IF(M176="","","Alta")))</f>
        <v/>
      </c>
      <c r="O176" s="53">
        <f>IF(ISBLANK(H176),"",IF(H176="ALI",IF(M176="L",7,IF(M176="A",10,15)),IF(H176="AIE",IF(M176="L",5,IF(M176="A",7,10)),IF(H176="SE",IF(M176="L",4,IF(M176="A",5,7)),IF(OR(H176="EE",H176="CE"),IF(M176="L",3,IF(M176="A",4,6)))))))</f>
        <v/>
      </c>
      <c r="P176" s="54">
        <f>IF(I176="I",O176*Contagem!$W$15,IF(I176="E",O176*Contagem!$W$17,IF(I176="A",O176*Contagem!$W$16,IF(I176="T",O176*Contagem!$W$18,""))))</f>
        <v/>
      </c>
      <c r="Q176" s="55" t="inlineStr">
        <is>
          <t>Prova: Models app/Models/TratamentoEnquadramento.php, TratamentoRegra.php, TratamentoRegraRamo.php, TratamentoPergunta.php, TratamentoCondicionante.php, TratamentoNota.php, TratamentoPendencia.php, TratamentoCnluItem.php, TratamentoCnaeBinding.php e RuleVersion.php; migrations 2026_09_19_000001_create_treatment_tables, 2026_09_22_142414_create_treatment_regra_ramos_table, 2026_09_24_160700_add_tratamento_planilha_import_columns, 2026_10_06_180000_add_metadados_to_treatment_enquadramentos e 2026_10_07_090000_add_condicoes_e_acao_to_treatment_regra_ramos. Mantido por TratamentoPlanilhaController (PlanilhaTratamentoImporter, TratamentoRamosSedur) e RuleVersionService. Teste: tests/Feature/Tratamento/PlanilhaTratamentoImportTest.php::test_importa_a_planilha_como_rascunho_e_recusa_o_mesmo_arquivo. Arquivo lógico: planilha oficial de tratamento por CNAE que o gestor importa e publica. Todas as tabelas têm rule_version_id NOT NULL com cascadeOnDelete: são dependentes da versão (CPM 4.3.1 Parte 3 Cap. 2, Situação 1) e formam um arquivo lógico com 10 subgrupos. TD=52 (CNAE, denominação, risco, regra, código LOUOS, denominação LOUOS, subcategoria, grupo, área até (1ª faixa), enquadramento da 2ª faixa, área até (2ª faixa), enquadramento da 3ª faixa, área acima de, código TLL, especificação TLL, classificação, vagas, subdivisão CNAE, atualizado em, atualização recente, número da pergunta, texto da pergunta, referência da pergunta, observação da pergunta, tratamento da regra, referência da regra, pergunta do ramo, resposta do ramo, faixa do ramo, tipo de imóvel do ramo, condições do ramo, fluxo do ramo, bloqueia, ação do ramo, perguntas do CNAE, condicionantes do CNAE, número da condicionante, texto da condicionante, observação da condicionante, código do item CNLU, texto do item CNLU, chave da nota, texto da nota, motivo da pendência, versão, situação da versão, vigência inicial, vigência final, arquivo de origem, publicada em, autor, publicador). TR=10 (Enquadramento por CNAE, Regra, Ramo da regra, Pergunta, Condicionante, Nota, Pendência, Item CNLU, Vínculo CNAE x regra, Versão da planilha). Recontagem 16/10/2026: alterada (linha 450 da contagem de 01/10/2026: "Dados - Planilha de enquadramento", ALI Alta 15 PF, TD 35, AR 9). Motivo: Absorve o cabeçalho de versão do domínio risco_tratamento (linha 510 removida) como RLR. Novos atributos desde 01/10: metadados do enquadramento (subdivisão CNAE, atualizado em, atualização recente; migration 2026_10_06_180000) e condições e ação do ramo (migration 2026_10_07_090000). As faixas de área passam a ser listadas uma a uma. TD 35→52, TR 9→10; continua Alta (15 PF).</t>
        </is>
      </c>
    </row>
    <row r="177" ht="12" customHeight="1" s="73">
      <c r="A177" s="14">
        <f>IF(H177="",IF(C177="",A176,A176+1),A176)</f>
        <v/>
      </c>
      <c r="B177" s="48">
        <f>IF(A177=A176,"",CONCATENATE("F",A177))</f>
        <v/>
      </c>
      <c r="C177" s="85" t="inlineStr">
        <is>
          <t>Motor de regras - consultar planilha de enquadramento</t>
        </is>
      </c>
      <c r="D177" s="142" t="n"/>
      <c r="E177" s="142" t="n"/>
      <c r="F177" s="142" t="n"/>
      <c r="G177" s="143" t="n"/>
      <c r="H177" s="56" t="inlineStr">
        <is>
          <t>SE</t>
        </is>
      </c>
      <c r="I177" s="57" t="inlineStr">
        <is>
          <t>I</t>
        </is>
      </c>
      <c r="J177" s="56" t="n">
        <v>40</v>
      </c>
      <c r="K177" s="56" t="n">
        <v>2</v>
      </c>
      <c r="L177" s="50">
        <f>CONCATENATE(H177,M177)</f>
        <v/>
      </c>
      <c r="M177" s="51">
        <f>IF(OR(ISBLANK(J177),ISBLANK(K177)),IF(OR(H177="ALI",H177="AIE"),"L",IF(ISBLANK(H177),"","A")),IF(H177="EE",IF(K177&gt;=3,IF(J177&gt;=5,"H","A"),IF(K177&gt;=2,IF(J177&gt;=16,"H",IF(J177&lt;=4,"L","A")),IF(J177&lt;=15,"L","A"))),IF(OR(H177="SE",H177="CE"),IF(K177&gt;=4,IF(J177&gt;=6,"H","A"),IF(K177&gt;=2,IF(J177&gt;=20,"H",IF(J177&lt;=5,"L","A")),IF(J177&lt;=19,"L","A"))),IF(OR(H177="ALI",H177="AIE"),IF(K177&gt;=6,IF(J177&gt;=20,"H","A"),IF(K177&gt;=2,IF(J177&gt;=51,"H",IF(J177&lt;=19,"L","A")),IF(J177&lt;=50,"L","A")))))))</f>
        <v/>
      </c>
      <c r="N177" s="52">
        <f>IF(M177="L","Baixa",IF(M177="A","Média",IF(M177="","","Alta")))</f>
        <v/>
      </c>
      <c r="O177" s="53">
        <f>IF(ISBLANK(H177),"",IF(H177="ALI",IF(M177="L",7,IF(M177="A",10,15)),IF(H177="AIE",IF(M177="L",5,IF(M177="A",7,10)),IF(H177="SE",IF(M177="L",4,IF(M177="A",5,7)),IF(OR(H177="EE",H177="CE"),IF(M177="L",3,IF(M177="A",4,6)))))))</f>
        <v/>
      </c>
      <c r="P177" s="54">
        <f>IF(I177="I",O177*Contagem!$W$15,IF(I177="E",O177*Contagem!$W$17,IF(I177="A",O177*Contagem!$W$16,IF(I177="T",O177*Contagem!$W$18,""))))</f>
        <v/>
      </c>
      <c r="Q177" s="55" t="inlineStr">
        <is>
          <t>Prova: Rota GET /gestao/louos?aba=enquadramento (consultar-cnaes). Tela: gestao/louos/index, aba Planilha de enquadramento (aba-enquadramento.tsx). LouosController::dadosEnquadramento devolve contagens, perguntas, regras, ramos, condicionantes, itens CNLU, notas, pendências e a lista paginada de enquadramentos com busca, mais o rascunho aberto. A rota GET /gestao/regras-tratamento só redireciona para esta aba (navegação, não conta). Teste: tests/Feature/Tratamento/TratamentoRegrasUiTest.php::test_aba_enquadramento_mostra_planilha_vigente. Processo elementar independente: o gestor vê a planilha em uso; permissão e DER próprios. Classificação: SE, apresenta totais calculados e grava a trilha. TD=40 (versão vigente, total de CNAEs, total de enquadramentos, total de regras, total de ramos, total de condicionantes, busca, CNAE, denominação, código LOUOS, denominação LOUOS, risco, área até (1ª faixa), enquadramento da 2ª faixa, área até (2ª faixa), enquadramento da 3ª faixa, área acima de, classificação, código TLL, número da pergunta, texto da pergunta, referência da pergunta, número da regra, tratamento da regra, referência da regra, resposta do ramo, faixa do ramo, tipo de imóvel do ramo, fluxo do ramo, bloqueia, número da condicionante, texto da condicionante, código do item CNLU, texto do item CNLU, chave da nota, texto da nota, motivo da pendência, versão do rascunho, arquivo do rascunho, ação consultar). AR=2 (Planilha de enquadramento, Trilha de auditoria). Recontagem 16/10/2026: alterada (linha 281 da contagem de 01/10/2026: "Motor de regras - consultar planilha de enquadramento", SE Alta 7 PF, TD 26, AR 2). Motivo: Desde 01/10 a aba mostra as faixas de área (commit ae88c09a) e as regras aguardando a SEDUR (pendências da vigente, commit e14c5ca7). Versão de regras passou a RLR da planilha; a consulta grava trilha (LouosController::index). TD 26→40, AR 2; continua Alta (7 PF).</t>
        </is>
      </c>
    </row>
    <row r="178" ht="12" customHeight="1" s="73">
      <c r="A178" s="14">
        <f>IF(H178="",IF(C178="",A177,A177+1),A177)</f>
        <v/>
      </c>
      <c r="B178" s="48">
        <f>IF(A178=A177,"",CONCATENATE("F",A178))</f>
        <v/>
      </c>
      <c r="C178" s="85" t="inlineStr">
        <is>
          <t>Enquadramento - importar planilha</t>
        </is>
      </c>
      <c r="D178" s="142" t="n"/>
      <c r="E178" s="142" t="n"/>
      <c r="F178" s="142" t="n"/>
      <c r="G178" s="143" t="n"/>
      <c r="H178" s="56" t="inlineStr">
        <is>
          <t>EE</t>
        </is>
      </c>
      <c r="I178" s="57" t="inlineStr">
        <is>
          <t>I</t>
        </is>
      </c>
      <c r="J178" s="56" t="n">
        <v>47</v>
      </c>
      <c r="K178" s="56" t="n">
        <v>2</v>
      </c>
      <c r="L178" s="50">
        <f>CONCATENATE(H178,M178)</f>
        <v/>
      </c>
      <c r="M178" s="51">
        <f>IF(OR(ISBLANK(J178),ISBLANK(K178)),IF(OR(H178="ALI",H178="AIE"),"L",IF(ISBLANK(H178),"","A")),IF(H178="EE",IF(K178&gt;=3,IF(J178&gt;=5,"H","A"),IF(K178&gt;=2,IF(J178&gt;=16,"H",IF(J178&lt;=4,"L","A")),IF(J178&lt;=15,"L","A"))),IF(OR(H178="SE",H178="CE"),IF(K178&gt;=4,IF(J178&gt;=6,"H","A"),IF(K178&gt;=2,IF(J178&gt;=20,"H",IF(J178&lt;=5,"L","A")),IF(J178&lt;=19,"L","A"))),IF(OR(H178="ALI",H178="AIE"),IF(K178&gt;=6,IF(J178&gt;=20,"H","A"),IF(K178&gt;=2,IF(J178&gt;=51,"H",IF(J178&lt;=19,"L","A")),IF(J178&lt;=50,"L","A")))))))</f>
        <v/>
      </c>
      <c r="N178" s="52">
        <f>IF(M178="L","Baixa",IF(M178="A","Média",IF(M178="","","Alta")))</f>
        <v/>
      </c>
      <c r="O178" s="53">
        <f>IF(ISBLANK(H178),"",IF(H178="ALI",IF(M178="L",7,IF(M178="A",10,15)),IF(H178="AIE",IF(M178="L",5,IF(M178="A",7,10)),IF(H178="SE",IF(M178="L",4,IF(M178="A",5,7)),IF(OR(H178="EE",H178="CE"),IF(M178="L",3,IF(M178="A",4,6)))))))</f>
        <v/>
      </c>
      <c r="P178" s="54">
        <f>IF(I178="I",O178*Contagem!$W$15,IF(I178="E",O178*Contagem!$W$17,IF(I178="A",O178*Contagem!$W$16,IF(I178="T",O178*Contagem!$W$18,""))))</f>
        <v/>
      </c>
      <c r="Q178" s="55" t="inlineStr">
        <is>
          <t>Prova: Rota POST /gestao/louos/enquadramento/importar (manter-louos). Tela: gestao/louos/index, aba enquadramento. PlanilhaTratamentoImporter lê as abas do .xlsx, grava o rascunho com todos os subgrupos, registra pendências, recusa arquivo já importado pelo hash e audita. Teste: tests/Feature/Tratamento/PlanilhaTratamentoImportTest.php::test_importa_a_planilha_como_rascunho_e_recusa_o_mesmo_arquivo. Processo elementar independente: carga completa da planilha em rascunho, vigente intacta. Classificação: EE, mantém a Planilha de enquadramento. TD=47 (arquivo da planilha, CNAE, denominação, risco, regra, código LOUOS, denominação LOUOS, subcategoria, grupo, área até (1ª faixa), enquadramento da 2ª faixa, área até (2ª faixa), enquadramento da 3ª faixa, área acima de, código TLL, especificação TLL, classificação, vagas, subdivisão CNAE, atualizado em, atualização recente, número da pergunta, texto da pergunta, referência da pergunta, observação da pergunta, tratamento da regra, referência da regra, pergunta do ramo, resposta do ramo, faixa do ramo, tipo de imóvel do ramo, condições do ramo, fluxo do ramo, bloqueia, ação do ramo, perguntas do CNAE, condicionantes do CNAE, número da condicionante, texto da condicionante, observação da condicionante, código do item CNLU, texto do item CNLU, chave da nota, texto da nota, motivo da pendência, mensagem, ação importar). AR=2 (Planilha de enquadramento, Trilha de auditoria). Recontagem 16/10/2026: alterada (linha 451 da contagem de 01/10/2026: "Enquadramento - importar planilha", EE Alta 6 PF, TD 38, AR 3). Motivo: Campos novos lidos da planilha desde 01/10 (subdivisão CNAE, atualizado em, atualização recente; condições e ação dos ramos curados carregados por TratamentoRamosSedur). Versão de regras passou a RLR da planilha. TD 38→47, AR 3→2; continua Alta (6 PF).</t>
        </is>
      </c>
    </row>
    <row r="179" ht="12" customHeight="1" s="73">
      <c r="A179" s="14">
        <f>IF(H179="",IF(C179="",A178,A178+1),A178)</f>
        <v/>
      </c>
      <c r="B179" s="48">
        <f>IF(A179=A178,"",CONCATENATE("F",A179))</f>
        <v/>
      </c>
      <c r="C179" s="85" t="inlineStr">
        <is>
          <t>Enquadramento - publicar versão</t>
        </is>
      </c>
      <c r="D179" s="142" t="n"/>
      <c r="E179" s="142" t="n"/>
      <c r="F179" s="142" t="n"/>
      <c r="G179" s="143" t="n"/>
      <c r="H179" s="56" t="inlineStr">
        <is>
          <t>EE</t>
        </is>
      </c>
      <c r="I179" s="57" t="inlineStr">
        <is>
          <t>I</t>
        </is>
      </c>
      <c r="J179" s="56" t="n">
        <v>3</v>
      </c>
      <c r="K179" s="56" t="n">
        <v>2</v>
      </c>
      <c r="L179" s="50">
        <f>CONCATENATE(H179,M179)</f>
        <v/>
      </c>
      <c r="M179" s="51">
        <f>IF(OR(ISBLANK(J179),ISBLANK(K179)),IF(OR(H179="ALI",H179="AIE"),"L",IF(ISBLANK(H179),"","A")),IF(H179="EE",IF(K179&gt;=3,IF(J179&gt;=5,"H","A"),IF(K179&gt;=2,IF(J179&gt;=16,"H",IF(J179&lt;=4,"L","A")),IF(J179&lt;=15,"L","A"))),IF(OR(H179="SE",H179="CE"),IF(K179&gt;=4,IF(J179&gt;=6,"H","A"),IF(K179&gt;=2,IF(J179&gt;=20,"H",IF(J179&lt;=5,"L","A")),IF(J179&lt;=19,"L","A"))),IF(OR(H179="ALI",H179="AIE"),IF(K179&gt;=6,IF(J179&gt;=20,"H","A"),IF(K179&gt;=2,IF(J179&gt;=51,"H",IF(J179&lt;=19,"L","A")),IF(J179&lt;=50,"L","A")))))))</f>
        <v/>
      </c>
      <c r="N179" s="52">
        <f>IF(M179="L","Baixa",IF(M179="A","Média",IF(M179="","","Alta")))</f>
        <v/>
      </c>
      <c r="O179" s="53">
        <f>IF(ISBLANK(H179),"",IF(H179="ALI",IF(M179="L",7,IF(M179="A",10,15)),IF(H179="AIE",IF(M179="L",5,IF(M179="A",7,10)),IF(H179="SE",IF(M179="L",4,IF(M179="A",5,7)),IF(OR(H179="EE",H179="CE"),IF(M179="L",3,IF(M179="A",4,6)))))))</f>
        <v/>
      </c>
      <c r="P179" s="54">
        <f>IF(I179="I",O179*Contagem!$W$15,IF(I179="E",O179*Contagem!$W$17,IF(I179="A",O179*Contagem!$W$16,IF(I179="T",O179*Contagem!$W$18,""))))</f>
        <v/>
      </c>
      <c r="Q179" s="55" t="inlineStr">
        <is>
          <t>Prova: Rota PUT /gestao/louos/enquadramento/versoes/{versao}/publicar (manter-louos). Tela: gestao/louos/index, aba enquadramento. TratamentoPlanilhaController::publicar aceita só rascunho do domínio risco_tratamento; RuleVersionService::publish sem quatro olhos torna a versão vigente e audita. Teste: tests/Feature/Tratamento/PlanilhaTratamentoImportTest.php::test_o_mesmo_usuario_publica_o_rascunho. Processo elementar independente: põe a planilha em uso. Classificação: EE, altera o comportamento do motor. TD=3 (versão, mensagem, ação publicar). AR=2 (Planilha de enquadramento, Trilha de auditoria). Recontagem 16/10/2026: mantida (linha 452 da contagem de 01/10/2026).</t>
        </is>
      </c>
    </row>
    <row r="180" ht="12" customHeight="1" s="73">
      <c r="A180" s="14">
        <f>IF(H180="",IF(C180="",A179,A179+1),A179)</f>
        <v/>
      </c>
      <c r="B180" s="48">
        <f>IF(A180=A179,"",CONCATENATE("F",A180))</f>
        <v/>
      </c>
      <c r="C180" s="85" t="n"/>
      <c r="D180" s="142" t="n"/>
      <c r="E180" s="142" t="n"/>
      <c r="F180" s="142" t="n"/>
      <c r="G180" s="143" t="n"/>
      <c r="H180" s="56" t="n"/>
      <c r="I180" s="57" t="n"/>
      <c r="J180" s="56" t="n"/>
      <c r="K180" s="56" t="n"/>
      <c r="L180" s="50">
        <f>CONCATENATE(H180,M180)</f>
        <v/>
      </c>
      <c r="M180" s="51">
        <f>IF(OR(ISBLANK(J180),ISBLANK(K180)),IF(OR(H180="ALI",H180="AIE"),"L",IF(ISBLANK(H180),"","A")),IF(H180="EE",IF(K180&gt;=3,IF(J180&gt;=5,"H","A"),IF(K180&gt;=2,IF(J180&gt;=16,"H",IF(J180&lt;=4,"L","A")),IF(J180&lt;=15,"L","A"))),IF(OR(H180="SE",H180="CE"),IF(K180&gt;=4,IF(J180&gt;=6,"H","A"),IF(K180&gt;=2,IF(J180&gt;=20,"H",IF(J180&lt;=5,"L","A")),IF(J180&lt;=19,"L","A"))),IF(OR(H180="ALI",H180="AIE"),IF(K180&gt;=6,IF(J180&gt;=20,"H","A"),IF(K180&gt;=2,IF(J180&gt;=51,"H",IF(J180&lt;=19,"L","A")),IF(J180&lt;=50,"L","A")))))))</f>
        <v/>
      </c>
      <c r="N180" s="52">
        <f>IF(M180="L","Baixa",IF(M180="A","Média",IF(M180="","","Alta")))</f>
        <v/>
      </c>
      <c r="O180" s="53">
        <f>IF(ISBLANK(H180),"",IF(H180="ALI",IF(M180="L",7,IF(M180="A",10,15)),IF(H180="AIE",IF(M180="L",5,IF(M180="A",7,10)),IF(H180="SE",IF(M180="L",4,IF(M180="A",5,7)),IF(OR(H180="EE",H180="CE"),IF(M180="L",3,IF(M180="A",4,6)))))))</f>
        <v/>
      </c>
      <c r="P180" s="54">
        <f>IF(I180="I",O180*Contagem!$W$15,IF(I180="E",O180*Contagem!$W$17,IF(I180="A",O180*Contagem!$W$16,IF(I180="T",O180*Contagem!$W$18,""))))</f>
        <v/>
      </c>
      <c r="Q180" s="55" t="n"/>
    </row>
    <row r="181" ht="12" customHeight="1" s="73">
      <c r="A181" s="14">
        <f>IF(H181="",IF(C181="",A180,A180+1),A180)</f>
        <v/>
      </c>
      <c r="B181" s="48">
        <f>IF(A181=A180,"",CONCATENATE("F",A181))</f>
        <v/>
      </c>
      <c r="C181" s="85" t="inlineStr">
        <is>
          <t>Regras territoriais</t>
        </is>
      </c>
      <c r="D181" s="142" t="n"/>
      <c r="E181" s="142" t="n"/>
      <c r="F181" s="142" t="n"/>
      <c r="G181" s="143" t="n"/>
      <c r="H181" s="56" t="n"/>
      <c r="I181" s="57" t="n"/>
      <c r="J181" s="56" t="n"/>
      <c r="K181" s="56" t="n"/>
      <c r="L181" s="50">
        <f>CONCATENATE(H181,M181)</f>
        <v/>
      </c>
      <c r="M181" s="51">
        <f>IF(OR(ISBLANK(J181),ISBLANK(K181)),IF(OR(H181="ALI",H181="AIE"),"L",IF(ISBLANK(H181),"","A")),IF(H181="EE",IF(K181&gt;=3,IF(J181&gt;=5,"H","A"),IF(K181&gt;=2,IF(J181&gt;=16,"H",IF(J181&lt;=4,"L","A")),IF(J181&lt;=15,"L","A"))),IF(OR(H181="SE",H181="CE"),IF(K181&gt;=4,IF(J181&gt;=6,"H","A"),IF(K181&gt;=2,IF(J181&gt;=20,"H",IF(J181&lt;=5,"L","A")),IF(J181&lt;=19,"L","A"))),IF(OR(H181="ALI",H181="AIE"),IF(K181&gt;=6,IF(J181&gt;=20,"H","A"),IF(K181&gt;=2,IF(J181&gt;=51,"H",IF(J181&lt;=19,"L","A")),IF(J181&lt;=50,"L","A")))))))</f>
        <v/>
      </c>
      <c r="N181" s="52">
        <f>IF(M181="L","Baixa",IF(M181="A","Média",IF(M181="","","Alta")))</f>
        <v/>
      </c>
      <c r="O181" s="53">
        <f>IF(ISBLANK(H181),"",IF(H181="ALI",IF(M181="L",7,IF(M181="A",10,15)),IF(H181="AIE",IF(M181="L",5,IF(M181="A",7,10)),IF(H181="SE",IF(M181="L",4,IF(M181="A",5,7)),IF(OR(H181="EE",H181="CE"),IF(M181="L",3,IF(M181="A",4,6)))))))</f>
        <v/>
      </c>
      <c r="P181" s="54">
        <f>IF(I181="I",O181*Contagem!$W$15,IF(I181="E",O181*Contagem!$W$17,IF(I181="A",O181*Contagem!$W$16,IF(I181="T",O181*Contagem!$W$18,""))))</f>
        <v/>
      </c>
      <c r="Q181" s="55" t="n"/>
    </row>
    <row r="182" ht="12" customHeight="1" s="73">
      <c r="A182" s="14">
        <f>IF(H182="",IF(C182="",A181,A181+1),A181)</f>
        <v/>
      </c>
      <c r="B182" s="48">
        <f>IF(A182=A181,"",CONCATENATE("F",A182))</f>
        <v/>
      </c>
      <c r="C182" s="85" t="inlineStr">
        <is>
          <t>Dados - Regra territorial</t>
        </is>
      </c>
      <c r="D182" s="142" t="n"/>
      <c r="E182" s="142" t="n"/>
      <c r="F182" s="142" t="n"/>
      <c r="G182" s="143" t="n"/>
      <c r="H182" s="56" t="inlineStr">
        <is>
          <t>ALI</t>
        </is>
      </c>
      <c r="I182" s="57" t="inlineStr">
        <is>
          <t>I</t>
        </is>
      </c>
      <c r="J182" s="56" t="n">
        <v>25</v>
      </c>
      <c r="K182" s="56" t="n">
        <v>3</v>
      </c>
      <c r="L182" s="50">
        <f>CONCATENATE(H182,M182)</f>
        <v/>
      </c>
      <c r="M182" s="51">
        <f>IF(OR(ISBLANK(J182),ISBLANK(K182)),IF(OR(H182="ALI",H182="AIE"),"L",IF(ISBLANK(H182),"","A")),IF(H182="EE",IF(K182&gt;=3,IF(J182&gt;=5,"H","A"),IF(K182&gt;=2,IF(J182&gt;=16,"H",IF(J182&lt;=4,"L","A")),IF(J182&lt;=15,"L","A"))),IF(OR(H182="SE",H182="CE"),IF(K182&gt;=4,IF(J182&gt;=6,"H","A"),IF(K182&gt;=2,IF(J182&gt;=20,"H",IF(J182&lt;=5,"L","A")),IF(J182&lt;=19,"L","A"))),IF(OR(H182="ALI",H182="AIE"),IF(K182&gt;=6,IF(J182&gt;=20,"H","A"),IF(K182&gt;=2,IF(J182&gt;=51,"H",IF(J182&lt;=19,"L","A")),IF(J182&lt;=50,"L","A")))))))</f>
        <v/>
      </c>
      <c r="N182" s="52">
        <f>IF(M182="L","Baixa",IF(M182="A","Média",IF(M182="","","Alta")))</f>
        <v/>
      </c>
      <c r="O182" s="53">
        <f>IF(ISBLANK(H182),"",IF(H182="ALI",IF(M182="L",7,IF(M182="A",10,15)),IF(H182="AIE",IF(M182="L",5,IF(M182="A",7,10)),IF(H182="SE",IF(M182="L",4,IF(M182="A",5,7)),IF(OR(H182="EE",H182="CE"),IF(M182="L",3,IF(M182="A",4,6)))))))</f>
        <v/>
      </c>
      <c r="P182" s="54">
        <f>IF(I182="I",O182*Contagem!$W$15,IF(I182="E",O182*Contagem!$W$17,IF(I182="A",O182*Contagem!$W$16,IF(I182="T",O182*Contagem!$W$18,""))))</f>
        <v/>
      </c>
      <c r="Q182" s="55" t="inlineStr">
        <is>
          <t>Prova: Models app/Models/TerritorialRule.php, TerritorialRuleCnae.php, TerritorialRuleAddress.php e RuleVersion.php; migrations 2026_09_23_192200_create_territorial_rules_table.php, 2026_09_23_192201_create_territorial_rule_cnaes_table.php e 2026_09_23_192202_create_territorial_rule_addresses_table.php. Mantido por TerritorialRuleController (TerritorialRuleDraftService, RuleVersionService); lido pelo motor (TerritorialRuleService). Teste: tests/Feature/Louos/TerritorialRuleCrudTest.php::test_edicao_grava_no_rascunho_sem_tocar_a_vigente. Arquivo lógico: regra territorial versionada (logradouro, TAC, zona especial) que indefere ou manda à análise. Regras com rule_version_id NOT NULL; CNAEs e endereços com cascadeOnDelete na regra: dependentes (CPM 4.3.1 Parte 3 Cap. 2, Situação 1). TD=25 (código, título, tipo, efeito, código do logradouro, nome do logradouro, camada, filtro da camada, zona-alvo, motivo de análise, texto decisório, base legal, ativo, CNAE alcançado, rótulo do endereço, número de porta, bairro, versão, situação da versão (rascunho, vigente, substituída), vigência inicial, vigência final, fonte, publicada em, autor do rascunho, publicador). TR=3 (Regra territorial, Endereço da regra, Versão das regras territoriais). Recontagem 16/10/2026: alterada (linha 444 da contagem de 01/10/2026: "Dados - Regra territorial", ALI Baixa 7 PF, TD 18, AR 3). Motivo: Absorve o cabeçalho de versão do domínio territorial (linha 510 removida) como RLR. O subgrupo de CNAEs (territorial_rule_cnaes) tem um só atributo (cnae) e deixa de ser RLR; o CNAE alcançado fica como DER. TD 18→25, TR 3; Baixa→Média (7→10) pelo total de DER.</t>
        </is>
      </c>
    </row>
    <row r="183" ht="12" customHeight="1" s="73">
      <c r="A183" s="14">
        <f>IF(H183="",IF(C183="",A182,A182+1),A182)</f>
        <v/>
      </c>
      <c r="B183" s="48">
        <f>IF(A183=A182,"",CONCATENATE("F",A183))</f>
        <v/>
      </c>
      <c r="C183" s="85" t="inlineStr">
        <is>
          <t>Motor de regras - consultar regras territoriais</t>
        </is>
      </c>
      <c r="D183" s="142" t="n"/>
      <c r="E183" s="142" t="n"/>
      <c r="F183" s="142" t="n"/>
      <c r="G183" s="143" t="n"/>
      <c r="H183" s="56" t="inlineStr">
        <is>
          <t>SE</t>
        </is>
      </c>
      <c r="I183" s="57" t="inlineStr">
        <is>
          <t>I</t>
        </is>
      </c>
      <c r="J183" s="56" t="n">
        <v>25</v>
      </c>
      <c r="K183" s="56" t="n">
        <v>4</v>
      </c>
      <c r="L183" s="50">
        <f>CONCATENATE(H183,M183)</f>
        <v/>
      </c>
      <c r="M183" s="51">
        <f>IF(OR(ISBLANK(J183),ISBLANK(K183)),IF(OR(H183="ALI",H183="AIE"),"L",IF(ISBLANK(H183),"","A")),IF(H183="EE",IF(K183&gt;=3,IF(J183&gt;=5,"H","A"),IF(K183&gt;=2,IF(J183&gt;=16,"H",IF(J183&lt;=4,"L","A")),IF(J183&lt;=15,"L","A"))),IF(OR(H183="SE",H183="CE"),IF(K183&gt;=4,IF(J183&gt;=6,"H","A"),IF(K183&gt;=2,IF(J183&gt;=20,"H",IF(J183&lt;=5,"L","A")),IF(J183&lt;=19,"L","A"))),IF(OR(H183="ALI",H183="AIE"),IF(K183&gt;=6,IF(J183&gt;=20,"H","A"),IF(K183&gt;=2,IF(J183&gt;=51,"H",IF(J183&lt;=19,"L","A")),IF(J183&lt;=50,"L","A")))))))</f>
        <v/>
      </c>
      <c r="N183" s="52">
        <f>IF(M183="L","Baixa",IF(M183="A","Média",IF(M183="","","Alta")))</f>
        <v/>
      </c>
      <c r="O183" s="53">
        <f>IF(ISBLANK(H183),"",IF(H183="ALI",IF(M183="L",7,IF(M183="A",10,15)),IF(H183="AIE",IF(M183="L",5,IF(M183="A",7,10)),IF(H183="SE",IF(M183="L",4,IF(M183="A",5,7)),IF(OR(H183="EE",H183="CE"),IF(M183="L",3,IF(M183="A",4,6)))))))</f>
        <v/>
      </c>
      <c r="P183" s="54">
        <f>IF(I183="I",O183*Contagem!$W$15,IF(I183="E",O183*Contagem!$W$17,IF(I183="A",O183*Contagem!$W$16,IF(I183="T",O183*Contagem!$W$18,""))))</f>
        <v/>
      </c>
      <c r="Q183" s="55" t="inlineStr">
        <is>
          <t>Prova: Rota GET /gestao/louos?aba=territoriais (consultar-louos). Tela: gestao/louos/index, aba Regras territoriais (aba-territoriais.tsx). LouosController::dadosTerritoriais mostra o rascunho aberto ou a vigente, com autor, CNAEs e endereços de cada regra, o histórico com total por versão e os textos decisórios. Teste: tests/Feature/Louos/TerritorialRuleCrudTest.php::test_aba_territoriais_lista_as_regras_da_versao_vigente. Processo elementar independente: o gestor vê as regras territoriais em uso ou em edição. Classificação: SE, totaliza por versão e grava a trilha. TD=25 (versão vigente, versão exibida, autor do rascunho, código, título, tipo, efeito, código do logradouro, nome do logradouro, camada, filtro da camada, zona-alvo, motivo de análise, base legal, texto decisório, ativa, CNAEs, rótulo do endereço, número de porta, bairro, situação da versão, vigência inicial, vigência final, regras por versão, ação consultar). AR=4 (Regra territorial, Texto decisório, Usuário, Trilha de auditoria). Recontagem 16/10/2026: alterada (linha 282 da contagem de 01/10/2026: "Motor de regras - consultar regras territoriais", SE Alta 7 PF, TD 23, AR 4). Motivo: Versão de regras passou a RLR da Regra territorial; a consulta grava trilha (LouosController::index). TD 23→25 (aba sai por ser navegação; vigência separada em inicial e final; endereço sem duplicar logradouro), AR 4 com outra composição; continua Alta (7 PF).</t>
        </is>
      </c>
    </row>
    <row r="184" ht="12" customHeight="1" s="73">
      <c r="A184" s="14">
        <f>IF(H184="",IF(C184="",A183,A183+1),A183)</f>
        <v/>
      </c>
      <c r="B184" s="48">
        <f>IF(A184=A183,"",CONCATENATE("F",A184))</f>
        <v/>
      </c>
      <c r="C184" s="85" t="inlineStr">
        <is>
          <t>Regras territoriais - salvar regra no rascunho</t>
        </is>
      </c>
      <c r="D184" s="142" t="n"/>
      <c r="E184" s="142" t="n"/>
      <c r="F184" s="142" t="n"/>
      <c r="G184" s="143" t="n"/>
      <c r="H184" s="56" t="inlineStr">
        <is>
          <t>EE</t>
        </is>
      </c>
      <c r="I184" s="57" t="inlineStr">
        <is>
          <t>I</t>
        </is>
      </c>
      <c r="J184" s="56" t="n">
        <v>18</v>
      </c>
      <c r="K184" s="56" t="n">
        <v>3</v>
      </c>
      <c r="L184" s="50">
        <f>CONCATENATE(H184,M184)</f>
        <v/>
      </c>
      <c r="M184" s="51">
        <f>IF(OR(ISBLANK(J184),ISBLANK(K184)),IF(OR(H184="ALI",H184="AIE"),"L",IF(ISBLANK(H184),"","A")),IF(H184="EE",IF(K184&gt;=3,IF(J184&gt;=5,"H","A"),IF(K184&gt;=2,IF(J184&gt;=16,"H",IF(J184&lt;=4,"L","A")),IF(J184&lt;=15,"L","A"))),IF(OR(H184="SE",H184="CE"),IF(K184&gt;=4,IF(J184&gt;=6,"H","A"),IF(K184&gt;=2,IF(J184&gt;=20,"H",IF(J184&lt;=5,"L","A")),IF(J184&lt;=19,"L","A"))),IF(OR(H184="ALI",H184="AIE"),IF(K184&gt;=6,IF(J184&gt;=20,"H","A"),IF(K184&gt;=2,IF(J184&gt;=51,"H",IF(J184&lt;=19,"L","A")),IF(J184&lt;=50,"L","A")))))))</f>
        <v/>
      </c>
      <c r="N184" s="52">
        <f>IF(M184="L","Baixa",IF(M184="A","Média",IF(M184="","","Alta")))</f>
        <v/>
      </c>
      <c r="O184" s="53">
        <f>IF(ISBLANK(H184),"",IF(H184="ALI",IF(M184="L",7,IF(M184="A",10,15)),IF(H184="AIE",IF(M184="L",5,IF(M184="A",7,10)),IF(H184="SE",IF(M184="L",4,IF(M184="A",5,7)),IF(OR(H184="EE",H184="CE"),IF(M184="L",3,IF(M184="A",4,6)))))))</f>
        <v/>
      </c>
      <c r="P184" s="54">
        <f>IF(I184="I",O184*Contagem!$W$15,IF(I184="E",O184*Contagem!$W$17,IF(I184="A",O184*Contagem!$W$16,IF(I184="T",O184*Contagem!$W$18,""))))</f>
        <v/>
      </c>
      <c r="Q184" s="55" t="inlineStr">
        <is>
          <t>Prova: Rota POST /gestao/louos/territoriais/rascunho (manter-louos). Tela: gestao/louos/index, aba territoriais. TerritorialRuleEditRequest valida CNAE de 7 dígitos e texto decisório existente; TerritorialRuleDraftService::aplicarAlteracao abre ou retoma o rascunho, grava a regra com CNAEs e endereços e audita. Teste: tests/Feature/Louos/TerritorialRuleCrudTest.php::test_edicao_grava_no_rascunho_sem_tocar_a_vigente. Processo elementar independente: a alteração fica pendente de publicação, vigente intacta. Classificação: EE, mantém a Regra territorial. TD=18 (código da regra, versão do rascunho, título, ativo, código do logradouro, nome do logradouro, camada, filtro da camada, zona-alvo, motivo de análise, texto decisório, base legal, CNAEs, rótulo do endereço, número de porta, bairro, mensagem, ação salvar). AR=3 (Regra territorial, Texto decisório, Trilha de auditoria). Recontagem 16/10/2026: alterada (linha 445 da contagem de 01/10/2026: "Regras territoriais - salvar rascunho", EE Alta 6 PF, TD 18, AR 4). Motivo: Versão de regras passou a RLR da Regra territorial. AR 4→3; continua Alta (6 PF).</t>
        </is>
      </c>
    </row>
    <row r="185" ht="12" customHeight="1" s="73">
      <c r="A185" s="14">
        <f>IF(H185="",IF(C185="",A184,A184+1),A184)</f>
        <v/>
      </c>
      <c r="B185" s="48">
        <f>IF(A185=A184,"",CONCATENATE("F",A185))</f>
        <v/>
      </c>
      <c r="C185" s="85" t="inlineStr">
        <is>
          <t>Regras territoriais - publicar versão</t>
        </is>
      </c>
      <c r="D185" s="142" t="n"/>
      <c r="E185" s="142" t="n"/>
      <c r="F185" s="142" t="n"/>
      <c r="G185" s="143" t="n"/>
      <c r="H185" s="56" t="inlineStr">
        <is>
          <t>EE</t>
        </is>
      </c>
      <c r="I185" s="57" t="inlineStr">
        <is>
          <t>I</t>
        </is>
      </c>
      <c r="J185" s="56" t="n">
        <v>3</v>
      </c>
      <c r="K185" s="56" t="n">
        <v>2</v>
      </c>
      <c r="L185" s="50">
        <f>CONCATENATE(H185,M185)</f>
        <v/>
      </c>
      <c r="M185" s="51">
        <f>IF(OR(ISBLANK(J185),ISBLANK(K185)),IF(OR(H185="ALI",H185="AIE"),"L",IF(ISBLANK(H185),"","A")),IF(H185="EE",IF(K185&gt;=3,IF(J185&gt;=5,"H","A"),IF(K185&gt;=2,IF(J185&gt;=16,"H",IF(J185&lt;=4,"L","A")),IF(J185&lt;=15,"L","A"))),IF(OR(H185="SE",H185="CE"),IF(K185&gt;=4,IF(J185&gt;=6,"H","A"),IF(K185&gt;=2,IF(J185&gt;=20,"H",IF(J185&lt;=5,"L","A")),IF(J185&lt;=19,"L","A"))),IF(OR(H185="ALI",H185="AIE"),IF(K185&gt;=6,IF(J185&gt;=20,"H","A"),IF(K185&gt;=2,IF(J185&gt;=51,"H",IF(J185&lt;=19,"L","A")),IF(J185&lt;=50,"L","A")))))))</f>
        <v/>
      </c>
      <c r="N185" s="52">
        <f>IF(M185="L","Baixa",IF(M185="A","Média",IF(M185="","","Alta")))</f>
        <v/>
      </c>
      <c r="O185" s="53">
        <f>IF(ISBLANK(H185),"",IF(H185="ALI",IF(M185="L",7,IF(M185="A",10,15)),IF(H185="AIE",IF(M185="L",5,IF(M185="A",7,10)),IF(H185="SE",IF(M185="L",4,IF(M185="A",5,7)),IF(OR(H185="EE",H185="CE"),IF(M185="L",3,IF(M185="A",4,6)))))))</f>
        <v/>
      </c>
      <c r="P185" s="54">
        <f>IF(I185="I",O185*Contagem!$W$15,IF(I185="E",O185*Contagem!$W$17,IF(I185="A",O185*Contagem!$W$16,IF(I185="T",O185*Contagem!$W$18,""))))</f>
        <v/>
      </c>
      <c r="Q185" s="55" t="inlineStr">
        <is>
          <t>Prova: Rota PUT /gestao/louos/territoriais/versoes/{versao}/publicar (manter-louos). Tela: gestao/louos/index, aba territoriais. TerritorialRuleController::publish exige rascunho do domínio territorial; RuleVersionService::publish aplica quatro olhos, fecha a vigente anterior e audita. Teste: tests/Feature/Louos/TerritorialRuleCrudTest.php::test_outro_mantenedor_publica_e_a_vigente_anterior_fecha. Processo elementar independente: o motor passa a aplicar as novas regras. Classificação: EE, altera o comportamento do motor. TD=3 (versão, mensagem, ação publicar). AR=2 (Regra territorial, Trilha de auditoria). Recontagem 16/10/2026: mantida (linha 446 da contagem de 01/10/2026).</t>
        </is>
      </c>
    </row>
    <row r="186" ht="12" customHeight="1" s="73">
      <c r="A186" s="14">
        <f>IF(H186="",IF(C186="",A185,A185+1),A185)</f>
        <v/>
      </c>
      <c r="B186" s="48">
        <f>IF(A186=A185,"",CONCATENATE("F",A186))</f>
        <v/>
      </c>
      <c r="C186" s="85" t="inlineStr">
        <is>
          <t>Regras territoriais - descartar rascunho</t>
        </is>
      </c>
      <c r="D186" s="142" t="n"/>
      <c r="E186" s="142" t="n"/>
      <c r="F186" s="142" t="n"/>
      <c r="G186" s="143" t="n"/>
      <c r="H186" s="56" t="inlineStr">
        <is>
          <t>EE</t>
        </is>
      </c>
      <c r="I186" s="57" t="inlineStr">
        <is>
          <t>I</t>
        </is>
      </c>
      <c r="J186" s="56" t="n">
        <v>3</v>
      </c>
      <c r="K186" s="56" t="n">
        <v>2</v>
      </c>
      <c r="L186" s="50">
        <f>CONCATENATE(H186,M186)</f>
        <v/>
      </c>
      <c r="M186" s="51">
        <f>IF(OR(ISBLANK(J186),ISBLANK(K186)),IF(OR(H186="ALI",H186="AIE"),"L",IF(ISBLANK(H186),"","A")),IF(H186="EE",IF(K186&gt;=3,IF(J186&gt;=5,"H","A"),IF(K186&gt;=2,IF(J186&gt;=16,"H",IF(J186&lt;=4,"L","A")),IF(J186&lt;=15,"L","A"))),IF(OR(H186="SE",H186="CE"),IF(K186&gt;=4,IF(J186&gt;=6,"H","A"),IF(K186&gt;=2,IF(J186&gt;=20,"H",IF(J186&lt;=5,"L","A")),IF(J186&lt;=19,"L","A"))),IF(OR(H186="ALI",H186="AIE"),IF(K186&gt;=6,IF(J186&gt;=20,"H","A"),IF(K186&gt;=2,IF(J186&gt;=51,"H",IF(J186&lt;=19,"L","A")),IF(J186&lt;=50,"L","A")))))))</f>
        <v/>
      </c>
      <c r="N186" s="52">
        <f>IF(M186="L","Baixa",IF(M186="A","Média",IF(M186="","","Alta")))</f>
        <v/>
      </c>
      <c r="O186" s="53">
        <f>IF(ISBLANK(H186),"",IF(H186="ALI",IF(M186="L",7,IF(M186="A",10,15)),IF(H186="AIE",IF(M186="L",5,IF(M186="A",7,10)),IF(H186="SE",IF(M186="L",4,IF(M186="A",5,7)),IF(OR(H186="EE",H186="CE"),IF(M186="L",3,IF(M186="A",4,6)))))))</f>
        <v/>
      </c>
      <c r="P186" s="54">
        <f>IF(I186="I",O186*Contagem!$W$15,IF(I186="E",O186*Contagem!$W$17,IF(I186="A",O186*Contagem!$W$16,IF(I186="T",O186*Contagem!$W$18,""))))</f>
        <v/>
      </c>
      <c r="Q186" s="55" t="inlineStr">
        <is>
          <t>Prova: Rota DELETE /gestao/louos/territoriais/rascunho/{versao} (manter-louos). Tela: gestao/louos/index, aba territoriais. TerritorialRuleDraftService::descartarRascunho exclui as regras e a versão em rascunho e audita. Teste: tests/Feature/Louos/TerritorialRuleCrudTest.php::test_descartar_rascunho_preserva_a_vigente. Processo elementar independente: alterações pendentes descartadas. Classificação: EE, mantém a Regra territorial. TD=3 (versão do rascunho, mensagem, ação descartar). AR=2 (Regra territorial, Trilha de auditoria). Recontagem 16/10/2026: alterada (linha 447 da contagem de 01/10/2026: "Regras territoriais - descartar rascunho", EE Média 4 PF, TD 3, AR 3). Motivo: Versão de regras passou a RLR da Regra territorial. AR 3→2; Média→Baixa (4→3).</t>
        </is>
      </c>
    </row>
    <row r="187" ht="12" customHeight="1" s="73">
      <c r="A187" s="14">
        <f>IF(H187="",IF(C187="",A186,A186+1),A186)</f>
        <v/>
      </c>
      <c r="B187" s="48">
        <f>IF(A187=A186,"",CONCATENATE("F",A187))</f>
        <v/>
      </c>
      <c r="C187" s="85" t="inlineStr">
        <is>
          <t>Regras territoriais - ativar versão publicada</t>
        </is>
      </c>
      <c r="D187" s="142" t="n"/>
      <c r="E187" s="142" t="n"/>
      <c r="F187" s="142" t="n"/>
      <c r="G187" s="143" t="n"/>
      <c r="H187" s="56" t="inlineStr">
        <is>
          <t>EE</t>
        </is>
      </c>
      <c r="I187" s="57" t="inlineStr">
        <is>
          <t>I</t>
        </is>
      </c>
      <c r="J187" s="56" t="n">
        <v>3</v>
      </c>
      <c r="K187" s="56" t="n">
        <v>2</v>
      </c>
      <c r="L187" s="50">
        <f>CONCATENATE(H187,M187)</f>
        <v/>
      </c>
      <c r="M187" s="51">
        <f>IF(OR(ISBLANK(J187),ISBLANK(K187)),IF(OR(H187="ALI",H187="AIE"),"L",IF(ISBLANK(H187),"","A")),IF(H187="EE",IF(K187&gt;=3,IF(J187&gt;=5,"H","A"),IF(K187&gt;=2,IF(J187&gt;=16,"H",IF(J187&lt;=4,"L","A")),IF(J187&lt;=15,"L","A"))),IF(OR(H187="SE",H187="CE"),IF(K187&gt;=4,IF(J187&gt;=6,"H","A"),IF(K187&gt;=2,IF(J187&gt;=20,"H",IF(J187&lt;=5,"L","A")),IF(J187&lt;=19,"L","A"))),IF(OR(H187="ALI",H187="AIE"),IF(K187&gt;=6,IF(J187&gt;=20,"H","A"),IF(K187&gt;=2,IF(J187&gt;=51,"H",IF(J187&lt;=19,"L","A")),IF(J187&lt;=50,"L","A")))))))</f>
        <v/>
      </c>
      <c r="N187" s="52">
        <f>IF(M187="L","Baixa",IF(M187="A","Média",IF(M187="","","Alta")))</f>
        <v/>
      </c>
      <c r="O187" s="53">
        <f>IF(ISBLANK(H187),"",IF(H187="ALI",IF(M187="L",7,IF(M187="A",10,15)),IF(H187="AIE",IF(M187="L",5,IF(M187="A",7,10)),IF(H187="SE",IF(M187="L",4,IF(M187="A",5,7)),IF(OR(H187="EE",H187="CE"),IF(M187="L",3,IF(M187="A",4,6)))))))</f>
        <v/>
      </c>
      <c r="P187" s="54">
        <f>IF(I187="I",O187*Contagem!$W$15,IF(I187="E",O187*Contagem!$W$17,IF(I187="A",O187*Contagem!$W$16,IF(I187="T",O187*Contagem!$W$18,""))))</f>
        <v/>
      </c>
      <c r="Q187" s="55" t="inlineStr">
        <is>
          <t>Prova: Rota PUT /gestao/louos/territoriais/versoes/{versao}/ativar (manter-louos). Tela: gestao/louos/index, aba territoriais (botão Ativar do histórico). TerritorialRuleController::activate recusa versão de outro domínio ou rascunho; RuleVersionService::activate fecha a vigente e torna a escolhida vigente, com auditoria. Teste: tests/Unit/Rules/RuleVersionServiceTest.php::test_activate_promove_versao_substituida_e_fecha_vigente_sem_apagar (não há teste HTTP da rota). Processo elementar independente: reativa um conjunto de regras territoriais já publicado. Classificação: EE, altera o comportamento do motor. TD=3 (versão, mensagem, ação ativar). AR=2 (Regra territorial, Trilha de auditoria). Recontagem 16/10/2026: nova (não constava da contagem de 01/10/2026). Função não contada em 01/10: a rota existe desde a criação das regras territoriais e a tela tem o botão Ativar no histórico (aba-territoriais.tsx). Distinta da ativação dos quadros por FTR (unicidade §5.5.2.2).</t>
        </is>
      </c>
    </row>
    <row r="188" ht="12" customHeight="1" s="73">
      <c r="A188" s="14">
        <f>IF(H188="",IF(C188="",A187,A187+1),A187)</f>
        <v/>
      </c>
      <c r="B188" s="48">
        <f>IF(A188=A187,"",CONCATENATE("F",A188))</f>
        <v/>
      </c>
      <c r="C188" s="85" t="n"/>
      <c r="D188" s="142" t="n"/>
      <c r="E188" s="142" t="n"/>
      <c r="F188" s="142" t="n"/>
      <c r="G188" s="143" t="n"/>
      <c r="H188" s="56" t="n"/>
      <c r="I188" s="57" t="n"/>
      <c r="J188" s="56" t="n"/>
      <c r="K188" s="56" t="n"/>
      <c r="L188" s="50">
        <f>CONCATENATE(H188,M188)</f>
        <v/>
      </c>
      <c r="M188" s="51">
        <f>IF(OR(ISBLANK(J188),ISBLANK(K188)),IF(OR(H188="ALI",H188="AIE"),"L",IF(ISBLANK(H188),"","A")),IF(H188="EE",IF(K188&gt;=3,IF(J188&gt;=5,"H","A"),IF(K188&gt;=2,IF(J188&gt;=16,"H",IF(J188&lt;=4,"L","A")),IF(J188&lt;=15,"L","A"))),IF(OR(H188="SE",H188="CE"),IF(K188&gt;=4,IF(J188&gt;=6,"H","A"),IF(K188&gt;=2,IF(J188&gt;=20,"H",IF(J188&lt;=5,"L","A")),IF(J188&lt;=19,"L","A"))),IF(OR(H188="ALI",H188="AIE"),IF(K188&gt;=6,IF(J188&gt;=20,"H","A"),IF(K188&gt;=2,IF(J188&gt;=51,"H",IF(J188&lt;=19,"L","A")),IF(J188&lt;=50,"L","A")))))))</f>
        <v/>
      </c>
      <c r="N188" s="52">
        <f>IF(M188="L","Baixa",IF(M188="A","Média",IF(M188="","","Alta")))</f>
        <v/>
      </c>
      <c r="O188" s="53">
        <f>IF(ISBLANK(H188),"",IF(H188="ALI",IF(M188="L",7,IF(M188="A",10,15)),IF(H188="AIE",IF(M188="L",5,IF(M188="A",7,10)),IF(H188="SE",IF(M188="L",4,IF(M188="A",5,7)),IF(OR(H188="EE",H188="CE"),IF(M188="L",3,IF(M188="A",4,6)))))))</f>
        <v/>
      </c>
      <c r="P188" s="54">
        <f>IF(I188="I",O188*Contagem!$W$15,IF(I188="E",O188*Contagem!$W$17,IF(I188="A",O188*Contagem!$W$16,IF(I188="T",O188*Contagem!$W$18,""))))</f>
        <v/>
      </c>
      <c r="Q188" s="55" t="n"/>
    </row>
    <row r="189" ht="12" customHeight="1" s="73">
      <c r="A189" s="14">
        <f>IF(H189="",IF(C189="",A188,A188+1),A188)</f>
        <v/>
      </c>
      <c r="B189" s="48">
        <f>IF(A189=A188,"",CONCATENATE("F",A189))</f>
        <v/>
      </c>
      <c r="C189" s="85" t="inlineStr">
        <is>
          <t>Anexos de escritório virtual</t>
        </is>
      </c>
      <c r="D189" s="142" t="n"/>
      <c r="E189" s="142" t="n"/>
      <c r="F189" s="142" t="n"/>
      <c r="G189" s="143" t="n"/>
      <c r="H189" s="56" t="n"/>
      <c r="I189" s="57" t="n"/>
      <c r="J189" s="56" t="n"/>
      <c r="K189" s="56" t="n"/>
      <c r="L189" s="50">
        <f>CONCATENATE(H189,M189)</f>
        <v/>
      </c>
      <c r="M189" s="51">
        <f>IF(OR(ISBLANK(J189),ISBLANK(K189)),IF(OR(H189="ALI",H189="AIE"),"L",IF(ISBLANK(H189),"","A")),IF(H189="EE",IF(K189&gt;=3,IF(J189&gt;=5,"H","A"),IF(K189&gt;=2,IF(J189&gt;=16,"H",IF(J189&lt;=4,"L","A")),IF(J189&lt;=15,"L","A"))),IF(OR(H189="SE",H189="CE"),IF(K189&gt;=4,IF(J189&gt;=6,"H","A"),IF(K189&gt;=2,IF(J189&gt;=20,"H",IF(J189&lt;=5,"L","A")),IF(J189&lt;=19,"L","A"))),IF(OR(H189="ALI",H189="AIE"),IF(K189&gt;=6,IF(J189&gt;=20,"H","A"),IF(K189&gt;=2,IF(J189&gt;=51,"H",IF(J189&lt;=19,"L","A")),IF(J189&lt;=50,"L","A")))))))</f>
        <v/>
      </c>
      <c r="N189" s="52">
        <f>IF(M189="L","Baixa",IF(M189="A","Média",IF(M189="","","Alta")))</f>
        <v/>
      </c>
      <c r="O189" s="53">
        <f>IF(ISBLANK(H189),"",IF(H189="ALI",IF(M189="L",7,IF(M189="A",10,15)),IF(H189="AIE",IF(M189="L",5,IF(M189="A",7,10)),IF(H189="SE",IF(M189="L",4,IF(M189="A",5,7)),IF(OR(H189="EE",H189="CE"),IF(M189="L",3,IF(M189="A",4,6)))))))</f>
        <v/>
      </c>
      <c r="P189" s="54">
        <f>IF(I189="I",O189*Contagem!$W$15,IF(I189="E",O189*Contagem!$W$17,IF(I189="A",O189*Contagem!$W$16,IF(I189="T",O189*Contagem!$W$18,""))))</f>
        <v/>
      </c>
      <c r="Q189" s="55" t="n"/>
    </row>
    <row r="190" ht="12" customHeight="1" s="73">
      <c r="A190" s="14">
        <f>IF(H190="",IF(C190="",A189,A189+1),A189)</f>
        <v/>
      </c>
      <c r="B190" s="48">
        <f>IF(A190=A189,"",CONCATENATE("F",A190))</f>
        <v/>
      </c>
      <c r="C190" s="85" t="inlineStr">
        <is>
          <t>Dados - Atividade permitida em escritório virtual</t>
        </is>
      </c>
      <c r="D190" s="142" t="n"/>
      <c r="E190" s="142" t="n"/>
      <c r="F190" s="142" t="n"/>
      <c r="G190" s="143" t="n"/>
      <c r="H190" s="56" t="inlineStr">
        <is>
          <t>ALI</t>
        </is>
      </c>
      <c r="I190" s="57" t="inlineStr">
        <is>
          <t>I</t>
        </is>
      </c>
      <c r="J190" s="56" t="n">
        <v>11</v>
      </c>
      <c r="K190" s="56" t="n">
        <v>2</v>
      </c>
      <c r="L190" s="50">
        <f>CONCATENATE(H190,M190)</f>
        <v/>
      </c>
      <c r="M190" s="51">
        <f>IF(OR(ISBLANK(J190),ISBLANK(K190)),IF(OR(H190="ALI",H190="AIE"),"L",IF(ISBLANK(H190),"","A")),IF(H190="EE",IF(K190&gt;=3,IF(J190&gt;=5,"H","A"),IF(K190&gt;=2,IF(J190&gt;=16,"H",IF(J190&lt;=4,"L","A")),IF(J190&lt;=15,"L","A"))),IF(OR(H190="SE",H190="CE"),IF(K190&gt;=4,IF(J190&gt;=6,"H","A"),IF(K190&gt;=2,IF(J190&gt;=20,"H",IF(J190&lt;=5,"L","A")),IF(J190&lt;=19,"L","A"))),IF(OR(H190="ALI",H190="AIE"),IF(K190&gt;=6,IF(J190&gt;=20,"H","A"),IF(K190&gt;=2,IF(J190&gt;=51,"H",IF(J190&lt;=19,"L","A")),IF(J190&lt;=50,"L","A")))))))</f>
        <v/>
      </c>
      <c r="N190" s="52">
        <f>IF(M190="L","Baixa",IF(M190="A","Média",IF(M190="","","Alta")))</f>
        <v/>
      </c>
      <c r="O190" s="53">
        <f>IF(ISBLANK(H190),"",IF(H190="ALI",IF(M190="L",7,IF(M190="A",10,15)),IF(H190="AIE",IF(M190="L",5,IF(M190="A",7,10)),IF(H190="SE",IF(M190="L",4,IF(M190="A",5,7)),IF(OR(H190="EE",H190="CE"),IF(M190="L",3,IF(M190="A",4,6)))))))</f>
        <v/>
      </c>
      <c r="P190" s="54">
        <f>IF(I190="I",O190*Contagem!$W$15,IF(I190="E",O190*Contagem!$W$17,IF(I190="A",O190*Contagem!$W$16,IF(I190="T",O190*Contagem!$W$18,""))))</f>
        <v/>
      </c>
      <c r="Q190" s="55" t="inlineStr">
        <is>
          <t>Prova: Model app/Models/VirtualOfficeActivityCnae.php e RuleVersion.php; migrations 2026_07_16_110000_create_virtual_office_activity_cnaes.php e 2026_08_28_100000_add_anexo_to_virtual_office_activity_cnaes.php. Mantido por EscritorioVirtualAnexosController (EscritorioVirtualAnexosService). Lido por SedeAtividadesResolver. Teste: tests/Feature/EscritorioVirtual/EscritorioVirtualAnexosTest.php::test_upload_cria_rascunho_sem_tocar_a_vigente. Arquivo lógico: lista legal versionada dos Anexos A e B (Decreto 35.062/2021). Linhas com rule_version_id NOT NULL e cascadeOnDelete: dependentes da versão (CPM 4.3.1 Parte 3 Cap. 2). Não é dado de código: a lista decide quais CNAEs a sede ou o abrigado em escritório virtual pode exercer. TD=11 (anexo, CNAE, descrição do CNAE, versão, situação da versão (rascunho, vigente, substituída), vigência inicial, vigência final, fonte, publicada em, autor do rascunho, publicador). TR=2 (Atividade do anexo, Versão dos anexos). Recontagem 16/10/2026: alterada (linha 517 da contagem de 01/10/2026: "Dados - Atividade permitida em escritório virtual", ALI Baixa 7 PF, TD 4, AR 1). Motivo: Absorve o cabeçalho de versão do domínio atividades_escritorio_virtual (linha 510 removida) como RLR. TD 4→11, TR 1→2; continua Baixa (7 PF).</t>
        </is>
      </c>
    </row>
    <row r="191" ht="12" customHeight="1" s="73">
      <c r="A191" s="14">
        <f>IF(H191="",IF(C191="",A190,A190+1),A190)</f>
        <v/>
      </c>
      <c r="B191" s="48">
        <f>IF(A191=A190,"",CONCATENATE("F",A191))</f>
        <v/>
      </c>
      <c r="C191" s="85" t="inlineStr">
        <is>
          <t>Anexos de escritório virtual - consultar</t>
        </is>
      </c>
      <c r="D191" s="142" t="n"/>
      <c r="E191" s="142" t="n"/>
      <c r="F191" s="142" t="n"/>
      <c r="G191" s="143" t="n"/>
      <c r="H191" s="56" t="inlineStr">
        <is>
          <t>SE</t>
        </is>
      </c>
      <c r="I191" s="57" t="inlineStr">
        <is>
          <t>I</t>
        </is>
      </c>
      <c r="J191" s="56" t="n">
        <v>16</v>
      </c>
      <c r="K191" s="56" t="n">
        <v>2</v>
      </c>
      <c r="L191" s="50">
        <f>CONCATENATE(H191,M191)</f>
        <v/>
      </c>
      <c r="M191" s="51">
        <f>IF(OR(ISBLANK(J191),ISBLANK(K191)),IF(OR(H191="ALI",H191="AIE"),"L",IF(ISBLANK(H191),"","A")),IF(H191="EE",IF(K191&gt;=3,IF(J191&gt;=5,"H","A"),IF(K191&gt;=2,IF(J191&gt;=16,"H",IF(J191&lt;=4,"L","A")),IF(J191&lt;=15,"L","A"))),IF(OR(H191="SE",H191="CE"),IF(K191&gt;=4,IF(J191&gt;=6,"H","A"),IF(K191&gt;=2,IF(J191&gt;=20,"H",IF(J191&lt;=5,"L","A")),IF(J191&lt;=19,"L","A"))),IF(OR(H191="ALI",H191="AIE"),IF(K191&gt;=6,IF(J191&gt;=20,"H","A"),IF(K191&gt;=2,IF(J191&gt;=51,"H",IF(J191&lt;=19,"L","A")),IF(J191&lt;=50,"L","A")))))))</f>
        <v/>
      </c>
      <c r="N191" s="52">
        <f>IF(M191="L","Baixa",IF(M191="A","Média",IF(M191="","","Alta")))</f>
        <v/>
      </c>
      <c r="O191" s="53">
        <f>IF(ISBLANK(H191),"",IF(H191="ALI",IF(M191="L",7,IF(M191="A",10,15)),IF(H191="AIE",IF(M191="L",5,IF(M191="A",7,10)),IF(H191="SE",IF(M191="L",4,IF(M191="A",5,7)),IF(OR(H191="EE",H191="CE"),IF(M191="L",3,IF(M191="A",4,6)))))))</f>
        <v/>
      </c>
      <c r="P191" s="54">
        <f>IF(I191="I",O191*Contagem!$W$15,IF(I191="E",O191*Contagem!$W$17,IF(I191="A",O191*Contagem!$W$16,IF(I191="T",O191*Contagem!$W$18,""))))</f>
        <v/>
      </c>
      <c r="Q191" s="55" t="inlineStr">
        <is>
          <t>Prova: Rota GET /gestao/escritorio-virtual/anexos (manter-cnaes). Tela: gestao/escritorio-virtual/anexos. Mostra a vigente e o rascunho com contagem por anexo, o diff do rascunho (EscritorioVirtualAnexosService::diffRascunho) e o histórico. Teste: tests/Feature/EscritorioVirtual/EscritorioVirtualAnexosTest.php::test_preview_mostra_diff_entre_rascunho_e_vigente. Processo elementar independente: revisão completa dos anexos antes de publicar. Classificação: SE, contagens e diff calculados. TD=16 (versão vigente, publicada em, publicada por, fonte, total no Anexo A, total no Anexo B, versão do rascunho, autor do rascunho, CNAEs adicionados, CNAEs removidos, situação da versão, vigência inicial, vigência final, total da versão, versão sugerida, ação consultar). AR=2 (Atividade permitida em escritório virtual, Usuário). Recontagem 16/10/2026: alterada (linha 286 da contagem de 01/10/2026: "Anexos de escritório virtual - consultar", SE Média 5 PF, TD 16, AR 3). Motivo: Versão de regras passou a RLR do arquivo de atividades. AR 3→2; continua Média (5 PF).</t>
        </is>
      </c>
    </row>
    <row r="192" ht="12" customHeight="1" s="73">
      <c r="A192" s="14">
        <f>IF(H192="",IF(C192="",A191,A191+1),A191)</f>
        <v/>
      </c>
      <c r="B192" s="48">
        <f>IF(A192=A191,"",CONCATENATE("F",A192))</f>
        <v/>
      </c>
      <c r="C192" s="85" t="inlineStr">
        <is>
          <t>Anexos de escritório virtual - carregar rascunho</t>
        </is>
      </c>
      <c r="D192" s="142" t="n"/>
      <c r="E192" s="142" t="n"/>
      <c r="F192" s="142" t="n"/>
      <c r="G192" s="143" t="n"/>
      <c r="H192" s="56" t="inlineStr">
        <is>
          <t>EE</t>
        </is>
      </c>
      <c r="I192" s="57" t="inlineStr">
        <is>
          <t>I</t>
        </is>
      </c>
      <c r="J192" s="56" t="n">
        <v>7</v>
      </c>
      <c r="K192" s="56" t="n">
        <v>2</v>
      </c>
      <c r="L192" s="50">
        <f>CONCATENATE(H192,M192)</f>
        <v/>
      </c>
      <c r="M192" s="51">
        <f>IF(OR(ISBLANK(J192),ISBLANK(K192)),IF(OR(H192="ALI",H192="AIE"),"L",IF(ISBLANK(H192),"","A")),IF(H192="EE",IF(K192&gt;=3,IF(J192&gt;=5,"H","A"),IF(K192&gt;=2,IF(J192&gt;=16,"H",IF(J192&lt;=4,"L","A")),IF(J192&lt;=15,"L","A"))),IF(OR(H192="SE",H192="CE"),IF(K192&gt;=4,IF(J192&gt;=6,"H","A"),IF(K192&gt;=2,IF(J192&gt;=20,"H",IF(J192&lt;=5,"L","A")),IF(J192&lt;=19,"L","A"))),IF(OR(H192="ALI",H192="AIE"),IF(K192&gt;=6,IF(J192&gt;=20,"H","A"),IF(K192&gt;=2,IF(J192&gt;=51,"H",IF(J192&lt;=19,"L","A")),IF(J192&lt;=50,"L","A")))))))</f>
        <v/>
      </c>
      <c r="N192" s="52">
        <f>IF(M192="L","Baixa",IF(M192="A","Média",IF(M192="","","Alta")))</f>
        <v/>
      </c>
      <c r="O192" s="53">
        <f>IF(ISBLANK(H192),"",IF(H192="ALI",IF(M192="L",7,IF(M192="A",10,15)),IF(H192="AIE",IF(M192="L",5,IF(M192="A",7,10)),IF(H192="SE",IF(M192="L",4,IF(M192="A",5,7)),IF(OR(H192="EE",H192="CE"),IF(M192="L",3,IF(M192="A",4,6)))))))</f>
        <v/>
      </c>
      <c r="P192" s="54">
        <f>IF(I192="I",O192*Contagem!$W$15,IF(I192="E",O192*Contagem!$W$17,IF(I192="A",O192*Contagem!$W$16,IF(I192="T",O192*Contagem!$W$18,""))))</f>
        <v/>
      </c>
      <c r="Q192" s="55" t="inlineStr">
        <is>
          <t>Prova: Rota POST /gestao/escritorio-virtual/anexos (manter-cnaes). Tela: gestao/escritorio-virtual/anexos. EscritorioVirtualAnexosService::importarParaRascunho grava o rascunho, substitui as linhas se reimportado, recusa versão já publicada e cabeçalho inválido, e audita. Teste: tests/Feature/EscritorioVirtual/EscritorioVirtualAnexosTest.php::test_upload_cria_rascunho_sem_tocar_a_vigente. Processo elementar independente: carga dos dois anexos em rascunho, vigente intacta. Classificação: EE, mantém o arquivo de atividades. TD=7 (versão, fonte, arquivo do Anexo A, arquivo do Anexo B, CNAE (conteúdo do arquivo), mensagem, ação importar). AR=2 (Atividade permitida em escritório virtual, Trilha de auditoria). Recontagem 16/10/2026: alterada (linha 287 da contagem de 01/10/2026: "Anexos de escritório virtual - carregar rascunho", EE Alta 6 PF, TD 7, AR 3). Motivo: Versão de regras passou a RLR do arquivo de atividades. AR 3→2; Alta→Média (6→4).</t>
        </is>
      </c>
    </row>
    <row r="193" ht="12" customHeight="1" s="73">
      <c r="A193" s="14">
        <f>IF(H193="",IF(C193="",A192,A192+1),A192)</f>
        <v/>
      </c>
      <c r="B193" s="48">
        <f>IF(A193=A192,"",CONCATENATE("F",A193))</f>
        <v/>
      </c>
      <c r="C193" s="85" t="inlineStr">
        <is>
          <t>Anexos de escritório virtual - publicar</t>
        </is>
      </c>
      <c r="D193" s="142" t="n"/>
      <c r="E193" s="142" t="n"/>
      <c r="F193" s="142" t="n"/>
      <c r="G193" s="143" t="n"/>
      <c r="H193" s="56" t="inlineStr">
        <is>
          <t>EE</t>
        </is>
      </c>
      <c r="I193" s="57" t="inlineStr">
        <is>
          <t>I</t>
        </is>
      </c>
      <c r="J193" s="56" t="n">
        <v>3</v>
      </c>
      <c r="K193" s="56" t="n">
        <v>2</v>
      </c>
      <c r="L193" s="50">
        <f>CONCATENATE(H193,M193)</f>
        <v/>
      </c>
      <c r="M193" s="51">
        <f>IF(OR(ISBLANK(J193),ISBLANK(K193)),IF(OR(H193="ALI",H193="AIE"),"L",IF(ISBLANK(H193),"","A")),IF(H193="EE",IF(K193&gt;=3,IF(J193&gt;=5,"H","A"),IF(K193&gt;=2,IF(J193&gt;=16,"H",IF(J193&lt;=4,"L","A")),IF(J193&lt;=15,"L","A"))),IF(OR(H193="SE",H193="CE"),IF(K193&gt;=4,IF(J193&gt;=6,"H","A"),IF(K193&gt;=2,IF(J193&gt;=20,"H",IF(J193&lt;=5,"L","A")),IF(J193&lt;=19,"L","A"))),IF(OR(H193="ALI",H193="AIE"),IF(K193&gt;=6,IF(J193&gt;=20,"H","A"),IF(K193&gt;=2,IF(J193&gt;=51,"H",IF(J193&lt;=19,"L","A")),IF(J193&lt;=50,"L","A")))))))</f>
        <v/>
      </c>
      <c r="N193" s="52">
        <f>IF(M193="L","Baixa",IF(M193="A","Média",IF(M193="","","Alta")))</f>
        <v/>
      </c>
      <c r="O193" s="53">
        <f>IF(ISBLANK(H193),"",IF(H193="ALI",IF(M193="L",7,IF(M193="A",10,15)),IF(H193="AIE",IF(M193="L",5,IF(M193="A",7,10)),IF(H193="SE",IF(M193="L",4,IF(M193="A",5,7)),IF(OR(H193="EE",H193="CE"),IF(M193="L",3,IF(M193="A",4,6)))))))</f>
        <v/>
      </c>
      <c r="P193" s="54">
        <f>IF(I193="I",O193*Contagem!$W$15,IF(I193="E",O193*Contagem!$W$17,IF(I193="A",O193*Contagem!$W$16,IF(I193="T",O193*Contagem!$W$18,""))))</f>
        <v/>
      </c>
      <c r="Q193" s="55" t="inlineStr">
        <is>
          <t>Prova: Rota PUT /gestao/escritorio-virtual/anexos/{versao}/publicar (manter-cnaes). Tela: gestao/escritorio-virtual/anexos. EscritorioVirtualAnexosService::publicar exige quatro olhos, torna a versão vigente e audita. Teste: tests/Feature/EscritorioVirtual/EscritorioVirtualAnexosTest.php::test_publicacao_exige_quatro_olhos. Processo elementar independente: anexos vigentes atualizados. Classificação: EE, altera o comportamento. TD=3 (versão, mensagem, ação publicar). AR=2 (Atividade permitida em escritório virtual, Trilha de auditoria). Recontagem 16/10/2026: mantida (linha 288 da contagem de 01/10/2026).</t>
        </is>
      </c>
    </row>
    <row r="194" ht="12" customHeight="1" s="73">
      <c r="A194" s="14">
        <f>IF(H194="",IF(C194="",A193,A193+1),A193)</f>
        <v/>
      </c>
      <c r="B194" s="48">
        <f>IF(A194=A193,"",CONCATENATE("F",A194))</f>
        <v/>
      </c>
      <c r="C194" s="85" t="n"/>
      <c r="D194" s="142" t="n"/>
      <c r="E194" s="142" t="n"/>
      <c r="F194" s="142" t="n"/>
      <c r="G194" s="143" t="n"/>
      <c r="H194" s="56" t="n"/>
      <c r="I194" s="57" t="n"/>
      <c r="J194" s="56" t="n"/>
      <c r="K194" s="56" t="n"/>
      <c r="L194" s="50">
        <f>CONCATENATE(H194,M194)</f>
        <v/>
      </c>
      <c r="M194" s="51">
        <f>IF(OR(ISBLANK(J194),ISBLANK(K194)),IF(OR(H194="ALI",H194="AIE"),"L",IF(ISBLANK(H194),"","A")),IF(H194="EE",IF(K194&gt;=3,IF(J194&gt;=5,"H","A"),IF(K194&gt;=2,IF(J194&gt;=16,"H",IF(J194&lt;=4,"L","A")),IF(J194&lt;=15,"L","A"))),IF(OR(H194="SE",H194="CE"),IF(K194&gt;=4,IF(J194&gt;=6,"H","A"),IF(K194&gt;=2,IF(J194&gt;=20,"H",IF(J194&lt;=5,"L","A")),IF(J194&lt;=19,"L","A"))),IF(OR(H194="ALI",H194="AIE"),IF(K194&gt;=6,IF(J194&gt;=20,"H","A"),IF(K194&gt;=2,IF(J194&gt;=51,"H",IF(J194&lt;=19,"L","A")),IF(J194&lt;=50,"L","A")))))))</f>
        <v/>
      </c>
      <c r="N194" s="52">
        <f>IF(M194="L","Baixa",IF(M194="A","Média",IF(M194="","","Alta")))</f>
        <v/>
      </c>
      <c r="O194" s="53">
        <f>IF(ISBLANK(H194),"",IF(H194="ALI",IF(M194="L",7,IF(M194="A",10,15)),IF(H194="AIE",IF(M194="L",5,IF(M194="A",7,10)),IF(H194="SE",IF(M194="L",4,IF(M194="A",5,7)),IF(OR(H194="EE",H194="CE"),IF(M194="L",3,IF(M194="A",4,6)))))))</f>
        <v/>
      </c>
      <c r="P194" s="54">
        <f>IF(I194="I",O194*Contagem!$W$15,IF(I194="E",O194*Contagem!$W$17,IF(I194="A",O194*Contagem!$W$16,IF(I194="T",O194*Contagem!$W$18,""))))</f>
        <v/>
      </c>
      <c r="Q194" s="55" t="n"/>
    </row>
    <row r="195" ht="12" customHeight="1" s="73">
      <c r="A195" s="14">
        <f>IF(H195="",IF(C195="",A194,A194+1),A194)</f>
        <v/>
      </c>
      <c r="B195" s="48">
        <f>IF(A195=A194,"",CONCATENATE("F",A195))</f>
        <v/>
      </c>
      <c r="C195" s="85" t="inlineStr">
        <is>
          <t>Camadas do GeoServer</t>
        </is>
      </c>
      <c r="D195" s="142" t="n"/>
      <c r="E195" s="142" t="n"/>
      <c r="F195" s="142" t="n"/>
      <c r="G195" s="143" t="n"/>
      <c r="H195" s="56" t="n"/>
      <c r="I195" s="57" t="n"/>
      <c r="J195" s="56" t="n"/>
      <c r="K195" s="56" t="n"/>
      <c r="L195" s="50">
        <f>CONCATENATE(H195,M195)</f>
        <v/>
      </c>
      <c r="M195" s="51">
        <f>IF(OR(ISBLANK(J195),ISBLANK(K195)),IF(OR(H195="ALI",H195="AIE"),"L",IF(ISBLANK(H195),"","A")),IF(H195="EE",IF(K195&gt;=3,IF(J195&gt;=5,"H","A"),IF(K195&gt;=2,IF(J195&gt;=16,"H",IF(J195&lt;=4,"L","A")),IF(J195&lt;=15,"L","A"))),IF(OR(H195="SE",H195="CE"),IF(K195&gt;=4,IF(J195&gt;=6,"H","A"),IF(K195&gt;=2,IF(J195&gt;=20,"H",IF(J195&lt;=5,"L","A")),IF(J195&lt;=19,"L","A"))),IF(OR(H195="ALI",H195="AIE"),IF(K195&gt;=6,IF(J195&gt;=20,"H","A"),IF(K195&gt;=2,IF(J195&gt;=51,"H",IF(J195&lt;=19,"L","A")),IF(J195&lt;=50,"L","A")))))))</f>
        <v/>
      </c>
      <c r="N195" s="52">
        <f>IF(M195="L","Baixa",IF(M195="A","Média",IF(M195="","","Alta")))</f>
        <v/>
      </c>
      <c r="O195" s="53">
        <f>IF(ISBLANK(H195),"",IF(H195="ALI",IF(M195="L",7,IF(M195="A",10,15)),IF(H195="AIE",IF(M195="L",5,IF(M195="A",7,10)),IF(H195="SE",IF(M195="L",4,IF(M195="A",5,7)),IF(OR(H195="EE",H195="CE"),IF(M195="L",3,IF(M195="A",4,6)))))))</f>
        <v/>
      </c>
      <c r="P195" s="54">
        <f>IF(I195="I",O195*Contagem!$W$15,IF(I195="E",O195*Contagem!$W$17,IF(I195="A",O195*Contagem!$W$16,IF(I195="T",O195*Contagem!$W$18,""))))</f>
        <v/>
      </c>
      <c r="Q195" s="55" t="n"/>
    </row>
    <row r="196" ht="12" customHeight="1" s="73">
      <c r="A196" s="14">
        <f>IF(H196="",IF(C196="",A195,A195+1),A195)</f>
        <v/>
      </c>
      <c r="B196" s="48">
        <f>IF(A196=A195,"",CONCATENATE("F",A196))</f>
        <v/>
      </c>
      <c r="C196" s="85" t="inlineStr">
        <is>
          <t>Dados - Camada do GeoServer</t>
        </is>
      </c>
      <c r="D196" s="142" t="n"/>
      <c r="E196" s="142" t="n"/>
      <c r="F196" s="142" t="n"/>
      <c r="G196" s="143" t="n"/>
      <c r="H196" s="56" t="inlineStr">
        <is>
          <t>ALI</t>
        </is>
      </c>
      <c r="I196" s="57" t="inlineStr">
        <is>
          <t>I</t>
        </is>
      </c>
      <c r="J196" s="56" t="n">
        <v>5</v>
      </c>
      <c r="K196" s="56" t="n">
        <v>1</v>
      </c>
      <c r="L196" s="50">
        <f>CONCATENATE(H196,M196)</f>
        <v/>
      </c>
      <c r="M196" s="51">
        <f>IF(OR(ISBLANK(J196),ISBLANK(K196)),IF(OR(H196="ALI",H196="AIE"),"L",IF(ISBLANK(H196),"","A")),IF(H196="EE",IF(K196&gt;=3,IF(J196&gt;=5,"H","A"),IF(K196&gt;=2,IF(J196&gt;=16,"H",IF(J196&lt;=4,"L","A")),IF(J196&lt;=15,"L","A"))),IF(OR(H196="SE",H196="CE"),IF(K196&gt;=4,IF(J196&gt;=6,"H","A"),IF(K196&gt;=2,IF(J196&gt;=20,"H",IF(J196&lt;=5,"L","A")),IF(J196&lt;=19,"L","A"))),IF(OR(H196="ALI",H196="AIE"),IF(K196&gt;=6,IF(J196&gt;=20,"H","A"),IF(K196&gt;=2,IF(J196&gt;=51,"H",IF(J196&lt;=19,"L","A")),IF(J196&lt;=50,"L","A")))))))</f>
        <v/>
      </c>
      <c r="N196" s="52">
        <f>IF(M196="L","Baixa",IF(M196="A","Média",IF(M196="","","Alta")))</f>
        <v/>
      </c>
      <c r="O196" s="53">
        <f>IF(ISBLANK(H196),"",IF(H196="ALI",IF(M196="L",7,IF(M196="A",10,15)),IF(H196="AIE",IF(M196="L",5,IF(M196="A",7,10)),IF(H196="SE",IF(M196="L",4,IF(M196="A",5,7)),IF(OR(H196="EE",H196="CE"),IF(M196="L",3,IF(M196="A",4,6)))))))</f>
        <v/>
      </c>
      <c r="P196" s="54">
        <f>IF(I196="I",O196*Contagem!$W$15,IF(I196="E",O196*Contagem!$W$17,IF(I196="A",O196*Contagem!$W$16,IF(I196="T",O196*Contagem!$W$18,""))))</f>
        <v/>
      </c>
      <c r="Q196" s="55" t="inlineStr">
        <is>
          <t>Prova: Model app/Models/GeoServerLayer.php; migration database/migrations/2026_09_18_100001_create_geoserver_layers_table.php (único workspace+type_name). Mantido em /gestao/territorio/geoserver (GeoServerLayerController). Lido por GeoServerWfsZonaClient e GeoServerZonaMaiorPorcaoResolver para escolher as camadas consultadas na identificação da zona. Teste: tests/Feature/Geo/GeoServerLayerCrudTest.php::test_cria_camada. Arquivo lógico: configuração mantida pelo gestor que muda quais camadas e em que ordem a zona é procurada; não é entidade de substituição código-descrição. TD=5 (workspace, nome da camada, rótulo, ordem, ativo). TR=1 (Camada do GeoServer). Recontagem 16/10/2026: mantida (linha 161 da contagem de 01/10/2026).</t>
        </is>
      </c>
    </row>
    <row r="197" ht="12" customHeight="1" s="73">
      <c r="A197" s="14">
        <f>IF(H197="",IF(C197="",A196,A196+1),A196)</f>
        <v/>
      </c>
      <c r="B197" s="48">
        <f>IF(A197=A196,"",CONCATENATE("F",A197))</f>
        <v/>
      </c>
      <c r="C197" s="85" t="inlineStr">
        <is>
          <t>Camadas do GeoServer - consultar</t>
        </is>
      </c>
      <c r="D197" s="142" t="n"/>
      <c r="E197" s="142" t="n"/>
      <c r="F197" s="142" t="n"/>
      <c r="G197" s="143" t="n"/>
      <c r="H197" s="56" t="inlineStr">
        <is>
          <t>CE</t>
        </is>
      </c>
      <c r="I197" s="57" t="inlineStr">
        <is>
          <t>I</t>
        </is>
      </c>
      <c r="J197" s="56" t="n">
        <v>6</v>
      </c>
      <c r="K197" s="56" t="n">
        <v>1</v>
      </c>
      <c r="L197" s="50">
        <f>CONCATENATE(H197,M197)</f>
        <v/>
      </c>
      <c r="M197" s="51">
        <f>IF(OR(ISBLANK(J197),ISBLANK(K197)),IF(OR(H197="ALI",H197="AIE"),"L",IF(ISBLANK(H197),"","A")),IF(H197="EE",IF(K197&gt;=3,IF(J197&gt;=5,"H","A"),IF(K197&gt;=2,IF(J197&gt;=16,"H",IF(J197&lt;=4,"L","A")),IF(J197&lt;=15,"L","A"))),IF(OR(H197="SE",H197="CE"),IF(K197&gt;=4,IF(J197&gt;=6,"H","A"),IF(K197&gt;=2,IF(J197&gt;=20,"H",IF(J197&lt;=5,"L","A")),IF(J197&lt;=19,"L","A"))),IF(OR(H197="ALI",H197="AIE"),IF(K197&gt;=6,IF(J197&gt;=20,"H","A"),IF(K197&gt;=2,IF(J197&gt;=51,"H",IF(J197&lt;=19,"L","A")),IF(J197&lt;=50,"L","A")))))))</f>
        <v/>
      </c>
      <c r="N197" s="52">
        <f>IF(M197="L","Baixa",IF(M197="A","Média",IF(M197="","","Alta")))</f>
        <v/>
      </c>
      <c r="O197" s="53">
        <f>IF(ISBLANK(H197),"",IF(H197="ALI",IF(M197="L",7,IF(M197="A",10,15)),IF(H197="AIE",IF(M197="L",5,IF(M197="A",7,10)),IF(H197="SE",IF(M197="L",4,IF(M197="A",5,7)),IF(OR(H197="EE",H197="CE"),IF(M197="L",3,IF(M197="A",4,6)))))))</f>
        <v/>
      </c>
      <c r="P197" s="54">
        <f>IF(I197="I",O197*Contagem!$W$15,IF(I197="E",O197*Contagem!$W$17,IF(I197="A",O197*Contagem!$W$16,IF(I197="T",O197*Contagem!$W$18,""))))</f>
        <v/>
      </c>
      <c r="Q197" s="55" t="inlineStr">
        <is>
          <t>Prova: Rota GET /gestao/territorio/geoserver (manter-territorio). Tela: gestao/territorio/geoserver. Lista as camadas em ordem com nome completo, rótulo e situação. Teste: tests/Feature/Geo/GeoServerLayerCrudTest.php::test_lista_exige_permissao. Processo elementar independente: lista completa do catálogo. Classificação: CE, só recupera e apresenta. TD=6 (workspace, nome da camada, rótulo, ordem, ativo, ação consultar). AR=1 (Camada do GeoServer). Recontagem 16/10/2026: mantida (linha 162 da contagem de 01/10/2026).</t>
        </is>
      </c>
    </row>
    <row r="198" ht="12" customHeight="1" s="73">
      <c r="A198" s="14">
        <f>IF(H198="",IF(C198="",A197,A197+1),A197)</f>
        <v/>
      </c>
      <c r="B198" s="48">
        <f>IF(A198=A197,"",CONCATENATE("F",A198))</f>
        <v/>
      </c>
      <c r="C198" s="85" t="inlineStr">
        <is>
          <t>Camadas do GeoServer - incluir</t>
        </is>
      </c>
      <c r="D198" s="142" t="n"/>
      <c r="E198" s="142" t="n"/>
      <c r="F198" s="142" t="n"/>
      <c r="G198" s="143" t="n"/>
      <c r="H198" s="56" t="inlineStr">
        <is>
          <t>EE</t>
        </is>
      </c>
      <c r="I198" s="57" t="inlineStr">
        <is>
          <t>I</t>
        </is>
      </c>
      <c r="J198" s="56" t="n">
        <v>7</v>
      </c>
      <c r="K198" s="56" t="n">
        <v>2</v>
      </c>
      <c r="L198" s="50">
        <f>CONCATENATE(H198,M198)</f>
        <v/>
      </c>
      <c r="M198" s="51">
        <f>IF(OR(ISBLANK(J198),ISBLANK(K198)),IF(OR(H198="ALI",H198="AIE"),"L",IF(ISBLANK(H198),"","A")),IF(H198="EE",IF(K198&gt;=3,IF(J198&gt;=5,"H","A"),IF(K198&gt;=2,IF(J198&gt;=16,"H",IF(J198&lt;=4,"L","A")),IF(J198&lt;=15,"L","A"))),IF(OR(H198="SE",H198="CE"),IF(K198&gt;=4,IF(J198&gt;=6,"H","A"),IF(K198&gt;=2,IF(J198&gt;=20,"H",IF(J198&lt;=5,"L","A")),IF(J198&lt;=19,"L","A"))),IF(OR(H198="ALI",H198="AIE"),IF(K198&gt;=6,IF(J198&gt;=20,"H","A"),IF(K198&gt;=2,IF(J198&gt;=51,"H",IF(J198&lt;=19,"L","A")),IF(J198&lt;=50,"L","A")))))))</f>
        <v/>
      </c>
      <c r="N198" s="52">
        <f>IF(M198="L","Baixa",IF(M198="A","Média",IF(M198="","","Alta")))</f>
        <v/>
      </c>
      <c r="O198" s="53">
        <f>IF(ISBLANK(H198),"",IF(H198="ALI",IF(M198="L",7,IF(M198="A",10,15)),IF(H198="AIE",IF(M198="L",5,IF(M198="A",7,10)),IF(H198="SE",IF(M198="L",4,IF(M198="A",5,7)),IF(OR(H198="EE",H198="CE"),IF(M198="L",3,IF(M198="A",4,6)))))))</f>
        <v/>
      </c>
      <c r="P198" s="54">
        <f>IF(I198="I",O198*Contagem!$W$15,IF(I198="E",O198*Contagem!$W$17,IF(I198="A",O198*Contagem!$W$16,IF(I198="T",O198*Contagem!$W$18,""))))</f>
        <v/>
      </c>
      <c r="Q198" s="55" t="inlineStr">
        <is>
          <t>Prova: Rota POST /gestao/territorio/geoserver (manter-territorio). Tela: gestao/territorio/geoserver. Recusa par workspace+camada duplicado; grava e audita (HasAuditoria). Teste: tests/Feature/Geo/GeoServerLayerCrudTest.php::test_cria_camada. Processo elementar independente: a camada passa a ser consultada. Classificação: EE. TD=7 (workspace, nome da camada, rótulo, ordem, ativo, mensagem, ação salvar). AR=2 (Camada do GeoServer, Trilha de auditoria). Recontagem 16/10/2026: mantida (linha 163 da contagem de 01/10/2026).</t>
        </is>
      </c>
    </row>
    <row r="199" ht="12" customHeight="1" s="73">
      <c r="A199" s="14">
        <f>IF(H199="",IF(C199="",A198,A198+1),A198)</f>
        <v/>
      </c>
      <c r="B199" s="48">
        <f>IF(A199=A198,"",CONCATENATE("F",A199))</f>
        <v/>
      </c>
      <c r="C199" s="85" t="inlineStr">
        <is>
          <t>Camadas do GeoServer - alterar</t>
        </is>
      </c>
      <c r="D199" s="142" t="n"/>
      <c r="E199" s="142" t="n"/>
      <c r="F199" s="142" t="n"/>
      <c r="G199" s="143" t="n"/>
      <c r="H199" s="56" t="inlineStr">
        <is>
          <t>EE</t>
        </is>
      </c>
      <c r="I199" s="57" t="inlineStr">
        <is>
          <t>I</t>
        </is>
      </c>
      <c r="J199" s="56" t="n">
        <v>6</v>
      </c>
      <c r="K199" s="56" t="n">
        <v>2</v>
      </c>
      <c r="L199" s="50">
        <f>CONCATENATE(H199,M199)</f>
        <v/>
      </c>
      <c r="M199" s="51">
        <f>IF(OR(ISBLANK(J199),ISBLANK(K199)),IF(OR(H199="ALI",H199="AIE"),"L",IF(ISBLANK(H199),"","A")),IF(H199="EE",IF(K199&gt;=3,IF(J199&gt;=5,"H","A"),IF(K199&gt;=2,IF(J199&gt;=16,"H",IF(J199&lt;=4,"L","A")),IF(J199&lt;=15,"L","A"))),IF(OR(H199="SE",H199="CE"),IF(K199&gt;=4,IF(J199&gt;=6,"H","A"),IF(K199&gt;=2,IF(J199&gt;=20,"H",IF(J199&lt;=5,"L","A")),IF(J199&lt;=19,"L","A"))),IF(OR(H199="ALI",H199="AIE"),IF(K199&gt;=6,IF(J199&gt;=20,"H","A"),IF(K199&gt;=2,IF(J199&gt;=51,"H",IF(J199&lt;=19,"L","A")),IF(J199&lt;=50,"L","A")))))))</f>
        <v/>
      </c>
      <c r="N199" s="52">
        <f>IF(M199="L","Baixa",IF(M199="A","Média",IF(M199="","","Alta")))</f>
        <v/>
      </c>
      <c r="O199" s="53">
        <f>IF(ISBLANK(H199),"",IF(H199="ALI",IF(M199="L",7,IF(M199="A",10,15)),IF(H199="AIE",IF(M199="L",5,IF(M199="A",7,10)),IF(H199="SE",IF(M199="L",4,IF(M199="A",5,7)),IF(OR(H199="EE",H199="CE"),IF(M199="L",3,IF(M199="A",4,6)))))))</f>
        <v/>
      </c>
      <c r="P199" s="54">
        <f>IF(I199="I",O199*Contagem!$W$15,IF(I199="E",O199*Contagem!$W$17,IF(I199="A",O199*Contagem!$W$16,IF(I199="T",O199*Contagem!$W$18,""))))</f>
        <v/>
      </c>
      <c r="Q199" s="55" t="inlineStr">
        <is>
          <t>Prova: Rota PUT /gestao/territorio/geoserver/{geoServerLayer} (manter-territorio). Tela: gestao/territorio/geoserver. Altera rótulo, ordem e situação; workspace e nome imutáveis; auditado. Teste: tests/Feature/Geo/GeoServerLayerCrudTest.php::test_workspace_e_type_name_sao_imutaveis_na_edicao. Processo elementar independente: muda a ordem e o rótulo. Classificação: EE. TD=6 (camada (workspace:nome), rótulo, ordem, ativo, mensagem, ação salvar). AR=2 (Camada do GeoServer, Trilha de auditoria). Recontagem 16/10/2026: mantida (linha 164 da contagem de 01/10/2026).</t>
        </is>
      </c>
    </row>
    <row r="200" ht="12" customHeight="1" s="73">
      <c r="A200" s="14">
        <f>IF(H200="",IF(C200="",A199,A199+1),A199)</f>
        <v/>
      </c>
      <c r="B200" s="48">
        <f>IF(A200=A199,"",CONCATENATE("F",A200))</f>
        <v/>
      </c>
      <c r="C200" s="85" t="inlineStr">
        <is>
          <t>Camadas do GeoServer - ativar ou inativar</t>
        </is>
      </c>
      <c r="D200" s="142" t="n"/>
      <c r="E200" s="142" t="n"/>
      <c r="F200" s="142" t="n"/>
      <c r="G200" s="143" t="n"/>
      <c r="H200" s="56" t="inlineStr">
        <is>
          <t>EE</t>
        </is>
      </c>
      <c r="I200" s="57" t="inlineStr">
        <is>
          <t>I</t>
        </is>
      </c>
      <c r="J200" s="56" t="n">
        <v>4</v>
      </c>
      <c r="K200" s="56" t="n">
        <v>2</v>
      </c>
      <c r="L200" s="50">
        <f>CONCATENATE(H200,M200)</f>
        <v/>
      </c>
      <c r="M200" s="51">
        <f>IF(OR(ISBLANK(J200),ISBLANK(K200)),IF(OR(H200="ALI",H200="AIE"),"L",IF(ISBLANK(H200),"","A")),IF(H200="EE",IF(K200&gt;=3,IF(J200&gt;=5,"H","A"),IF(K200&gt;=2,IF(J200&gt;=16,"H",IF(J200&lt;=4,"L","A")),IF(J200&lt;=15,"L","A"))),IF(OR(H200="SE",H200="CE"),IF(K200&gt;=4,IF(J200&gt;=6,"H","A"),IF(K200&gt;=2,IF(J200&gt;=20,"H",IF(J200&lt;=5,"L","A")),IF(J200&lt;=19,"L","A"))),IF(OR(H200="ALI",H200="AIE"),IF(K200&gt;=6,IF(J200&gt;=20,"H","A"),IF(K200&gt;=2,IF(J200&gt;=51,"H",IF(J200&lt;=19,"L","A")),IF(J200&lt;=50,"L","A")))))))</f>
        <v/>
      </c>
      <c r="N200" s="52">
        <f>IF(M200="L","Baixa",IF(M200="A","Média",IF(M200="","","Alta")))</f>
        <v/>
      </c>
      <c r="O200" s="53">
        <f>IF(ISBLANK(H200),"",IF(H200="ALI",IF(M200="L",7,IF(M200="A",10,15)),IF(H200="AIE",IF(M200="L",5,IF(M200="A",7,10)),IF(H200="SE",IF(M200="L",4,IF(M200="A",5,7)),IF(OR(H200="EE",H200="CE"),IF(M200="L",3,IF(M200="A",4,6)))))))</f>
        <v/>
      </c>
      <c r="P200" s="54">
        <f>IF(I200="I",O200*Contagem!$W$15,IF(I200="E",O200*Contagem!$W$17,IF(I200="A",O200*Contagem!$W$16,IF(I200="T",O200*Contagem!$W$18,""))))</f>
        <v/>
      </c>
      <c r="Q200" s="55" t="inlineStr">
        <is>
          <t>Prova: Rota PUT /gestao/territorio/geoserver/{geoServerLayer}/ativacao (manter-territorio). Tela: gestao/territorio/geoserver. Alterna a situação sem excluir; auditado. Teste: tests/Feature/Geo/GeoServerLayerCrudTest.php::test_toggle_desativa_sem_excluir_e_audita. Processo elementar independente: a camada entra ou sai da identificação da zona. Classificação: EE. TD=4 (camada (workspace:nome), ativo, mensagem, ação ativar ou inativar). AR=2 (Camada do GeoServer, Trilha de auditoria). Recontagem 16/10/2026: mantida (linha 165 da contagem de 01/10/2026).</t>
        </is>
      </c>
    </row>
    <row r="201" ht="12" customHeight="1" s="73">
      <c r="A201" s="14">
        <f>IF(H201="",IF(C201="",A200,A200+1),A200)</f>
        <v/>
      </c>
      <c r="B201" s="48">
        <f>IF(A201=A200,"",CONCATENATE("F",A201))</f>
        <v/>
      </c>
      <c r="C201" s="85" t="n"/>
      <c r="D201" s="142" t="n"/>
      <c r="E201" s="142" t="n"/>
      <c r="F201" s="142" t="n"/>
      <c r="G201" s="143" t="n"/>
      <c r="H201" s="56" t="n"/>
      <c r="I201" s="57" t="n"/>
      <c r="J201" s="56" t="n"/>
      <c r="K201" s="56" t="n"/>
      <c r="L201" s="50">
        <f>CONCATENATE(H201,M201)</f>
        <v/>
      </c>
      <c r="M201" s="51">
        <f>IF(OR(ISBLANK(J201),ISBLANK(K201)),IF(OR(H201="ALI",H201="AIE"),"L",IF(ISBLANK(H201),"","A")),IF(H201="EE",IF(K201&gt;=3,IF(J201&gt;=5,"H","A"),IF(K201&gt;=2,IF(J201&gt;=16,"H",IF(J201&lt;=4,"L","A")),IF(J201&lt;=15,"L","A"))),IF(OR(H201="SE",H201="CE"),IF(K201&gt;=4,IF(J201&gt;=6,"H","A"),IF(K201&gt;=2,IF(J201&gt;=20,"H",IF(J201&lt;=5,"L","A")),IF(J201&lt;=19,"L","A"))),IF(OR(H201="ALI",H201="AIE"),IF(K201&gt;=6,IF(J201&gt;=20,"H","A"),IF(K201&gt;=2,IF(J201&gt;=51,"H",IF(J201&lt;=19,"L","A")),IF(J201&lt;=50,"L","A")))))))</f>
        <v/>
      </c>
      <c r="N201" s="52">
        <f>IF(M201="L","Baixa",IF(M201="A","Média",IF(M201="","","Alta")))</f>
        <v/>
      </c>
      <c r="O201" s="53">
        <f>IF(ISBLANK(H201),"",IF(H201="ALI",IF(M201="L",7,IF(M201="A",10,15)),IF(H201="AIE",IF(M201="L",5,IF(M201="A",7,10)),IF(H201="SE",IF(M201="L",4,IF(M201="A",5,7)),IF(OR(H201="EE",H201="CE"),IF(M201="L",3,IF(M201="A",4,6)))))))</f>
        <v/>
      </c>
      <c r="P201" s="54">
        <f>IF(I201="I",O201*Contagem!$W$15,IF(I201="E",O201*Contagem!$W$17,IF(I201="A",O201*Contagem!$W$16,IF(I201="T",O201*Contagem!$W$18,""))))</f>
        <v/>
      </c>
      <c r="Q201" s="55" t="n"/>
    </row>
    <row r="202" ht="12" customHeight="1" s="73">
      <c r="A202" s="14">
        <f>IF(H202="",IF(C202="",A201,A201+1),A201)</f>
        <v/>
      </c>
      <c r="B202" s="48">
        <f>IF(A202=A201,"",CONCATENATE("F",A202))</f>
        <v/>
      </c>
      <c r="C202" s="85" t="inlineStr">
        <is>
          <t>Camadas geográficas</t>
        </is>
      </c>
      <c r="D202" s="142" t="n"/>
      <c r="E202" s="142" t="n"/>
      <c r="F202" s="142" t="n"/>
      <c r="G202" s="143" t="n"/>
      <c r="H202" s="56" t="n"/>
      <c r="I202" s="57" t="n"/>
      <c r="J202" s="56" t="n"/>
      <c r="K202" s="56" t="n"/>
      <c r="L202" s="50">
        <f>CONCATENATE(H202,M202)</f>
        <v/>
      </c>
      <c r="M202" s="51">
        <f>IF(OR(ISBLANK(J202),ISBLANK(K202)),IF(OR(H202="ALI",H202="AIE"),"L",IF(ISBLANK(H202),"","A")),IF(H202="EE",IF(K202&gt;=3,IF(J202&gt;=5,"H","A"),IF(K202&gt;=2,IF(J202&gt;=16,"H",IF(J202&lt;=4,"L","A")),IF(J202&lt;=15,"L","A"))),IF(OR(H202="SE",H202="CE"),IF(K202&gt;=4,IF(J202&gt;=6,"H","A"),IF(K202&gt;=2,IF(J202&gt;=20,"H",IF(J202&lt;=5,"L","A")),IF(J202&lt;=19,"L","A"))),IF(OR(H202="ALI",H202="AIE"),IF(K202&gt;=6,IF(J202&gt;=20,"H","A"),IF(K202&gt;=2,IF(J202&gt;=51,"H",IF(J202&lt;=19,"L","A")),IF(J202&lt;=50,"L","A")))))))</f>
        <v/>
      </c>
      <c r="N202" s="52">
        <f>IF(M202="L","Baixa",IF(M202="A","Média",IF(M202="","","Alta")))</f>
        <v/>
      </c>
      <c r="O202" s="53">
        <f>IF(ISBLANK(H202),"",IF(H202="ALI",IF(M202="L",7,IF(M202="A",10,15)),IF(H202="AIE",IF(M202="L",5,IF(M202="A",7,10)),IF(H202="SE",IF(M202="L",4,IF(M202="A",5,7)),IF(OR(H202="EE",H202="CE"),IF(M202="L",3,IF(M202="A",4,6)))))))</f>
        <v/>
      </c>
      <c r="P202" s="54">
        <f>IF(I202="I",O202*Contagem!$W$15,IF(I202="E",O202*Contagem!$W$17,IF(I202="A",O202*Contagem!$W$16,IF(I202="T",O202*Contagem!$W$18,""))))</f>
        <v/>
      </c>
      <c r="Q202" s="55" t="n"/>
    </row>
    <row r="203" ht="12" customHeight="1" s="73">
      <c r="A203" s="14">
        <f>IF(H203="",IF(C203="",A202,A202+1),A202)</f>
        <v/>
      </c>
      <c r="B203" s="48">
        <f>IF(A203=A202,"",CONCATENATE("F",A203))</f>
        <v/>
      </c>
      <c r="C203" s="85" t="inlineStr">
        <is>
          <t>Dados - Camada geográfica</t>
        </is>
      </c>
      <c r="D203" s="142" t="n"/>
      <c r="E203" s="142" t="n"/>
      <c r="F203" s="142" t="n"/>
      <c r="G203" s="143" t="n"/>
      <c r="H203" s="56" t="inlineStr">
        <is>
          <t>ALI</t>
        </is>
      </c>
      <c r="I203" s="57" t="inlineStr">
        <is>
          <t>I</t>
        </is>
      </c>
      <c r="J203" s="56" t="n">
        <v>9</v>
      </c>
      <c r="K203" s="56" t="n">
        <v>2</v>
      </c>
      <c r="L203" s="50">
        <f>CONCATENATE(H203,M203)</f>
        <v/>
      </c>
      <c r="M203" s="51">
        <f>IF(OR(ISBLANK(J203),ISBLANK(K203)),IF(OR(H203="ALI",H203="AIE"),"L",IF(ISBLANK(H203),"","A")),IF(H203="EE",IF(K203&gt;=3,IF(J203&gt;=5,"H","A"),IF(K203&gt;=2,IF(J203&gt;=16,"H",IF(J203&lt;=4,"L","A")),IF(J203&lt;=15,"L","A"))),IF(OR(H203="SE",H203="CE"),IF(K203&gt;=4,IF(J203&gt;=6,"H","A"),IF(K203&gt;=2,IF(J203&gt;=20,"H",IF(J203&lt;=5,"L","A")),IF(J203&lt;=19,"L","A"))),IF(OR(H203="ALI",H203="AIE"),IF(K203&gt;=6,IF(J203&gt;=20,"H","A"),IF(K203&gt;=2,IF(J203&gt;=51,"H",IF(J203&lt;=19,"L","A")),IF(J203&lt;=50,"L","A")))))))</f>
        <v/>
      </c>
      <c r="N203" s="52">
        <f>IF(M203="L","Baixa",IF(M203="A","Média",IF(M203="","","Alta")))</f>
        <v/>
      </c>
      <c r="O203" s="53">
        <f>IF(ISBLANK(H203),"",IF(H203="ALI",IF(M203="L",7,IF(M203="A",10,15)),IF(H203="AIE",IF(M203="L",5,IF(M203="A",7,10)),IF(H203="SE",IF(M203="L",4,IF(M203="A",5,7)),IF(OR(H203="EE",H203="CE"),IF(M203="L",3,IF(M203="A",4,6)))))))</f>
        <v/>
      </c>
      <c r="P203" s="54">
        <f>IF(I203="I",O203*Contagem!$W$15,IF(I203="E",O203*Contagem!$W$17,IF(I203="A",O203*Contagem!$W$16,IF(I203="T",O203*Contagem!$W$18,""))))</f>
        <v/>
      </c>
      <c r="Q203" s="55" t="inlineStr">
        <is>
          <t>Prova: Models app/Models/GeoLayer.php e GeoFeature.php; migrations 2026_06_13_214038_create_geo_layers_table e 2026_06_13_214420_create_geo_features_table. Mantido por GeoLayerController::store via GeoJsonLayerImporter (nova versão vigente fecha a anterior). Lido por TerritoryService e LocationValidationService. Teste: tests/Feature/Geo/GeoLayerManagementPostgisTest.php::test_upload_importa_nova_versao_vigente_com_auditoria. Arquivo lógico: versões das camadas geográficas locais (bairro, via, lote, restrições) com suas feições; a feição só existe com a camada (CPM 4.3.1 Parte 3 Cap. 2). TD=9 (tipo, versão, situação, vigência inicial, vigência final, origem, quantidade de feições, geometria da feição, propriedades da feição). TR=2 (Versão da camada, Feição). Recontagem 16/10/2026: alterada (linha 270 da contagem de 01/10/2026: "Dados - Camada geográfica", ALI Baixa 7 PF, TD 8, AR 1). Motivo: Feições (geo_features: geometria e propriedades, cascadeOnDelete na camada) passam a ser RLR e seus atributos entram nos DER; "versão de regras" sai (geo_layers.rules_version recebe a própria versão da camada, GeoLayerService). TD 8→9, TR 1→2; continua Baixa (7 PF).</t>
        </is>
      </c>
    </row>
    <row r="204" ht="12" customHeight="1" s="73">
      <c r="A204" s="14">
        <f>IF(H204="",IF(C204="",A203,A203+1),A203)</f>
        <v/>
      </c>
      <c r="B204" s="48">
        <f>IF(A204=A203,"",CONCATENATE("F",A204))</f>
        <v/>
      </c>
      <c r="C204" s="85" t="inlineStr">
        <is>
          <t>Camadas geográficas - consultar</t>
        </is>
      </c>
      <c r="D204" s="142" t="n"/>
      <c r="E204" s="142" t="n"/>
      <c r="F204" s="142" t="n"/>
      <c r="G204" s="143" t="n"/>
      <c r="H204" s="56" t="inlineStr">
        <is>
          <t>CE</t>
        </is>
      </c>
      <c r="I204" s="57" t="inlineStr">
        <is>
          <t>I</t>
        </is>
      </c>
      <c r="J204" s="56" t="n">
        <v>8</v>
      </c>
      <c r="K204" s="56" t="n">
        <v>1</v>
      </c>
      <c r="L204" s="50">
        <f>CONCATENATE(H204,M204)</f>
        <v/>
      </c>
      <c r="M204" s="51">
        <f>IF(OR(ISBLANK(J204),ISBLANK(K204)),IF(OR(H204="ALI",H204="AIE"),"L",IF(ISBLANK(H204),"","A")),IF(H204="EE",IF(K204&gt;=3,IF(J204&gt;=5,"H","A"),IF(K204&gt;=2,IF(J204&gt;=16,"H",IF(J204&lt;=4,"L","A")),IF(J204&lt;=15,"L","A"))),IF(OR(H204="SE",H204="CE"),IF(K204&gt;=4,IF(J204&gt;=6,"H","A"),IF(K204&gt;=2,IF(J204&gt;=20,"H",IF(J204&lt;=5,"L","A")),IF(J204&lt;=19,"L","A"))),IF(OR(H204="ALI",H204="AIE"),IF(K204&gt;=6,IF(J204&gt;=20,"H","A"),IF(K204&gt;=2,IF(J204&gt;=51,"H",IF(J204&lt;=19,"L","A")),IF(J204&lt;=50,"L","A")))))))</f>
        <v/>
      </c>
      <c r="N204" s="52">
        <f>IF(M204="L","Baixa",IF(M204="A","Média",IF(M204="","","Alta")))</f>
        <v/>
      </c>
      <c r="O204" s="53">
        <f>IF(ISBLANK(H204),"",IF(H204="ALI",IF(M204="L",7,IF(M204="A",10,15)),IF(H204="AIE",IF(M204="L",5,IF(M204="A",7,10)),IF(H204="SE",IF(M204="L",4,IF(M204="A",5,7)),IF(OR(H204="EE",H204="CE"),IF(M204="L",3,IF(M204="A",4,6)))))))</f>
        <v/>
      </c>
      <c r="P204" s="54">
        <f>IF(I204="I",O204*Contagem!$W$15,IF(I204="E",O204*Contagem!$W$17,IF(I204="A",O204*Contagem!$W$16,IF(I204="T",O204*Contagem!$W$18,""))))</f>
        <v/>
      </c>
      <c r="Q204" s="55" t="inlineStr">
        <is>
          <t>Prova: Rota GET /gestao/territorio/camadas (manter-territorio). Tela: gestao/territorio/camadas. Agrupa por tipo com a vigente e o histórico. Teste: tests/Feature/Geo/GeoLayerManagementTest.php::test_index_agrupa_por_tipo_com_vigente_e_historico. Processo elementar independente: consulta das versões. Classificação: CE. TD=8 (tipo, versão, situação, vigência inicial, vigência final, origem, quantidade de feições, ação consultar). AR=1 (Camada geográfica). Recontagem 16/10/2026: mantida (linha 271 da contagem de 01/10/2026).</t>
        </is>
      </c>
    </row>
    <row r="205" ht="12" customHeight="1" s="73">
      <c r="A205" s="14">
        <f>IF(H205="",IF(C205="",A204,A204+1),A204)</f>
        <v/>
      </c>
      <c r="B205" s="48">
        <f>IF(A205=A204,"",CONCATENATE("F",A205))</f>
        <v/>
      </c>
      <c r="C205" s="85" t="inlineStr">
        <is>
          <t>Camadas geográficas - incluir versão</t>
        </is>
      </c>
      <c r="D205" s="142" t="n"/>
      <c r="E205" s="142" t="n"/>
      <c r="F205" s="142" t="n"/>
      <c r="G205" s="143" t="n"/>
      <c r="H205" s="56" t="inlineStr">
        <is>
          <t>EE</t>
        </is>
      </c>
      <c r="I205" s="57" t="inlineStr">
        <is>
          <t>I</t>
        </is>
      </c>
      <c r="J205" s="56" t="n">
        <v>8</v>
      </c>
      <c r="K205" s="56" t="n">
        <v>2</v>
      </c>
      <c r="L205" s="50">
        <f>CONCATENATE(H205,M205)</f>
        <v/>
      </c>
      <c r="M205" s="51">
        <f>IF(OR(ISBLANK(J205),ISBLANK(K205)),IF(OR(H205="ALI",H205="AIE"),"L",IF(ISBLANK(H205),"","A")),IF(H205="EE",IF(K205&gt;=3,IF(J205&gt;=5,"H","A"),IF(K205&gt;=2,IF(J205&gt;=16,"H",IF(J205&lt;=4,"L","A")),IF(J205&lt;=15,"L","A"))),IF(OR(H205="SE",H205="CE"),IF(K205&gt;=4,IF(J205&gt;=6,"H","A"),IF(K205&gt;=2,IF(J205&gt;=20,"H",IF(J205&lt;=5,"L","A")),IF(J205&lt;=19,"L","A"))),IF(OR(H205="ALI",H205="AIE"),IF(K205&gt;=6,IF(J205&gt;=20,"H","A"),IF(K205&gt;=2,IF(J205&gt;=51,"H",IF(J205&lt;=19,"L","A")),IF(J205&lt;=50,"L","A")))))))</f>
        <v/>
      </c>
      <c r="N205" s="52">
        <f>IF(M205="L","Baixa",IF(M205="A","Média",IF(M205="","","Alta")))</f>
        <v/>
      </c>
      <c r="O205" s="53">
        <f>IF(ISBLANK(H205),"",IF(H205="ALI",IF(M205="L",7,IF(M205="A",10,15)),IF(H205="AIE",IF(M205="L",5,IF(M205="A",7,10)),IF(H205="SE",IF(M205="L",4,IF(M205="A",5,7)),IF(OR(H205="EE",H205="CE"),IF(M205="L",3,IF(M205="A",4,6)))))))</f>
        <v/>
      </c>
      <c r="P205" s="54">
        <f>IF(I205="I",O205*Contagem!$W$15,IF(I205="E",O205*Contagem!$W$17,IF(I205="A",O205*Contagem!$W$16,IF(I205="T",O205*Contagem!$W$18,""))))</f>
        <v/>
      </c>
      <c r="Q205" s="55" t="inlineStr">
        <is>
          <t>Prova: Rota POST /gestao/territorio/camadas (manter-territorio). Tela: gestao/territorio/camadas. GeoJsonLayerImporter grava a camada e as feições no PostGIS, torna a versão vigente e audita. Teste: tests/Feature/Geo/GeoLayerManagementPostgisTest.php::test_upload_importa_nova_versao_vigente_com_auditoria. Processo elementar independente: nova versão vigente da camada. Classificação: EE. TD=8 (tipo, versão, origem, arquivo GeoJSON, geometria da feição, propriedades da feição, mensagem com feições lidas, inseridas e inválidas, ação importar). AR=2 (Camada geográfica, Trilha de auditoria). Recontagem 16/10/2026: alterada (linha 272 da contagem de 01/10/2026: "Camadas geográficas - incluir", EE Baixa 3 PF, TD 6, AR 1). Motivo: A carga audita o diff (GeoLayerService::auditLoad, chamado por GeoJsonLayerImporter): Trilha de auditoria entra como FTR. Contam-se geometria e propriedades das feições do arquivo. TD 6→8, AR 1→2; Baixa→Média (3→4).</t>
        </is>
      </c>
    </row>
    <row r="206" ht="12" customHeight="1" s="73">
      <c r="A206" s="14">
        <f>IF(H206="",IF(C206="",A205,A205+1),A205)</f>
        <v/>
      </c>
      <c r="B206" s="48">
        <f>IF(A206=A205,"",CONCATENATE("F",A206))</f>
        <v/>
      </c>
      <c r="C206" s="85" t="n"/>
      <c r="D206" s="142" t="n"/>
      <c r="E206" s="142" t="n"/>
      <c r="F206" s="142" t="n"/>
      <c r="G206" s="143" t="n"/>
      <c r="H206" s="56" t="n"/>
      <c r="I206" s="57" t="n"/>
      <c r="J206" s="56" t="n"/>
      <c r="K206" s="56" t="n"/>
      <c r="L206" s="50">
        <f>CONCATENATE(H206,M206)</f>
        <v/>
      </c>
      <c r="M206" s="51">
        <f>IF(OR(ISBLANK(J206),ISBLANK(K206)),IF(OR(H206="ALI",H206="AIE"),"L",IF(ISBLANK(H206),"","A")),IF(H206="EE",IF(K206&gt;=3,IF(J206&gt;=5,"H","A"),IF(K206&gt;=2,IF(J206&gt;=16,"H",IF(J206&lt;=4,"L","A")),IF(J206&lt;=15,"L","A"))),IF(OR(H206="SE",H206="CE"),IF(K206&gt;=4,IF(J206&gt;=6,"H","A"),IF(K206&gt;=2,IF(J206&gt;=20,"H",IF(J206&lt;=5,"L","A")),IF(J206&lt;=19,"L","A"))),IF(OR(H206="ALI",H206="AIE"),IF(K206&gt;=6,IF(J206&gt;=20,"H","A"),IF(K206&gt;=2,IF(J206&gt;=51,"H",IF(J206&lt;=19,"L","A")),IF(J206&lt;=50,"L","A")))))))</f>
        <v/>
      </c>
      <c r="N206" s="52">
        <f>IF(M206="L","Baixa",IF(M206="A","Média",IF(M206="","","Alta")))</f>
        <v/>
      </c>
      <c r="O206" s="53">
        <f>IF(ISBLANK(H206),"",IF(H206="ALI",IF(M206="L",7,IF(M206="A",10,15)),IF(H206="AIE",IF(M206="L",5,IF(M206="A",7,10)),IF(H206="SE",IF(M206="L",4,IF(M206="A",5,7)),IF(OR(H206="EE",H206="CE"),IF(M206="L",3,IF(M206="A",4,6)))))))</f>
        <v/>
      </c>
      <c r="P206" s="54">
        <f>IF(I206="I",O206*Contagem!$W$15,IF(I206="E",O206*Contagem!$W$17,IF(I206="A",O206*Contagem!$W$16,IF(I206="T",O206*Contagem!$W$18,""))))</f>
        <v/>
      </c>
      <c r="Q206" s="55" t="n"/>
    </row>
    <row r="207" ht="12" customHeight="1" s="73">
      <c r="A207" s="14">
        <f>IF(H207="",IF(C207="",A206,A206+1),A206)</f>
        <v/>
      </c>
      <c r="B207" s="48">
        <f>IF(A207=A206,"",CONCATENATE("F",A207))</f>
        <v/>
      </c>
      <c r="C207" s="85" t="inlineStr">
        <is>
          <t>Consulta territorial</t>
        </is>
      </c>
      <c r="D207" s="142" t="n"/>
      <c r="E207" s="142" t="n"/>
      <c r="F207" s="142" t="n"/>
      <c r="G207" s="143" t="n"/>
      <c r="H207" s="56" t="n"/>
      <c r="I207" s="57" t="n"/>
      <c r="J207" s="56" t="n"/>
      <c r="K207" s="56" t="n"/>
      <c r="L207" s="50">
        <f>CONCATENATE(H207,M207)</f>
        <v/>
      </c>
      <c r="M207" s="51">
        <f>IF(OR(ISBLANK(J207),ISBLANK(K207)),IF(OR(H207="ALI",H207="AIE"),"L",IF(ISBLANK(H207),"","A")),IF(H207="EE",IF(K207&gt;=3,IF(J207&gt;=5,"H","A"),IF(K207&gt;=2,IF(J207&gt;=16,"H",IF(J207&lt;=4,"L","A")),IF(J207&lt;=15,"L","A"))),IF(OR(H207="SE",H207="CE"),IF(K207&gt;=4,IF(J207&gt;=6,"H","A"),IF(K207&gt;=2,IF(J207&gt;=20,"H",IF(J207&lt;=5,"L","A")),IF(J207&lt;=19,"L","A"))),IF(OR(H207="ALI",H207="AIE"),IF(K207&gt;=6,IF(J207&gt;=20,"H","A"),IF(K207&gt;=2,IF(J207&gt;=51,"H",IF(J207&lt;=19,"L","A")),IF(J207&lt;=50,"L","A")))))))</f>
        <v/>
      </c>
      <c r="N207" s="52">
        <f>IF(M207="L","Baixa",IF(M207="A","Média",IF(M207="","","Alta")))</f>
        <v/>
      </c>
      <c r="O207" s="53">
        <f>IF(ISBLANK(H207),"",IF(H207="ALI",IF(M207="L",7,IF(M207="A",10,15)),IF(H207="AIE",IF(M207="L",5,IF(M207="A",7,10)),IF(H207="SE",IF(M207="L",4,IF(M207="A",5,7)),IF(OR(H207="EE",H207="CE"),IF(M207="L",3,IF(M207="A",4,6)))))))</f>
        <v/>
      </c>
      <c r="P207" s="54">
        <f>IF(I207="I",O207*Contagem!$W$15,IF(I207="E",O207*Contagem!$W$17,IF(I207="A",O207*Contagem!$W$16,IF(I207="T",O207*Contagem!$W$18,""))))</f>
        <v/>
      </c>
      <c r="Q207" s="55" t="n"/>
    </row>
    <row r="208" ht="12" customHeight="1" s="73">
      <c r="A208" s="14">
        <f>IF(H208="",IF(C208="",A207,A207+1),A207)</f>
        <v/>
      </c>
      <c r="B208" s="48">
        <f>IF(A208=A207,"",CONCATENATE("F",A208))</f>
        <v/>
      </c>
      <c r="C208" s="85" t="inlineStr">
        <is>
          <t>Território - consultar mapa</t>
        </is>
      </c>
      <c r="D208" s="142" t="n"/>
      <c r="E208" s="142" t="n"/>
      <c r="F208" s="142" t="n"/>
      <c r="G208" s="143" t="n"/>
      <c r="H208" s="56" t="inlineStr">
        <is>
          <t>CE</t>
        </is>
      </c>
      <c r="I208" s="57" t="inlineStr">
        <is>
          <t>I</t>
        </is>
      </c>
      <c r="J208" s="56" t="n">
        <v>6</v>
      </c>
      <c r="K208" s="56" t="n">
        <v>2</v>
      </c>
      <c r="L208" s="50">
        <f>CONCATENATE(H208,M208)</f>
        <v/>
      </c>
      <c r="M208" s="51">
        <f>IF(OR(ISBLANK(J208),ISBLANK(K208)),IF(OR(H208="ALI",H208="AIE"),"L",IF(ISBLANK(H208),"","A")),IF(H208="EE",IF(K208&gt;=3,IF(J208&gt;=5,"H","A"),IF(K208&gt;=2,IF(J208&gt;=16,"H",IF(J208&lt;=4,"L","A")),IF(J208&lt;=15,"L","A"))),IF(OR(H208="SE",H208="CE"),IF(K208&gt;=4,IF(J208&gt;=6,"H","A"),IF(K208&gt;=2,IF(J208&gt;=20,"H",IF(J208&lt;=5,"L","A")),IF(J208&lt;=19,"L","A"))),IF(OR(H208="ALI",H208="AIE"),IF(K208&gt;=6,IF(J208&gt;=20,"H","A"),IF(K208&gt;=2,IF(J208&gt;=51,"H",IF(J208&lt;=19,"L","A")),IF(J208&lt;=50,"L","A")))))))</f>
        <v/>
      </c>
      <c r="N208" s="52">
        <f>IF(M208="L","Baixa",IF(M208="A","Média",IF(M208="","","Alta")))</f>
        <v/>
      </c>
      <c r="O208" s="53">
        <f>IF(ISBLANK(H208),"",IF(H208="ALI",IF(M208="L",7,IF(M208="A",10,15)),IF(H208="AIE",IF(M208="L",5,IF(M208="A",7,10)),IF(H208="SE",IF(M208="L",4,IF(M208="A",5,7)),IF(OR(H208="EE",H208="CE"),IF(M208="L",3,IF(M208="A",4,6)))))))</f>
        <v/>
      </c>
      <c r="P208" s="54">
        <f>IF(I208="I",O208*Contagem!$W$15,IF(I208="E",O208*Contagem!$W$17,IF(I208="A",O208*Contagem!$W$16,IF(I208="T",O208*Contagem!$W$18,""))))</f>
        <v/>
      </c>
      <c r="Q208" s="55" t="inlineStr">
        <is>
          <t>Prova: Rota GET /gestao/territorio (consultar-territorio). Tela: gestao/territorio/index. TerritoryController::index devolve as camadas vigentes, o limiar de sobreposição e se a geocodificação está ligada. Teste: tests/Feature/Geo/TerritoryPageTest.php::test_analista_carrega_a_pagina_com_camadas_e_limiar. Processo elementar independente: situação das camadas disponíveis no mapa; DER diferentes da consulta de camadas. Classificação: CE. O fundo de mapa do OpenStreetMap é carregado pelo navegador como imagem e não é lido pela aplicação; nenhum AIE é referenciado aqui. TD=6 (tipo de camada, situação da camada, versão, quantidade de feições, sobreposição mínima, geocodificação habilitada). AR=2 (Camada geográfica, Parâmetro). Recontagem 16/10/2026: mantida (linha 378 da contagem de 01/10/2026).</t>
        </is>
      </c>
    </row>
    <row r="209" ht="12" customHeight="1" s="73">
      <c r="A209" s="14">
        <f>IF(H209="",IF(C209="",A208,A208+1),A208)</f>
        <v/>
      </c>
      <c r="B209" s="48">
        <f>IF(A209=A208,"",CONCATENATE("F",A209))</f>
        <v/>
      </c>
      <c r="C209" s="85" t="inlineStr">
        <is>
          <t>Território - localizar endereço no mapa</t>
        </is>
      </c>
      <c r="D209" s="142" t="n"/>
      <c r="E209" s="142" t="n"/>
      <c r="F209" s="142" t="n"/>
      <c r="G209" s="143" t="n"/>
      <c r="H209" s="56" t="inlineStr">
        <is>
          <t>SE</t>
        </is>
      </c>
      <c r="I209" s="57" t="inlineStr">
        <is>
          <t>I</t>
        </is>
      </c>
      <c r="J209" s="56" t="n">
        <v>7</v>
      </c>
      <c r="K209" s="56" t="n">
        <v>2</v>
      </c>
      <c r="L209" s="50">
        <f>CONCATENATE(H209,M209)</f>
        <v/>
      </c>
      <c r="M209" s="51">
        <f>IF(OR(ISBLANK(J209),ISBLANK(K209)),IF(OR(H209="ALI",H209="AIE"),"L",IF(ISBLANK(H209),"","A")),IF(H209="EE",IF(K209&gt;=3,IF(J209&gt;=5,"H","A"),IF(K209&gt;=2,IF(J209&gt;=16,"H",IF(J209&lt;=4,"L","A")),IF(J209&lt;=15,"L","A"))),IF(OR(H209="SE",H209="CE"),IF(K209&gt;=4,IF(J209&gt;=6,"H","A"),IF(K209&gt;=2,IF(J209&gt;=20,"H",IF(J209&lt;=5,"L","A")),IF(J209&lt;=19,"L","A"))),IF(OR(H209="ALI",H209="AIE"),IF(K209&gt;=6,IF(J209&gt;=20,"H","A"),IF(K209&gt;=2,IF(J209&gt;=51,"H",IF(J209&lt;=19,"L","A")),IF(J209&lt;=50,"L","A")))))))</f>
        <v/>
      </c>
      <c r="N209" s="52">
        <f>IF(M209="L","Baixa",IF(M209="A","Média",IF(M209="","","Alta")))</f>
        <v/>
      </c>
      <c r="O209" s="53">
        <f>IF(ISBLANK(H209),"",IF(H209="ALI",IF(M209="L",7,IF(M209="A",10,15)),IF(H209="AIE",IF(M209="L",5,IF(M209="A",7,10)),IF(H209="SE",IF(M209="L",4,IF(M209="A",5,7)),IF(OR(H209="EE",H209="CE"),IF(M209="L",3,IF(M209="A",4,6)))))))</f>
        <v/>
      </c>
      <c r="P209" s="54">
        <f>IF(I209="I",O209*Contagem!$W$15,IF(I209="E",O209*Contagem!$W$17,IF(I209="A",O209*Contagem!$W$16,IF(I209="T",O209*Contagem!$W$18,""))))</f>
        <v/>
      </c>
      <c r="Q209" s="55" t="inlineStr">
        <is>
          <t>Prova: Rota POST /gestao/territorio/geocodificar (consultar-territorio). Tela: gestao/territorio/index. GeocodeController chama o geocodificador (NominatimGeocoder, dados do OpenStreetMap), recusa ponto fora de Salvador e audita todo desfecho. Teste: tests/Feature/Geo/GeocodeEndpointTest.php::test_analista_no_guard_gestao_geocodifica_com_sucesso_e_e_auditado. Processo elementar independente: do endereço ao ponto no mapa. Classificação: SE, valida o ponto contra o município e grava a trilha (sem a trilha seria CE). Para demonstrar: features.geocoding ligado. TD=7 (endereço, latitude, longitude, endereço encontrado, confiança, mensagem, ação localizar). AR=2 (Endereços geocodificados do OpenStreetMap, Trilha de auditoria). Recontagem 16/10/2026: alterada (linha 259 da contagem de 01/10/2026: "Território - localizar endereço no mapa", SE Baixa 4 PF, TD 7, AR 1). Motivo: Entra como FTR o AIE Endereços geocodificados do OpenStreetMap (catálogo harmonizado): o Geocoder é ligado a NominatimGeocoder em app/Providers/AppServiceProvider.php. AR 1→2; Baixa→Média (4→5).</t>
        </is>
      </c>
    </row>
    <row r="210" ht="12" customHeight="1" s="73">
      <c r="A210" s="14">
        <f>IF(H210="",IF(C210="",A209,A209+1),A209)</f>
        <v/>
      </c>
      <c r="B210" s="48">
        <f>IF(A210=A209,"",CONCATENATE("F",A210))</f>
        <v/>
      </c>
      <c r="C210" s="85" t="inlineStr">
        <is>
          <t>Território - identificar imóvel</t>
        </is>
      </c>
      <c r="D210" s="142" t="n"/>
      <c r="E210" s="142" t="n"/>
      <c r="F210" s="142" t="n"/>
      <c r="G210" s="143" t="n"/>
      <c r="H210" s="56" t="inlineStr">
        <is>
          <t>SE</t>
        </is>
      </c>
      <c r="I210" s="57" t="inlineStr">
        <is>
          <t>I</t>
        </is>
      </c>
      <c r="J210" s="56" t="n">
        <v>12</v>
      </c>
      <c r="K210" s="56" t="n">
        <v>5</v>
      </c>
      <c r="L210" s="50">
        <f>CONCATENATE(H210,M210)</f>
        <v/>
      </c>
      <c r="M210" s="51">
        <f>IF(OR(ISBLANK(J210),ISBLANK(K210)),IF(OR(H210="ALI",H210="AIE"),"L",IF(ISBLANK(H210),"","A")),IF(H210="EE",IF(K210&gt;=3,IF(J210&gt;=5,"H","A"),IF(K210&gt;=2,IF(J210&gt;=16,"H",IF(J210&lt;=4,"L","A")),IF(J210&lt;=15,"L","A"))),IF(OR(H210="SE",H210="CE"),IF(K210&gt;=4,IF(J210&gt;=6,"H","A"),IF(K210&gt;=2,IF(J210&gt;=20,"H",IF(J210&lt;=5,"L","A")),IF(J210&lt;=19,"L","A"))),IF(OR(H210="ALI",H210="AIE"),IF(K210&gt;=6,IF(J210&gt;=20,"H","A"),IF(K210&gt;=2,IF(J210&gt;=51,"H",IF(J210&lt;=19,"L","A")),IF(J210&lt;=50,"L","A")))))))</f>
        <v/>
      </c>
      <c r="N210" s="52">
        <f>IF(M210="L","Baixa",IF(M210="A","Média",IF(M210="","","Alta")))</f>
        <v/>
      </c>
      <c r="O210" s="53">
        <f>IF(ISBLANK(H210),"",IF(H210="ALI",IF(M210="L",7,IF(M210="A",10,15)),IF(H210="AIE",IF(M210="L",5,IF(M210="A",7,10)),IF(H210="SE",IF(M210="L",4,IF(M210="A",5,7)),IF(OR(H210="EE",H210="CE"),IF(M210="L",3,IF(M210="A",4,6)))))))</f>
        <v/>
      </c>
      <c r="P210" s="54">
        <f>IF(I210="I",O210*Contagem!$W$15,IF(I210="E",O210*Contagem!$W$17,IF(I210="A",O210*Contagem!$W$16,IF(I210="T",O210*Contagem!$W$18,""))))</f>
        <v/>
      </c>
      <c r="Q210" s="55" t="inlineStr">
        <is>
          <t>Prova: Rota POST /gestao/territorio/identificar (consultar-territorio). Tela: gestao/territorio/index. TerritoryService::identify calcula contenção e via mais próxima nas camadas locais, consulta zona e classe viária no GeoServer e audita; não grava dado de negócio. Teste: tests/Feature/Geo/TerritoryPageTest.php::test_identificar_retorna_o_resultado_territorial_e_e_auditado. Processo elementar independente: do ponto ao território completo. Classificação: SE, dados derivados de cálculo espacial (distância, contenção). TD=12 (latitude, longitude, bairro, via, distância da via, classe viária, zona, lote, restrições, versão por camada, situação por dimensão, motivo de indisponibilidade). AR=5 (Camada geográfica, Camada do GeoServer, Zonas urbanísticas do GeoServer da SEDUR, Classificação viária dos logradouros do GeoServer da SEDUR, Trilha de auditoria). Recontagem 16/10/2026: alterada (linha 379 da contagem de 01/10/2026: "Território - identificar imóvel", SE Média 5 PF, TD 12, AR 2). Motivo: FTR revisados: TerritoryService audita a identificação (evento identificacao), GeoServerWfsZonaClient lê as camadas ativas do catálogo Camada do GeoServer e TerritoryService::comClasseViaria consulta GeoServerClassificacaoViariaClient (AIE Classificação viária dos logradouros do GeoServer da SEDUR). Não lê lotes do endereçamento nem poligonais territoriais do GeoServer (o lote vem da camada geográfica local). AR 2→5; Média→Alta (5→7). As mudanças de 14/10 (lote pelo ponto, classe viária pelo CODLOG) estão em TerritorioProcessoService e PoligonoEnderecamentoService, usados pelo motor do processo, não por esta tela.</t>
        </is>
      </c>
    </row>
    <row r="211" ht="12" customHeight="1" s="73">
      <c r="A211" s="14">
        <f>IF(H211="",IF(C211="",A210,A210+1),A210)</f>
        <v/>
      </c>
      <c r="B211" s="48">
        <f>IF(A211=A210,"",CONCATENATE("F",A211))</f>
        <v/>
      </c>
      <c r="C211" s="85" t="inlineStr">
        <is>
          <t>Território - validar localização</t>
        </is>
      </c>
      <c r="D211" s="142" t="n"/>
      <c r="E211" s="142" t="n"/>
      <c r="F211" s="142" t="n"/>
      <c r="G211" s="143" t="n"/>
      <c r="H211" s="56" t="inlineStr">
        <is>
          <t>SE</t>
        </is>
      </c>
      <c r="I211" s="57" t="inlineStr">
        <is>
          <t>I</t>
        </is>
      </c>
      <c r="J211" s="56" t="n">
        <v>6</v>
      </c>
      <c r="K211" s="56" t="n">
        <v>3</v>
      </c>
      <c r="L211" s="50">
        <f>CONCATENATE(H211,M211)</f>
        <v/>
      </c>
      <c r="M211" s="51">
        <f>IF(OR(ISBLANK(J211),ISBLANK(K211)),IF(OR(H211="ALI",H211="AIE"),"L",IF(ISBLANK(H211),"","A")),IF(H211="EE",IF(K211&gt;=3,IF(J211&gt;=5,"H","A"),IF(K211&gt;=2,IF(J211&gt;=16,"H",IF(J211&lt;=4,"L","A")),IF(J211&lt;=15,"L","A"))),IF(OR(H211="SE",H211="CE"),IF(K211&gt;=4,IF(J211&gt;=6,"H","A"),IF(K211&gt;=2,IF(J211&gt;=20,"H",IF(J211&lt;=5,"L","A")),IF(J211&lt;=19,"L","A"))),IF(OR(H211="ALI",H211="AIE"),IF(K211&gt;=6,IF(J211&gt;=20,"H","A"),IF(K211&gt;=2,IF(J211&gt;=51,"H",IF(J211&lt;=19,"L","A")),IF(J211&lt;=50,"L","A")))))))</f>
        <v/>
      </c>
      <c r="N211" s="52">
        <f>IF(M211="L","Baixa",IF(M211="A","Média",IF(M211="","","Alta")))</f>
        <v/>
      </c>
      <c r="O211" s="53">
        <f>IF(ISBLANK(H211),"",IF(H211="ALI",IF(M211="L",7,IF(M211="A",10,15)),IF(H211="AIE",IF(M211="L",5,IF(M211="A",7,10)),IF(H211="SE",IF(M211="L",4,IF(M211="A",5,7)),IF(OR(H211="EE",H211="CE"),IF(M211="L",3,IF(M211="A",4,6)))))))</f>
        <v/>
      </c>
      <c r="P211" s="54">
        <f>IF(I211="I",O211*Contagem!$W$15,IF(I211="E",O211*Contagem!$W$17,IF(I211="A",O211*Contagem!$W$16,IF(I211="T",O211*Contagem!$W$18,""))))</f>
        <v/>
      </c>
      <c r="Q211" s="55" t="inlineStr">
        <is>
          <t>Prova: Rota POST /gestao/territorio/validar-localizacao (consultar-territorio). Tela: gestao/territorio/index. LocationValidationService calcula a maior sobreposição com o lote vigente e compara com o limiar; o controller audita. Teste: tests/Feature/Geo/TerritoryPageTest.php::test_validar_localizacao_comunica_lote_indisponivel_e_audita. Processo elementar independente: polígono até o resultado. Classificação: SE, percentual calculado. TD=6 (polígono informado, percentual de sobreposição, situação (validado ou alerta), alerta, limiar mínimo, motivo de indisponibilidade). AR=3 (Camada geográfica, Parâmetro, Trilha de auditoria). Recontagem 16/10/2026: alterada (linha 380 da contagem de 01/10/2026: "Território - validar localização", SE Média 5 PF, TD 6, AR 2). Motivo: TerritoryController::validateLocation grava a trilha (evento validacao-localizacao): Trilha de auditoria entra como FTR. AR 2→3; continua Média (5 PF).</t>
        </is>
      </c>
    </row>
    <row r="212" ht="12" customHeight="1" s="73">
      <c r="A212" s="14">
        <f>IF(H212="",IF(C212="",A211,A211+1),A211)</f>
        <v/>
      </c>
      <c r="B212" s="48">
        <f>IF(A212=A211,"",CONCATENATE("F",A212))</f>
        <v/>
      </c>
      <c r="C212" s="85" t="n"/>
      <c r="D212" s="142" t="n"/>
      <c r="E212" s="142" t="n"/>
      <c r="F212" s="142" t="n"/>
      <c r="G212" s="143" t="n"/>
      <c r="H212" s="56" t="n"/>
      <c r="I212" s="57" t="n"/>
      <c r="J212" s="56" t="n"/>
      <c r="K212" s="56" t="n"/>
      <c r="L212" s="50">
        <f>CONCATENATE(H212,M212)</f>
        <v/>
      </c>
      <c r="M212" s="51">
        <f>IF(OR(ISBLANK(J212),ISBLANK(K212)),IF(OR(H212="ALI",H212="AIE"),"L",IF(ISBLANK(H212),"","A")),IF(H212="EE",IF(K212&gt;=3,IF(J212&gt;=5,"H","A"),IF(K212&gt;=2,IF(J212&gt;=16,"H",IF(J212&lt;=4,"L","A")),IF(J212&lt;=15,"L","A"))),IF(OR(H212="SE",H212="CE"),IF(K212&gt;=4,IF(J212&gt;=6,"H","A"),IF(K212&gt;=2,IF(J212&gt;=20,"H",IF(J212&lt;=5,"L","A")),IF(J212&lt;=19,"L","A"))),IF(OR(H212="ALI",H212="AIE"),IF(K212&gt;=6,IF(J212&gt;=20,"H","A"),IF(K212&gt;=2,IF(J212&gt;=51,"H",IF(J212&lt;=19,"L","A")),IF(J212&lt;=50,"L","A")))))))</f>
        <v/>
      </c>
      <c r="N212" s="52">
        <f>IF(M212="L","Baixa",IF(M212="A","Média",IF(M212="","","Alta")))</f>
        <v/>
      </c>
      <c r="O212" s="53">
        <f>IF(ISBLANK(H212),"",IF(H212="ALI",IF(M212="L",7,IF(M212="A",10,15)),IF(H212="AIE",IF(M212="L",5,IF(M212="A",7,10)),IF(H212="SE",IF(M212="L",4,IF(M212="A",5,7)),IF(OR(H212="EE",H212="CE"),IF(M212="L",3,IF(M212="A",4,6)))))))</f>
        <v/>
      </c>
      <c r="P212" s="54">
        <f>IF(I212="I",O212*Contagem!$W$15,IF(I212="E",O212*Contagem!$W$17,IF(I212="A",O212*Contagem!$W$16,IF(I212="T",O212*Contagem!$W$18,""))))</f>
        <v/>
      </c>
      <c r="Q212" s="55" t="n"/>
    </row>
    <row r="213" ht="12" customHeight="1" s="73">
      <c r="A213" s="14">
        <f>IF(H213="",IF(C213="",A212,A212+1),A212)</f>
        <v/>
      </c>
      <c r="B213" s="48">
        <f>IF(A213=A212,"",CONCATENATE("F",A213))</f>
        <v/>
      </c>
      <c r="C213" s="85" t="inlineStr">
        <is>
          <t>Painel inicial</t>
        </is>
      </c>
      <c r="D213" s="142" t="n"/>
      <c r="E213" s="142" t="n"/>
      <c r="F213" s="142" t="n"/>
      <c r="G213" s="143" t="n"/>
      <c r="H213" s="56" t="n"/>
      <c r="I213" s="57" t="n"/>
      <c r="J213" s="56" t="n"/>
      <c r="K213" s="56" t="n"/>
      <c r="L213" s="50">
        <f>CONCATENATE(H213,M213)</f>
        <v/>
      </c>
      <c r="M213" s="51">
        <f>IF(OR(ISBLANK(J213),ISBLANK(K213)),IF(OR(H213="ALI",H213="AIE"),"L",IF(ISBLANK(H213),"","A")),IF(H213="EE",IF(K213&gt;=3,IF(J213&gt;=5,"H","A"),IF(K213&gt;=2,IF(J213&gt;=16,"H",IF(J213&lt;=4,"L","A")),IF(J213&lt;=15,"L","A"))),IF(OR(H213="SE",H213="CE"),IF(K213&gt;=4,IF(J213&gt;=6,"H","A"),IF(K213&gt;=2,IF(J213&gt;=20,"H",IF(J213&lt;=5,"L","A")),IF(J213&lt;=19,"L","A"))),IF(OR(H213="ALI",H213="AIE"),IF(K213&gt;=6,IF(J213&gt;=20,"H","A"),IF(K213&gt;=2,IF(J213&gt;=51,"H",IF(J213&lt;=19,"L","A")),IF(J213&lt;=50,"L","A")))))))</f>
        <v/>
      </c>
      <c r="N213" s="52">
        <f>IF(M213="L","Baixa",IF(M213="A","Média",IF(M213="","","Alta")))</f>
        <v/>
      </c>
      <c r="O213" s="53">
        <f>IF(ISBLANK(H213),"",IF(H213="ALI",IF(M213="L",7,IF(M213="A",10,15)),IF(H213="AIE",IF(M213="L",5,IF(M213="A",7,10)),IF(H213="SE",IF(M213="L",4,IF(M213="A",5,7)),IF(OR(H213="EE",H213="CE"),IF(M213="L",3,IF(M213="A",4,6)))))))</f>
        <v/>
      </c>
      <c r="P213" s="54">
        <f>IF(I213="I",O213*Contagem!$W$15,IF(I213="E",O213*Contagem!$W$17,IF(I213="A",O213*Contagem!$W$16,IF(I213="T",O213*Contagem!$W$18,""))))</f>
        <v/>
      </c>
      <c r="Q213" s="55" t="n"/>
    </row>
    <row r="214" ht="12" customHeight="1" s="73">
      <c r="A214" s="14">
        <f>IF(H214="",IF(C214="",A213,A213+1),A213)</f>
        <v/>
      </c>
      <c r="B214" s="48">
        <f>IF(A214=A213,"",CONCATENATE("F",A214))</f>
        <v/>
      </c>
      <c r="C214" s="85" t="inlineStr">
        <is>
          <t>Painel - consultar indicadores iniciais</t>
        </is>
      </c>
      <c r="D214" s="142" t="n"/>
      <c r="E214" s="142" t="n"/>
      <c r="F214" s="142" t="n"/>
      <c r="G214" s="143" t="n"/>
      <c r="H214" s="56" t="inlineStr">
        <is>
          <t>SE</t>
        </is>
      </c>
      <c r="I214" s="57" t="inlineStr">
        <is>
          <t>I</t>
        </is>
      </c>
      <c r="J214" s="56" t="n">
        <v>22</v>
      </c>
      <c r="K214" s="56" t="n">
        <v>8</v>
      </c>
      <c r="L214" s="50">
        <f>CONCATENATE(H214,M214)</f>
        <v/>
      </c>
      <c r="M214" s="51">
        <f>IF(OR(ISBLANK(J214),ISBLANK(K214)),IF(OR(H214="ALI",H214="AIE"),"L",IF(ISBLANK(H214),"","A")),IF(H214="EE",IF(K214&gt;=3,IF(J214&gt;=5,"H","A"),IF(K214&gt;=2,IF(J214&gt;=16,"H",IF(J214&lt;=4,"L","A")),IF(J214&lt;=15,"L","A"))),IF(OR(H214="SE",H214="CE"),IF(K214&gt;=4,IF(J214&gt;=6,"H","A"),IF(K214&gt;=2,IF(J214&gt;=20,"H",IF(J214&lt;=5,"L","A")),IF(J214&lt;=19,"L","A"))),IF(OR(H214="ALI",H214="AIE"),IF(K214&gt;=6,IF(J214&gt;=20,"H","A"),IF(K214&gt;=2,IF(J214&gt;=51,"H",IF(J214&lt;=19,"L","A")),IF(J214&lt;=50,"L","A")))))))</f>
        <v/>
      </c>
      <c r="N214" s="52">
        <f>IF(M214="L","Baixa",IF(M214="A","Média",IF(M214="","","Alta")))</f>
        <v/>
      </c>
      <c r="O214" s="53">
        <f>IF(ISBLANK(H214),"",IF(H214="ALI",IF(M214="L",7,IF(M214="A",10,15)),IF(H214="AIE",IF(M214="L",5,IF(M214="A",7,10)),IF(H214="SE",IF(M214="L",4,IF(M214="A",5,7)),IF(OR(H214="EE",H214="CE"),IF(M214="L",3,IF(M214="A",4,6)))))))</f>
        <v/>
      </c>
      <c r="P214" s="54">
        <f>IF(I214="I",O214*Contagem!$W$15,IF(I214="E",O214*Contagem!$W$17,IF(I214="A",O214*Contagem!$W$16,IF(I214="T",O214*Contagem!$W$18,""))))</f>
        <v/>
      </c>
      <c r="Q214" s="55" t="inlineStr">
        <is>
          <t>Prova: Rota GET /gestao (acessar-gestao; KPIs com consultar-relatorios). Tela: gestao/dashboard. PainelOperacaoService calcula KPIs, série, taxas e carga; sem consultar-relatorios redireciona. A rota /portal/painel é outro controller (PainelCidadaoService), fora desta função. Teste: tests/Feature/Relatorios/DashboardKpisTest.php::bloco_relatorios_traz_kpis_reais_do_ep15_sem_delta_inventado. Processo elementar independente: menor unidade com significado para o gestor; completa por si (escolhe a janela e recebe os indicadores); deixa o negócio consistente (nada é alterado); lógica única (KPIs operacionais calculados sobre a janela). TD=22 (janela de dias, protocolos no período, protocolos do período anterior, variação, decisões por fluxo, estoque total, atrasados, saldo do período, pico de entrada, projeção 30 dias, taxa de resposta expressa, meta expressa, série do fluxo, motivos de queda, tempo médio até decisão, meta de dias, percentual no prazo, ações (rótulo, valor), etapas, aging, carga por setor, carga por analista). AR=8 (Solicitação de viabilidade, Decisão de viabilidade, Pendência da análise, Comunicação ao requerente, Setor, Usuário, Feriado, Parâmetro). Classificação: Não grava: entrega indicadores calculados, taxas, projeção e série (gráfico), portanto SE e não EE. Recontagem em 16/10/2026: PainelOperacaoService só trocou o rótulo da etapa de emissão; o perfil Analista Terceirizado ou Servidor passou a ser redirecionado para a caixa de entrada (navegação, sem efeito na contagem). O bloco de solicitação de acesso exibido ao servidor sem perfil na mesma rota pertence ao processo de solicitação de acesso (ver pendências), não a esta função. Premissa P4: não grava registro automático (DashboardController e PainelOperacaoService sem chamada de auditoria); Comunicação ao requerente é lida, não gravada. Recontagem 16/10/2026: mantida (linha 65 da contagem de 01/10/2026).</t>
        </is>
      </c>
    </row>
    <row r="215" ht="12" customHeight="1" s="73">
      <c r="A215" s="14">
        <f>IF(H215="",IF(C215="",A214,A214+1),A214)</f>
        <v/>
      </c>
      <c r="B215" s="48">
        <f>IF(A215=A214,"",CONCATENATE("F",A215))</f>
        <v/>
      </c>
      <c r="C215" s="85" t="n"/>
      <c r="D215" s="142" t="n"/>
      <c r="E215" s="142" t="n"/>
      <c r="F215" s="142" t="n"/>
      <c r="G215" s="143" t="n"/>
      <c r="H215" s="56" t="n"/>
      <c r="I215" s="57" t="n"/>
      <c r="J215" s="56" t="n"/>
      <c r="K215" s="56" t="n"/>
      <c r="L215" s="50">
        <f>CONCATENATE(H215,M215)</f>
        <v/>
      </c>
      <c r="M215" s="51">
        <f>IF(OR(ISBLANK(J215),ISBLANK(K215)),IF(OR(H215="ALI",H215="AIE"),"L",IF(ISBLANK(H215),"","A")),IF(H215="EE",IF(K215&gt;=3,IF(J215&gt;=5,"H","A"),IF(K215&gt;=2,IF(J215&gt;=16,"H",IF(J215&lt;=4,"L","A")),IF(J215&lt;=15,"L","A"))),IF(OR(H215="SE",H215="CE"),IF(K215&gt;=4,IF(J215&gt;=6,"H","A"),IF(K215&gt;=2,IF(J215&gt;=20,"H",IF(J215&lt;=5,"L","A")),IF(J215&lt;=19,"L","A"))),IF(OR(H215="ALI",H215="AIE"),IF(K215&gt;=6,IF(J215&gt;=20,"H","A"),IF(K215&gt;=2,IF(J215&gt;=51,"H",IF(J215&lt;=19,"L","A")),IF(J215&lt;=50,"L","A")))))))</f>
        <v/>
      </c>
      <c r="N215" s="52">
        <f>IF(M215="L","Baixa",IF(M215="A","Média",IF(M215="","","Alta")))</f>
        <v/>
      </c>
      <c r="O215" s="53">
        <f>IF(ISBLANK(H215),"",IF(H215="ALI",IF(M215="L",7,IF(M215="A",10,15)),IF(H215="AIE",IF(M215="L",5,IF(M215="A",7,10)),IF(H215="SE",IF(M215="L",4,IF(M215="A",5,7)),IF(OR(H215="EE",H215="CE"),IF(M215="L",3,IF(M215="A",4,6)))))))</f>
        <v/>
      </c>
      <c r="P215" s="54">
        <f>IF(I215="I",O215*Contagem!$W$15,IF(I215="E",O215*Contagem!$W$17,IF(I215="A",O215*Contagem!$W$16,IF(I215="T",O215*Contagem!$W$18,""))))</f>
        <v/>
      </c>
      <c r="Q215" s="55" t="n"/>
    </row>
    <row r="216" ht="12" customHeight="1" s="73">
      <c r="A216" s="14">
        <f>IF(H216="",IF(C216="",A215,A215+1),A215)</f>
        <v/>
      </c>
      <c r="B216" s="48">
        <f>IF(A216=A215,"",CONCATENATE("F",A216))</f>
        <v/>
      </c>
      <c r="C216" s="85" t="inlineStr">
        <is>
          <t>Consulta de processos</t>
        </is>
      </c>
      <c r="D216" s="142" t="n"/>
      <c r="E216" s="142" t="n"/>
      <c r="F216" s="142" t="n"/>
      <c r="G216" s="143" t="n"/>
      <c r="H216" s="56" t="n"/>
      <c r="I216" s="57" t="n"/>
      <c r="J216" s="56" t="n"/>
      <c r="K216" s="56" t="n"/>
      <c r="L216" s="50">
        <f>CONCATENATE(H216,M216)</f>
        <v/>
      </c>
      <c r="M216" s="51">
        <f>IF(OR(ISBLANK(J216),ISBLANK(K216)),IF(OR(H216="ALI",H216="AIE"),"L",IF(ISBLANK(H216),"","A")),IF(H216="EE",IF(K216&gt;=3,IF(J216&gt;=5,"H","A"),IF(K216&gt;=2,IF(J216&gt;=16,"H",IF(J216&lt;=4,"L","A")),IF(J216&lt;=15,"L","A"))),IF(OR(H216="SE",H216="CE"),IF(K216&gt;=4,IF(J216&gt;=6,"H","A"),IF(K216&gt;=2,IF(J216&gt;=20,"H",IF(J216&lt;=5,"L","A")),IF(J216&lt;=19,"L","A"))),IF(OR(H216="ALI",H216="AIE"),IF(K216&gt;=6,IF(J216&gt;=20,"H","A"),IF(K216&gt;=2,IF(J216&gt;=51,"H",IF(J216&lt;=19,"L","A")),IF(J216&lt;=50,"L","A")))))))</f>
        <v/>
      </c>
      <c r="N216" s="52">
        <f>IF(M216="L","Baixa",IF(M216="A","Média",IF(M216="","","Alta")))</f>
        <v/>
      </c>
      <c r="O216" s="53">
        <f>IF(ISBLANK(H216),"",IF(H216="ALI",IF(M216="L",7,IF(M216="A",10,15)),IF(H216="AIE",IF(M216="L",5,IF(M216="A",7,10)),IF(H216="SE",IF(M216="L",4,IF(M216="A",5,7)),IF(OR(H216="EE",H216="CE"),IF(M216="L",3,IF(M216="A",4,6)))))))</f>
        <v/>
      </c>
      <c r="P216" s="54">
        <f>IF(I216="I",O216*Contagem!$W$15,IF(I216="E",O216*Contagem!$W$17,IF(I216="A",O216*Contagem!$W$16,IF(I216="T",O216*Contagem!$W$18,""))))</f>
        <v/>
      </c>
      <c r="Q216" s="55" t="n"/>
    </row>
    <row r="217" ht="12" customHeight="1" s="73">
      <c r="A217" s="14">
        <f>IF(H217="",IF(C217="",A216,A216+1),A216)</f>
        <v/>
      </c>
      <c r="B217" s="48">
        <f>IF(A217=A216,"",CONCATENATE("F",A217))</f>
        <v/>
      </c>
      <c r="C217" s="85" t="inlineStr">
        <is>
          <t>Processos - consultar lista</t>
        </is>
      </c>
      <c r="D217" s="142" t="n"/>
      <c r="E217" s="142" t="n"/>
      <c r="F217" s="142" t="n"/>
      <c r="G217" s="143" t="n"/>
      <c r="H217" s="56" t="inlineStr">
        <is>
          <t>SE</t>
        </is>
      </c>
      <c r="I217" s="57" t="inlineStr">
        <is>
          <t>I</t>
        </is>
      </c>
      <c r="J217" s="56" t="n">
        <v>38</v>
      </c>
      <c r="K217" s="56" t="n">
        <v>6</v>
      </c>
      <c r="L217" s="50">
        <f>CONCATENATE(H217,M217)</f>
        <v/>
      </c>
      <c r="M217" s="51">
        <f>IF(OR(ISBLANK(J217),ISBLANK(K217)),IF(OR(H217="ALI",H217="AIE"),"L",IF(ISBLANK(H217),"","A")),IF(H217="EE",IF(K217&gt;=3,IF(J217&gt;=5,"H","A"),IF(K217&gt;=2,IF(J217&gt;=16,"H",IF(J217&lt;=4,"L","A")),IF(J217&lt;=15,"L","A"))),IF(OR(H217="SE",H217="CE"),IF(K217&gt;=4,IF(J217&gt;=6,"H","A"),IF(K217&gt;=2,IF(J217&gt;=20,"H",IF(J217&lt;=5,"L","A")),IF(J217&lt;=19,"L","A"))),IF(OR(H217="ALI",H217="AIE"),IF(K217&gt;=6,IF(J217&gt;=20,"H","A"),IF(K217&gt;=2,IF(J217&gt;=51,"H",IF(J217&lt;=19,"L","A")),IF(J217&lt;=50,"L","A")))))))</f>
        <v/>
      </c>
      <c r="N217" s="52">
        <f>IF(M217="L","Baixa",IF(M217="A","Média",IF(M217="","","Alta")))</f>
        <v/>
      </c>
      <c r="O217" s="53">
        <f>IF(ISBLANK(H217),"",IF(H217="ALI",IF(M217="L",7,IF(M217="A",10,15)),IF(H217="AIE",IF(M217="L",5,IF(M217="A",7,10)),IF(H217="SE",IF(M217="L",4,IF(M217="A",5,7)),IF(OR(H217="EE",H217="CE"),IF(M217="L",3,IF(M217="A",4,6)))))))</f>
        <v/>
      </c>
      <c r="P217" s="54">
        <f>IF(I217="I",O217*Contagem!$W$15,IF(I217="E",O217*Contagem!$W$17,IF(I217="A",O217*Contagem!$W$16,IF(I217="T",O217*Contagem!$W$18,""))))</f>
        <v/>
      </c>
      <c r="Q217" s="55" t="inlineStr">
        <is>
          <t>Prova: Rota GET /gestao/processos (consultar-solicitacoes). Tela: gestao/processos/index. O servidor filtra por 20 critérios, ordena, pagina e conta o recorte em abas (todos, em análise, distribuir, pendência, concluído); cada linha traz SLA restante calculado; ?formato= exporta. Lê solicitação, empresa, decisão, setor e usuário; grava a consulta na trilha. Teste: tests/Feature/Analise/ProcessoConsultaTest.php::test_abas_contam_o_recorte_sem_aplicar_a_propria_aba. Processo elementar independente: menor unidade com significado para o servidor da SEDUR; completa por si (filtros até a lista paginada); deixa o negócio consistente (só leitura, consulta auditada); lógica única (busca multicritério com contadores por aba). TD=38 (grupo, situação, situação da análise, protocolo, BAP, produto TVL, serviço, setor, analista, categoria, inscrição imobiliária, nome, CNPJ, CEP, logradouro, bairro, data inicial, data final, busca livre, fluxo, ordenação, protocolado em, empresa, tipo de imóvel, endereço, origem, prazo restante, semáforo do SLA, motivo da análise, escritório virtual, total todos, total em análise, total a distribuir, total em pendência, total concluído, formato de exportação, mensagem (período invertido), ação consultar). AR=6 (Solicitação de viabilidade, Empresa, Decisão de viabilidade, Setor, Usuário, Trilha de auditoria). Classificação: Entrega totais por aba e prazo restante calculado, sem gravar dado de negócio: SE, não CE. Recontagem em 16/10/2026: a coluna Serviço passou a mostrar os eventos enviados pela JUCEB (subgrupo de eventos da Solicitação de viabilidade) e, sem eles, o tipo de serviço. É o mesmo DER serviço e o mesmo arquivo lógico; TD e AR não mudam. Teste adicional: tests/Feature/Analise/CaixaSetorTest.php::test_servico_da_linha_sao_os_eventos_da_juceb_ou_o_tipo_interno (mesma regra de exibição). Premissa P4: ProcessoController::index grava a consulta na trilha ($this-&gt;audit-&gt;log consulta-processos), por isso Trilha de auditoria entra no AR. Catálogo: Tipo de serviço retirado (dado de código). Recontagem 16/10/2026: mantida (linha 153 da contagem de 01/10/2026).</t>
        </is>
      </c>
    </row>
    <row r="218" ht="12" customHeight="1" s="73">
      <c r="A218" s="14">
        <f>IF(H218="",IF(C218="",A217,A217+1),A217)</f>
        <v/>
      </c>
      <c r="B218" s="48">
        <f>IF(A218=A217,"",CONCATENATE("F",A218))</f>
        <v/>
      </c>
      <c r="C218" s="85" t="inlineStr">
        <is>
          <t>Processos - consultar caixa de entrada do analista</t>
        </is>
      </c>
      <c r="D218" s="142" t="n"/>
      <c r="E218" s="142" t="n"/>
      <c r="F218" s="142" t="n"/>
      <c r="G218" s="143" t="n"/>
      <c r="H218" s="56" t="inlineStr">
        <is>
          <t>SE</t>
        </is>
      </c>
      <c r="I218" s="57" t="inlineStr">
        <is>
          <t>I</t>
        </is>
      </c>
      <c r="J218" s="56" t="n">
        <v>27</v>
      </c>
      <c r="K218" s="56" t="n">
        <v>6</v>
      </c>
      <c r="L218" s="50">
        <f>CONCATENATE(H218,M218)</f>
        <v/>
      </c>
      <c r="M218" s="51">
        <f>IF(OR(ISBLANK(J218),ISBLANK(K218)),IF(OR(H218="ALI",H218="AIE"),"L",IF(ISBLANK(H218),"","A")),IF(H218="EE",IF(K218&gt;=3,IF(J218&gt;=5,"H","A"),IF(K218&gt;=2,IF(J218&gt;=16,"H",IF(J218&lt;=4,"L","A")),IF(J218&lt;=15,"L","A"))),IF(OR(H218="SE",H218="CE"),IF(K218&gt;=4,IF(J218&gt;=6,"H","A"),IF(K218&gt;=2,IF(J218&gt;=20,"H",IF(J218&lt;=5,"L","A")),IF(J218&lt;=19,"L","A"))),IF(OR(H218="ALI",H218="AIE"),IF(K218&gt;=6,IF(J218&gt;=20,"H","A"),IF(K218&gt;=2,IF(J218&gt;=51,"H",IF(J218&lt;=19,"L","A")),IF(J218&lt;=50,"L","A")))))))</f>
        <v/>
      </c>
      <c r="N218" s="52">
        <f>IF(M218="L","Baixa",IF(M218="A","Média",IF(M218="","","Alta")))</f>
        <v/>
      </c>
      <c r="O218" s="53">
        <f>IF(ISBLANK(H218),"",IF(H218="ALI",IF(M218="L",7,IF(M218="A",10,15)),IF(H218="AIE",IF(M218="L",5,IF(M218="A",7,10)),IF(H218="SE",IF(M218="L",4,IF(M218="A",5,7)),IF(OR(H218="EE",H218="CE"),IF(M218="L",3,IF(M218="A",4,6)))))))</f>
        <v/>
      </c>
      <c r="P218" s="54">
        <f>IF(I218="I",O218*Contagem!$W$15,IF(I218="E",O218*Contagem!$W$17,IF(I218="A",O218*Contagem!$W$16,IF(I218="T",O218*Contagem!$W$18,""))))</f>
        <v/>
      </c>
      <c r="Q218" s="55" t="inlineStr">
        <is>
          <t>Prova: Rota GET /gestao/processos/fila (consultar-solicitacoes). Tela: gestao/processos/fila. Lista só os processos do analista logado, ordenados por prazo, com semáforo calculado, contadores do usuário e, para quem distribui, a visão agregada do setor. Lê solicitação, empresa, decisão, setor e usuário; grava a consulta na trilha. Teste: tests/Feature/Analise/ProcessoFilaTest.php::test_contadores_da_caixa_de_entrada_sao_do_usuario. Processo elementar independente: menor unidade com significado para o analista; completa por si (abrir a caixa até ver o trabalho do dia); deixa o negócio consistente (só leitura, auditada); lógica única (escopo do próprio analista com contadores e visão do setor). TD=27 (BAP, serviço, situação da análise, categoria, data inicial, data final, protocolo, empresa, CNPJ, situação, setor, analista, protocolado em, prazo restante, semáforo do SLA, fluxo, origem, endereço, inscrição imobiliária, nº do TVL, total na caixa, total vencendo, total vencido, total em pendência, analista do setor, carga por analista, ação consultar). AR=6 (Solicitação de viabilidade, Empresa, Decisão de viabilidade, Setor, Usuário, Trilha de auditoria). Classificação: Não grava dado de negócio; entrega contadores e semáforo calculados: SE, não EE. Recontagem em 16/10/2026: processos enviados para conclusão saem da caixa individual (ProcessoQueryService::escopo) e a coluna Serviço mostra os eventos da JUCEB; mesmos DER e arquivos. Teste adicional: tests/Feature/Analise/ParaConclusaoTest.php::test_processo_para_conclusao_sai_da_caixa_do_analista. Premissa P4: ProcessoController::fila grava a consulta na trilha ($this-&gt;audit-&gt;log consulta-fila). Catálogo: Tipo de serviço retirado (dado de código). Recontagem 16/10/2026: mantida (linha 154 da contagem de 01/10/2026).</t>
        </is>
      </c>
    </row>
    <row r="219" ht="12" customHeight="1" s="73">
      <c r="A219" s="14">
        <f>IF(H219="",IF(C219="",A218,A218+1),A218)</f>
        <v/>
      </c>
      <c r="B219" s="48">
        <f>IF(A219=A218,"",CONCATENATE("F",A219))</f>
        <v/>
      </c>
      <c r="C219" s="85" t="inlineStr">
        <is>
          <t>Processos - consultar informações do processo</t>
        </is>
      </c>
      <c r="D219" s="142" t="n"/>
      <c r="E219" s="142" t="n"/>
      <c r="F219" s="142" t="n"/>
      <c r="G219" s="143" t="n"/>
      <c r="H219" s="56" t="inlineStr">
        <is>
          <t>SE</t>
        </is>
      </c>
      <c r="I219" s="57" t="inlineStr">
        <is>
          <t>I</t>
        </is>
      </c>
      <c r="J219" s="56" t="n">
        <v>36</v>
      </c>
      <c r="K219" s="56" t="n">
        <v>9</v>
      </c>
      <c r="L219" s="50">
        <f>CONCATENATE(H219,M219)</f>
        <v/>
      </c>
      <c r="M219" s="51">
        <f>IF(OR(ISBLANK(J219),ISBLANK(K219)),IF(OR(H219="ALI",H219="AIE"),"L",IF(ISBLANK(H219),"","A")),IF(H219="EE",IF(K219&gt;=3,IF(J219&gt;=5,"H","A"),IF(K219&gt;=2,IF(J219&gt;=16,"H",IF(J219&lt;=4,"L","A")),IF(J219&lt;=15,"L","A"))),IF(OR(H219="SE",H219="CE"),IF(K219&gt;=4,IF(J219&gt;=6,"H","A"),IF(K219&gt;=2,IF(J219&gt;=20,"H",IF(J219&lt;=5,"L","A")),IF(J219&lt;=19,"L","A"))),IF(OR(H219="ALI",H219="AIE"),IF(K219&gt;=6,IF(J219&gt;=20,"H","A"),IF(K219&gt;=2,IF(J219&gt;=51,"H",IF(J219&lt;=19,"L","A")),IF(J219&lt;=50,"L","A")))))))</f>
        <v/>
      </c>
      <c r="N219" s="52">
        <f>IF(M219="L","Baixa",IF(M219="A","Média",IF(M219="","","Alta")))</f>
        <v/>
      </c>
      <c r="O219" s="53">
        <f>IF(ISBLANK(H219),"",IF(H219="ALI",IF(M219="L",7,IF(M219="A",10,15)),IF(H219="AIE",IF(M219="L",5,IF(M219="A",7,10)),IF(H219="SE",IF(M219="L",4,IF(M219="A",5,7)),IF(OR(H219="EE",H219="CE"),IF(M219="L",3,IF(M219="A",4,6)))))))</f>
        <v/>
      </c>
      <c r="P219" s="54">
        <f>IF(I219="I",O219*Contagem!$W$15,IF(I219="E",O219*Contagem!$W$17,IF(I219="A",O219*Contagem!$W$16,IF(I219="T",O219*Contagem!$W$18,""))))</f>
        <v/>
      </c>
      <c r="Q219" s="55" t="inlineStr">
        <is>
          <t>Prova: Rota GET /gestao/processos/{viabilityRequest} (consultar-solicitacoes). Tela: gestao/processos/show, aba Informações do processo. ProcessoController::show monta ProcessoResource, parecer, geo (polígono do imóvel e do endereçamento), divergencia_endereco (DivergenciaLogradouroInscricao compara o logradouro declarado com o logradouro tributário gravado nas camadas), justificativaRegin (HttpReginParecerNotifier::justificativaPara: texto gravado ou texto padrão composto de motivo, fundamentação e condicionantes) e as listas de encaminhamento. Lê os arquivos listados; não grava dado de negócio (a consulta é auditada). Teste: tests/Feature/Analise/ProcessoUiSmokeTest.php::test_detalhe_expoe_a_divergencia_quando_o_logradouro_declarado_difere_do_da_inscricao; tests/Feature/Regin/JustificativaReginTest.php::test_tela_do_processo_expoe_o_texto_que_vai_para_a_juceb. Processo elementar independente: menor unidade com significado para o analista; completa por si (abre o processo e vê o dossiê); não altera o processo; lógica própria (prazo restante calculado, texto padrão da justificativa derivado da decisão, divergência de logradouro). A aba é função distinta das demais abas da tela: tem TD próprios, e a regra de unicidade do CPM 4.3.1 trata como processos diferentes os que diferem em TD, arquivos ou lógica. Classificação: há dado derivado (prazo restante, texto padrão da justificativa, divergência de endereço), portanto SE e não CE (§5.5.3). TD=36 (protocolo, situação, situação da análise, etapa, empresa, CNPJ, CNAE, serviço, tipo de imóvel, endereço, inscrição imobiliária, setor, analista, protocolado em, prazo restante, categoria, fluxo, motivo do encaminhamento, resultado, motivo do parecer, fundamentação legal, nº da viabilidade, polígono do imóvel, polígono do endereçamento, ponto do imóvel, origem da localização, camadas incidentes, logradouro da inscrição divergente, justificativa enviada à JUCEB, origem da justificativa (analista ou padrão), ficha vigente, próximas situações, setores para encaminhar, analistas para encaminhar, destinatários da conclusão, ação consultar). AR=9 (Solicitação de viabilidade, Empresa, Decisão de viabilidade, Setor, Usuário, Ficha de análise técnica, CNAE, Trilha de auditoria, Perfil de acesso). Premissa P4: ProcessoController::show grava a consulta na trilha com marcação de dado pessoal ($this-&gt;audit-&gt;log consulta-processo, personalData); o registro é do request e foi atribuído só a esta aba. Catálogo: Tipo de serviço retirado (dado de código); Perfil de acesso entra porque os destinatários da conclusão são escolhidos pela permissão concluir-analise do perfil (User::permission). Recontagem 16/10/2026: alterada (linha 155 da contagem de 01/10/2026: "Processos - consultar informações do processo", SE Alta 7 PF, TD 30, AR 7). Motivo: TD 30→36 e AR 7→8: a aba passou a mostrar CNAE da solicitação, polígono do endereçamento, aviso de logradouro divergente do cadastro da inscrição, justificativa que o parecer leva à JUCEB (texto e origem) e a lista de destinatários da conclusão; passa a ler CNAE. PF inalterado (SE alta). Harmonização: TD 30→36, AR 7→9 em relação a 01/10 (PF 7→7); motivo nas observações (premissa P4/revisão do catálogo).</t>
        </is>
      </c>
    </row>
    <row r="220" ht="12" customHeight="1" s="73">
      <c r="A220" s="14">
        <f>IF(H220="",IF(C220="",A219,A219+1),A219)</f>
        <v/>
      </c>
      <c r="B220" s="48">
        <f>IF(A220=A219,"",CONCATENATE("F",A220))</f>
        <v/>
      </c>
      <c r="C220" s="85" t="inlineStr">
        <is>
          <t>Processos - consultar tramitação</t>
        </is>
      </c>
      <c r="D220" s="142" t="n"/>
      <c r="E220" s="142" t="n"/>
      <c r="F220" s="142" t="n"/>
      <c r="G220" s="143" t="n"/>
      <c r="H220" s="56" t="inlineStr">
        <is>
          <t>SE</t>
        </is>
      </c>
      <c r="I220" s="57" t="inlineStr">
        <is>
          <t>I</t>
        </is>
      </c>
      <c r="J220" s="56" t="n">
        <v>12</v>
      </c>
      <c r="K220" s="56" t="n">
        <v>3</v>
      </c>
      <c r="L220" s="50">
        <f>CONCATENATE(H220,M220)</f>
        <v/>
      </c>
      <c r="M220" s="51">
        <f>IF(OR(ISBLANK(J220),ISBLANK(K220)),IF(OR(H220="ALI",H220="AIE"),"L",IF(ISBLANK(H220),"","A")),IF(H220="EE",IF(K220&gt;=3,IF(J220&gt;=5,"H","A"),IF(K220&gt;=2,IF(J220&gt;=16,"H",IF(J220&lt;=4,"L","A")),IF(J220&lt;=15,"L","A"))),IF(OR(H220="SE",H220="CE"),IF(K220&gt;=4,IF(J220&gt;=6,"H","A"),IF(K220&gt;=2,IF(J220&gt;=20,"H",IF(J220&lt;=5,"L","A")),IF(J220&lt;=19,"L","A"))),IF(OR(H220="ALI",H220="AIE"),IF(K220&gt;=6,IF(J220&gt;=20,"H","A"),IF(K220&gt;=2,IF(J220&gt;=51,"H",IF(J220&lt;=19,"L","A")),IF(J220&lt;=50,"L","A")))))))</f>
        <v/>
      </c>
      <c r="N220" s="52">
        <f>IF(M220="L","Baixa",IF(M220="A","Média",IF(M220="","","Alta")))</f>
        <v/>
      </c>
      <c r="O220" s="53">
        <f>IF(ISBLANK(H220),"",IF(H220="ALI",IF(M220="L",7,IF(M220="A",10,15)),IF(H220="AIE",IF(M220="L",5,IF(M220="A",7,10)),IF(H220="SE",IF(M220="L",4,IF(M220="A",5,7)),IF(OR(H220="EE",H220="CE"),IF(M220="L",3,IF(M220="A",4,6)))))))</f>
        <v/>
      </c>
      <c r="P220" s="54">
        <f>IF(I220="I",O220*Contagem!$W$15,IF(I220="E",O220*Contagem!$W$17,IF(I220="A",O220*Contagem!$W$16,IF(I220="T",O220*Contagem!$W$18,""))))</f>
        <v/>
      </c>
      <c r="Q220" s="55" t="inlineStr">
        <is>
          <t>Prova: Rota GET /gestao/processos/{viabilityRequest} (consultar-solicitacoes). Tela: gestao/processos/show, aba Tramitação. ProcessoController::timeline junta as transições de situação com TramitacaoProcessoService::eventos, que lê o histórico da situação da análise e uma lista fechada de eventos da trilha (distribuir, assumir, redistribuir, pendência, vistoria, malha fina, documento, TVL, regin-parecer, sefaz-viabilidade), excluindo registros técnicos; a tela ordena e calcula a duração de cada etapa (formatarDuracao). Não grava. Teste: tests/Feature/Analise/ProcessoUiSmokeTest.php::test_tramitacao_inclui_os_envios_a_juceb_e_sefaz_sem_registros_tecnicos; tests/Feature/Analise/ProcessoUiSmokeTest.php::test_detalhe_mostra_quem_distribuiu_o_processo_na_tramitacao. Processo elementar independente: menor unidade com significado para o analista; completa por si (abre a aba e vê o caminho do processo); não grava; lógica própria de recuperação e composição do histórico. A aba é função distinta das demais abas da tela: tem TD próprios, e a regra de unicidade do CPM 4.3.1 trata como processos diferentes os que diferem em TD, arquivos ou lógica. Classificação: apresenta a duração de cada etapa calculada entre eventos, cálculo matemático, portanto SE e não CE (§5.5.3). TD=12 (protocolo, tipo do evento, título do evento ou situação de destino, situação de origem, motivo ou detalhe, data, responsável, analista atribuído, distribuído por, duração da etapa, resultado do envio à JUCEB ou à SEFAZ, ação abrir aba). AR=3 (Solicitação de viabilidade, Usuário, Trilha de auditoria). Premissa P4: Trilha de auditoria é lida como dado de negócio (TramitacaoProcessoService), não por gravação automática; o registro da consulta foi atribuído à aba Informações do processo. Recontagem 16/10/2026: alterada (linha 156 da contagem de 01/10/2026: "Processos - consultar tramitação", CE Média 4 PF, TD 7, AR 2). Motivo: CE→SE, TD 7→12, AR 2→3: a linha do tempo passou a juntar situação da análise, atribuições (quem distribuiu e a quem), pendências, vistoria, malha fina, documentos e os envios à JUCEB e à SEFAZ lidos da Trilha de auditoria; a tela calcula a duração de cada etapa (já existia e não fora considerada), o que pela regra é cálculo e leva a SE. PF 4→5. Harmonização: CE→SE, TD 7→12, AR 2→3 em relação a 01/10 (PF 4→5); motivo nas observações (premissa P4/revisão do catálogo).</t>
        </is>
      </c>
    </row>
    <row r="221" ht="12" customHeight="1" s="73">
      <c r="A221" s="14">
        <f>IF(H221="",IF(C221="",A220,A220+1),A220)</f>
        <v/>
      </c>
      <c r="B221" s="48">
        <f>IF(A221=A220,"",CONCATENATE("F",A221))</f>
        <v/>
      </c>
      <c r="C221" s="85" t="inlineStr">
        <is>
          <t>Processos - consultar explicação da decisão</t>
        </is>
      </c>
      <c r="D221" s="142" t="n"/>
      <c r="E221" s="142" t="n"/>
      <c r="F221" s="142" t="n"/>
      <c r="G221" s="143" t="n"/>
      <c r="H221" s="56" t="inlineStr">
        <is>
          <t>SE</t>
        </is>
      </c>
      <c r="I221" s="57" t="inlineStr">
        <is>
          <t>I</t>
        </is>
      </c>
      <c r="J221" s="56" t="n">
        <v>7</v>
      </c>
      <c r="K221" s="56" t="n">
        <v>2</v>
      </c>
      <c r="L221" s="50">
        <f>CONCATENATE(H221,M221)</f>
        <v/>
      </c>
      <c r="M221" s="51">
        <f>IF(OR(ISBLANK(J221),ISBLANK(K221)),IF(OR(H221="ALI",H221="AIE"),"L",IF(ISBLANK(H221),"","A")),IF(H221="EE",IF(K221&gt;=3,IF(J221&gt;=5,"H","A"),IF(K221&gt;=2,IF(J221&gt;=16,"H",IF(J221&lt;=4,"L","A")),IF(J221&lt;=15,"L","A"))),IF(OR(H221="SE",H221="CE"),IF(K221&gt;=4,IF(J221&gt;=6,"H","A"),IF(K221&gt;=2,IF(J221&gt;=20,"H",IF(J221&lt;=5,"L","A")),IF(J221&lt;=19,"L","A"))),IF(OR(H221="ALI",H221="AIE"),IF(K221&gt;=6,IF(J221&gt;=20,"H","A"),IF(K221&gt;=2,IF(J221&gt;=51,"H",IF(J221&lt;=19,"L","A")),IF(J221&lt;=50,"L","A")))))))</f>
        <v/>
      </c>
      <c r="N221" s="52">
        <f>IF(M221="L","Baixa",IF(M221="A","Média",IF(M221="","","Alta")))</f>
        <v/>
      </c>
      <c r="O221" s="53">
        <f>IF(ISBLANK(H221),"",IF(H221="ALI",IF(M221="L",7,IF(M221="A",10,15)),IF(H221="AIE",IF(M221="L",5,IF(M221="A",7,10)),IF(H221="SE",IF(M221="L",4,IF(M221="A",5,7)),IF(OR(H221="EE",H221="CE"),IF(M221="L",3,IF(M221="A",4,6)))))))</f>
        <v/>
      </c>
      <c r="P221" s="54">
        <f>IF(I221="I",O221*Contagem!$W$15,IF(I221="E",O221*Contagem!$W$17,IF(I221="A",O221*Contagem!$W$16,IF(I221="T",O221*Contagem!$W$18,""))))</f>
        <v/>
      </c>
      <c r="Q221" s="55" t="inlineStr">
        <is>
          <t>Prova: Rota GET /gestao/processos/{id} (consultar-solicitacoes). Tela: Operação &gt; Processos, detalhe, aba Explicabilidade (só aparece quando há decisão). O analista vê, passo a passo, como o motor chegou ao resultado: entrada, risco, quadros da LOUOS e regra aplicada, com a versão de cada regra. DecisionExplanationService monta a explicação a partir do registro da decisão. Teste: tests/Feature/Auditoria/DecisionExplanationTest.php::test_show_processo_envia_prop_explicacao_quando_ha_decisao. Processo elementar independente: menor unidade com significado para o analista e o auditor; completa por si (abre a aba e entende a decisão); não grava; lógica própria (texto de cada passo derivado do registro da decisão). A aba é função distinta das demais abas da tela: tem TD próprios, e a regra de unicidade do CPM 4.3.1 trata como processos diferentes os que diferem em TD, arquivos ou lógica. TD=7 (protocolo, resultado, passo da explicação, resultado parcial do passo, versão da regra, fundamentação legal, ação abrir aba). AR=2 (Decisão de viabilidade, Solicitação de viabilidade). Premissa P4: sem gravação própria; o registro da consulta do processo foi atribuído à aba Informações do processo. Recontagem 16/10/2026: mantida (linha 157 da contagem de 01/10/2026).</t>
        </is>
      </c>
    </row>
    <row r="222" ht="12" customHeight="1" s="73">
      <c r="A222" s="14">
        <f>IF(H222="",IF(C222="",A221,A221+1),A221)</f>
        <v/>
      </c>
      <c r="B222" s="48">
        <f>IF(A222=A221,"",CONCATENATE("F",A222))</f>
        <v/>
      </c>
      <c r="C222" s="85" t="inlineStr">
        <is>
          <t>Processos - alterar situação da análise</t>
        </is>
      </c>
      <c r="D222" s="142" t="n"/>
      <c r="E222" s="142" t="n"/>
      <c r="F222" s="142" t="n"/>
      <c r="G222" s="143" t="n"/>
      <c r="H222" s="56" t="inlineStr">
        <is>
          <t>EE</t>
        </is>
      </c>
      <c r="I222" s="57" t="inlineStr">
        <is>
          <t>I</t>
        </is>
      </c>
      <c r="J222" s="56" t="n">
        <v>8</v>
      </c>
      <c r="K222" s="56" t="n">
        <v>5</v>
      </c>
      <c r="L222" s="50">
        <f>CONCATENATE(H222,M222)</f>
        <v/>
      </c>
      <c r="M222" s="51">
        <f>IF(OR(ISBLANK(J222),ISBLANK(K222)),IF(OR(H222="ALI",H222="AIE"),"L",IF(ISBLANK(H222),"","A")),IF(H222="EE",IF(K222&gt;=3,IF(J222&gt;=5,"H","A"),IF(K222&gt;=2,IF(J222&gt;=16,"H",IF(J222&lt;=4,"L","A")),IF(J222&lt;=15,"L","A"))),IF(OR(H222="SE",H222="CE"),IF(K222&gt;=4,IF(J222&gt;=6,"H","A"),IF(K222&gt;=2,IF(J222&gt;=20,"H",IF(J222&lt;=5,"L","A")),IF(J222&lt;=19,"L","A"))),IF(OR(H222="ALI",H222="AIE"),IF(K222&gt;=6,IF(J222&gt;=20,"H","A"),IF(K222&gt;=2,IF(J222&gt;=51,"H",IF(J222&lt;=19,"L","A")),IF(J222&lt;=50,"L","A")))))))</f>
        <v/>
      </c>
      <c r="N222" s="52">
        <f>IF(M222="L","Baixa",IF(M222="A","Média",IF(M222="","","Alta")))</f>
        <v/>
      </c>
      <c r="O222" s="53">
        <f>IF(ISBLANK(H222),"",IF(H222="ALI",IF(M222="L",7,IF(M222="A",10,15)),IF(H222="AIE",IF(M222="L",5,IF(M222="A",7,10)),IF(H222="SE",IF(M222="L",4,IF(M222="A",5,7)),IF(OR(H222="EE",H222="CE"),IF(M222="L",3,IF(M222="A",4,6)))))))</f>
        <v/>
      </c>
      <c r="P222" s="54">
        <f>IF(I222="I",O222*Contagem!$W$15,IF(I222="E",O222*Contagem!$W$17,IF(I222="A",O222*Contagem!$W$16,IF(I222="T",O222*Contagem!$W$18,""))))</f>
        <v/>
      </c>
      <c r="Q222" s="55" t="inlineStr">
        <is>
          <t>Prova: Rota POST /gestao/processos/{viabilityRequest}/status-analise (analisar-processos). Tela: gestao/processos/show. O analista escolhe a próxima situação; ao encaminhar, exige setor e analista do setor; ao enviar para conclusão, informa opcionalmente quem conclui. AnalysisStatusStateMachine valida a transição (gestor pode forçar), grava a situação, o destinatário da conclusão, o histórico e a trilha. Teste: tests/Feature/Analise/AnalysisStatusEndpointTest.php::test_analista_seta_transicao_valida; tests/Feature/Analise/ParaConclusaoTest.php::test_analista_envia_para_conclusao_com_destinatario. Processo elementar independente: menor unidade com significado para o analista; completa por si (escolha até a situação gravada); deixa o negócio consistente (só transições permitidas, histórico registrado); lógica única (máquina de estados da análise). Classificação: intenção primária é manter a Solicitação de viabilidade, EE (§5.5.3). TD=8 (nova situação da análise, motivo, setor de destino, analista de destino, destinatário da conclusão, forçar transição (gestor), mensagem de sucesso/erro, ação atualizar). AR=5 (Solicitação de viabilidade, Setor, Usuário, Trilha de auditoria, Perfil de acesso). Premissa P4: AnalysisStatusStateMachine::transition grava a trilha ($this-&gt;audit-&gt;log status-analise). Catálogo: Perfil de acesso entra porque o destinatário da conclusão precisa ter a permissão concluir-analise (AnalysisStatusRequest) e forçar a transição exige forcar-transicao-analise. Recontagem 16/10/2026: alterada (linha 158 da contagem de 01/10/2026: "Processos - alterar situação da análise", EE Alta 6 PF, TD 7, AR 4). Motivo: TD 7→8: a transição para a nova situação Para conclusão aceita o destinatário da conclusão (encaminhado_para_user_id, restrito a quem tem concluir-analise). PF inalterado (EE alta). Harmonização: TD 7→8, AR 4→5 em relação a 01/10 (PF 6→6); motivo nas observações (premissa P4/revisão do catálogo).</t>
        </is>
      </c>
    </row>
    <row r="223" ht="12" customHeight="1" s="73">
      <c r="A223" s="14">
        <f>IF(H223="",IF(C223="",A222,A222+1),A222)</f>
        <v/>
      </c>
      <c r="B223" s="48">
        <f>IF(A223=A222,"",CONCATENATE("F",A223))</f>
        <v/>
      </c>
      <c r="C223" s="85" t="inlineStr">
        <is>
          <t>Processos - alterar justificativa do parecer à JUCEB</t>
        </is>
      </c>
      <c r="D223" s="142" t="n"/>
      <c r="E223" s="142" t="n"/>
      <c r="F223" s="142" t="n"/>
      <c r="G223" s="143" t="n"/>
      <c r="H223" s="56" t="inlineStr">
        <is>
          <t>EE</t>
        </is>
      </c>
      <c r="I223" s="57" t="inlineStr">
        <is>
          <t>I</t>
        </is>
      </c>
      <c r="J223" s="56" t="n">
        <v>3</v>
      </c>
      <c r="K223" s="56" t="n">
        <v>3</v>
      </c>
      <c r="L223" s="50">
        <f>CONCATENATE(H223,M223)</f>
        <v/>
      </c>
      <c r="M223" s="51">
        <f>IF(OR(ISBLANK(J223),ISBLANK(K223)),IF(OR(H223="ALI",H223="AIE"),"L",IF(ISBLANK(H223),"","A")),IF(H223="EE",IF(K223&gt;=3,IF(J223&gt;=5,"H","A"),IF(K223&gt;=2,IF(J223&gt;=16,"H",IF(J223&lt;=4,"L","A")),IF(J223&lt;=15,"L","A"))),IF(OR(H223="SE",H223="CE"),IF(K223&gt;=4,IF(J223&gt;=6,"H","A"),IF(K223&gt;=2,IF(J223&gt;=20,"H",IF(J223&lt;=5,"L","A")),IF(J223&lt;=19,"L","A"))),IF(OR(H223="ALI",H223="AIE"),IF(K223&gt;=6,IF(J223&gt;=20,"H","A"),IF(K223&gt;=2,IF(J223&gt;=51,"H",IF(J223&lt;=19,"L","A")),IF(J223&lt;=50,"L","A")))))))</f>
        <v/>
      </c>
      <c r="N223" s="52">
        <f>IF(M223="L","Baixa",IF(M223="A","Média",IF(M223="","","Alta")))</f>
        <v/>
      </c>
      <c r="O223" s="53">
        <f>IF(ISBLANK(H223),"",IF(H223="ALI",IF(M223="L",7,IF(M223="A",10,15)),IF(H223="AIE",IF(M223="L",5,IF(M223="A",7,10)),IF(H223="SE",IF(M223="L",4,IF(M223="A",5,7)),IF(OR(H223="EE",H223="CE"),IF(M223="L",3,IF(M223="A",4,6)))))))</f>
        <v/>
      </c>
      <c r="P223" s="54">
        <f>IF(I223="I",O223*Contagem!$W$15,IF(I223="E",O223*Contagem!$W$17,IF(I223="A",O223*Contagem!$W$16,IF(I223="T",O223*Contagem!$W$18,""))))</f>
        <v/>
      </c>
      <c r="Q223" s="55" t="inlineStr">
        <is>
          <t>Prova: Rota PUT /gestao/processos/{viabilityRequest}/justificativa-regin (concluir-analise). Tela: gestao/processos/show, cartão Justificativa enviada à JUCEB (components/analise/justificativa-regin-card.tsx). O analista edita o texto (até 10.000 caracteres) e salva. JustificativaReginService exige decisão e processo vindo da JUCEB, grava regin_justificativa na Solicitação de viabilidade e registra a alteração na trilha; o envio do parecer à JUCEB passa a usar exatamente esse texto (o envio em si é automático e não faz parte desta função). Teste: tests/Feature/Regin/JustificativaReginTest.php::test_analista_servidor_grava_a_justificativa_e_a_alteracao_fica_auditada; tests/Feature/Regin/JustificativaReginTest.php::test_processo_sem_decisao_nao_recebe_justificativa. Processo elementar independente: menor unidade com significado para o analista; completa por si (edita e recebe a confirmação); deixa o negócio consistente (só com decisão e referência JUCEB, texto não vazio); lógica única (texto do parecer gravado no processo, distinto da decisão e da ficha). Classificação: intenção primária é manter a Solicitação de viabilidade e alterar o conteúdo enviado no parecer, EE (§5.5.3). TD=3 (justificativa, mensagem, ação salvar). AR=3 (Solicitação de viabilidade, Decisão de viabilidade, Trilha de auditoria). Premissa P4: JustificativaReginService::salvar grava a trilha ($this-&gt;audit-&gt;log justificativa-regin). Recontagem 16/10/2026: nova (não constava da contagem de 01/10/2026). Função não constava da contagem de 01/10/2026.</t>
        </is>
      </c>
    </row>
    <row r="224" ht="12" customHeight="1" s="73">
      <c r="A224" s="14">
        <f>IF(H224="",IF(C224="",A223,A223+1),A223)</f>
        <v/>
      </c>
      <c r="B224" s="48">
        <f>IF(A224=A223,"",CONCATENATE("F",A224))</f>
        <v/>
      </c>
      <c r="C224" s="85" t="n"/>
      <c r="D224" s="142" t="n"/>
      <c r="E224" s="142" t="n"/>
      <c r="F224" s="142" t="n"/>
      <c r="G224" s="143" t="n"/>
      <c r="H224" s="56" t="n"/>
      <c r="I224" s="57" t="n"/>
      <c r="J224" s="56" t="n"/>
      <c r="K224" s="56" t="n"/>
      <c r="L224" s="50">
        <f>CONCATENATE(H224,M224)</f>
        <v/>
      </c>
      <c r="M224" s="51">
        <f>IF(OR(ISBLANK(J224),ISBLANK(K224)),IF(OR(H224="ALI",H224="AIE"),"L",IF(ISBLANK(H224),"","A")),IF(H224="EE",IF(K224&gt;=3,IF(J224&gt;=5,"H","A"),IF(K224&gt;=2,IF(J224&gt;=16,"H",IF(J224&lt;=4,"L","A")),IF(J224&lt;=15,"L","A"))),IF(OR(H224="SE",H224="CE"),IF(K224&gt;=4,IF(J224&gt;=6,"H","A"),IF(K224&gt;=2,IF(J224&gt;=20,"H",IF(J224&lt;=5,"L","A")),IF(J224&lt;=19,"L","A"))),IF(OR(H224="ALI",H224="AIE"),IF(K224&gt;=6,IF(J224&gt;=20,"H","A"),IF(K224&gt;=2,IF(J224&gt;=51,"H",IF(J224&lt;=19,"L","A")),IF(J224&lt;=50,"L","A")))))))</f>
        <v/>
      </c>
      <c r="N224" s="52">
        <f>IF(M224="L","Baixa",IF(M224="A","Média",IF(M224="","","Alta")))</f>
        <v/>
      </c>
      <c r="O224" s="53">
        <f>IF(ISBLANK(H224),"",IF(H224="ALI",IF(M224="L",7,IF(M224="A",10,15)),IF(H224="AIE",IF(M224="L",5,IF(M224="A",7,10)),IF(H224="SE",IF(M224="L",4,IF(M224="A",5,7)),IF(OR(H224="EE",H224="CE"),IF(M224="L",3,IF(M224="A",4,6)))))))</f>
        <v/>
      </c>
      <c r="P224" s="54">
        <f>IF(I224="I",O224*Contagem!$W$15,IF(I224="E",O224*Contagem!$W$17,IF(I224="A",O224*Contagem!$W$16,IF(I224="T",O224*Contagem!$W$18,""))))</f>
        <v/>
      </c>
      <c r="Q224" s="55" t="n"/>
    </row>
    <row r="225" ht="12" customHeight="1" s="73">
      <c r="A225" s="14">
        <f>IF(H225="",IF(C225="",A224,A224+1),A224)</f>
        <v/>
      </c>
      <c r="B225" s="48">
        <f>IF(A225=A224,"",CONCATENATE("F",A225))</f>
        <v/>
      </c>
      <c r="C225" s="85" t="inlineStr">
        <is>
          <t>Busca rápida de processos</t>
        </is>
      </c>
      <c r="D225" s="142" t="n"/>
      <c r="E225" s="142" t="n"/>
      <c r="F225" s="142" t="n"/>
      <c r="G225" s="143" t="n"/>
      <c r="H225" s="56" t="n"/>
      <c r="I225" s="57" t="n"/>
      <c r="J225" s="56" t="n"/>
      <c r="K225" s="56" t="n"/>
      <c r="L225" s="50">
        <f>CONCATENATE(H225,M225)</f>
        <v/>
      </c>
      <c r="M225" s="51">
        <f>IF(OR(ISBLANK(J225),ISBLANK(K225)),IF(OR(H225="ALI",H225="AIE"),"L",IF(ISBLANK(H225),"","A")),IF(H225="EE",IF(K225&gt;=3,IF(J225&gt;=5,"H","A"),IF(K225&gt;=2,IF(J225&gt;=16,"H",IF(J225&lt;=4,"L","A")),IF(J225&lt;=15,"L","A"))),IF(OR(H225="SE",H225="CE"),IF(K225&gt;=4,IF(J225&gt;=6,"H","A"),IF(K225&gt;=2,IF(J225&gt;=20,"H",IF(J225&lt;=5,"L","A")),IF(J225&lt;=19,"L","A"))),IF(OR(H225="ALI",H225="AIE"),IF(K225&gt;=6,IF(J225&gt;=20,"H","A"),IF(K225&gt;=2,IF(J225&gt;=51,"H",IF(J225&lt;=19,"L","A")),IF(J225&lt;=50,"L","A")))))))</f>
        <v/>
      </c>
      <c r="N225" s="52">
        <f>IF(M225="L","Baixa",IF(M225="A","Média",IF(M225="","","Alta")))</f>
        <v/>
      </c>
      <c r="O225" s="53">
        <f>IF(ISBLANK(H225),"",IF(H225="ALI",IF(M225="L",7,IF(M225="A",10,15)),IF(H225="AIE",IF(M225="L",5,IF(M225="A",7,10)),IF(H225="SE",IF(M225="L",4,IF(M225="A",5,7)),IF(OR(H225="EE",H225="CE"),IF(M225="L",3,IF(M225="A",4,6)))))))</f>
        <v/>
      </c>
      <c r="P225" s="54">
        <f>IF(I225="I",O225*Contagem!$W$15,IF(I225="E",O225*Contagem!$W$17,IF(I225="A",O225*Contagem!$W$16,IF(I225="T",O225*Contagem!$W$18,""))))</f>
        <v/>
      </c>
      <c r="Q225" s="55" t="n"/>
    </row>
    <row r="226" ht="12" customHeight="1" s="73">
      <c r="A226" s="14">
        <f>IF(H226="",IF(C226="",A225,A225+1),A225)</f>
        <v/>
      </c>
      <c r="B226" s="48">
        <f>IF(A226=A225,"",CONCATENATE("F",A226))</f>
        <v/>
      </c>
      <c r="C226" s="85" t="inlineStr">
        <is>
          <t>Processos - busca rápida</t>
        </is>
      </c>
      <c r="D226" s="142" t="n"/>
      <c r="E226" s="142" t="n"/>
      <c r="F226" s="142" t="n"/>
      <c r="G226" s="143" t="n"/>
      <c r="H226" s="56" t="inlineStr">
        <is>
          <t>CE</t>
        </is>
      </c>
      <c r="I226" s="57" t="inlineStr">
        <is>
          <t>I</t>
        </is>
      </c>
      <c r="J226" s="56" t="n">
        <v>4</v>
      </c>
      <c r="K226" s="56" t="n">
        <v>4</v>
      </c>
      <c r="L226" s="50">
        <f>CONCATENATE(H226,M226)</f>
        <v/>
      </c>
      <c r="M226" s="51">
        <f>IF(OR(ISBLANK(J226),ISBLANK(K226)),IF(OR(H226="ALI",H226="AIE"),"L",IF(ISBLANK(H226),"","A")),IF(H226="EE",IF(K226&gt;=3,IF(J226&gt;=5,"H","A"),IF(K226&gt;=2,IF(J226&gt;=16,"H",IF(J226&lt;=4,"L","A")),IF(J226&lt;=15,"L","A"))),IF(OR(H226="SE",H226="CE"),IF(K226&gt;=4,IF(J226&gt;=6,"H","A"),IF(K226&gt;=2,IF(J226&gt;=20,"H",IF(J226&lt;=5,"L","A")),IF(J226&lt;=19,"L","A"))),IF(OR(H226="ALI",H226="AIE"),IF(K226&gt;=6,IF(J226&gt;=20,"H","A"),IF(K226&gt;=2,IF(J226&gt;=51,"H",IF(J226&lt;=19,"L","A")),IF(J226&lt;=50,"L","A")))))))</f>
        <v/>
      </c>
      <c r="N226" s="52">
        <f>IF(M226="L","Baixa",IF(M226="A","Média",IF(M226="","","Alta")))</f>
        <v/>
      </c>
      <c r="O226" s="53">
        <f>IF(ISBLANK(H226),"",IF(H226="ALI",IF(M226="L",7,IF(M226="A",10,15)),IF(H226="AIE",IF(M226="L",5,IF(M226="A",7,10)),IF(H226="SE",IF(M226="L",4,IF(M226="A",5,7)),IF(OR(H226="EE",H226="CE"),IF(M226="L",3,IF(M226="A",4,6)))))))</f>
        <v/>
      </c>
      <c r="P226" s="54">
        <f>IF(I226="I",O226*Contagem!$W$15,IF(I226="E",O226*Contagem!$W$17,IF(I226="A",O226*Contagem!$W$16,IF(I226="T",O226*Contagem!$W$18,""))))</f>
        <v/>
      </c>
      <c r="Q226" s="55" t="inlineStr">
        <is>
          <t>Prova: Rota GET /gestao/processos/busca (consultar-solicitacoes). Busca rápida do console (Cmd+K). Procura o termo em protocolo, referência externa, nº do TVL, CNPJ e nomes da empresa e nome do requerente; devolve até 8 processos com link. Lê solicitação, empresa, decisão e usuário. Teste: tests/Feature/Analise/ProcessoBuscaGlobalTest.php::test_busca_por_nome_da_empresa. Processo elementar independente: menor unidade com significado para o servidor que precisa achar um processo; completa por si (termo até os resultados); deixa o negócio consistente (só leitura); lógica única (busca global em vários campos, inclusive requerente). TD=4 (termo de busca, protocolo, empresa, ação buscar). AR=4 (Solicitação de viabilidade, Empresa, Decisão de viabilidade, Usuário). Classificação: Não grava dado: recupera e mostra, logo CE e não EE. Recontagem em 16/10/2026, duplicidade com Processos - consultar lista: a busca livre da lista (ProcessoQueryService::aplicarBusca) não procura pelo nome do requerente, pagina, conta abas e calcula SLA; a busca rápida devolve no máximo 8 processos com link, sem cálculo, e inclui o requerente. DER, lógica e saída diferem: processos distintos pela unicidade (§5.5.2.2). Mantida. Premissa P4: ProcessoBuscaController não audita a busca; continua CE. Recontagem 16/10/2026: mantida (linha 299 da contagem de 01/10/2026).</t>
        </is>
      </c>
    </row>
    <row r="227" ht="12" customHeight="1" s="73">
      <c r="A227" s="14">
        <f>IF(H227="",IF(C227="",A226,A226+1),A226)</f>
        <v/>
      </c>
      <c r="B227" s="48">
        <f>IF(A227=A226,"",CONCATENATE("F",A227))</f>
        <v/>
      </c>
      <c r="C227" s="85" t="n"/>
      <c r="D227" s="142" t="n"/>
      <c r="E227" s="142" t="n"/>
      <c r="F227" s="142" t="n"/>
      <c r="G227" s="143" t="n"/>
      <c r="H227" s="56" t="n"/>
      <c r="I227" s="57" t="n"/>
      <c r="J227" s="56" t="n"/>
      <c r="K227" s="56" t="n"/>
      <c r="L227" s="50">
        <f>CONCATENATE(H227,M227)</f>
        <v/>
      </c>
      <c r="M227" s="51">
        <f>IF(OR(ISBLANK(J227),ISBLANK(K227)),IF(OR(H227="ALI",H227="AIE"),"L",IF(ISBLANK(H227),"","A")),IF(H227="EE",IF(K227&gt;=3,IF(J227&gt;=5,"H","A"),IF(K227&gt;=2,IF(J227&gt;=16,"H",IF(J227&lt;=4,"L","A")),IF(J227&lt;=15,"L","A"))),IF(OR(H227="SE",H227="CE"),IF(K227&gt;=4,IF(J227&gt;=6,"H","A"),IF(K227&gt;=2,IF(J227&gt;=20,"H",IF(J227&lt;=5,"L","A")),IF(J227&lt;=19,"L","A"))),IF(OR(H227="ALI",H227="AIE"),IF(K227&gt;=6,IF(J227&gt;=20,"H","A"),IF(K227&gt;=2,IF(J227&gt;=51,"H",IF(J227&lt;=19,"L","A")),IF(J227&lt;=50,"L","A")))))))</f>
        <v/>
      </c>
      <c r="N227" s="52">
        <f>IF(M227="L","Baixa",IF(M227="A","Média",IF(M227="","","Alta")))</f>
        <v/>
      </c>
      <c r="O227" s="53">
        <f>IF(ISBLANK(H227),"",IF(H227="ALI",IF(M227="L",7,IF(M227="A",10,15)),IF(H227="AIE",IF(M227="L",5,IF(M227="A",7,10)),IF(H227="SE",IF(M227="L",4,IF(M227="A",5,7)),IF(OR(H227="EE",H227="CE"),IF(M227="L",3,IF(M227="A",4,6)))))))</f>
        <v/>
      </c>
      <c r="P227" s="54">
        <f>IF(I227="I",O227*Contagem!$W$15,IF(I227="E",O227*Contagem!$W$17,IF(I227="A",O227*Contagem!$W$16,IF(I227="T",O227*Contagem!$W$18,""))))</f>
        <v/>
      </c>
      <c r="Q227" s="55" t="n"/>
    </row>
    <row r="228" ht="12" customHeight="1" s="73">
      <c r="A228" s="14">
        <f>IF(H228="",IF(C228="",A227,A227+1),A227)</f>
        <v/>
      </c>
      <c r="B228" s="48">
        <f>IF(A228=A227,"",CONCATENATE("F",A228))</f>
        <v/>
      </c>
      <c r="C228" s="85" t="inlineStr">
        <is>
          <t>Envio de processo para análise</t>
        </is>
      </c>
      <c r="D228" s="142" t="n"/>
      <c r="E228" s="142" t="n"/>
      <c r="F228" s="142" t="n"/>
      <c r="G228" s="143" t="n"/>
      <c r="H228" s="56" t="n"/>
      <c r="I228" s="57" t="n"/>
      <c r="J228" s="56" t="n"/>
      <c r="K228" s="56" t="n"/>
      <c r="L228" s="50">
        <f>CONCATENATE(H228,M228)</f>
        <v/>
      </c>
      <c r="M228" s="51">
        <f>IF(OR(ISBLANK(J228),ISBLANK(K228)),IF(OR(H228="ALI",H228="AIE"),"L",IF(ISBLANK(H228),"","A")),IF(H228="EE",IF(K228&gt;=3,IF(J228&gt;=5,"H","A"),IF(K228&gt;=2,IF(J228&gt;=16,"H",IF(J228&lt;=4,"L","A")),IF(J228&lt;=15,"L","A"))),IF(OR(H228="SE",H228="CE"),IF(K228&gt;=4,IF(J228&gt;=6,"H","A"),IF(K228&gt;=2,IF(J228&gt;=20,"H",IF(J228&lt;=5,"L","A")),IF(J228&lt;=19,"L","A"))),IF(OR(H228="ALI",H228="AIE"),IF(K228&gt;=6,IF(J228&gt;=20,"H","A"),IF(K228&gt;=2,IF(J228&gt;=51,"H",IF(J228&lt;=19,"L","A")),IF(J228&lt;=50,"L","A")))))))</f>
        <v/>
      </c>
      <c r="N228" s="52">
        <f>IF(M228="L","Baixa",IF(M228="A","Média",IF(M228="","","Alta")))</f>
        <v/>
      </c>
      <c r="O228" s="53">
        <f>IF(ISBLANK(H228),"",IF(H228="ALI",IF(M228="L",7,IF(M228="A",10,15)),IF(H228="AIE",IF(M228="L",5,IF(M228="A",7,10)),IF(H228="SE",IF(M228="L",4,IF(M228="A",5,7)),IF(OR(H228="EE",H228="CE"),IF(M228="L",3,IF(M228="A",4,6)))))))</f>
        <v/>
      </c>
      <c r="P228" s="54">
        <f>IF(I228="I",O228*Contagem!$W$15,IF(I228="E",O228*Contagem!$W$17,IF(I228="A",O228*Contagem!$W$16,IF(I228="T",O228*Contagem!$W$18,""))))</f>
        <v/>
      </c>
      <c r="Q228" s="55" t="n"/>
    </row>
    <row r="229" ht="12" customHeight="1" s="73">
      <c r="A229" s="14">
        <f>IF(H229="",IF(C229="",A228,A228+1),A228)</f>
        <v/>
      </c>
      <c r="B229" s="48">
        <f>IF(A229=A228,"",CONCATENATE("F",A229))</f>
        <v/>
      </c>
      <c r="C229" s="85" t="inlineStr">
        <is>
          <t>Envio para análise - pesquisar processo</t>
        </is>
      </c>
      <c r="D229" s="142" t="n"/>
      <c r="E229" s="142" t="n"/>
      <c r="F229" s="142" t="n"/>
      <c r="G229" s="143" t="n"/>
      <c r="H229" s="56" t="inlineStr">
        <is>
          <t>CE</t>
        </is>
      </c>
      <c r="I229" s="57" t="inlineStr">
        <is>
          <t>I</t>
        </is>
      </c>
      <c r="J229" s="56" t="n">
        <v>8</v>
      </c>
      <c r="K229" s="56" t="n">
        <v>2</v>
      </c>
      <c r="L229" s="50">
        <f>CONCATENATE(H229,M229)</f>
        <v/>
      </c>
      <c r="M229" s="51">
        <f>IF(OR(ISBLANK(J229),ISBLANK(K229)),IF(OR(H229="ALI",H229="AIE"),"L",IF(ISBLANK(H229),"","A")),IF(H229="EE",IF(K229&gt;=3,IF(J229&gt;=5,"H","A"),IF(K229&gt;=2,IF(J229&gt;=16,"H",IF(J229&lt;=4,"L","A")),IF(J229&lt;=15,"L","A"))),IF(OR(H229="SE",H229="CE"),IF(K229&gt;=4,IF(J229&gt;=6,"H","A"),IF(K229&gt;=2,IF(J229&gt;=20,"H",IF(J229&lt;=5,"L","A")),IF(J229&lt;=19,"L","A"))),IF(OR(H229="ALI",H229="AIE"),IF(K229&gt;=6,IF(J229&gt;=20,"H","A"),IF(K229&gt;=2,IF(J229&gt;=51,"H",IF(J229&lt;=19,"L","A")),IF(J229&lt;=50,"L","A")))))))</f>
        <v/>
      </c>
      <c r="N229" s="52">
        <f>IF(M229="L","Baixa",IF(M229="A","Média",IF(M229="","","Alta")))</f>
        <v/>
      </c>
      <c r="O229" s="53">
        <f>IF(ISBLANK(H229),"",IF(H229="ALI",IF(M229="L",7,IF(M229="A",10,15)),IF(H229="AIE",IF(M229="L",5,IF(M229="A",7,10)),IF(H229="SE",IF(M229="L",4,IF(M229="A",5,7)),IF(OR(H229="EE",H229="CE"),IF(M229="L",3,IF(M229="A",4,6)))))))</f>
        <v/>
      </c>
      <c r="P229" s="54">
        <f>IF(I229="I",O229*Contagem!$W$15,IF(I229="E",O229*Contagem!$W$17,IF(I229="A",O229*Contagem!$W$16,IF(I229="T",O229*Contagem!$W$18,""))))</f>
        <v/>
      </c>
      <c r="Q229" s="55" t="inlineStr">
        <is>
          <t>Prova: Rota POST /gestao/processos/enviar-para-analise/pesquisar (permissão enviar-tvl-analise). O gestor informa o protocolo. Lê a solicitação e o requerente; não grava. Resultado: prévia do processo ou 404 com mensagem. Teste: tests/Feature/Processo/EnviarParaAnaliseTest.php::test_pesquisa_encontra_processo_em_qualquer_status. Processo elementar independente: menor unidade com significado para o gestor; completa por si (do protocolo à prévia); deixa o negócio consistente (nada muda); lógica única (localiza qualquer processo pelo número antes do envio). TD=8 (protocolo, serviço, situação, requerente, já em análise, situação da análise, mensagem de não encontrado, ação). AR=2 (Solicitação de viabilidade, Usuário). Classificação: Só recupera e mostra, sem gravar nem calcular. É CE, não EE (o POST é só o verbo HTTP). Premissa declarada: consulta própria do envio para análise: localiza qualquer processo pelo número, em qualquer situação, o que a fila e a busca rápida não fazem. Recontagem em 16/10/2026, duplicidade com Processos - consultar lista: a pesquisa casa o protocolo exato em qualquer situação e devolve a prévia com o indicador já em análise e a mensagem parametrizada de não encontrado; a lista filtra por trecho, pagina e calcula SLA. DER e lógica diferem; o usuário pode pesquisar sem enviar, então não é passo de apoio do envio. Mantida. Premissa P4: EnviarParaAnaliseController::pesquisar não grava. Catálogo: Tipo de serviço retirado (dado de código). Recontagem 16/10/2026: alterada (linha 366 da contagem de 01/10/2026: "Envio para análise - pesquisar processo", CE Média 4 PF, TD 8, AR 3). Motivo: Harmonização: AR 3→2 em relação a 01/10 (PF 4→4); motivo nas observações (premissa P4/revisão do catálogo).</t>
        </is>
      </c>
    </row>
    <row r="230" ht="12" customHeight="1" s="73">
      <c r="A230" s="14">
        <f>IF(H230="",IF(C230="",A229,A229+1),A229)</f>
        <v/>
      </c>
      <c r="B230" s="48">
        <f>IF(A230=A229,"",CONCATENATE("F",A230))</f>
        <v/>
      </c>
      <c r="C230" s="85" t="inlineStr">
        <is>
          <t>Envio para análise - enviar processo</t>
        </is>
      </c>
      <c r="D230" s="142" t="n"/>
      <c r="E230" s="142" t="n"/>
      <c r="F230" s="142" t="n"/>
      <c r="G230" s="143" t="n"/>
      <c r="H230" s="56" t="inlineStr">
        <is>
          <t>EE</t>
        </is>
      </c>
      <c r="I230" s="57" t="inlineStr">
        <is>
          <t>I</t>
        </is>
      </c>
      <c r="J230" s="56" t="n">
        <v>3</v>
      </c>
      <c r="K230" s="56" t="n">
        <v>3</v>
      </c>
      <c r="L230" s="50">
        <f>CONCATENATE(H230,M230)</f>
        <v/>
      </c>
      <c r="M230" s="51">
        <f>IF(OR(ISBLANK(J230),ISBLANK(K230)),IF(OR(H230="ALI",H230="AIE"),"L",IF(ISBLANK(H230),"","A")),IF(H230="EE",IF(K230&gt;=3,IF(J230&gt;=5,"H","A"),IF(K230&gt;=2,IF(J230&gt;=16,"H",IF(J230&lt;=4,"L","A")),IF(J230&lt;=15,"L","A"))),IF(OR(H230="SE",H230="CE"),IF(K230&gt;=4,IF(J230&gt;=6,"H","A"),IF(K230&gt;=2,IF(J230&gt;=20,"H",IF(J230&lt;=5,"L","A")),IF(J230&lt;=19,"L","A"))),IF(OR(H230="ALI",H230="AIE"),IF(K230&gt;=6,IF(J230&gt;=20,"H","A"),IF(K230&gt;=2,IF(J230&gt;=51,"H",IF(J230&lt;=19,"L","A")),IF(J230&lt;=50,"L","A")))))))</f>
        <v/>
      </c>
      <c r="N230" s="52">
        <f>IF(M230="L","Baixa",IF(M230="A","Média",IF(M230="","","Alta")))</f>
        <v/>
      </c>
      <c r="O230" s="53">
        <f>IF(ISBLANK(H230),"",IF(H230="ALI",IF(M230="L",7,IF(M230="A",10,15)),IF(H230="AIE",IF(M230="L",5,IF(M230="A",7,10)),IF(H230="SE",IF(M230="L",4,IF(M230="A",5,7)),IF(OR(H230="EE",H230="CE"),IF(M230="L",3,IF(M230="A",4,6)))))))</f>
        <v/>
      </c>
      <c r="P230" s="54">
        <f>IF(I230="I",O230*Contagem!$W$15,IF(I230="E",O230*Contagem!$W$17,IF(I230="A",O230*Contagem!$W$16,IF(I230="T",O230*Contagem!$W$18,""))))</f>
        <v/>
      </c>
      <c r="Q230" s="55" t="inlineStr">
        <is>
          <t>Prova: Rota POST /gestao/processos/enviar-para-analise/enviar (permissão enviar-tvl-analise). O gestor confirma o envio. Lê a solicitação e o SLA em parâmetros; grava a situação para_distribuir, o histórico, a etapa, o prazo e a auditoria; dispara a pré-análise. Idempotente. Teste: tests/Feature/Processo/EnviarParaAnaliseTest.php::test_encontrado_em_status_arbitrario_entra_em_analise_com_auditoria. Processo elementar independente: menor unidade com significado para o gestor; completa por si (da confirmação ao processo na fila); deixa o negócio consistente (entra uma vez na análise, com prazo); lógica única (envio manual de qualquer status sem duplicar tramitação). TD=3 (protocolo, mensagem, ação). AR=3 (Solicitação de viabilidade, Parâmetro, Trilha de auditoria). Premissa P4: EnviarParaAnaliseService e a máquina de estados gravam a trilha ($this-&gt;audit-&gt;log). Recontagem 16/10/2026: mantida (linha 367 da contagem de 01/10/2026).</t>
        </is>
      </c>
    </row>
    <row r="231" ht="12" customHeight="1" s="73">
      <c r="A231" s="14">
        <f>IF(H231="",IF(C231="",A230,A230+1),A230)</f>
        <v/>
      </c>
      <c r="B231" s="48">
        <f>IF(A231=A230,"",CONCATENATE("F",A231))</f>
        <v/>
      </c>
      <c r="C231" s="85" t="n"/>
      <c r="D231" s="142" t="n"/>
      <c r="E231" s="142" t="n"/>
      <c r="F231" s="142" t="n"/>
      <c r="G231" s="143" t="n"/>
      <c r="H231" s="56" t="n"/>
      <c r="I231" s="57" t="n"/>
      <c r="J231" s="56" t="n"/>
      <c r="K231" s="56" t="n"/>
      <c r="L231" s="50">
        <f>CONCATENATE(H231,M231)</f>
        <v/>
      </c>
      <c r="M231" s="51">
        <f>IF(OR(ISBLANK(J231),ISBLANK(K231)),IF(OR(H231="ALI",H231="AIE"),"L",IF(ISBLANK(H231),"","A")),IF(H231="EE",IF(K231&gt;=3,IF(J231&gt;=5,"H","A"),IF(K231&gt;=2,IF(J231&gt;=16,"H",IF(J231&lt;=4,"L","A")),IF(J231&lt;=15,"L","A"))),IF(OR(H231="SE",H231="CE"),IF(K231&gt;=4,IF(J231&gt;=6,"H","A"),IF(K231&gt;=2,IF(J231&gt;=20,"H",IF(J231&lt;=5,"L","A")),IF(J231&lt;=19,"L","A"))),IF(OR(H231="ALI",H231="AIE"),IF(K231&gt;=6,IF(J231&gt;=20,"H","A"),IF(K231&gt;=2,IF(J231&gt;=51,"H",IF(J231&lt;=19,"L","A")),IF(J231&lt;=50,"L","A")))))))</f>
        <v/>
      </c>
      <c r="N231" s="52">
        <f>IF(M231="L","Baixa",IF(M231="A","Média",IF(M231="","","Alta")))</f>
        <v/>
      </c>
      <c r="O231" s="53">
        <f>IF(ISBLANK(H231),"",IF(H231="ALI",IF(M231="L",7,IF(M231="A",10,15)),IF(H231="AIE",IF(M231="L",5,IF(M231="A",7,10)),IF(H231="SE",IF(M231="L",4,IF(M231="A",5,7)),IF(OR(H231="EE",H231="CE"),IF(M231="L",3,IF(M231="A",4,6)))))))</f>
        <v/>
      </c>
      <c r="P231" s="54">
        <f>IF(I231="I",O231*Contagem!$W$15,IF(I231="E",O231*Contagem!$W$17,IF(I231="A",O231*Contagem!$W$16,IF(I231="T",O231*Contagem!$W$18,""))))</f>
        <v/>
      </c>
      <c r="Q231" s="55" t="n"/>
    </row>
    <row r="232" ht="12" customHeight="1" s="73">
      <c r="A232" s="14">
        <f>IF(H232="",IF(C232="",A231,A231+1),A231)</f>
        <v/>
      </c>
      <c r="B232" s="48">
        <f>IF(A232=A231,"",CONCATENATE("F",A232))</f>
        <v/>
      </c>
      <c r="C232" s="85" t="inlineStr">
        <is>
          <t>Caixa do setor</t>
        </is>
      </c>
      <c r="D232" s="142" t="n"/>
      <c r="E232" s="142" t="n"/>
      <c r="F232" s="142" t="n"/>
      <c r="G232" s="143" t="n"/>
      <c r="H232" s="56" t="n"/>
      <c r="I232" s="57" t="n"/>
      <c r="J232" s="56" t="n"/>
      <c r="K232" s="56" t="n"/>
      <c r="L232" s="50">
        <f>CONCATENATE(H232,M232)</f>
        <v/>
      </c>
      <c r="M232" s="51">
        <f>IF(OR(ISBLANK(J232),ISBLANK(K232)),IF(OR(H232="ALI",H232="AIE"),"L",IF(ISBLANK(H232),"","A")),IF(H232="EE",IF(K232&gt;=3,IF(J232&gt;=5,"H","A"),IF(K232&gt;=2,IF(J232&gt;=16,"H",IF(J232&lt;=4,"L","A")),IF(J232&lt;=15,"L","A"))),IF(OR(H232="SE",H232="CE"),IF(K232&gt;=4,IF(J232&gt;=6,"H","A"),IF(K232&gt;=2,IF(J232&gt;=20,"H",IF(J232&lt;=5,"L","A")),IF(J232&lt;=19,"L","A"))),IF(OR(H232="ALI",H232="AIE"),IF(K232&gt;=6,IF(J232&gt;=20,"H","A"),IF(K232&gt;=2,IF(J232&gt;=51,"H",IF(J232&lt;=19,"L","A")),IF(J232&lt;=50,"L","A")))))))</f>
        <v/>
      </c>
      <c r="N232" s="52">
        <f>IF(M232="L","Baixa",IF(M232="A","Média",IF(M232="","","Alta")))</f>
        <v/>
      </c>
      <c r="O232" s="53">
        <f>IF(ISBLANK(H232),"",IF(H232="ALI",IF(M232="L",7,IF(M232="A",10,15)),IF(H232="AIE",IF(M232="L",5,IF(M232="A",7,10)),IF(H232="SE",IF(M232="L",4,IF(M232="A",5,7)),IF(OR(H232="EE",H232="CE"),IF(M232="L",3,IF(M232="A",4,6)))))))</f>
        <v/>
      </c>
      <c r="P232" s="54">
        <f>IF(I232="I",O232*Contagem!$W$15,IF(I232="E",O232*Contagem!$W$17,IF(I232="A",O232*Contagem!$W$16,IF(I232="T",O232*Contagem!$W$18,""))))</f>
        <v/>
      </c>
      <c r="Q232" s="55" t="n"/>
    </row>
    <row r="233" ht="12" customHeight="1" s="73">
      <c r="A233" s="14">
        <f>IF(H233="",IF(C233="",A232,A232+1),A232)</f>
        <v/>
      </c>
      <c r="B233" s="48">
        <f>IF(A233=A232,"",CONCATENATE("F",A233))</f>
        <v/>
      </c>
      <c r="C233" s="85" t="inlineStr">
        <is>
          <t>Caixa do setor - consultar</t>
        </is>
      </c>
      <c r="D233" s="142" t="n"/>
      <c r="E233" s="142" t="n"/>
      <c r="F233" s="142" t="n"/>
      <c r="G233" s="143" t="n"/>
      <c r="H233" s="56" t="inlineStr">
        <is>
          <t>SE</t>
        </is>
      </c>
      <c r="I233" s="57" t="inlineStr">
        <is>
          <t>I</t>
        </is>
      </c>
      <c r="J233" s="56" t="n">
        <v>23</v>
      </c>
      <c r="K233" s="56" t="n">
        <v>7</v>
      </c>
      <c r="L233" s="50">
        <f>CONCATENATE(H233,M233)</f>
        <v/>
      </c>
      <c r="M233" s="51">
        <f>IF(OR(ISBLANK(J233),ISBLANK(K233)),IF(OR(H233="ALI",H233="AIE"),"L",IF(ISBLANK(H233),"","A")),IF(H233="EE",IF(K233&gt;=3,IF(J233&gt;=5,"H","A"),IF(K233&gt;=2,IF(J233&gt;=16,"H",IF(J233&lt;=4,"L","A")),IF(J233&lt;=15,"L","A"))),IF(OR(H233="SE",H233="CE"),IF(K233&gt;=4,IF(J233&gt;=6,"H","A"),IF(K233&gt;=2,IF(J233&gt;=20,"H",IF(J233&lt;=5,"L","A")),IF(J233&lt;=19,"L","A"))),IF(OR(H233="ALI",H233="AIE"),IF(K233&gt;=6,IF(J233&gt;=20,"H","A"),IF(K233&gt;=2,IF(J233&gt;=51,"H",IF(J233&lt;=19,"L","A")),IF(J233&lt;=50,"L","A")))))))</f>
        <v/>
      </c>
      <c r="N233" s="52">
        <f>IF(M233="L","Baixa",IF(M233="A","Média",IF(M233="","","Alta")))</f>
        <v/>
      </c>
      <c r="O233" s="53">
        <f>IF(ISBLANK(H233),"",IF(H233="ALI",IF(M233="L",7,IF(M233="A",10,15)),IF(H233="AIE",IF(M233="L",5,IF(M233="A",7,10)),IF(H233="SE",IF(M233="L",4,IF(M233="A",5,7)),IF(OR(H233="EE",H233="CE"),IF(M233="L",3,IF(M233="A",4,6)))))))</f>
        <v/>
      </c>
      <c r="P233" s="54">
        <f>IF(I233="I",O233*Contagem!$W$15,IF(I233="E",O233*Contagem!$W$17,IF(I233="A",O233*Contagem!$W$16,IF(I233="T",O233*Contagem!$W$18,""))))</f>
        <v/>
      </c>
      <c r="Q233" s="55" t="inlineStr">
        <is>
          <t>Prova: Rota GET /gestao/caixa-setor (analisar-processos ou distribuir-processos). Tela: gestao/caixa-setor/index. O usuário vê os processos em análise dos seus setores (o apoio com distribuir-qualquer-setor vê todos), nas abas Para distribuir, Distribuídos e Para conclusão, ordenados por prazo, com contadores por aba. Lê os arquivos listados; não grava dado de negócio (consulta auditada). Teste: tests/Feature/Analise/CaixaSetorTest.php::test_index_lista_ordenada_por_prazo; tests/Feature/Analise/CaixaSetorTest.php::test_index_expoe_servico_e_cnaes_com_o_principal_primeiro; tests/Feature/Analise/ParaConclusaoTest.php::test_aba_para_conclusao_lista_com_analista_e_encaminhado_para. Processo elementar independente: menor unidade com significado para analista e apoio; completa por si (aplica filtros e recebe a caixa); deixa o negócio consistente (nada é alterado); lógica única (visibilidade por setor e contadores por aba). As abas são filtros da mesma lista e não contam em separado. Classificação: exibe contadores calculados por aba, dado derivado, portanto SE e não CE (§5.5.3). TD=23 (aba, situação da análise, serviço, protocolo, BAP, data inicial, data final, nome, CNPJ, bairro, categoria, endereço do imóvel, código do CNAE, descrição do CNAE, CNAE principal, etapa, analista responsável, encaminhado para, prazo, total para distribuir, total distribuídos, total para conclusão, ação consultar). AR=7 (Solicitação de viabilidade, Empresa, Setor, Usuário, CNAE, Trilha de auditoria, Perfil de acesso). Premissa P4: CaixaSetorController::index grava a consulta na trilha ($this-&gt;audit-&gt;log consulta-caixa). Catálogo: Tipo de serviço retirado (dado de código); Perfil de acesso entra porque o recorte da caixa depende da permissão distribuir-qualquer-setor e os destinatários são escolhidos pelas permissões analisar-processos e preencher-ficha-vistoria (User::permission). Recontagem 16/10/2026: alterada (linha 196 da contagem de 01/10/2026: "Caixa do setor - consultar", SE Alta 7 PF, TD 22, AR 5). Motivo: TD 22→23 e AR 5→6: nova aba Para conclusão com contador e coluna Encaminhado para; colunas Serviço (eventos da JUCEB) e CNAE (código, descrição e principal), lendo CNAE. Os seletores de analistas e vistoriadores foram retirados do TD por serem entrada das funções de distribuição. PF inalterado (SE alta). Harmonização: TD 22→23, AR 5→7 em relação a 01/10 (PF 7→7); motivo nas observações (premissa P4/revisão do catálogo).</t>
        </is>
      </c>
    </row>
    <row r="234" ht="12" customHeight="1" s="73">
      <c r="A234" s="14">
        <f>IF(H234="",IF(C234="",A233,A233+1),A233)</f>
        <v/>
      </c>
      <c r="B234" s="48">
        <f>IF(A234=A233,"",CONCATENATE("F",A234))</f>
        <v/>
      </c>
      <c r="C234" s="85" t="inlineStr">
        <is>
          <t>Caixa do setor - distribuir processo</t>
        </is>
      </c>
      <c r="D234" s="142" t="n"/>
      <c r="E234" s="142" t="n"/>
      <c r="F234" s="142" t="n"/>
      <c r="G234" s="143" t="n"/>
      <c r="H234" s="56" t="inlineStr">
        <is>
          <t>EE</t>
        </is>
      </c>
      <c r="I234" s="57" t="inlineStr">
        <is>
          <t>I</t>
        </is>
      </c>
      <c r="J234" s="56" t="n">
        <v>5</v>
      </c>
      <c r="K234" s="56" t="n">
        <v>6</v>
      </c>
      <c r="L234" s="50">
        <f>CONCATENATE(H234,M234)</f>
        <v/>
      </c>
      <c r="M234" s="51">
        <f>IF(OR(ISBLANK(J234),ISBLANK(K234)),IF(OR(H234="ALI",H234="AIE"),"L",IF(ISBLANK(H234),"","A")),IF(H234="EE",IF(K234&gt;=3,IF(J234&gt;=5,"H","A"),IF(K234&gt;=2,IF(J234&gt;=16,"H",IF(J234&lt;=4,"L","A")),IF(J234&lt;=15,"L","A"))),IF(OR(H234="SE",H234="CE"),IF(K234&gt;=4,IF(J234&gt;=6,"H","A"),IF(K234&gt;=2,IF(J234&gt;=20,"H",IF(J234&lt;=5,"L","A")),IF(J234&lt;=19,"L","A"))),IF(OR(H234="ALI",H234="AIE"),IF(K234&gt;=6,IF(J234&gt;=20,"H","A"),IF(K234&gt;=2,IF(J234&gt;=51,"H",IF(J234&lt;=19,"L","A")),IF(J234&lt;=50,"L","A")))))))</f>
        <v/>
      </c>
      <c r="N234" s="52">
        <f>IF(M234="L","Baixa",IF(M234="A","Média",IF(M234="","","Alta")))</f>
        <v/>
      </c>
      <c r="O234" s="53">
        <f>IF(ISBLANK(H234),"",IF(H234="ALI",IF(M234="L",7,IF(M234="A",10,15)),IF(H234="AIE",IF(M234="L",5,IF(M234="A",7,10)),IF(H234="SE",IF(M234="L",4,IF(M234="A",5,7)),IF(OR(H234="EE",H234="CE"),IF(M234="L",3,IF(M234="A",4,6)))))))</f>
        <v/>
      </c>
      <c r="P234" s="54">
        <f>IF(I234="I",O234*Contagem!$W$15,IF(I234="E",O234*Contagem!$W$17,IF(I234="A",O234*Contagem!$W$16,IF(I234="T",O234*Contagem!$W$18,""))))</f>
        <v/>
      </c>
      <c r="Q234" s="55" t="inlineStr">
        <is>
          <t>Prova: Rota POST /gestao/caixa-setor/distribuir (distribuir-processos). Tela: gestao/caixa-setor/index e gestao/caixa-setor/central (modo um analista). O apoio envia processos a um analista. DistribuicaoService::setorDeDestino resolve o setor (setor do processo, setor escolhido ou único setor do analista), grava setor, responsável, etapa e prazo (SLA do parâmetro, mantido na aba Para conclusão), transita para Analisar e registra a distribuição na trilha. Teste: tests/Feature/Analise/CaixaSetorTest.php::test_apoio_distribui_processo_a_um_analista_do_setor; tests/Feature/Analise/CaixaSetorApoioQualquerSetorTest.php::test_analista_com_varios_setores_exige_a_escolha_do_setor; tests/Feature/Analise/CaixaSetorParaConclusaoDistribuicaoTest.php::test_apoio_distribui_processo_para_conclusao_sem_responsavel. Processo elementar independente: menor unidade com significado para o apoio; completa por si (escolhe processos, analista e setor e recebe a confirmação); deixa o negócio consistente (responsável, setor, prazo e situação atualizados); lógica única (vínculo de setor ou distribuição em qualquer setor, regra de vistoria). Classificação: mantém a Solicitação de viabilidade, EE (§5.5.3). TD=5 (analista destinatário, processos selecionados, setor de destino, mensagem, ação distribuir). AR=6 (Solicitação de viabilidade, Usuário, Setor, Parâmetro, Trilha de auditoria, Perfil de acesso). Premissa P4: DistribuicaoService::atribuir grava a trilha ($this-&gt;audit-&gt;log distribuir) e a Solicitação de viabilidade usa HasAuditoria. Catálogo: Perfil de acesso entra porque a distribuição decide pela permissão do perfil (distribuir-qualquer-setor do ator; preencher-ficha-vistoria do destinatário em vistoria). Recontagem 16/10/2026: alterada (linha 197 da contagem de 01/10/2026: "Caixa do setor - distribuir processo", EE Média 4 PF, TD 4, AR 4). Motivo: TD 4→5 e AR 4→5: o apoio passou a distribuir em qualquer setor e escolhe o setor de destino quando o analista está em mais de um (sector_id); a distribuição também reatribui quem conclui na aba Para conclusão. O registro da distribuição na trilha passou a ser lido pela tramitação (quem distribuiu e a quem), por isso Trilha de auditoria entra no AR. PF 4→6. Harmonização: TD 4→5, AR 4→6 em relação a 01/10 (PF 4→6); motivo nas observações (premissa P4/revisão do catálogo).</t>
        </is>
      </c>
    </row>
    <row r="235" ht="12" customHeight="1" s="73">
      <c r="A235" s="14">
        <f>IF(H235="",IF(C235="",A234,A234+1),A234)</f>
        <v/>
      </c>
      <c r="B235" s="48">
        <f>IF(A235=A234,"",CONCATENATE("F",A235))</f>
        <v/>
      </c>
      <c r="C235" s="85" t="inlineStr">
        <is>
          <t>Caixa do setor - assumir processo</t>
        </is>
      </c>
      <c r="D235" s="142" t="n"/>
      <c r="E235" s="142" t="n"/>
      <c r="F235" s="142" t="n"/>
      <c r="G235" s="143" t="n"/>
      <c r="H235" s="56" t="inlineStr">
        <is>
          <t>EE</t>
        </is>
      </c>
      <c r="I235" s="57" t="inlineStr">
        <is>
          <t>I</t>
        </is>
      </c>
      <c r="J235" s="56" t="n">
        <v>3</v>
      </c>
      <c r="K235" s="56" t="n">
        <v>6</v>
      </c>
      <c r="L235" s="50">
        <f>CONCATENATE(H235,M235)</f>
        <v/>
      </c>
      <c r="M235" s="51">
        <f>IF(OR(ISBLANK(J235),ISBLANK(K235)),IF(OR(H235="ALI",H235="AIE"),"L",IF(ISBLANK(H235),"","A")),IF(H235="EE",IF(K235&gt;=3,IF(J235&gt;=5,"H","A"),IF(K235&gt;=2,IF(J235&gt;=16,"H",IF(J235&lt;=4,"L","A")),IF(J235&lt;=15,"L","A"))),IF(OR(H235="SE",H235="CE"),IF(K235&gt;=4,IF(J235&gt;=6,"H","A"),IF(K235&gt;=2,IF(J235&gt;=20,"H",IF(J235&lt;=5,"L","A")),IF(J235&lt;=19,"L","A"))),IF(OR(H235="ALI",H235="AIE"),IF(K235&gt;=6,IF(J235&gt;=20,"H","A"),IF(K235&gt;=2,IF(J235&gt;=51,"H",IF(J235&lt;=19,"L","A")),IF(J235&lt;=50,"L","A")))))))</f>
        <v/>
      </c>
      <c r="N235" s="52">
        <f>IF(M235="L","Baixa",IF(M235="A","Média",IF(M235="","","Alta")))</f>
        <v/>
      </c>
      <c r="O235" s="53">
        <f>IF(ISBLANK(H235),"",IF(H235="ALI",IF(M235="L",7,IF(M235="A",10,15)),IF(H235="AIE",IF(M235="L",5,IF(M235="A",7,10)),IF(H235="SE",IF(M235="L",4,IF(M235="A",5,7)),IF(OR(H235="EE",H235="CE"),IF(M235="L",3,IF(M235="A",4,6)))))))</f>
        <v/>
      </c>
      <c r="P235" s="54">
        <f>IF(I235="I",O235*Contagem!$W$15,IF(I235="E",O235*Contagem!$W$17,IF(I235="A",O235*Contagem!$W$16,IF(I235="T",O235*Contagem!$W$18,""))))</f>
        <v/>
      </c>
      <c r="Q235" s="55" t="inlineStr">
        <is>
          <t>Prova: Rota POST /gestao/caixa-setor/{viabilityRequest}/assumir (analisar-processos). Tela: gestao/caixa-setor/index. O analista assume um processo da caixa do seu setor, inclusive na aba Para conclusão. DistribuicaoService::assumir grava responsável, etapa e prazo SLA (exceto em Para conclusão), transita para Analisar e registra na trilha; fora do setor ou já atribuído a outro volta com aviso. Teste: tests/Feature/Analise/CaixaSetorTest.php::test_analista_assume_processo_da_sua_caixa; tests/Feature/Analise/CaixaSetorParaConclusaoDistribuicaoTest.php::test_analista_assume_processo_para_conclusao_sem_responsavel. Processo elementar independente: menor unidade com significado para o analista; completa por si (clica em assumir e recebe a confirmação); deixa o negócio consistente (responsabilidade técnica registrada); lógica única (autoatribuição restrita aos setores do analista). Classificação: mantém a Solicitação de viabilidade, EE (§5.5.3). TD=3 (processo, mensagem, ação assumir). AR=6 (Solicitação de viabilidade, Usuário, Setor, Parâmetro, Trilha de auditoria, Perfil de acesso). Premissa P4: DistribuicaoService::atribuir grava a trilha ($this-&gt;audit-&gt;log assumir). Catálogo: Perfil de acesso entra porque processo em vistoria só é assumido por quem tem preencher-ficha-vistoria (garantirVistoriadorEmVistoria). Recontagem 16/10/2026: alterada (linha 198 da contagem de 01/10/2026: "Caixa do setor - assumir processo", EE Média 4 PF, TD 3, AR 4). Motivo: AR 4→5: o registro de assunção na trilha passou a ser lido pela tramitação (Processo assumido). A assunção também vale na aba Para conclusão (qualquer analista do setor pega o processo, sem reiniciar o prazo): mesma função, regra ampliada. PF inalterado (EE média). Harmonização: AR 4→6 em relação a 01/10 (PF 4→4); motivo nas observações (premissa P4/revisão do catálogo).</t>
        </is>
      </c>
    </row>
    <row r="236" ht="12" customHeight="1" s="73">
      <c r="A236" s="14">
        <f>IF(H236="",IF(C236="",A235,A235+1),A235)</f>
        <v/>
      </c>
      <c r="B236" s="48">
        <f>IF(A236=A235,"",CONCATENATE("F",A236))</f>
        <v/>
      </c>
      <c r="C236" s="85" t="inlineStr">
        <is>
          <t>Caixa do setor - consultar central de distribuição</t>
        </is>
      </c>
      <c r="D236" s="142" t="n"/>
      <c r="E236" s="142" t="n"/>
      <c r="F236" s="142" t="n"/>
      <c r="G236" s="143" t="n"/>
      <c r="H236" s="56" t="inlineStr">
        <is>
          <t>SE</t>
        </is>
      </c>
      <c r="I236" s="57" t="inlineStr">
        <is>
          <t>I</t>
        </is>
      </c>
      <c r="J236" s="56" t="n">
        <v>15</v>
      </c>
      <c r="K236" s="56" t="n">
        <v>5</v>
      </c>
      <c r="L236" s="50">
        <f>CONCATENATE(H236,M236)</f>
        <v/>
      </c>
      <c r="M236" s="51">
        <f>IF(OR(ISBLANK(J236),ISBLANK(K236)),IF(OR(H236="ALI",H236="AIE"),"L",IF(ISBLANK(H236),"","A")),IF(H236="EE",IF(K236&gt;=3,IF(J236&gt;=5,"H","A"),IF(K236&gt;=2,IF(J236&gt;=16,"H",IF(J236&lt;=4,"L","A")),IF(J236&lt;=15,"L","A"))),IF(OR(H236="SE",H236="CE"),IF(K236&gt;=4,IF(J236&gt;=6,"H","A"),IF(K236&gt;=2,IF(J236&gt;=20,"H",IF(J236&lt;=5,"L","A")),IF(J236&lt;=19,"L","A"))),IF(OR(H236="ALI",H236="AIE"),IF(K236&gt;=6,IF(J236&gt;=20,"H","A"),IF(K236&gt;=2,IF(J236&gt;=51,"H",IF(J236&lt;=19,"L","A")),IF(J236&lt;=50,"L","A")))))))</f>
        <v/>
      </c>
      <c r="N236" s="52">
        <f>IF(M236="L","Baixa",IF(M236="A","Média",IF(M236="","","Alta")))</f>
        <v/>
      </c>
      <c r="O236" s="53">
        <f>IF(ISBLANK(H236),"",IF(H236="ALI",IF(M236="L",7,IF(M236="A",10,15)),IF(H236="AIE",IF(M236="L",5,IF(M236="A",7,10)),IF(H236="SE",IF(M236="L",4,IF(M236="A",5,7)),IF(OR(H236="EE",H236="CE"),IF(M236="L",3,IF(M236="A",4,6)))))))</f>
        <v/>
      </c>
      <c r="P236" s="54">
        <f>IF(I236="I",O236*Contagem!$W$15,IF(I236="E",O236*Contagem!$W$17,IF(I236="A",O236*Contagem!$W$16,IF(I236="T",O236*Contagem!$W$18,""))))</f>
        <v/>
      </c>
      <c r="Q236" s="55" t="inlineStr">
        <is>
          <t>Prova: Rota GET /gestao/caixa-setor/central (distribuir-processos). Tela: gestao/caixa-setor/central. O apoio abre a central com os processos escolhidos. Lê processos, carga dos analistas (CargaAnalistaService, todos os setores para quem distribui em qualquer setor), perfis e setores de cada analista e o histórico de lotes da trilha; calcula totais; não grava dado de negócio. Teste: tests/Feature/Analise/CaixaSetorTest.php::test_central_lista_processos_selecionados_e_carga_dos_analistas; tests/Feature/Analise/CaixaSetorApoioQualquerSetorTest.php::test_central_mostra_perfil_e_setores_de_cada_analista. Processo elementar independente: menor unidade com significado para o apoio; completa por si (seleciona processos e recebe a carga para decidir); deixa o negócio consistente (nada é alterado); lógica única (carga ativa por analista e histórico de distribuições). Classificação: exibe carga ativa e totais calculados, dado derivado, portanto SE e não CE (§5.5.3). TD=15 (BAP, protocolo, imóvel, etapa, analista, perfis do analista, setores do analista, carga ativa por analista, total selecionado, total em análise, data da distribuição, autor da distribuição, quantidade distribuída, mensagem, ação abrir central). AR=5 (Solicitação de viabilidade, Setor, Usuário, Trilha de auditoria, Perfil de acesso). Premissa P4: a Trilha de auditoria já é lida como histórico de distribuições; a gravação da consulta (consulta-central) não acrescenta arquivo. Catálogo: Perfil de acesso entra porque a central mostra o perfil de cada analista e lista destinatários pela permissão analisar-processos. Recontagem 16/10/2026: alterada (linha 199 da contagem de 01/10/2026: "Caixa do setor - consultar central de distribuição", SE Alta 7 PF, TD 12, AR 4). Motivo: TD 12→15: a central passou a mostrar o perfil e os setores de cada analista; DER listados um a um. PF inalterado (SE alta). Harmonização: TD 12→15, AR 4→5 em relação a 01/10 (PF 7→7); motivo nas observações (premissa P4/revisão do catálogo).</t>
        </is>
      </c>
    </row>
    <row r="237" ht="12" customHeight="1" s="73">
      <c r="A237" s="14">
        <f>IF(H237="",IF(C237="",A236,A236+1),A236)</f>
        <v/>
      </c>
      <c r="B237" s="48">
        <f>IF(A237=A236,"",CONCATENATE("F",A237))</f>
        <v/>
      </c>
      <c r="C237" s="85" t="inlineStr">
        <is>
          <t>Caixa do setor - sugerir distribuição pela carga</t>
        </is>
      </c>
      <c r="D237" s="142" t="n"/>
      <c r="E237" s="142" t="n"/>
      <c r="F237" s="142" t="n"/>
      <c r="G237" s="143" t="n"/>
      <c r="H237" s="56" t="inlineStr">
        <is>
          <t>SE</t>
        </is>
      </c>
      <c r="I237" s="57" t="inlineStr">
        <is>
          <t>I</t>
        </is>
      </c>
      <c r="J237" s="56" t="n">
        <v>9</v>
      </c>
      <c r="K237" s="56" t="n">
        <v>5</v>
      </c>
      <c r="L237" s="50">
        <f>CONCATENATE(H237,M237)</f>
        <v/>
      </c>
      <c r="M237" s="51">
        <f>IF(OR(ISBLANK(J237),ISBLANK(K237)),IF(OR(H237="ALI",H237="AIE"),"L",IF(ISBLANK(H237),"","A")),IF(H237="EE",IF(K237&gt;=3,IF(J237&gt;=5,"H","A"),IF(K237&gt;=2,IF(J237&gt;=16,"H",IF(J237&lt;=4,"L","A")),IF(J237&lt;=15,"L","A"))),IF(OR(H237="SE",H237="CE"),IF(K237&gt;=4,IF(J237&gt;=6,"H","A"),IF(K237&gt;=2,IF(J237&gt;=20,"H",IF(J237&lt;=5,"L","A")),IF(J237&lt;=19,"L","A"))),IF(OR(H237="ALI",H237="AIE"),IF(K237&gt;=6,IF(J237&gt;=20,"H","A"),IF(K237&gt;=2,IF(J237&gt;=51,"H",IF(J237&lt;=19,"L","A")),IF(J237&lt;=50,"L","A")))))))</f>
        <v/>
      </c>
      <c r="N237" s="52">
        <f>IF(M237="L","Baixa",IF(M237="A","Média",IF(M237="","","Alta")))</f>
        <v/>
      </c>
      <c r="O237" s="53">
        <f>IF(ISBLANK(H237),"",IF(H237="ALI",IF(M237="L",7,IF(M237="A",10,15)),IF(H237="AIE",IF(M237="L",5,IF(M237="A",7,10)),IF(H237="SE",IF(M237="L",4,IF(M237="A",5,7)),IF(OR(H237="EE",H237="CE"),IF(M237="L",3,IF(M237="A",4,6)))))))</f>
        <v/>
      </c>
      <c r="P237" s="54">
        <f>IF(I237="I",O237*Contagem!$W$15,IF(I237="E",O237*Contagem!$W$17,IF(I237="A",O237*Contagem!$W$16,IF(I237="T",O237*Contagem!$W$18,""))))</f>
        <v/>
      </c>
      <c r="Q237" s="55" t="inlineStr">
        <is>
          <t>Prova: Rota GET /gestao/caixa-setor/distribuicao-inteligente (distribuir-processos). Tela: gestao/caixa-setor/distribuicao-inteligente. O apoio pede uma proposta. DistribuicaoInteligenteService calcula a alocação pela menor carga e regra de vistoria; não tramita. Teste: tests/Feature/Analise/DistribuicaoInteligenteTest.php::test_pagina_mostra_a_proposta_sem_tramitar. Processo elementar independente: menor unidade com significado para o apoio; completa por si (seleciona processos e recebe a proposta); deixa o negócio consistente (nada é tramitado); lógica única (cálculo de alocação pela carga ativa). TD=9 (critério, alocações (analista, processos), carga por analista, processos não alocados, total selecionado, filtros ou processos escolhidos, mensagem, ação sugerir). AR=5 (Solicitação de viabilidade, Usuário, Setor, Trilha de auditoria, Perfil de acesso). Recontagem em 16/10/2026: para o apoio que distribui em qualquer setor, também é elegível o analista de um único setor (DistribuicaoInteligenteService::elegiveis); mesma lógica de alocação pela carga, sem novo DER. Teste adicional: tests/Feature/Analise/CaixaSetorApoioQualquerSetorTest.php::test_distribuicao_inteligente_do_apoio_sugere_analista_de_outro_setor. Premissa P4: CaixaSetorController::distribuicaoInteligente grava a consulta na trilha ($this-&gt;audit-&gt;log consulta-distribuicao-inteligente). Catálogo: Perfil de acesso entra porque a elegibilidade usa preencher-ficha-vistoria e distribuir-qualquer-setor (DistribuicaoInteligenteService::elegiveis). Recontagem 16/10/2026: alterada (linha 200 da contagem de 01/10/2026: "Caixa do setor - sugerir distribuição pela carga", SE Média 5 PF, TD 9, AR 3). Motivo: Harmonização: AR 3→5 em relação a 01/10 (PF 5→7); motivo nas observações (premissa P4/revisão do catálogo).</t>
        </is>
      </c>
    </row>
    <row r="238" ht="12" customHeight="1" s="73">
      <c r="A238" s="14">
        <f>IF(H238="",IF(C238="",A237,A237+1),A237)</f>
        <v/>
      </c>
      <c r="B238" s="48">
        <f>IF(A238=A237,"",CONCATENATE("F",A238))</f>
        <v/>
      </c>
      <c r="C238" s="85" t="inlineStr">
        <is>
          <t>Caixa do setor - distribuir em lote</t>
        </is>
      </c>
      <c r="D238" s="142" t="n"/>
      <c r="E238" s="142" t="n"/>
      <c r="F238" s="142" t="n"/>
      <c r="G238" s="143" t="n"/>
      <c r="H238" s="56" t="inlineStr">
        <is>
          <t>EE</t>
        </is>
      </c>
      <c r="I238" s="57" t="inlineStr">
        <is>
          <t>I</t>
        </is>
      </c>
      <c r="J238" s="56" t="n">
        <v>7</v>
      </c>
      <c r="K238" s="56" t="n">
        <v>6</v>
      </c>
      <c r="L238" s="50">
        <f>CONCATENATE(H238,M238)</f>
        <v/>
      </c>
      <c r="M238" s="51">
        <f>IF(OR(ISBLANK(J238),ISBLANK(K238)),IF(OR(H238="ALI",H238="AIE"),"L",IF(ISBLANK(H238),"","A")),IF(H238="EE",IF(K238&gt;=3,IF(J238&gt;=5,"H","A"),IF(K238&gt;=2,IF(J238&gt;=16,"H",IF(J238&lt;=4,"L","A")),IF(J238&lt;=15,"L","A"))),IF(OR(H238="SE",H238="CE"),IF(K238&gt;=4,IF(J238&gt;=6,"H","A"),IF(K238&gt;=2,IF(J238&gt;=20,"H",IF(J238&lt;=5,"L","A")),IF(J238&lt;=19,"L","A"))),IF(OR(H238="ALI",H238="AIE"),IF(K238&gt;=6,IF(J238&gt;=20,"H","A"),IF(K238&gt;=2,IF(J238&gt;=51,"H",IF(J238&lt;=19,"L","A")),IF(J238&lt;=50,"L","A")))))))</f>
        <v/>
      </c>
      <c r="N238" s="52">
        <f>IF(M238="L","Baixa",IF(M238="A","Média",IF(M238="","","Alta")))</f>
        <v/>
      </c>
      <c r="O238" s="53">
        <f>IF(ISBLANK(H238),"",IF(H238="ALI",IF(M238="L",7,IF(M238="A",10,15)),IF(H238="AIE",IF(M238="L",5,IF(M238="A",7,10)),IF(H238="SE",IF(M238="L",4,IF(M238="A",5,7)),IF(OR(H238="EE",H238="CE"),IF(M238="L",3,IF(M238="A",4,6)))))))</f>
        <v/>
      </c>
      <c r="P238" s="54">
        <f>IF(I238="I",O238*Contagem!$W$15,IF(I238="E",O238*Contagem!$W$17,IF(I238="A",O238*Contagem!$W$16,IF(I238="T",O238*Contagem!$W$18,""))))</f>
        <v/>
      </c>
      <c r="Q238" s="55" t="inlineStr">
        <is>
          <t>Prova: Rota POST /gestao/caixa-setor/distribuir-lote (distribuir-processos). Tela: gestao/caixa-setor/central e gestao/caixa-setor/distribuicao-inteligente. O apoio confirma alocações para vários analistas. Grava responsável, setor, prazo e situação de todos de forma atômica e registra o resumo por analista e, na origem inteligente, a proposta e as alterações. Teste: tests/Feature/Analise/CaixaSetorTest.php::test_distribuir_lote_sucesso_redireciona_para_a_caixa; tests/Feature/Analise/DistribuicaoInteligenteTest.php::test_confirmacao_inteligente_audita_a_proposta_e_tramita. Processo elementar independente: menor unidade com significado para o apoio; completa por si (confirma as alocações e recebe o total distribuído); deixa o negócio consistente (tudo ou nada); lógica única (distribuição atômica entre vários analistas, sem sobreposição). Classificação: mantém a Solicitação de viabilidade, EE (§5.5.3). TD=7 (analista por grupo, processos por analista, origem (manual/inteligente), proposta, alterações na proposta, mensagem, ação confirmar). AR=6 (Solicitação de viabilidade, Usuário, Setor, Parâmetro, Trilha de auditoria, Perfil de acesso). Premissa P4: o lote grava a trilha (distribuir-lote, distribuir-inteligente e distribuir por processo). Catálogo: Perfil de acesso entra porque o lote valida analisar-processos e preencher-ficha-vistoria do destinatário e distribuir-qualquer-setor do ator. Recontagem 16/10/2026: alterada (linha 201 da contagem de 01/10/2026: "Caixa do setor - distribuir em lote", EE Alta 6 PF, TD 7, AR 4). Motivo: AR 4→5: o resumo por analista (evento distribuir-lote) e a distribuição de cada processo ficam na Trilha de auditoria, lida pela central e pela tramitação. Lote aceita processos de setores diferentes para o apoio. PF inalterado (EE alta). Harmonização: AR 4→6 em relação a 01/10 (PF 6→6); motivo nas observações (premissa P4/revisão do catálogo).</t>
        </is>
      </c>
    </row>
    <row r="239" ht="12" customHeight="1" s="73">
      <c r="A239" s="14">
        <f>IF(H239="",IF(C239="",A238,A238+1),A238)</f>
        <v/>
      </c>
      <c r="B239" s="48">
        <f>IF(A239=A238,"",CONCATENATE("F",A239))</f>
        <v/>
      </c>
      <c r="C239" s="85" t="inlineStr">
        <is>
          <t>Caixa do setor - redistribuir processo</t>
        </is>
      </c>
      <c r="D239" s="142" t="n"/>
      <c r="E239" s="142" t="n"/>
      <c r="F239" s="142" t="n"/>
      <c r="G239" s="143" t="n"/>
      <c r="H239" s="56" t="inlineStr">
        <is>
          <t>EE</t>
        </is>
      </c>
      <c r="I239" s="57" t="inlineStr">
        <is>
          <t>I</t>
        </is>
      </c>
      <c r="J239" s="56" t="n">
        <v>5</v>
      </c>
      <c r="K239" s="56" t="n">
        <v>5</v>
      </c>
      <c r="L239" s="50">
        <f>CONCATENATE(H239,M239)</f>
        <v/>
      </c>
      <c r="M239" s="51">
        <f>IF(OR(ISBLANK(J239),ISBLANK(K239)),IF(OR(H239="ALI",H239="AIE"),"L",IF(ISBLANK(H239),"","A")),IF(H239="EE",IF(K239&gt;=3,IF(J239&gt;=5,"H","A"),IF(K239&gt;=2,IF(J239&gt;=16,"H",IF(J239&lt;=4,"L","A")),IF(J239&lt;=15,"L","A"))),IF(OR(H239="SE",H239="CE"),IF(K239&gt;=4,IF(J239&gt;=6,"H","A"),IF(K239&gt;=2,IF(J239&gt;=20,"H",IF(J239&lt;=5,"L","A")),IF(J239&lt;=19,"L","A"))),IF(OR(H239="ALI",H239="AIE"),IF(K239&gt;=6,IF(J239&gt;=20,"H","A"),IF(K239&gt;=2,IF(J239&gt;=51,"H",IF(J239&lt;=19,"L","A")),IF(J239&lt;=50,"L","A")))))))</f>
        <v/>
      </c>
      <c r="N239" s="52">
        <f>IF(M239="L","Baixa",IF(M239="A","Média",IF(M239="","","Alta")))</f>
        <v/>
      </c>
      <c r="O239" s="53">
        <f>IF(ISBLANK(H239),"",IF(H239="ALI",IF(M239="L",7,IF(M239="A",10,15)),IF(H239="AIE",IF(M239="L",5,IF(M239="A",7,10)),IF(H239="SE",IF(M239="L",4,IF(M239="A",5,7)),IF(OR(H239="EE",H239="CE"),IF(M239="L",3,IF(M239="A",4,6)))))))</f>
        <v/>
      </c>
      <c r="P239" s="54">
        <f>IF(I239="I",O239*Contagem!$W$15,IF(I239="E",O239*Contagem!$W$17,IF(I239="A",O239*Contagem!$W$16,IF(I239="T",O239*Contagem!$W$18,""))))</f>
        <v/>
      </c>
      <c r="Q239" s="55" t="inlineStr">
        <is>
          <t>Prova: Rota POST /gestao/caixa-setor/redistribuir (distribuir-processos). Tela: gestao/caixa-setor/index (abas Distribuídos e Para conclusão). O apoio troca a analista de um processo já atribuído. DistribuicaoService::redistribuir resolve o setor de destino, grava o novo responsável e o setor sem recalcular o prazo, bloqueia após a conclusão da análise e registra na trilha. Teste: tests/Feature/Analise/CaixaSetorTest.php::test_apoio_redistribui_processo_para_outra_analista_do_setor; tests/Feature/Analise/CaixaSetorApoioQualquerSetorTest.php::test_apoio_redistribui_para_analista_de_outro_setor. Processo elementar independente: menor unidade com significado para o apoio; completa por si (escolhe a nova analista e recebe a confirmação); deixa o negócio consistente (prazo original preservado); lógica única (troca de responsável só antes da conclusão). Classificação: mantém a Solicitação de viabilidade, EE (§5.5.3). TD=5 (processo, nova analista, setor de destino, mensagem, ação redistribuir). AR=5 (Solicitação de viabilidade, Usuário, Setor, Trilha de auditoria, Perfil de acesso). Premissa P4: DistribuicaoService::redistribuir grava a trilha ($this-&gt;audit-&gt;log redistribuir). Catálogo: Perfil de acesso entra porque o setor de destino depende da permissão distribuir-qualquer-setor do ator. Recontagem 16/10/2026: alterada (linha 202 da contagem de 01/10/2026: "Caixa do setor - redistribuir processo", EE Média 4 PF, TD 4, AR 3). Motivo: TD 4→5 e AR 3→4: aceita o setor de destino (sector_id) para o apoio que redistribui a analista de outro setor; o registro da redistribuição na trilha passou a ser lido pela tramitação. PF 4→6. Harmonização: TD 4→5, AR 3→5 em relação a 01/10 (PF 4→6); motivo nas observações (premissa P4/revisão do catálogo).</t>
        </is>
      </c>
    </row>
    <row r="240" ht="12" customHeight="1" s="73">
      <c r="A240" s="14">
        <f>IF(H240="",IF(C240="",A239,A239+1),A239)</f>
        <v/>
      </c>
      <c r="B240" s="48">
        <f>IF(A240=A239,"",CONCATENATE("F",A240))</f>
        <v/>
      </c>
      <c r="C240" s="85" t="n"/>
      <c r="D240" s="142" t="n"/>
      <c r="E240" s="142" t="n"/>
      <c r="F240" s="142" t="n"/>
      <c r="G240" s="143" t="n"/>
      <c r="H240" s="56" t="n"/>
      <c r="I240" s="57" t="n"/>
      <c r="J240" s="56" t="n"/>
      <c r="K240" s="56" t="n"/>
      <c r="L240" s="50">
        <f>CONCATENATE(H240,M240)</f>
        <v/>
      </c>
      <c r="M240" s="51">
        <f>IF(OR(ISBLANK(J240),ISBLANK(K240)),IF(OR(H240="ALI",H240="AIE"),"L",IF(ISBLANK(H240),"","A")),IF(H240="EE",IF(K240&gt;=3,IF(J240&gt;=5,"H","A"),IF(K240&gt;=2,IF(J240&gt;=16,"H",IF(J240&lt;=4,"L","A")),IF(J240&lt;=15,"L","A"))),IF(OR(H240="SE",H240="CE"),IF(K240&gt;=4,IF(J240&gt;=6,"H","A"),IF(K240&gt;=2,IF(J240&gt;=20,"H",IF(J240&lt;=5,"L","A")),IF(J240&lt;=19,"L","A"))),IF(OR(H240="ALI",H240="AIE"),IF(K240&gt;=6,IF(J240&gt;=20,"H","A"),IF(K240&gt;=2,IF(J240&gt;=51,"H",IF(J240&lt;=19,"L","A")),IF(J240&lt;=50,"L","A")))))))</f>
        <v/>
      </c>
      <c r="N240" s="52">
        <f>IF(M240="L","Baixa",IF(M240="A","Média",IF(M240="","","Alta")))</f>
        <v/>
      </c>
      <c r="O240" s="53">
        <f>IF(ISBLANK(H240),"",IF(H240="ALI",IF(M240="L",7,IF(M240="A",10,15)),IF(H240="AIE",IF(M240="L",5,IF(M240="A",7,10)),IF(H240="SE",IF(M240="L",4,IF(M240="A",5,7)),IF(OR(H240="EE",H240="CE"),IF(M240="L",3,IF(M240="A",4,6)))))))</f>
        <v/>
      </c>
      <c r="P240" s="54">
        <f>IF(I240="I",O240*Contagem!$W$15,IF(I240="E",O240*Contagem!$W$17,IF(I240="A",O240*Contagem!$W$16,IF(I240="T",O240*Contagem!$W$18,""))))</f>
        <v/>
      </c>
      <c r="Q240" s="55" t="n"/>
    </row>
    <row r="241" ht="12" customHeight="1" s="73">
      <c r="A241" s="14">
        <f>IF(H241="",IF(C241="",A240,A240+1),A240)</f>
        <v/>
      </c>
      <c r="B241" s="48">
        <f>IF(A241=A240,"",CONCATENATE("F",A241))</f>
        <v/>
      </c>
      <c r="C241" s="85" t="inlineStr">
        <is>
          <t>Encaminhamento à malha fina</t>
        </is>
      </c>
      <c r="D241" s="142" t="n"/>
      <c r="E241" s="142" t="n"/>
      <c r="F241" s="142" t="n"/>
      <c r="G241" s="143" t="n"/>
      <c r="H241" s="56" t="n"/>
      <c r="I241" s="57" t="n"/>
      <c r="J241" s="56" t="n"/>
      <c r="K241" s="56" t="n"/>
      <c r="L241" s="50">
        <f>CONCATENATE(H241,M241)</f>
        <v/>
      </c>
      <c r="M241" s="51">
        <f>IF(OR(ISBLANK(J241),ISBLANK(K241)),IF(OR(H241="ALI",H241="AIE"),"L",IF(ISBLANK(H241),"","A")),IF(H241="EE",IF(K241&gt;=3,IF(J241&gt;=5,"H","A"),IF(K241&gt;=2,IF(J241&gt;=16,"H",IF(J241&lt;=4,"L","A")),IF(J241&lt;=15,"L","A"))),IF(OR(H241="SE",H241="CE"),IF(K241&gt;=4,IF(J241&gt;=6,"H","A"),IF(K241&gt;=2,IF(J241&gt;=20,"H",IF(J241&lt;=5,"L","A")),IF(J241&lt;=19,"L","A"))),IF(OR(H241="ALI",H241="AIE"),IF(K241&gt;=6,IF(J241&gt;=20,"H","A"),IF(K241&gt;=2,IF(J241&gt;=51,"H",IF(J241&lt;=19,"L","A")),IF(J241&lt;=50,"L","A")))))))</f>
        <v/>
      </c>
      <c r="N241" s="52">
        <f>IF(M241="L","Baixa",IF(M241="A","Média",IF(M241="","","Alta")))</f>
        <v/>
      </c>
      <c r="O241" s="53">
        <f>IF(ISBLANK(H241),"",IF(H241="ALI",IF(M241="L",7,IF(M241="A",10,15)),IF(H241="AIE",IF(M241="L",5,IF(M241="A",7,10)),IF(H241="SE",IF(M241="L",4,IF(M241="A",5,7)),IF(OR(H241="EE",H241="CE"),IF(M241="L",3,IF(M241="A",4,6)))))))</f>
        <v/>
      </c>
      <c r="P241" s="54">
        <f>IF(I241="I",O241*Contagem!$W$15,IF(I241="E",O241*Contagem!$W$17,IF(I241="A",O241*Contagem!$W$16,IF(I241="T",O241*Contagem!$W$18,""))))</f>
        <v/>
      </c>
      <c r="Q241" s="55" t="n"/>
    </row>
    <row r="242" ht="12" customHeight="1" s="73">
      <c r="A242" s="14">
        <f>IF(H242="",IF(C242="",A241,A241+1),A241)</f>
        <v/>
      </c>
      <c r="B242" s="48">
        <f>IF(A242=A241,"",CONCATENATE("F",A242))</f>
        <v/>
      </c>
      <c r="C242" s="85" t="inlineStr">
        <is>
          <t>Dados - Encaminhamento à malha fina</t>
        </is>
      </c>
      <c r="D242" s="142" t="n"/>
      <c r="E242" s="142" t="n"/>
      <c r="F242" s="142" t="n"/>
      <c r="G242" s="143" t="n"/>
      <c r="H242" s="56" t="inlineStr">
        <is>
          <t>ALI</t>
        </is>
      </c>
      <c r="I242" s="57" t="inlineStr">
        <is>
          <t>I</t>
        </is>
      </c>
      <c r="J242" s="56" t="n">
        <v>8</v>
      </c>
      <c r="K242" s="56" t="n">
        <v>1</v>
      </c>
      <c r="L242" s="50">
        <f>CONCATENATE(H242,M242)</f>
        <v/>
      </c>
      <c r="M242" s="51">
        <f>IF(OR(ISBLANK(J242),ISBLANK(K242)),IF(OR(H242="ALI",H242="AIE"),"L",IF(ISBLANK(H242),"","A")),IF(H242="EE",IF(K242&gt;=3,IF(J242&gt;=5,"H","A"),IF(K242&gt;=2,IF(J242&gt;=16,"H",IF(J242&lt;=4,"L","A")),IF(J242&lt;=15,"L","A"))),IF(OR(H242="SE",H242="CE"),IF(K242&gt;=4,IF(J242&gt;=6,"H","A"),IF(K242&gt;=2,IF(J242&gt;=20,"H",IF(J242&lt;=5,"L","A")),IF(J242&lt;=19,"L","A"))),IF(OR(H242="ALI",H242="AIE"),IF(K242&gt;=6,IF(J242&gt;=20,"H","A"),IF(K242&gt;=2,IF(J242&gt;=51,"H",IF(J242&lt;=19,"L","A")),IF(J242&lt;=50,"L","A")))))))</f>
        <v/>
      </c>
      <c r="N242" s="52">
        <f>IF(M242="L","Baixa",IF(M242="A","Média",IF(M242="","","Alta")))</f>
        <v/>
      </c>
      <c r="O242" s="53">
        <f>IF(ISBLANK(H242),"",IF(H242="ALI",IF(M242="L",7,IF(M242="A",10,15)),IF(H242="AIE",IF(M242="L",5,IF(M242="A",7,10)),IF(H242="SE",IF(M242="L",4,IF(M242="A",5,7)),IF(OR(H242="EE",H242="CE"),IF(M242="L",3,IF(M242="A",4,6)))))))</f>
        <v/>
      </c>
      <c r="P242" s="54">
        <f>IF(I242="I",O242*Contagem!$W$15,IF(I242="E",O242*Contagem!$W$17,IF(I242="A",O242*Contagem!$W$16,IF(I242="T",O242*Contagem!$W$18,""))))</f>
        <v/>
      </c>
      <c r="Q242" s="55" t="inlineStr">
        <is>
          <t>Prova: Model FineMeshReferral; migrations 2026_06_14_215046_create_fine_mesh_referrals_table, 2026_09_22_192346 e 2026_09_23_100000 (resolução). Mantido por MalhaFinaService (encaminhar, encaminharLote, encaminharSistema, resolver) via MalhaFinaController/MalhaFinaCaixaController. Referenciado por alertas de abuso e anomalias. Teste: tests/Feature/Analise/MalhaFinaServiceTest.php::test_encaminhar_liga_a_flag_e_cria_referral_sem_mexer_no_status. Arquivo lógico: Grupo lógico reconhecido pelo gestor: cada encaminhamento à malha fina tem motivo, autor e resolução próprios, com ciclo aberto/resolvido independente da situação do processo. TD=8 (solicitação, encaminhado por, motivo, data do encaminhamento, resolvido em, resolvido por, observação da resolução, resultado da resolução). TR=1. Para demonstrar: features.fluxo_expresso ligado (MalhaFinaService exige processo do fluxo expresso). Recontagem em 16/10/2026: sem migration nova desde 01/10/2026; atributos conferidos nas três migrations citadas. Recontagem 16/10/2026: mantida (linha 496 da contagem de 01/10/2026).</t>
        </is>
      </c>
    </row>
    <row r="243" ht="12" customHeight="1" s="73">
      <c r="A243" s="14">
        <f>IF(H243="",IF(C243="",A242,A242+1),A242)</f>
        <v/>
      </c>
      <c r="B243" s="48">
        <f>IF(A243=A242,"",CONCATENATE("F",A243))</f>
        <v/>
      </c>
      <c r="C243" s="85" t="inlineStr">
        <is>
          <t>Malha fina - encaminhar processos</t>
        </is>
      </c>
      <c r="D243" s="142" t="n"/>
      <c r="E243" s="142" t="n"/>
      <c r="F243" s="142" t="n"/>
      <c r="G243" s="143" t="n"/>
      <c r="H243" s="56" t="inlineStr">
        <is>
          <t>EE</t>
        </is>
      </c>
      <c r="I243" s="57" t="inlineStr">
        <is>
          <t>I</t>
        </is>
      </c>
      <c r="J243" s="56" t="n">
        <v>5</v>
      </c>
      <c r="K243" s="56" t="n">
        <v>4</v>
      </c>
      <c r="L243" s="50">
        <f>CONCATENATE(H243,M243)</f>
        <v/>
      </c>
      <c r="M243" s="51">
        <f>IF(OR(ISBLANK(J243),ISBLANK(K243)),IF(OR(H243="ALI",H243="AIE"),"L",IF(ISBLANK(H243),"","A")),IF(H243="EE",IF(K243&gt;=3,IF(J243&gt;=5,"H","A"),IF(K243&gt;=2,IF(J243&gt;=16,"H",IF(J243&lt;=4,"L","A")),IF(J243&lt;=15,"L","A"))),IF(OR(H243="SE",H243="CE"),IF(K243&gt;=4,IF(J243&gt;=6,"H","A"),IF(K243&gt;=2,IF(J243&gt;=20,"H",IF(J243&lt;=5,"L","A")),IF(J243&lt;=19,"L","A"))),IF(OR(H243="ALI",H243="AIE"),IF(K243&gt;=6,IF(J243&gt;=20,"H","A"),IF(K243&gt;=2,IF(J243&gt;=51,"H",IF(J243&lt;=19,"L","A")),IF(J243&lt;=50,"L","A")))))))</f>
        <v/>
      </c>
      <c r="N243" s="52">
        <f>IF(M243="L","Baixa",IF(M243="A","Média",IF(M243="","","Alta")))</f>
        <v/>
      </c>
      <c r="O243" s="53">
        <f>IF(ISBLANK(H243),"",IF(H243="ALI",IF(M243="L",7,IF(M243="A",10,15)),IF(H243="AIE",IF(M243="L",5,IF(M243="A",7,10)),IF(H243="SE",IF(M243="L",4,IF(M243="A",5,7)),IF(OR(H243="EE",H243="CE"),IF(M243="L",3,IF(M243="A",4,6)))))))</f>
        <v/>
      </c>
      <c r="P243" s="54">
        <f>IF(I243="I",O243*Contagem!$W$15,IF(I243="E",O243*Contagem!$W$17,IF(I243="A",O243*Contagem!$W$16,IF(I243="T",O243*Contagem!$W$18,""))))</f>
        <v/>
      </c>
      <c r="Q243" s="55" t="inlineStr">
        <is>
          <t>Prova: Rota POST /gestao/processos/malha-fina (encaminhar-malha-fina). Tela: ficha de análise e listas de processos. O analista encaminha um ou vários processos. Lê Setor; grava Encaminhamento à malha fina, liga a flag e o setor na Solicitação de viabilidade e grava Trilha por processo. Resultado: processos entram na caixa do revisor. Teste: tests/Feature/Analise/MalhaFinaEndpointTest.php::test_encaminha_em_lote_incluindo_processo_deferido. Processo elementar independente: menor unidade com significado para o analista; completa por si (seleciona, informa motivo e recebe o resumo); deixa o negócio consistente (falhas isoladas por processo); lógica única (motivo obrigatório, sem mudar o status). TD=5 (processos selecionados, motivo, setor de tramitação, mensagem, ação encaminhar). AR=4 (Solicitação de viabilidade, Encaminhamento à malha fina, Setor, Trilha de auditoria). Premissa P4: MalhaFinaService grava a trilha ($this-&gt;audit-&gt;log malha-fina-encaminhar). Recontagem 16/10/2026: mantida (linha 262 da contagem de 01/10/2026).</t>
        </is>
      </c>
    </row>
    <row r="244" ht="12" customHeight="1" s="73">
      <c r="A244" s="14">
        <f>IF(H244="",IF(C244="",A243,A243+1),A243)</f>
        <v/>
      </c>
      <c r="B244" s="48">
        <f>IF(A244=A243,"",CONCATENATE("F",A244))</f>
        <v/>
      </c>
      <c r="C244" s="85" t="inlineStr">
        <is>
          <t>Malha fina - consultar caixa</t>
        </is>
      </c>
      <c r="D244" s="142" t="n"/>
      <c r="E244" s="142" t="n"/>
      <c r="F244" s="142" t="n"/>
      <c r="G244" s="143" t="n"/>
      <c r="H244" s="56" t="inlineStr">
        <is>
          <t>SE</t>
        </is>
      </c>
      <c r="I244" s="57" t="inlineStr">
        <is>
          <t>I</t>
        </is>
      </c>
      <c r="J244" s="56" t="n">
        <v>31</v>
      </c>
      <c r="K244" s="56" t="n">
        <v>6</v>
      </c>
      <c r="L244" s="50">
        <f>CONCATENATE(H244,M244)</f>
        <v/>
      </c>
      <c r="M244" s="51">
        <f>IF(OR(ISBLANK(J244),ISBLANK(K244)),IF(OR(H244="ALI",H244="AIE"),"L",IF(ISBLANK(H244),"","A")),IF(H244="EE",IF(K244&gt;=3,IF(J244&gt;=5,"H","A"),IF(K244&gt;=2,IF(J244&gt;=16,"H",IF(J244&lt;=4,"L","A")),IF(J244&lt;=15,"L","A"))),IF(OR(H244="SE",H244="CE"),IF(K244&gt;=4,IF(J244&gt;=6,"H","A"),IF(K244&gt;=2,IF(J244&gt;=20,"H",IF(J244&lt;=5,"L","A")),IF(J244&lt;=19,"L","A"))),IF(OR(H244="ALI",H244="AIE"),IF(K244&gt;=6,IF(J244&gt;=20,"H","A"),IF(K244&gt;=2,IF(J244&gt;=51,"H",IF(J244&lt;=19,"L","A")),IF(J244&lt;=50,"L","A")))))))</f>
        <v/>
      </c>
      <c r="N244" s="52">
        <f>IF(M244="L","Baixa",IF(M244="A","Média",IF(M244="","","Alta")))</f>
        <v/>
      </c>
      <c r="O244" s="53">
        <f>IF(ISBLANK(H244),"",IF(H244="ALI",IF(M244="L",7,IF(M244="A",10,15)),IF(H244="AIE",IF(M244="L",5,IF(M244="A",7,10)),IF(H244="SE",IF(M244="L",4,IF(M244="A",5,7)),IF(OR(H244="EE",H244="CE"),IF(M244="L",3,IF(M244="A",4,6)))))))</f>
        <v/>
      </c>
      <c r="P244" s="54">
        <f>IF(I244="I",O244*Contagem!$W$15,IF(I244="E",O244*Contagem!$W$17,IF(I244="A",O244*Contagem!$W$16,IF(I244="T",O244*Contagem!$W$18,""))))</f>
        <v/>
      </c>
      <c r="Q244" s="55" t="inlineStr">
        <is>
          <t>Prova: Rota GET /gestao/malha-fina (analisar-malha-fina). Tela: gestao/malha-fina/index. O revisor filtra as abas Em malha fina e Concluídas. Lê Solicitação, Encaminhamento, Empresa, Usuário e Setor; grava a consulta na trilha; calcula KPIs (em malha fina, entradas e concluídas no mês, prazo vencido). Teste: tests/Feature/Analise/MalhaFinaCaixaTest.php::test_aba_concluidas_lista_quem_saiu_da_malha_fina. Processo elementar independente: menor unidade com significado para o revisor; completa por si (filtra e recebe a fila com indicadores); deixa o negócio consistente (nada de negócio é gravado); lógica única (universo da malha fina com KPIs derivados). TD=31 (protocolo, BAP, protocolado em, empresa, requerente, serviço, situação, situação da análise, setor, responsável, prazo, entrada na malha fina, encaminhado por, motivo, concluído em, concluído por, observação, resultado, em malha fina (KPI), entradas no mês, concluídas no mês, prazo vencido, total de concluídas, data de, data até, nome, CNPJ, bairro, categoria, aba, ação pesquisar). AR=6 (Solicitação de viabilidade, Encaminhamento à malha fina, Empresa, Usuário, Setor, Trilha de auditoria). Classificação: Exibe totais calculados (contagens do mês, prazo vencido, total por aba), o que caracteriza SE e não CE. Premissa P4: MalhaFinaCaixaController grava a consulta na trilha ($this-&gt;audit-&gt;log malha-fina-consulta). Catálogo: Tipo de serviço retirado (dado de código). Recontagem 16/10/2026: mantida (linha 263 da contagem de 01/10/2026).</t>
        </is>
      </c>
    </row>
    <row r="245" ht="12" customHeight="1" s="73">
      <c r="A245" s="14">
        <f>IF(H245="",IF(C245="",A244,A244+1),A244)</f>
        <v/>
      </c>
      <c r="B245" s="48">
        <f>IF(A245=A244,"",CONCATENATE("F",A245))</f>
        <v/>
      </c>
      <c r="C245" s="85" t="inlineStr">
        <is>
          <t>Malha fina - concluir revisão</t>
        </is>
      </c>
      <c r="D245" s="142" t="n"/>
      <c r="E245" s="142" t="n"/>
      <c r="F245" s="142" t="n"/>
      <c r="G245" s="143" t="n"/>
      <c r="H245" s="56" t="inlineStr">
        <is>
          <t>EE</t>
        </is>
      </c>
      <c r="I245" s="57" t="inlineStr">
        <is>
          <t>I</t>
        </is>
      </c>
      <c r="J245" s="56" t="n">
        <v>4</v>
      </c>
      <c r="K245" s="56" t="n">
        <v>7</v>
      </c>
      <c r="L245" s="50">
        <f>CONCATENATE(H245,M245)</f>
        <v/>
      </c>
      <c r="M245" s="51">
        <f>IF(OR(ISBLANK(J245),ISBLANK(K245)),IF(OR(H245="ALI",H245="AIE"),"L",IF(ISBLANK(H245),"","A")),IF(H245="EE",IF(K245&gt;=3,IF(J245&gt;=5,"H","A"),IF(K245&gt;=2,IF(J245&gt;=16,"H",IF(J245&lt;=4,"L","A")),IF(J245&lt;=15,"L","A"))),IF(OR(H245="SE",H245="CE"),IF(K245&gt;=4,IF(J245&gt;=6,"H","A"),IF(K245&gt;=2,IF(J245&gt;=20,"H",IF(J245&lt;=5,"L","A")),IF(J245&lt;=19,"L","A"))),IF(OR(H245="ALI",H245="AIE"),IF(K245&gt;=6,IF(J245&gt;=20,"H","A"),IF(K245&gt;=2,IF(J245&gt;=51,"H",IF(J245&lt;=19,"L","A")),IF(J245&lt;=50,"L","A")))))))</f>
        <v/>
      </c>
      <c r="N245" s="52">
        <f>IF(M245="L","Baixa",IF(M245="A","Média",IF(M245="","","Alta")))</f>
        <v/>
      </c>
      <c r="O245" s="53">
        <f>IF(ISBLANK(H245),"",IF(H245="ALI",IF(M245="L",7,IF(M245="A",10,15)),IF(H245="AIE",IF(M245="L",5,IF(M245="A",7,10)),IF(H245="SE",IF(M245="L",4,IF(M245="A",5,7)),IF(OR(H245="EE",H245="CE"),IF(M245="L",3,IF(M245="A",4,6)))))))</f>
        <v/>
      </c>
      <c r="P245" s="54">
        <f>IF(I245="I",O245*Contagem!$W$15,IF(I245="E",O245*Contagem!$W$17,IF(I245="A",O245*Contagem!$W$16,IF(I245="T",O245*Contagem!$W$18,""))))</f>
        <v/>
      </c>
      <c r="Q245" s="55" t="inlineStr">
        <is>
          <t>Prova: Rota POST /gestao/malha-fina/{viabilityRequest}/concluir (analisar-malha-fina). Tela: gestao/malha-fina/index. O revisor conclui com resultado. Aplica ConclusaoAnaliseService (Ficha, Decisão, Histórico de tramitação e de situação, Bloqueio de EV) e baixa os Encaminhamentos abertos; grava Trilha. Teste: tests/Feature/Analise/MalhaFinaConcluirTest.php::test_conclui_a_malha_fina_com_observacao_opcional. Processo elementar independente: menor unidade com significado para o revisor; completa por si (escolhe resultado e recebe confirmação); deixa o negócio consistente (conclusão aplicada antes da baixa); lógica única (só baixa quando há encaminhamento aberto). TD=4 (resultado, observação, mensagem, ação concluir). AR=7 (Solicitação de viabilidade, Encaminhamento à malha fina, Ficha de análise técnica, Decisão de viabilidade, Bloqueio de inscrição de escritório virtual, Trilha de auditoria, Comunicação ao requerente). Recontagem em 16/10/2026: a tela passou a usar o componente ConclusaoAnaliseForm (mesmos campos). Ao encerrar sem decisão prévia, ConclusaoAnaliseService passou a enviar o parecer à JUCEB; é efeito automático da conclusão e não altera TD nem AR. Premissa P4: ConclusaoAnaliseService e MalhaFinaService gravam a trilha; quando a sede de escritório virtual perde a condição, DesvincularInscricaoService registra a comunicação aos abrigados (NotificationDispatcher::queue cria Comunicação ao requerente no mesmo request). O envio do parecer à JUCEB roda depois da resposta (afterResponse) e não conta. Recontagem 16/10/2026: alterada (linha 264 da contagem de 01/10/2026: "Malha fina - concluir revisão", EE Média 4 PF, TD 4, AR 6). Motivo: Harmonização: AR 6→7 em relação a 01/10 (PF 4→4); motivo nas observações (premissa P4/revisão do catálogo).</t>
        </is>
      </c>
    </row>
    <row r="246" ht="12" customHeight="1" s="73">
      <c r="A246" s="14">
        <f>IF(H246="",IF(C246="",A245,A245+1),A245)</f>
        <v/>
      </c>
      <c r="B246" s="48">
        <f>IF(A246=A245,"",CONCATENATE("F",A246))</f>
        <v/>
      </c>
      <c r="C246" s="85" t="n"/>
      <c r="D246" s="142" t="n"/>
      <c r="E246" s="142" t="n"/>
      <c r="F246" s="142" t="n"/>
      <c r="G246" s="143" t="n"/>
      <c r="H246" s="56" t="n"/>
      <c r="I246" s="57" t="n"/>
      <c r="J246" s="56" t="n"/>
      <c r="K246" s="56" t="n"/>
      <c r="L246" s="50">
        <f>CONCATENATE(H246,M246)</f>
        <v/>
      </c>
      <c r="M246" s="51">
        <f>IF(OR(ISBLANK(J246),ISBLANK(K246)),IF(OR(H246="ALI",H246="AIE"),"L",IF(ISBLANK(H246),"","A")),IF(H246="EE",IF(K246&gt;=3,IF(J246&gt;=5,"H","A"),IF(K246&gt;=2,IF(J246&gt;=16,"H",IF(J246&lt;=4,"L","A")),IF(J246&lt;=15,"L","A"))),IF(OR(H246="SE",H246="CE"),IF(K246&gt;=4,IF(J246&gt;=6,"H","A"),IF(K246&gt;=2,IF(J246&gt;=20,"H",IF(J246&lt;=5,"L","A")),IF(J246&lt;=19,"L","A"))),IF(OR(H246="ALI",H246="AIE"),IF(K246&gt;=6,IF(J246&gt;=20,"H","A"),IF(K246&gt;=2,IF(J246&gt;=51,"H",IF(J246&lt;=19,"L","A")),IF(J246&lt;=50,"L","A")))))))</f>
        <v/>
      </c>
      <c r="N246" s="52">
        <f>IF(M246="L","Baixa",IF(M246="A","Média",IF(M246="","","Alta")))</f>
        <v/>
      </c>
      <c r="O246" s="53">
        <f>IF(ISBLANK(H246),"",IF(H246="ALI",IF(M246="L",7,IF(M246="A",10,15)),IF(H246="AIE",IF(M246="L",5,IF(M246="A",7,10)),IF(H246="SE",IF(M246="L",4,IF(M246="A",5,7)),IF(OR(H246="EE",H246="CE"),IF(M246="L",3,IF(M246="A",4,6)))))))</f>
        <v/>
      </c>
      <c r="P246" s="54">
        <f>IF(I246="I",O246*Contagem!$W$15,IF(I246="E",O246*Contagem!$W$17,IF(I246="A",O246*Contagem!$W$16,IF(I246="T",O246*Contagem!$W$18,""))))</f>
        <v/>
      </c>
      <c r="Q246" s="55" t="n"/>
    </row>
    <row r="247" ht="12" customHeight="1" s="73">
      <c r="A247" s="14">
        <f>IF(H247="",IF(C247="",A246,A246+1),A246)</f>
        <v/>
      </c>
      <c r="B247" s="48">
        <f>IF(A247=A246,"",CONCATENATE("F",A247))</f>
        <v/>
      </c>
      <c r="C247" s="85" t="inlineStr">
        <is>
          <t>Desvinculação de escritório virtual</t>
        </is>
      </c>
      <c r="D247" s="142" t="n"/>
      <c r="E247" s="142" t="n"/>
      <c r="F247" s="142" t="n"/>
      <c r="G247" s="143" t="n"/>
      <c r="H247" s="56" t="n"/>
      <c r="I247" s="57" t="n"/>
      <c r="J247" s="56" t="n"/>
      <c r="K247" s="56" t="n"/>
      <c r="L247" s="50">
        <f>CONCATENATE(H247,M247)</f>
        <v/>
      </c>
      <c r="M247" s="51">
        <f>IF(OR(ISBLANK(J247),ISBLANK(K247)),IF(OR(H247="ALI",H247="AIE"),"L",IF(ISBLANK(H247),"","A")),IF(H247="EE",IF(K247&gt;=3,IF(J247&gt;=5,"H","A"),IF(K247&gt;=2,IF(J247&gt;=16,"H",IF(J247&lt;=4,"L","A")),IF(J247&lt;=15,"L","A"))),IF(OR(H247="SE",H247="CE"),IF(K247&gt;=4,IF(J247&gt;=6,"H","A"),IF(K247&gt;=2,IF(J247&gt;=20,"H",IF(J247&lt;=5,"L","A")),IF(J247&lt;=19,"L","A"))),IF(OR(H247="ALI",H247="AIE"),IF(K247&gt;=6,IF(J247&gt;=20,"H","A"),IF(K247&gt;=2,IF(J247&gt;=51,"H",IF(J247&lt;=19,"L","A")),IF(J247&lt;=50,"L","A")))))))</f>
        <v/>
      </c>
      <c r="N247" s="52">
        <f>IF(M247="L","Baixa",IF(M247="A","Média",IF(M247="","","Alta")))</f>
        <v/>
      </c>
      <c r="O247" s="53">
        <f>IF(ISBLANK(H247),"",IF(H247="ALI",IF(M247="L",7,IF(M247="A",10,15)),IF(H247="AIE",IF(M247="L",5,IF(M247="A",7,10)),IF(H247="SE",IF(M247="L",4,IF(M247="A",5,7)),IF(OR(H247="EE",H247="CE"),IF(M247="L",3,IF(M247="A",4,6)))))))</f>
        <v/>
      </c>
      <c r="P247" s="54">
        <f>IF(I247="I",O247*Contagem!$W$15,IF(I247="E",O247*Contagem!$W$17,IF(I247="A",O247*Contagem!$W$16,IF(I247="T",O247*Contagem!$W$18,""))))</f>
        <v/>
      </c>
      <c r="Q247" s="55" t="n"/>
    </row>
    <row r="248" ht="12" customHeight="1" s="73">
      <c r="A248" s="14">
        <f>IF(H248="",IF(C248="",A247,A247+1),A247)</f>
        <v/>
      </c>
      <c r="B248" s="48">
        <f>IF(A248=A247,"",CONCATENATE("F",A248))</f>
        <v/>
      </c>
      <c r="C248" s="85" t="inlineStr">
        <is>
          <t>Dados - Bloqueio de inscrição de escritório virtual</t>
        </is>
      </c>
      <c r="D248" s="142" t="n"/>
      <c r="E248" s="142" t="n"/>
      <c r="F248" s="142" t="n"/>
      <c r="G248" s="143" t="n"/>
      <c r="H248" s="56" t="inlineStr">
        <is>
          <t>ALI</t>
        </is>
      </c>
      <c r="I248" s="57" t="inlineStr">
        <is>
          <t>I</t>
        </is>
      </c>
      <c r="J248" s="56" t="n">
        <v>5</v>
      </c>
      <c r="K248" s="56" t="n">
        <v>1</v>
      </c>
      <c r="L248" s="50">
        <f>CONCATENATE(H248,M248)</f>
        <v/>
      </c>
      <c r="M248" s="51">
        <f>IF(OR(ISBLANK(J248),ISBLANK(K248)),IF(OR(H248="ALI",H248="AIE"),"L",IF(ISBLANK(H248),"","A")),IF(H248="EE",IF(K248&gt;=3,IF(J248&gt;=5,"H","A"),IF(K248&gt;=2,IF(J248&gt;=16,"H",IF(J248&lt;=4,"L","A")),IF(J248&lt;=15,"L","A"))),IF(OR(H248="SE",H248="CE"),IF(K248&gt;=4,IF(J248&gt;=6,"H","A"),IF(K248&gt;=2,IF(J248&gt;=20,"H",IF(J248&lt;=5,"L","A")),IF(J248&lt;=19,"L","A"))),IF(OR(H248="ALI",H248="AIE"),IF(K248&gt;=6,IF(J248&gt;=20,"H","A"),IF(K248&gt;=2,IF(J248&gt;=51,"H",IF(J248&lt;=19,"L","A")),IF(J248&lt;=50,"L","A")))))))</f>
        <v/>
      </c>
      <c r="N248" s="52">
        <f>IF(M248="L","Baixa",IF(M248="A","Média",IF(M248="","","Alta")))</f>
        <v/>
      </c>
      <c r="O248" s="53">
        <f>IF(ISBLANK(H248),"",IF(H248="ALI",IF(M248="L",7,IF(M248="A",10,15)),IF(H248="AIE",IF(M248="L",5,IF(M248="A",7,10)),IF(H248="SE",IF(M248="L",4,IF(M248="A",5,7)),IF(OR(H248="EE",H248="CE"),IF(M248="L",3,IF(M248="A",4,6)))))))</f>
        <v/>
      </c>
      <c r="P248" s="54">
        <f>IF(I248="I",O248*Contagem!$W$15,IF(I248="E",O248*Contagem!$W$17,IF(I248="A",O248*Contagem!$W$16,IF(I248="T",O248*Contagem!$W$18,""))))</f>
        <v/>
      </c>
      <c r="Q248" s="55" t="inlineStr">
        <is>
          <t>Prova: Model app/Models/VirtualOfficeInscriptionLock.php; migration database/migrations/2026_07_16_100100_create_virtual_office_inscription_locks.php. Criado ao deferir a sede (AnaliseTecnicaDecisionService) e liberado na desvinculação (EscritorioVirtualDesvinculacaoController, DesvincularInscricaoService), transações de outras áreas. Consultado por inscrição em UpdateSolicitacaoAtividadesRequest e AbrigadoResolver para barrar nova sede e reconhecer abrigados. Teste: tests/Feature/EscritorioVirtual/InscriptionLockTest.php::test_scope_ativo_por_inscricao. Arquivo lógico: o bloqueio da inscrição tem ciclo próprio (ativo, liberado) e é procurado pela inscrição a partir de outras solicitações, o que lhe dá significado de negócio próprio; não é dado de código. TD=5 (inscrição imobiliária, solicitação da sede, ativo, bloqueado em, liberado em). TR=1 (Bloqueio de inscrição). Recontagem 16/10/2026: mantida (linha 513 da contagem de 01/10/2026).</t>
        </is>
      </c>
    </row>
    <row r="249" ht="12" customHeight="1" s="73">
      <c r="A249" s="14">
        <f>IF(H249="",IF(C249="",A248,A248+1),A248)</f>
        <v/>
      </c>
      <c r="B249" s="48">
        <f>IF(A249=A248,"",CONCATENATE("F",A249))</f>
        <v/>
      </c>
      <c r="C249" s="85" t="inlineStr">
        <is>
          <t>Escritório virtual - desvincular inscrição</t>
        </is>
      </c>
      <c r="D249" s="142" t="n"/>
      <c r="E249" s="142" t="n"/>
      <c r="F249" s="142" t="n"/>
      <c r="G249" s="143" t="n"/>
      <c r="H249" s="56" t="inlineStr">
        <is>
          <t>EE</t>
        </is>
      </c>
      <c r="I249" s="57" t="inlineStr">
        <is>
          <t>I</t>
        </is>
      </c>
      <c r="J249" s="56" t="n">
        <v>4</v>
      </c>
      <c r="K249" s="56" t="n">
        <v>5</v>
      </c>
      <c r="L249" s="50">
        <f>CONCATENATE(H249,M249)</f>
        <v/>
      </c>
      <c r="M249" s="51">
        <f>IF(OR(ISBLANK(J249),ISBLANK(K249)),IF(OR(H249="ALI",H249="AIE"),"L",IF(ISBLANK(H249),"","A")),IF(H249="EE",IF(K249&gt;=3,IF(J249&gt;=5,"H","A"),IF(K249&gt;=2,IF(J249&gt;=16,"H",IF(J249&lt;=4,"L","A")),IF(J249&lt;=15,"L","A"))),IF(OR(H249="SE",H249="CE"),IF(K249&gt;=4,IF(J249&gt;=6,"H","A"),IF(K249&gt;=2,IF(J249&gt;=20,"H",IF(J249&lt;=5,"L","A")),IF(J249&lt;=19,"L","A"))),IF(OR(H249="ALI",H249="AIE"),IF(K249&gt;=6,IF(J249&gt;=20,"H","A"),IF(K249&gt;=2,IF(J249&gt;=51,"H",IF(J249&lt;=19,"L","A")),IF(J249&lt;=50,"L","A")))))))</f>
        <v/>
      </c>
      <c r="N249" s="52">
        <f>IF(M249="L","Baixa",IF(M249="A","Média",IF(M249="","","Alta")))</f>
        <v/>
      </c>
      <c r="O249" s="53">
        <f>IF(ISBLANK(H249),"",IF(H249="ALI",IF(M249="L",7,IF(M249="A",10,15)),IF(H249="AIE",IF(M249="L",5,IF(M249="A",7,10)),IF(H249="SE",IF(M249="L",4,IF(M249="A",5,7)),IF(OR(H249="EE",H249="CE"),IF(M249="L",3,IF(M249="A",4,6)))))))</f>
        <v/>
      </c>
      <c r="P249" s="54">
        <f>IF(I249="I",O249*Contagem!$W$15,IF(I249="E",O249*Contagem!$W$17,IF(I249="A",O249*Contagem!$W$16,IF(I249="T",O249*Contagem!$W$18,""))))</f>
        <v/>
      </c>
      <c r="Q249" s="55" t="inlineStr">
        <is>
          <t>Prova: Rota POST /gestao/processos/{id}/desvincular-inscricao (emitir-tvl). O gestor informa o motivo; DesvincularInscricaoService desativa o bloqueio da inscrição, registra a pendência de comunicação à SEFAZ (envio bloqueado pela HU-110, fora do AR) e notifica os abrigados, devolvendo a quantidade notificada. Teste: tests/Feature/EscritorioVirtual/DesvincularInscricaoEndpointTest.php::test_gestor_desvincula_inscricao_da_sede. Processo elementar independente: Menor unidade com significado para o gestor; completa por si (informa motivo e confirma); deixa a inscrição livre e os abrigados avisados; lógica única de desvinculação da sede virtual. TD=4 (motivo, quantidade de abrigados notificados, mensagem, ação).  Para demonstrar: envio da comunicação à SEFAZ depende da integração SEFAZ disponível; falha no envio não reverte a desvinculação. AR=5 (Bloqueio de inscrição de escritório virtual, Solicitação de viabilidade, Decisão de viabilidade, Trilha de auditoria, Comunicação ao requerente). Premissa P4: DesvincularInscricaoService grava a trilha ($this-&gt;audit-&gt;log) e registra a comunicação aos abrigados no mesmo request (NotificationDispatcher::deliver → Communication::create). Notificação ao usuário saiu do AR: a notificação é gravada pela fila (AbrigadoDesvinculadoNotification implements ShouldQueue), fora do processamento síncrono. Recontagem 16/10/2026: alterada (linha 242 da contagem de 01/10/2026: "Escritório virtual - desvincular inscrição", EE Média 4 PF, TD 4, AR 4). Motivo: Harmonização: AR 4→5 em relação a 01/10 (PF 4→4); motivo nas observações (premissa P4/revisão do catálogo).</t>
        </is>
      </c>
    </row>
    <row r="250" ht="12" customHeight="1" s="73">
      <c r="A250" s="14">
        <f>IF(H250="",IF(C250="",A249,A249+1),A249)</f>
        <v/>
      </c>
      <c r="B250" s="48">
        <f>IF(A250=A249,"",CONCATENATE("F",A250))</f>
        <v/>
      </c>
      <c r="C250" s="85" t="n"/>
      <c r="D250" s="142" t="n"/>
      <c r="E250" s="142" t="n"/>
      <c r="F250" s="142" t="n"/>
      <c r="G250" s="143" t="n"/>
      <c r="H250" s="56" t="n"/>
      <c r="I250" s="57" t="n"/>
      <c r="J250" s="56" t="n"/>
      <c r="K250" s="56" t="n"/>
      <c r="L250" s="50">
        <f>CONCATENATE(H250,M250)</f>
        <v/>
      </c>
      <c r="M250" s="51">
        <f>IF(OR(ISBLANK(J250),ISBLANK(K250)),IF(OR(H250="ALI",H250="AIE"),"L",IF(ISBLANK(H250),"","A")),IF(H250="EE",IF(K250&gt;=3,IF(J250&gt;=5,"H","A"),IF(K250&gt;=2,IF(J250&gt;=16,"H",IF(J250&lt;=4,"L","A")),IF(J250&lt;=15,"L","A"))),IF(OR(H250="SE",H250="CE"),IF(K250&gt;=4,IF(J250&gt;=6,"H","A"),IF(K250&gt;=2,IF(J250&gt;=20,"H",IF(J250&lt;=5,"L","A")),IF(J250&lt;=19,"L","A"))),IF(OR(H250="ALI",H250="AIE"),IF(K250&gt;=6,IF(J250&gt;=20,"H","A"),IF(K250&gt;=2,IF(J250&gt;=51,"H",IF(J250&lt;=19,"L","A")),IF(J250&lt;=50,"L","A")))))))</f>
        <v/>
      </c>
      <c r="N250" s="52">
        <f>IF(M250="L","Baixa",IF(M250="A","Média",IF(M250="","","Alta")))</f>
        <v/>
      </c>
      <c r="O250" s="53">
        <f>IF(ISBLANK(H250),"",IF(H250="ALI",IF(M250="L",7,IF(M250="A",10,15)),IF(H250="AIE",IF(M250="L",5,IF(M250="A",7,10)),IF(H250="SE",IF(M250="L",4,IF(M250="A",5,7)),IF(OR(H250="EE",H250="CE"),IF(M250="L",3,IF(M250="A",4,6)))))))</f>
        <v/>
      </c>
      <c r="P250" s="54">
        <f>IF(I250="I",O250*Contagem!$W$15,IF(I250="E",O250*Contagem!$W$17,IF(I250="A",O250*Contagem!$W$16,IF(I250="T",O250*Contagem!$W$18,""))))</f>
        <v/>
      </c>
      <c r="Q250" s="55" t="n"/>
    </row>
    <row r="251" ht="12" customHeight="1" s="73">
      <c r="A251" s="14">
        <f>IF(H251="",IF(C251="",A250,A250+1),A250)</f>
        <v/>
      </c>
      <c r="B251" s="48">
        <f>IF(A251=A250,"",CONCATENATE("F",A251))</f>
        <v/>
      </c>
      <c r="C251" s="85" t="inlineStr">
        <is>
          <t>Registro em contingência</t>
        </is>
      </c>
      <c r="D251" s="142" t="n"/>
      <c r="E251" s="142" t="n"/>
      <c r="F251" s="142" t="n"/>
      <c r="G251" s="143" t="n"/>
      <c r="H251" s="56" t="n"/>
      <c r="I251" s="57" t="n"/>
      <c r="J251" s="56" t="n"/>
      <c r="K251" s="56" t="n"/>
      <c r="L251" s="50">
        <f>CONCATENATE(H251,M251)</f>
        <v/>
      </c>
      <c r="M251" s="51">
        <f>IF(OR(ISBLANK(J251),ISBLANK(K251)),IF(OR(H251="ALI",H251="AIE"),"L",IF(ISBLANK(H251),"","A")),IF(H251="EE",IF(K251&gt;=3,IF(J251&gt;=5,"H","A"),IF(K251&gt;=2,IF(J251&gt;=16,"H",IF(J251&lt;=4,"L","A")),IF(J251&lt;=15,"L","A"))),IF(OR(H251="SE",H251="CE"),IF(K251&gt;=4,IF(J251&gt;=6,"H","A"),IF(K251&gt;=2,IF(J251&gt;=20,"H",IF(J251&lt;=5,"L","A")),IF(J251&lt;=19,"L","A"))),IF(OR(H251="ALI",H251="AIE"),IF(K251&gt;=6,IF(J251&gt;=20,"H","A"),IF(K251&gt;=2,IF(J251&gt;=51,"H",IF(J251&lt;=19,"L","A")),IF(J251&lt;=50,"L","A")))))))</f>
        <v/>
      </c>
      <c r="N251" s="52">
        <f>IF(M251="L","Baixa",IF(M251="A","Média",IF(M251="","","Alta")))</f>
        <v/>
      </c>
      <c r="O251" s="53">
        <f>IF(ISBLANK(H251),"",IF(H251="ALI",IF(M251="L",7,IF(M251="A",10,15)),IF(H251="AIE",IF(M251="L",5,IF(M251="A",7,10)),IF(H251="SE",IF(M251="L",4,IF(M251="A",5,7)),IF(OR(H251="EE",H251="CE"),IF(M251="L",3,IF(M251="A",4,6)))))))</f>
        <v/>
      </c>
      <c r="P251" s="54">
        <f>IF(I251="I",O251*Contagem!$W$15,IF(I251="E",O251*Contagem!$W$17,IF(I251="A",O251*Contagem!$W$16,IF(I251="T",O251*Contagem!$W$18,""))))</f>
        <v/>
      </c>
      <c r="Q251" s="55" t="n"/>
    </row>
    <row r="252" ht="12" customHeight="1" s="73">
      <c r="A252" s="14">
        <f>IF(H252="",IF(C252="",A251,A251+1),A251)</f>
        <v/>
      </c>
      <c r="B252" s="48">
        <f>IF(A252=A251,"",CONCATENATE("F",A252))</f>
        <v/>
      </c>
      <c r="C252" s="85" t="inlineStr">
        <is>
          <t>Contingência - registrar solicitação</t>
        </is>
      </c>
      <c r="D252" s="142" t="n"/>
      <c r="E252" s="142" t="n"/>
      <c r="F252" s="142" t="n"/>
      <c r="G252" s="143" t="n"/>
      <c r="H252" s="56" t="inlineStr">
        <is>
          <t>EE</t>
        </is>
      </c>
      <c r="I252" s="57" t="inlineStr">
        <is>
          <t>I</t>
        </is>
      </c>
      <c r="J252" s="56" t="n">
        <v>23</v>
      </c>
      <c r="K252" s="56" t="n">
        <v>7</v>
      </c>
      <c r="L252" s="50">
        <f>CONCATENATE(H252,M252)</f>
        <v/>
      </c>
      <c r="M252" s="51">
        <f>IF(OR(ISBLANK(J252),ISBLANK(K252)),IF(OR(H252="ALI",H252="AIE"),"L",IF(ISBLANK(H252),"","A")),IF(H252="EE",IF(K252&gt;=3,IF(J252&gt;=5,"H","A"),IF(K252&gt;=2,IF(J252&gt;=16,"H",IF(J252&lt;=4,"L","A")),IF(J252&lt;=15,"L","A"))),IF(OR(H252="SE",H252="CE"),IF(K252&gt;=4,IF(J252&gt;=6,"H","A"),IF(K252&gt;=2,IF(J252&gt;=20,"H",IF(J252&lt;=5,"L","A")),IF(J252&lt;=19,"L","A"))),IF(OR(H252="ALI",H252="AIE"),IF(K252&gt;=6,IF(J252&gt;=20,"H","A"),IF(K252&gt;=2,IF(J252&gt;=51,"H",IF(J252&lt;=19,"L","A")),IF(J252&lt;=50,"L","A")))))))</f>
        <v/>
      </c>
      <c r="N252" s="52">
        <f>IF(M252="L","Baixa",IF(M252="A","Média",IF(M252="","","Alta")))</f>
        <v/>
      </c>
      <c r="O252" s="53">
        <f>IF(ISBLANK(H252),"",IF(H252="ALI",IF(M252="L",7,IF(M252="A",10,15)),IF(H252="AIE",IF(M252="L",5,IF(M252="A",7,10)),IF(H252="SE",IF(M252="L",4,IF(M252="A",5,7)),IF(OR(H252="EE",H252="CE"),IF(M252="L",3,IF(M252="A",4,6)))))))</f>
        <v/>
      </c>
      <c r="P252" s="54">
        <f>IF(I252="I",O252*Contagem!$W$15,IF(I252="E",O252*Contagem!$W$17,IF(I252="A",O252*Contagem!$W$16,IF(I252="T",O252*Contagem!$W$18,""))))</f>
        <v/>
      </c>
      <c r="Q252" s="55" t="inlineStr">
        <is>
          <t>Prova: Rota POST /gestao/contingencia (registrar-contingencia). Tela: gestao/contingencia/create. O operador registra a solicitação em nome do requerente. Bloqueia referência externa duplicada, grava solicitação, CNAEs, anexos e geometria, protocola e submete ao motor expresso. Teste: tests/Feature/Solicitacao/ContingenciaTest.php::test_registra_em_contingencia_segue_fluxo_padrao. Processo elementar independente: menor unidade com significado para o operador; completa por si (do formulário à solicitação protocolada); deixa o negócio consistente (tudo em uma transação, mesmo motor do canal normal); lógica única (origem contingência com motivo e referência externa). TD=23 (CPF do beneficiário, CNPJ, tipo de serviço, motivo da contingência, referência externa (BAP/REGIN), área utilizada, polígono do imóvel, tipo de imóvel, inscrição imobiliária, logradouro, número, complemento, bairro, CEP, ponto de referência, escritório virtual, área pública, acesso independente, CNAE principal, CNAEs complementares, documentos anexados, mensagem, ação registrar). AR=7 (Solicitação de viabilidade, Usuário, Empresa, CNAE, Tipo de imóvel, Requisito documental, Trilha de auditoria). Recontagem em 16/10/2026: a tela passou a usar o seletor de CNAE compartilhado (CnaePicker) e a consulta de CNAEs disponíveis (GET /gestao/contingencia/cnaes-disponiveis) segue contada uma vez em CNAEs - pesquisar atividade (outra área); mesmos DER e arquivos. Premissa P4: ContingenciaController grava a trilha por anexo ($this-&gt;audit-&gt;log documento-anexado) e a Solicitação de viabilidade usa HasAuditoria. Catálogo: Tipo de serviço retirado (dado de código); Documento anexado à solicitação passou a subgrupo da Solicitação de viabilidade. O tipo de serviço continua como DER informado. Recontagem 16/10/2026: alterada (linha 188 da contagem de 01/10/2026: "Contingência - registrar solicitação", EE Alta 6 PF, TD 23, AR 8). Motivo: Harmonização: AR 8→7 em relação a 01/10 (PF 6→6); motivo nas observações (premissa P4/revisão do catálogo).</t>
        </is>
      </c>
    </row>
    <row r="253" ht="12" customHeight="1" s="73">
      <c r="A253" s="14">
        <f>IF(H253="",IF(C253="",A252,A252+1),A252)</f>
        <v/>
      </c>
      <c r="B253" s="48">
        <f>IF(A253=A252,"",CONCATENATE("F",A253))</f>
        <v/>
      </c>
      <c r="C253" s="85" t="inlineStr">
        <is>
          <t>Contingência - consultar inscrição imobiliária</t>
        </is>
      </c>
      <c r="D253" s="142" t="n"/>
      <c r="E253" s="142" t="n"/>
      <c r="F253" s="142" t="n"/>
      <c r="G253" s="143" t="n"/>
      <c r="H253" s="56" t="inlineStr">
        <is>
          <t>SE</t>
        </is>
      </c>
      <c r="I253" s="57" t="inlineStr">
        <is>
          <t>I</t>
        </is>
      </c>
      <c r="J253" s="56" t="n">
        <v>10</v>
      </c>
      <c r="K253" s="56" t="n">
        <v>3</v>
      </c>
      <c r="L253" s="50">
        <f>CONCATENATE(H253,M253)</f>
        <v/>
      </c>
      <c r="M253" s="51">
        <f>IF(OR(ISBLANK(J253),ISBLANK(K253)),IF(OR(H253="ALI",H253="AIE"),"L",IF(ISBLANK(H253),"","A")),IF(H253="EE",IF(K253&gt;=3,IF(J253&gt;=5,"H","A"),IF(K253&gt;=2,IF(J253&gt;=16,"H",IF(J253&lt;=4,"L","A")),IF(J253&lt;=15,"L","A"))),IF(OR(H253="SE",H253="CE"),IF(K253&gt;=4,IF(J253&gt;=6,"H","A"),IF(K253&gt;=2,IF(J253&gt;=20,"H",IF(J253&lt;=5,"L","A")),IF(J253&lt;=19,"L","A"))),IF(OR(H253="ALI",H253="AIE"),IF(K253&gt;=6,IF(J253&gt;=20,"H","A"),IF(K253&gt;=2,IF(J253&gt;=51,"H",IF(J253&lt;=19,"L","A")),IF(J253&lt;=50,"L","A")))))))</f>
        <v/>
      </c>
      <c r="N253" s="52">
        <f>IF(M253="L","Baixa",IF(M253="A","Média",IF(M253="","","Alta")))</f>
        <v/>
      </c>
      <c r="O253" s="53">
        <f>IF(ISBLANK(H253),"",IF(H253="ALI",IF(M253="L",7,IF(M253="A",10,15)),IF(H253="AIE",IF(M253="L",5,IF(M253="A",7,10)),IF(H253="SE",IF(M253="L",4,IF(M253="A",5,7)),IF(OR(H253="EE",H253="CE"),IF(M253="L",3,IF(M253="A",4,6)))))))</f>
        <v/>
      </c>
      <c r="P253" s="54">
        <f>IF(I253="I",O253*Contagem!$W$15,IF(I253="E",O253*Contagem!$W$17,IF(I253="A",O253*Contagem!$W$16,IF(I253="T",O253*Contagem!$W$18,""))))</f>
        <v/>
      </c>
      <c r="Q253" s="55" t="inlineStr">
        <is>
          <t>Prova: Rota POST /gestao/contingencia/consultar-inscricao (registrar-contingencia). Tela: gestao/contingencia/create. O operador informa a inscrição e recebe o endereço do cadastro imobiliário; sem coordenada, geocodifica o endereço. Não grava dado de negócio; grava a consulta na trilha. Teste: tests/Feature/Solicitacao/ConsultarInscricaoContingenciaTest.php::test_consulta_preenche_endereco_e_coordenada_do_cadastro. Processo elementar independente: menor unidade com significado para o operador; completa por si (informa a inscrição e recebe o endereço); deixa o negócio consistente (nenhum dado de negócio é gravado, falha informada); lógica única (consulta ao cadastro imobiliário externo). TD=10 (inscrição imobiliária, logradouro, número, complemento, bairro, CEP, latitude, longitude, mensagem, ação consultar). AR=3 (Cadastro imobiliário da SEFAZ, Endereços geocodificados do OpenStreetMap, Trilha de auditoria). Para demonstrar: features.cadastro_imobiliario ligado e integrations.inscricao_imobiliaria configurada; coordenada por geocodificação com features.geocoding. Premissa P4: ConsultarInscricaoContingenciaController grava cada resultado da consulta na trilha ($this-&gt;audit-&gt;log), por isso passa de CE a SE (§5.5.3: CE não atualiza ALI). Catálogo: sem coordenada no cadastro, o endereço é geocodificado pelo Geocoder ligado a NominatimGeocoder (AppServiceProvider), por isso o AIE Endereços geocodificados do OpenStreetMap entra no AR. Recontagem 16/10/2026: alterada (linha 189 da contagem de 01/10/2026: "Contingência - consultar inscrição imobiliária", CE Baixa 3 PF, TD 10, AR 1). Motivo: Harmonização: CE→SE, AR 1→3 em relação a 01/10 (PF 3→5); motivo nas observações (premissa P4/revisão do catálogo).</t>
        </is>
      </c>
    </row>
    <row r="254" ht="12" customHeight="1" s="73">
      <c r="A254" s="14">
        <f>IF(H254="",IF(C254="",A253,A253+1),A253)</f>
        <v/>
      </c>
      <c r="B254" s="48">
        <f>IF(A254=A253,"",CONCATENATE("F",A254))</f>
        <v/>
      </c>
      <c r="C254" s="85" t="inlineStr">
        <is>
          <t>Contingência - consultar CNPJ na base da SEDUR</t>
        </is>
      </c>
      <c r="D254" s="142" t="n"/>
      <c r="E254" s="142" t="n"/>
      <c r="F254" s="142" t="n"/>
      <c r="G254" s="143" t="n"/>
      <c r="H254" s="56" t="inlineStr">
        <is>
          <t>SE</t>
        </is>
      </c>
      <c r="I254" s="57" t="inlineStr">
        <is>
          <t>I</t>
        </is>
      </c>
      <c r="J254" s="56" t="n">
        <v>6</v>
      </c>
      <c r="K254" s="56" t="n">
        <v>3</v>
      </c>
      <c r="L254" s="50">
        <f>CONCATENATE(H254,M254)</f>
        <v/>
      </c>
      <c r="M254" s="51">
        <f>IF(OR(ISBLANK(J254),ISBLANK(K254)),IF(OR(H254="ALI",H254="AIE"),"L",IF(ISBLANK(H254),"","A")),IF(H254="EE",IF(K254&gt;=3,IF(J254&gt;=5,"H","A"),IF(K254&gt;=2,IF(J254&gt;=16,"H",IF(J254&lt;=4,"L","A")),IF(J254&lt;=15,"L","A"))),IF(OR(H254="SE",H254="CE"),IF(K254&gt;=4,IF(J254&gt;=6,"H","A"),IF(K254&gt;=2,IF(J254&gt;=20,"H",IF(J254&lt;=5,"L","A")),IF(J254&lt;=19,"L","A"))),IF(OR(H254="ALI",H254="AIE"),IF(K254&gt;=6,IF(J254&gt;=20,"H","A"),IF(K254&gt;=2,IF(J254&gt;=51,"H",IF(J254&lt;=19,"L","A")),IF(J254&lt;=50,"L","A")))))))</f>
        <v/>
      </c>
      <c r="N254" s="52">
        <f>IF(M254="L","Baixa",IF(M254="A","Média",IF(M254="","","Alta")))</f>
        <v/>
      </c>
      <c r="O254" s="53">
        <f>IF(ISBLANK(H254),"",IF(H254="ALI",IF(M254="L",7,IF(M254="A",10,15)),IF(H254="AIE",IF(M254="L",5,IF(M254="A",7,10)),IF(H254="SE",IF(M254="L",4,IF(M254="A",5,7)),IF(OR(H254="EE",H254="CE"),IF(M254="L",3,IF(M254="A",4,6)))))))</f>
        <v/>
      </c>
      <c r="P254" s="54">
        <f>IF(I254="I",O254*Contagem!$W$15,IF(I254="E",O254*Contagem!$W$17,IF(I254="A",O254*Contagem!$W$16,IF(I254="T",O254*Contagem!$W$18,""))))</f>
        <v/>
      </c>
      <c r="Q254" s="55" t="inlineStr">
        <is>
          <t>Prova: Rota POST /gestao/contingencia/consultar-cnpj (registrar-contingencia). Tela: gestao/contingencia/create, cartão Beneficiário e empresa. O operador informa o CNPJ; ConsultarDocumentoContingenciaController consulta o ws-contato da SEDUR (SedurContatoClient::consultarCnpj) e verifica se a empresa já está cadastrada no Viabiliza; devolve razão social, nome fantasia e a indicação de cadastro, ou mensagem de não encontrado ou indisponível. Não grava dado de negócio; grava a consulta na trilha. Teste: tests/Feature/Solicitacao/ConsultarDocumentoContingenciaTest.php::test_consulta_cnpj_devolve_a_razao_social. Processo elementar independente: menor unidade com significado para o operador; completa por si (informa o CNPJ e recebe o nome e a situação de cadastro); deixa o negócio consistente (nada é gravado). Unicidade: difere de Empresas - consultar CNPJ na base de contatos da SEDUR (portal, CnpjLookupController), que devolve 18 dados cadastrais para preencher o formulário e não lê Empresa; aqui saem só o nome e a indicação de já cadastrado, com leitura de Empresa. DER, arquivos e lógica diferentes: processos distintos (§5.5.2.2). Não estava na contagem anterior (rota criada em 29/09/2026 e não registrada). Classificação: apresenta dados recuperados e grava a consulta na trilha; pela regra é SE (§5.5.3). TD=6 (CNPJ, razão social, nome fantasia, já cadastrado no Viabiliza, mensagem, ação buscar). AR=3 (Contato cadastral da SEDUR (CNPJ), Empresa, Trilha de auditoria). Para demonstrar: integrations.sedur_contato configurado. Premissa P4: ConsultarDocumentoContingenciaController grava cada resultado na trilha ($this-&gt;audit-&gt;log consulta-cnpj), por isso SE e não CE (§5.5.3). Recontagem 16/10/2026: nova (não constava da contagem de 01/10/2026). Função não constava da contagem de 01/10/2026.</t>
        </is>
      </c>
    </row>
    <row r="255" ht="12" customHeight="1" s="73">
      <c r="A255" s="14">
        <f>IF(H255="",IF(C255="",A254,A254+1),A254)</f>
        <v/>
      </c>
      <c r="B255" s="48">
        <f>IF(A255=A254,"",CONCATENATE("F",A255))</f>
        <v/>
      </c>
      <c r="C255" s="85" t="n"/>
      <c r="D255" s="142" t="n"/>
      <c r="E255" s="142" t="n"/>
      <c r="F255" s="142" t="n"/>
      <c r="G255" s="143" t="n"/>
      <c r="H255" s="56" t="n"/>
      <c r="I255" s="57" t="n"/>
      <c r="J255" s="56" t="n"/>
      <c r="K255" s="56" t="n"/>
      <c r="L255" s="50">
        <f>CONCATENATE(H255,M255)</f>
        <v/>
      </c>
      <c r="M255" s="51">
        <f>IF(OR(ISBLANK(J255),ISBLANK(K255)),IF(OR(H255="ALI",H255="AIE"),"L",IF(ISBLANK(H255),"","A")),IF(H255="EE",IF(K255&gt;=3,IF(J255&gt;=5,"H","A"),IF(K255&gt;=2,IF(J255&gt;=16,"H",IF(J255&lt;=4,"L","A")),IF(J255&lt;=15,"L","A"))),IF(OR(H255="SE",H255="CE"),IF(K255&gt;=4,IF(J255&gt;=6,"H","A"),IF(K255&gt;=2,IF(J255&gt;=20,"H",IF(J255&lt;=5,"L","A")),IF(J255&lt;=19,"L","A"))),IF(OR(H255="ALI",H255="AIE"),IF(K255&gt;=6,IF(J255&gt;=20,"H","A"),IF(K255&gt;=2,IF(J255&gt;=51,"H",IF(J255&lt;=19,"L","A")),IF(J255&lt;=50,"L","A")))))))</f>
        <v/>
      </c>
      <c r="N255" s="52">
        <f>IF(M255="L","Baixa",IF(M255="A","Média",IF(M255="","","Alta")))</f>
        <v/>
      </c>
      <c r="O255" s="53">
        <f>IF(ISBLANK(H255),"",IF(H255="ALI",IF(M255="L",7,IF(M255="A",10,15)),IF(H255="AIE",IF(M255="L",5,IF(M255="A",7,10)),IF(H255="SE",IF(M255="L",4,IF(M255="A",5,7)),IF(OR(H255="EE",H255="CE"),IF(M255="L",3,IF(M255="A",4,6)))))))</f>
        <v/>
      </c>
      <c r="P255" s="54">
        <f>IF(I255="I",O255*Contagem!$W$15,IF(I255="E",O255*Contagem!$W$17,IF(I255="A",O255*Contagem!$W$16,IF(I255="T",O255*Contagem!$W$18,""))))</f>
        <v/>
      </c>
      <c r="Q255" s="55" t="n"/>
    </row>
    <row r="256" ht="12" customHeight="1" s="73">
      <c r="A256" s="14">
        <f>IF(H256="",IF(C256="",A255,A255+1),A255)</f>
        <v/>
      </c>
      <c r="B256" s="48">
        <f>IF(A256=A255,"",CONCATENATE("F",A256))</f>
        <v/>
      </c>
      <c r="C256" s="85" t="inlineStr">
        <is>
          <t>Atendimento presencial</t>
        </is>
      </c>
      <c r="D256" s="142" t="n"/>
      <c r="E256" s="142" t="n"/>
      <c r="F256" s="142" t="n"/>
      <c r="G256" s="143" t="n"/>
      <c r="H256" s="56" t="n"/>
      <c r="I256" s="57" t="n"/>
      <c r="J256" s="56" t="n"/>
      <c r="K256" s="56" t="n"/>
      <c r="L256" s="50">
        <f>CONCATENATE(H256,M256)</f>
        <v/>
      </c>
      <c r="M256" s="51">
        <f>IF(OR(ISBLANK(J256),ISBLANK(K256)),IF(OR(H256="ALI",H256="AIE"),"L",IF(ISBLANK(H256),"","A")),IF(H256="EE",IF(K256&gt;=3,IF(J256&gt;=5,"H","A"),IF(K256&gt;=2,IF(J256&gt;=16,"H",IF(J256&lt;=4,"L","A")),IF(J256&lt;=15,"L","A"))),IF(OR(H256="SE",H256="CE"),IF(K256&gt;=4,IF(J256&gt;=6,"H","A"),IF(K256&gt;=2,IF(J256&gt;=20,"H",IF(J256&lt;=5,"L","A")),IF(J256&lt;=19,"L","A"))),IF(OR(H256="ALI",H256="AIE"),IF(K256&gt;=6,IF(J256&gt;=20,"H","A"),IF(K256&gt;=2,IF(J256&gt;=51,"H",IF(J256&lt;=19,"L","A")),IF(J256&lt;=50,"L","A")))))))</f>
        <v/>
      </c>
      <c r="N256" s="52">
        <f>IF(M256="L","Baixa",IF(M256="A","Média",IF(M256="","","Alta")))</f>
        <v/>
      </c>
      <c r="O256" s="53">
        <f>IF(ISBLANK(H256),"",IF(H256="ALI",IF(M256="L",7,IF(M256="A",10,15)),IF(H256="AIE",IF(M256="L",5,IF(M256="A",7,10)),IF(H256="SE",IF(M256="L",4,IF(M256="A",5,7)),IF(OR(H256="EE",H256="CE"),IF(M256="L",3,IF(M256="A",4,6)))))))</f>
        <v/>
      </c>
      <c r="P256" s="54">
        <f>IF(I256="I",O256*Contagem!$W$15,IF(I256="E",O256*Contagem!$W$17,IF(I256="A",O256*Contagem!$W$16,IF(I256="T",O256*Contagem!$W$18,""))))</f>
        <v/>
      </c>
      <c r="Q256" s="55" t="n"/>
    </row>
    <row r="257" ht="12" customHeight="1" s="73">
      <c r="A257" s="14">
        <f>IF(H257="",IF(C257="",A256,A256+1),A256)</f>
        <v/>
      </c>
      <c r="B257" s="48">
        <f>IF(A257=A256,"",CONCATENATE("F",A257))</f>
        <v/>
      </c>
      <c r="C257" s="85" t="inlineStr">
        <is>
          <t>Dados - Atendimento presencial</t>
        </is>
      </c>
      <c r="D257" s="142" t="n"/>
      <c r="E257" s="142" t="n"/>
      <c r="F257" s="142" t="n"/>
      <c r="G257" s="143" t="n"/>
      <c r="H257" s="56" t="inlineStr">
        <is>
          <t>ALI</t>
        </is>
      </c>
      <c r="I257" s="57" t="inlineStr">
        <is>
          <t>I</t>
        </is>
      </c>
      <c r="J257" s="56" t="n">
        <v>5</v>
      </c>
      <c r="K257" s="56" t="n">
        <v>1</v>
      </c>
      <c r="L257" s="50">
        <f>CONCATENATE(H257,M257)</f>
        <v/>
      </c>
      <c r="M257" s="51">
        <f>IF(OR(ISBLANK(J257),ISBLANK(K257)),IF(OR(H257="ALI",H257="AIE"),"L",IF(ISBLANK(H257),"","A")),IF(H257="EE",IF(K257&gt;=3,IF(J257&gt;=5,"H","A"),IF(K257&gt;=2,IF(J257&gt;=16,"H",IF(J257&lt;=4,"L","A")),IF(J257&lt;=15,"L","A"))),IF(OR(H257="SE",H257="CE"),IF(K257&gt;=4,IF(J257&gt;=6,"H","A"),IF(K257&gt;=2,IF(J257&gt;=20,"H",IF(J257&lt;=5,"L","A")),IF(J257&lt;=19,"L","A"))),IF(OR(H257="ALI",H257="AIE"),IF(K257&gt;=6,IF(J257&gt;=20,"H","A"),IF(K257&gt;=2,IF(J257&gt;=51,"H",IF(J257&lt;=19,"L","A")),IF(J257&lt;=50,"L","A")))))))</f>
        <v/>
      </c>
      <c r="N257" s="52">
        <f>IF(M257="L","Baixa",IF(M257="A","Média",IF(M257="","","Alta")))</f>
        <v/>
      </c>
      <c r="O257" s="53">
        <f>IF(ISBLANK(H257),"",IF(H257="ALI",IF(M257="L",7,IF(M257="A",10,15)),IF(H257="AIE",IF(M257="L",5,IF(M257="A",7,10)),IF(H257="SE",IF(M257="L",4,IF(M257="A",5,7)),IF(OR(H257="EE",H257="CE"),IF(M257="L",3,IF(M257="A",4,6)))))))</f>
        <v/>
      </c>
      <c r="P257" s="54">
        <f>IF(I257="I",O257*Contagem!$W$15,IF(I257="E",O257*Contagem!$W$17,IF(I257="A",O257*Contagem!$W$16,IF(I257="T",O257*Contagem!$W$18,""))))</f>
        <v/>
      </c>
      <c r="Q257" s="55" t="inlineStr">
        <is>
          <t>Prova: Model app/Models/AssistedAttendance.php; migration database/migrations/2026_06_14_132807_create_assisted_attendances_table.php. Mantido por Atendimento presencial - abrir atendimento (store) e encerrar atendimento (destroy); referenciado na solicitação aberta em nome do cidadão. Teste: tests/Feature/Solicitacao/AtendimentoPresencialTest.php::test_inicia_atendimento_informando_cpf. Arquivo lógico: Grupo lógico reconhecido pelo atendente e pela gestão: registro do atendimento de balcão (quem atendeu, quem foi atendido, vigência), usado para representação e para o recorte balcão nos relatórios. TD=5 (atendente, cidadão atendido, início, expiração, encerramento). TR=1 (Atendimento presencial). Recontagem em 16/10/2026: sem migration nova desde 01/10/2026. Recontagem 16/10/2026: mantida (linha 291 da contagem de 01/10/2026).</t>
        </is>
      </c>
    </row>
    <row r="258" ht="12" customHeight="1" s="73">
      <c r="A258" s="14">
        <f>IF(H258="",IF(C258="",A257,A257+1),A257)</f>
        <v/>
      </c>
      <c r="B258" s="48">
        <f>IF(A258=A257,"",CONCATENATE("F",A258))</f>
        <v/>
      </c>
      <c r="C258" s="85" t="inlineStr">
        <is>
          <t>Atendimento presencial - consultar</t>
        </is>
      </c>
      <c r="D258" s="142" t="n"/>
      <c r="E258" s="142" t="n"/>
      <c r="F258" s="142" t="n"/>
      <c r="G258" s="143" t="n"/>
      <c r="H258" s="56" t="inlineStr">
        <is>
          <t>CE</t>
        </is>
      </c>
      <c r="I258" s="57" t="inlineStr">
        <is>
          <t>I</t>
        </is>
      </c>
      <c r="J258" s="56" t="n">
        <v>7</v>
      </c>
      <c r="K258" s="56" t="n">
        <v>4</v>
      </c>
      <c r="L258" s="50">
        <f>CONCATENATE(H258,M258)</f>
        <v/>
      </c>
      <c r="M258" s="51">
        <f>IF(OR(ISBLANK(J258),ISBLANK(K258)),IF(OR(H258="ALI",H258="AIE"),"L",IF(ISBLANK(H258),"","A")),IF(H258="EE",IF(K258&gt;=3,IF(J258&gt;=5,"H","A"),IF(K258&gt;=2,IF(J258&gt;=16,"H",IF(J258&lt;=4,"L","A")),IF(J258&lt;=15,"L","A"))),IF(OR(H258="SE",H258="CE"),IF(K258&gt;=4,IF(J258&gt;=6,"H","A"),IF(K258&gt;=2,IF(J258&gt;=20,"H",IF(J258&lt;=5,"L","A")),IF(J258&lt;=19,"L","A"))),IF(OR(H258="ALI",H258="AIE"),IF(K258&gt;=6,IF(J258&gt;=20,"H","A"),IF(K258&gt;=2,IF(J258&gt;=51,"H",IF(J258&lt;=19,"L","A")),IF(J258&lt;=50,"L","A")))))))</f>
        <v/>
      </c>
      <c r="N258" s="52">
        <f>IF(M258="L","Baixa",IF(M258="A","Média",IF(M258="","","Alta")))</f>
        <v/>
      </c>
      <c r="O258" s="53">
        <f>IF(ISBLANK(H258),"",IF(H258="ALI",IF(M258="L",7,IF(M258="A",10,15)),IF(H258="AIE",IF(M258="L",5,IF(M258="A",7,10)),IF(H258="SE",IF(M258="L",4,IF(M258="A",5,7)),IF(OR(H258="EE",H258="CE"),IF(M258="L",3,IF(M258="A",4,6)))))))</f>
        <v/>
      </c>
      <c r="P258" s="54">
        <f>IF(I258="I",O258*Contagem!$W$15,IF(I258="E",O258*Contagem!$W$17,IF(I258="A",O258*Contagem!$W$16,IF(I258="T",O258*Contagem!$W$18,""))))</f>
        <v/>
      </c>
      <c r="Q258" s="55" t="inlineStr">
        <is>
          <t>Prova: Rota GET /gestao/atendimento (atendimento-presencial). Tela: gestao/atendimento/index. O atendente vê o atendimento ativo. Lê Atendimento presencial, Usuário (cidadão), Empresa com Vínculo ativo e os tipos de serviço ativos (dado de código). Resultado: estação pronta para abrir solicitação. Teste: tests/Feature/Solicitacao/AtendimentoPresencialTest.php::test_pagina_do_atendimento_renderiza. Processo elementar independente: menor unidade com significado para o atendente; completa por si (abre a estação e recebe o atendimento ativo); deixa o negócio consistente (nada é gravado); lógica única (empresas com vínculo ativo do cidadão atendido). TD=7 (nome do cidadão, CPF mascarado, expira em, razão social, CNPJ, tipo de serviço, ação abrir tela). AR=4 (Atendimento presencial, Usuário, Empresa, Vínculo de usuário com empresa). Premissa P4: AssistedAttendanceController::index não grava. Catálogo: Tipo de serviço retirado (dado de código); continua DER da tela. Recontagem 16/10/2026: alterada (linha 292 da contagem de 01/10/2026: "Atendimento presencial - consultar", CE Alta 6 PF, TD 7, AR 5). Motivo: Harmonização: AR 5→4 em relação a 01/10 (PF 6→6); motivo nas observações (premissa P4/revisão do catálogo).</t>
        </is>
      </c>
    </row>
    <row r="259" ht="12" customHeight="1" s="73">
      <c r="A259" s="14">
        <f>IF(H259="",IF(C259="",A258,A258+1),A258)</f>
        <v/>
      </c>
      <c r="B259" s="48">
        <f>IF(A259=A258,"",CONCATENATE("F",A259))</f>
        <v/>
      </c>
      <c r="C259" s="85" t="inlineStr">
        <is>
          <t>Atendimento presencial - abrir atendimento</t>
        </is>
      </c>
      <c r="D259" s="142" t="n"/>
      <c r="E259" s="142" t="n"/>
      <c r="F259" s="142" t="n"/>
      <c r="G259" s="143" t="n"/>
      <c r="H259" s="56" t="inlineStr">
        <is>
          <t>EE</t>
        </is>
      </c>
      <c r="I259" s="57" t="inlineStr">
        <is>
          <t>I</t>
        </is>
      </c>
      <c r="J259" s="56" t="n">
        <v>3</v>
      </c>
      <c r="K259" s="56" t="n">
        <v>4</v>
      </c>
      <c r="L259" s="50">
        <f>CONCATENATE(H259,M259)</f>
        <v/>
      </c>
      <c r="M259" s="51">
        <f>IF(OR(ISBLANK(J259),ISBLANK(K259)),IF(OR(H259="ALI",H259="AIE"),"L",IF(ISBLANK(H259),"","A")),IF(H259="EE",IF(K259&gt;=3,IF(J259&gt;=5,"H","A"),IF(K259&gt;=2,IF(J259&gt;=16,"H",IF(J259&lt;=4,"L","A")),IF(J259&lt;=15,"L","A"))),IF(OR(H259="SE",H259="CE"),IF(K259&gt;=4,IF(J259&gt;=6,"H","A"),IF(K259&gt;=2,IF(J259&gt;=20,"H",IF(J259&lt;=5,"L","A")),IF(J259&lt;=19,"L","A"))),IF(OR(H259="ALI",H259="AIE"),IF(K259&gt;=6,IF(J259&gt;=20,"H","A"),IF(K259&gt;=2,IF(J259&gt;=51,"H",IF(J259&lt;=19,"L","A")),IF(J259&lt;=50,"L","A")))))))</f>
        <v/>
      </c>
      <c r="N259" s="52">
        <f>IF(M259="L","Baixa",IF(M259="A","Média",IF(M259="","","Alta")))</f>
        <v/>
      </c>
      <c r="O259" s="53">
        <f>IF(ISBLANK(H259),"",IF(H259="ALI",IF(M259="L",7,IF(M259="A",10,15)),IF(H259="AIE",IF(M259="L",5,IF(M259="A",7,10)),IF(H259="SE",IF(M259="L",4,IF(M259="A",5,7)),IF(OR(H259="EE",H259="CE"),IF(M259="L",3,IF(M259="A",4,6)))))))</f>
        <v/>
      </c>
      <c r="P259" s="54">
        <f>IF(I259="I",O259*Contagem!$W$15,IF(I259="E",O259*Contagem!$W$17,IF(I259="A",O259*Contagem!$W$16,IF(I259="T",O259*Contagem!$W$18,""))))</f>
        <v/>
      </c>
      <c r="Q259" s="55" t="inlineStr">
        <is>
          <t>Prova: Rota POST /gestao/atendimento (atendimento-presencial). Tela: gestao/atendimento/index. O atendente informa o CPF. Lê Usuário (cidadão com conta) e Parâmetro (expiração); grava Atendimento presencial e Trilha de auditoria. Resultado: atendente opera em nome do cidadão. Teste: tests/Feature/Solicitacao/AtendimentoPresencialTest.php::test_inicia_atendimento_informando_cpf. Processo elementar independente: menor unidade com significado para o atendente; completa por si (informa CPF e recebe confirmação); deixa o negócio consistente (vínculo com expiração); lógica única (bloqueia CPF sem conta e a própria conta). TD=3 (CPF, mensagem, ação iniciar). AR=4 (Usuário, Atendimento presencial, Parâmetro, Trilha de auditoria). Premissa P4: AssistedAttendanceController::store grava a trilha ($this-&gt;audit-&gt;log atendimento-iniciado). Recontagem 16/10/2026: mantida (linha 293 da contagem de 01/10/2026).</t>
        </is>
      </c>
    </row>
    <row r="260" ht="12" customHeight="1" s="73">
      <c r="A260" s="14">
        <f>IF(H260="",IF(C260="",A259,A259+1),A259)</f>
        <v/>
      </c>
      <c r="B260" s="48">
        <f>IF(A260=A259,"",CONCATENATE("F",A260))</f>
        <v/>
      </c>
      <c r="C260" s="85" t="inlineStr">
        <is>
          <t>Atendimento presencial - abrir solicitação para o cidadão</t>
        </is>
      </c>
      <c r="D260" s="142" t="n"/>
      <c r="E260" s="142" t="n"/>
      <c r="F260" s="142" t="n"/>
      <c r="G260" s="143" t="n"/>
      <c r="H260" s="56" t="inlineStr">
        <is>
          <t>EE</t>
        </is>
      </c>
      <c r="I260" s="57" t="inlineStr">
        <is>
          <t>I</t>
        </is>
      </c>
      <c r="J260" s="56" t="n">
        <v>4</v>
      </c>
      <c r="K260" s="56" t="n">
        <v>5</v>
      </c>
      <c r="L260" s="50">
        <f>CONCATENATE(H260,M260)</f>
        <v/>
      </c>
      <c r="M260" s="51">
        <f>IF(OR(ISBLANK(J260),ISBLANK(K260)),IF(OR(H260="ALI",H260="AIE"),"L",IF(ISBLANK(H260),"","A")),IF(H260="EE",IF(K260&gt;=3,IF(J260&gt;=5,"H","A"),IF(K260&gt;=2,IF(J260&gt;=16,"H",IF(J260&lt;=4,"L","A")),IF(J260&lt;=15,"L","A"))),IF(OR(H260="SE",H260="CE"),IF(K260&gt;=4,IF(J260&gt;=6,"H","A"),IF(K260&gt;=2,IF(J260&gt;=20,"H",IF(J260&lt;=5,"L","A")),IF(J260&lt;=19,"L","A"))),IF(OR(H260="ALI",H260="AIE"),IF(K260&gt;=6,IF(J260&gt;=20,"H","A"),IF(K260&gt;=2,IF(J260&gt;=51,"H",IF(J260&lt;=19,"L","A")),IF(J260&lt;=50,"L","A")))))))</f>
        <v/>
      </c>
      <c r="N260" s="52">
        <f>IF(M260="L","Baixa",IF(M260="A","Média",IF(M260="","","Alta")))</f>
        <v/>
      </c>
      <c r="O260" s="53">
        <f>IF(ISBLANK(H260),"",IF(H260="ALI",IF(M260="L",7,IF(M260="A",10,15)),IF(H260="AIE",IF(M260="L",5,IF(M260="A",7,10)),IF(H260="SE",IF(M260="L",4,IF(M260="A",5,7)),IF(OR(H260="EE",H260="CE"),IF(M260="L",3,IF(M260="A",4,6)))))))</f>
        <v/>
      </c>
      <c r="P260" s="54">
        <f>IF(I260="I",O260*Contagem!$W$15,IF(I260="E",O260*Contagem!$W$17,IF(I260="A",O260*Contagem!$W$16,IF(I260="T",O260*Contagem!$W$18,""))))</f>
        <v/>
      </c>
      <c r="Q260" s="55" t="inlineStr">
        <is>
          <t>Prova: Rota POST /gestao/atendimento/solicitacoes (atendimento-presencial). Tela: gestao/atendimento/index. O atendente abre solicitação em nome do cidadão. Lê Atendimento ativo, Empresa e Vínculo; grava Solicitação de viabilidade (requerente cidadão, criador atendente) e Trilha. Teste: tests/Feature/Solicitacao/AtendimentoPresencialTest.php::test_acao_em_nome_do_cidadao_registra_os_dois_cpfs. Processo elementar independente: menor unidade com significado para o atendente; completa por si (escolhe serviço e empresa e recebe confirmação); deixa o negócio consistente (solicitação ligada ao atendimento); lógica única (exige atendimento ativo e vínculo do cidadão). TD=4 (tipo de serviço, empresa, mensagem, ação abrir). AR=5 (Atendimento presencial, Empresa, Vínculo de usuário com empresa, Solicitação de viabilidade, Trilha de auditoria). Premissa P4: a Solicitação de viabilidade criada grava a trilha pelo HasAuditoria (registro created com os dois CPFs). Catálogo: Tipo de serviço retirado (dado de código); continua DER informado. Recontagem 16/10/2026: alterada (linha 294 da contagem de 01/10/2026: "Atendimento presencial - abrir solicitação para o cidadão", EE Média 4 PF, TD 4, AR 6). Motivo: Harmonização: AR 6→5 em relação a 01/10 (PF 4→4); motivo nas observações (premissa P4/revisão do catálogo).</t>
        </is>
      </c>
    </row>
    <row r="261" ht="12" customHeight="1" s="73">
      <c r="A261" s="14">
        <f>IF(H261="",IF(C261="",A260,A260+1),A260)</f>
        <v/>
      </c>
      <c r="B261" s="48">
        <f>IF(A261=A260,"",CONCATENATE("F",A261))</f>
        <v/>
      </c>
      <c r="C261" s="85" t="inlineStr">
        <is>
          <t>Atendimento presencial - encerrar atendimento</t>
        </is>
      </c>
      <c r="D261" s="142" t="n"/>
      <c r="E261" s="142" t="n"/>
      <c r="F261" s="142" t="n"/>
      <c r="G261" s="143" t="n"/>
      <c r="H261" s="56" t="inlineStr">
        <is>
          <t>EE</t>
        </is>
      </c>
      <c r="I261" s="57" t="inlineStr">
        <is>
          <t>I</t>
        </is>
      </c>
      <c r="J261" s="56" t="n">
        <v>2</v>
      </c>
      <c r="K261" s="56" t="n">
        <v>2</v>
      </c>
      <c r="L261" s="50">
        <f>CONCATENATE(H261,M261)</f>
        <v/>
      </c>
      <c r="M261" s="51">
        <f>IF(OR(ISBLANK(J261),ISBLANK(K261)),IF(OR(H261="ALI",H261="AIE"),"L",IF(ISBLANK(H261),"","A")),IF(H261="EE",IF(K261&gt;=3,IF(J261&gt;=5,"H","A"),IF(K261&gt;=2,IF(J261&gt;=16,"H",IF(J261&lt;=4,"L","A")),IF(J261&lt;=15,"L","A"))),IF(OR(H261="SE",H261="CE"),IF(K261&gt;=4,IF(J261&gt;=6,"H","A"),IF(K261&gt;=2,IF(J261&gt;=20,"H",IF(J261&lt;=5,"L","A")),IF(J261&lt;=19,"L","A"))),IF(OR(H261="ALI",H261="AIE"),IF(K261&gt;=6,IF(J261&gt;=20,"H","A"),IF(K261&gt;=2,IF(J261&gt;=51,"H",IF(J261&lt;=19,"L","A")),IF(J261&lt;=50,"L","A")))))))</f>
        <v/>
      </c>
      <c r="N261" s="52">
        <f>IF(M261="L","Baixa",IF(M261="A","Média",IF(M261="","","Alta")))</f>
        <v/>
      </c>
      <c r="O261" s="53">
        <f>IF(ISBLANK(H261),"",IF(H261="ALI",IF(M261="L",7,IF(M261="A",10,15)),IF(H261="AIE",IF(M261="L",5,IF(M261="A",7,10)),IF(H261="SE",IF(M261="L",4,IF(M261="A",5,7)),IF(OR(H261="EE",H261="CE"),IF(M261="L",3,IF(M261="A",4,6)))))))</f>
        <v/>
      </c>
      <c r="P261" s="54">
        <f>IF(I261="I",O261*Contagem!$W$15,IF(I261="E",O261*Contagem!$W$17,IF(I261="A",O261*Contagem!$W$16,IF(I261="T",O261*Contagem!$W$18,""))))</f>
        <v/>
      </c>
      <c r="Q261" s="55" t="inlineStr">
        <is>
          <t>Prova: Rota DELETE /gestao/atendimento (atendimento-presencial). Tela: gestao/atendimento/index. O atendente encerra o atendimento. Grava data de encerramento no Atendimento presencial e Trilha de auditoria; limpa a representação. Resultado: estação liberada. Teste: tests/Feature/Solicitacao/AtendimentoPresencialTest.php::test_encerra_atendimento. Processo elementar independente: menor unidade com significado para o atendente; completa por si (aciona encerrar e recebe confirmação); deixa o negócio consistente (atendimento fechado); lógica única (só o atendente dono encerra). TD=2 (mensagem, ação encerrar). AR=2 (Atendimento presencial, Trilha de auditoria). Premissa P4: AssistedAttendanceController::destroy grava a trilha ($this-&gt;audit-&gt;log atendimento-encerrado). Recontagem 16/10/2026: mantida (linha 295 da contagem de 01/10/2026).</t>
        </is>
      </c>
    </row>
    <row r="262" ht="12" customHeight="1" s="73">
      <c r="A262" s="14">
        <f>IF(H262="",IF(C262="",A261,A261+1),A261)</f>
        <v/>
      </c>
      <c r="B262" s="48">
        <f>IF(A262=A261,"",CONCATENATE("F",A262))</f>
        <v/>
      </c>
      <c r="C262" s="85" t="inlineStr">
        <is>
          <t>Atendimento - consultar CPF na base da SEDUR</t>
        </is>
      </c>
      <c r="D262" s="142" t="n"/>
      <c r="E262" s="142" t="n"/>
      <c r="F262" s="142" t="n"/>
      <c r="G262" s="143" t="n"/>
      <c r="H262" s="56" t="inlineStr">
        <is>
          <t>SE</t>
        </is>
      </c>
      <c r="I262" s="57" t="inlineStr">
        <is>
          <t>I</t>
        </is>
      </c>
      <c r="J262" s="56" t="n">
        <v>5</v>
      </c>
      <c r="K262" s="56" t="n">
        <v>3</v>
      </c>
      <c r="L262" s="50">
        <f>CONCATENATE(H262,M262)</f>
        <v/>
      </c>
      <c r="M262" s="51">
        <f>IF(OR(ISBLANK(J262),ISBLANK(K262)),IF(OR(H262="ALI",H262="AIE"),"L",IF(ISBLANK(H262),"","A")),IF(H262="EE",IF(K262&gt;=3,IF(J262&gt;=5,"H","A"),IF(K262&gt;=2,IF(J262&gt;=16,"H",IF(J262&lt;=4,"L","A")),IF(J262&lt;=15,"L","A"))),IF(OR(H262="SE",H262="CE"),IF(K262&gt;=4,IF(J262&gt;=6,"H","A"),IF(K262&gt;=2,IF(J262&gt;=20,"H",IF(J262&lt;=5,"L","A")),IF(J262&lt;=19,"L","A"))),IF(OR(H262="ALI",H262="AIE"),IF(K262&gt;=6,IF(J262&gt;=20,"H","A"),IF(K262&gt;=2,IF(J262&gt;=51,"H",IF(J262&lt;=19,"L","A")),IF(J262&lt;=50,"L","A")))))))</f>
        <v/>
      </c>
      <c r="N262" s="52">
        <f>IF(M262="L","Baixa",IF(M262="A","Média",IF(M262="","","Alta")))</f>
        <v/>
      </c>
      <c r="O262" s="53">
        <f>IF(ISBLANK(H262),"",IF(H262="ALI",IF(M262="L",7,IF(M262="A",10,15)),IF(H262="AIE",IF(M262="L",5,IF(M262="A",7,10)),IF(H262="SE",IF(M262="L",4,IF(M262="A",5,7)),IF(OR(H262="EE",H262="CE"),IF(M262="L",3,IF(M262="A",4,6)))))))</f>
        <v/>
      </c>
      <c r="P262" s="54">
        <f>IF(I262="I",O262*Contagem!$W$15,IF(I262="E",O262*Contagem!$W$17,IF(I262="A",O262*Contagem!$W$16,IF(I262="T",O262*Contagem!$W$18,""))))</f>
        <v/>
      </c>
      <c r="Q262" s="55" t="inlineStr">
        <is>
          <t>Prova: Rotas POST /gestao/atendimento/consultar-cpf (atendimento-presencial) e /gestao/contingencia/consultar-cpf (registrar-contingencia), mesma lógica contada uma vez. O operador informa o CPF. Lê Contato cadastral da SEDUR (ws-contato, ConsultaCpfSedurService) e Usuário. Resultado: nome conferido antes de prosseguir. Teste: tests/Feature/Solicitacao/ConsultarCpfAtendimentoTest.php::test_consulta_cpf_devolve_o_nome_e_se_ja_esta_cadastrado. Processo elementar independente: menor unidade com significado para o operador; completa por si (informa CPF e recebe nome ou aviso); deixa o negócio consistente (nada de negócio é gravado); lógica única (consulta externa sem inventar nome quando ausente). TD=5 (CPF, nome, já cadastrado, mensagem, ação consultar). AR=3 (Contato cadastral da SEDUR (CPF), Usuário, Trilha de auditoria). Para demonstrar: integrations.sedur_contato configurado (URL de homologação/produção do ws-contato da SEDUR). Recontagem em 16/10/2026: as duas rotas continuam no mesmo ConsultarCpfSedurController e no mesmo ConsultaCpfSedurService (só muda o nome do log), contadas uma vez. Teste da rota da contingência: tests/Feature/Solicitacao/ConsultarDocumentoContingenciaTest.php::test_consulta_cpf_devolve_o_nome_e_se_ja_esta_cadastrado. Não é a mesma lógica da consulta de CNPJ do portal (outro AIE, outros DER). Premissa P4: ConsultaCpfSedurService grava cada resultado na trilha com marcação de dado pessoal ($this-&gt;audit-&gt;log consulta-cpf, personalData), por isso passa de CE a SE (§5.5.3: CE não atualiza ALI). Recontagem 16/10/2026: alterada (linha 296 da contagem de 01/10/2026: "Atendimento - consultar CPF na base da SEDUR", CE Baixa 3 PF, TD 5, AR 2). Motivo: Harmonização: CE→SE, AR 2→3 em relação a 01/10 (PF 3→4); motivo nas observações (premissa P4/revisão do catálogo).</t>
        </is>
      </c>
    </row>
    <row r="263" ht="12" customHeight="1" s="73">
      <c r="A263" s="14">
        <f>IF(H263="",IF(C263="",A262,A262+1),A262)</f>
        <v/>
      </c>
      <c r="B263" s="48">
        <f>IF(A263=A262,"",CONCATENATE("F",A263))</f>
        <v/>
      </c>
      <c r="C263" s="85" t="n"/>
      <c r="D263" s="142" t="n"/>
      <c r="E263" s="142" t="n"/>
      <c r="F263" s="142" t="n"/>
      <c r="G263" s="143" t="n"/>
      <c r="H263" s="56" t="n"/>
      <c r="I263" s="57" t="n"/>
      <c r="J263" s="56" t="n"/>
      <c r="K263" s="56" t="n"/>
      <c r="L263" s="50">
        <f>CONCATENATE(H263,M263)</f>
        <v/>
      </c>
      <c r="M263" s="51">
        <f>IF(OR(ISBLANK(J263),ISBLANK(K263)),IF(OR(H263="ALI",H263="AIE"),"L",IF(ISBLANK(H263),"","A")),IF(H263="EE",IF(K263&gt;=3,IF(J263&gt;=5,"H","A"),IF(K263&gt;=2,IF(J263&gt;=16,"H",IF(J263&lt;=4,"L","A")),IF(J263&lt;=15,"L","A"))),IF(OR(H263="SE",H263="CE"),IF(K263&gt;=4,IF(J263&gt;=6,"H","A"),IF(K263&gt;=2,IF(J263&gt;=20,"H",IF(J263&lt;=5,"L","A")),IF(J263&lt;=19,"L","A"))),IF(OR(H263="ALI",H263="AIE"),IF(K263&gt;=6,IF(J263&gt;=20,"H","A"),IF(K263&gt;=2,IF(J263&gt;=51,"H",IF(J263&lt;=19,"L","A")),IF(J263&lt;=50,"L","A")))))))</f>
        <v/>
      </c>
      <c r="N263" s="52">
        <f>IF(M263="L","Baixa",IF(M263="A","Média",IF(M263="","","Alta")))</f>
        <v/>
      </c>
      <c r="O263" s="53">
        <f>IF(ISBLANK(H263),"",IF(H263="ALI",IF(M263="L",7,IF(M263="A",10,15)),IF(H263="AIE",IF(M263="L",5,IF(M263="A",7,10)),IF(H263="SE",IF(M263="L",4,IF(M263="A",5,7)),IF(OR(H263="EE",H263="CE"),IF(M263="L",3,IF(M263="A",4,6)))))))</f>
        <v/>
      </c>
      <c r="P263" s="54">
        <f>IF(I263="I",O263*Contagem!$W$15,IF(I263="E",O263*Contagem!$W$17,IF(I263="A",O263*Contagem!$W$16,IF(I263="T",O263*Contagem!$W$18,""))))</f>
        <v/>
      </c>
      <c r="Q263" s="55" t="n"/>
    </row>
    <row r="264" ht="12" customHeight="1" s="73">
      <c r="A264" s="14">
        <f>IF(H264="",IF(C264="",A263,A263+1),A263)</f>
        <v/>
      </c>
      <c r="B264" s="48">
        <f>IF(A264=A263,"",CONCATENATE("F",A264))</f>
        <v/>
      </c>
      <c r="C264" s="85" t="inlineStr">
        <is>
          <t>Ficha de análise técnica</t>
        </is>
      </c>
      <c r="D264" s="142" t="n"/>
      <c r="E264" s="142" t="n"/>
      <c r="F264" s="142" t="n"/>
      <c r="G264" s="143" t="n"/>
      <c r="H264" s="56" t="n"/>
      <c r="I264" s="57" t="n"/>
      <c r="J264" s="56" t="n"/>
      <c r="K264" s="56" t="n"/>
      <c r="L264" s="50">
        <f>CONCATENATE(H264,M264)</f>
        <v/>
      </c>
      <c r="M264" s="51">
        <f>IF(OR(ISBLANK(J264),ISBLANK(K264)),IF(OR(H264="ALI",H264="AIE"),"L",IF(ISBLANK(H264),"","A")),IF(H264="EE",IF(K264&gt;=3,IF(J264&gt;=5,"H","A"),IF(K264&gt;=2,IF(J264&gt;=16,"H",IF(J264&lt;=4,"L","A")),IF(J264&lt;=15,"L","A"))),IF(OR(H264="SE",H264="CE"),IF(K264&gt;=4,IF(J264&gt;=6,"H","A"),IF(K264&gt;=2,IF(J264&gt;=20,"H",IF(J264&lt;=5,"L","A")),IF(J264&lt;=19,"L","A"))),IF(OR(H264="ALI",H264="AIE"),IF(K264&gt;=6,IF(J264&gt;=20,"H","A"),IF(K264&gt;=2,IF(J264&gt;=51,"H",IF(J264&lt;=19,"L","A")),IF(J264&lt;=50,"L","A")))))))</f>
        <v/>
      </c>
      <c r="N264" s="52">
        <f>IF(M264="L","Baixa",IF(M264="A","Média",IF(M264="","","Alta")))</f>
        <v/>
      </c>
      <c r="O264" s="53">
        <f>IF(ISBLANK(H264),"",IF(H264="ALI",IF(M264="L",7,IF(M264="A",10,15)),IF(H264="AIE",IF(M264="L",5,IF(M264="A",7,10)),IF(H264="SE",IF(M264="L",4,IF(M264="A",5,7)),IF(OR(H264="EE",H264="CE"),IF(M264="L",3,IF(M264="A",4,6)))))))</f>
        <v/>
      </c>
      <c r="P264" s="54">
        <f>IF(I264="I",O264*Contagem!$W$15,IF(I264="E",O264*Contagem!$W$17,IF(I264="A",O264*Contagem!$W$16,IF(I264="T",O264*Contagem!$W$18,""))))</f>
        <v/>
      </c>
      <c r="Q264" s="55" t="n"/>
    </row>
    <row r="265" ht="12" customHeight="1" s="73">
      <c r="A265" s="14">
        <f>IF(H265="",IF(C265="",A264,A264+1),A264)</f>
        <v/>
      </c>
      <c r="B265" s="48">
        <f>IF(A265=A264,"",CONCATENATE("F",A265))</f>
        <v/>
      </c>
      <c r="C265" s="85" t="inlineStr">
        <is>
          <t>Dados - Ficha de análise técnica</t>
        </is>
      </c>
      <c r="D265" s="142" t="n"/>
      <c r="E265" s="142" t="n"/>
      <c r="F265" s="142" t="n"/>
      <c r="G265" s="143" t="n"/>
      <c r="H265" s="56" t="inlineStr">
        <is>
          <t>ALI</t>
        </is>
      </c>
      <c r="I265" s="57" t="inlineStr">
        <is>
          <t>I</t>
        </is>
      </c>
      <c r="J265" s="56" t="n">
        <v>21</v>
      </c>
      <c r="K265" s="56" t="n">
        <v>3</v>
      </c>
      <c r="L265" s="50">
        <f>CONCATENATE(H265,M265)</f>
        <v/>
      </c>
      <c r="M265" s="51">
        <f>IF(OR(ISBLANK(J265),ISBLANK(K265)),IF(OR(H265="ALI",H265="AIE"),"L",IF(ISBLANK(H265),"","A")),IF(H265="EE",IF(K265&gt;=3,IF(J265&gt;=5,"H","A"),IF(K265&gt;=2,IF(J265&gt;=16,"H",IF(J265&lt;=4,"L","A")),IF(J265&lt;=15,"L","A"))),IF(OR(H265="SE",H265="CE"),IF(K265&gt;=4,IF(J265&gt;=6,"H","A"),IF(K265&gt;=2,IF(J265&gt;=20,"H",IF(J265&lt;=5,"L","A")),IF(J265&lt;=19,"L","A"))),IF(OR(H265="ALI",H265="AIE"),IF(K265&gt;=6,IF(J265&gt;=20,"H","A"),IF(K265&gt;=2,IF(J265&gt;=51,"H",IF(J265&lt;=19,"L","A")),IF(J265&lt;=50,"L","A")))))))</f>
        <v/>
      </c>
      <c r="N265" s="52">
        <f>IF(M265="L","Baixa",IF(M265="A","Média",IF(M265="","","Alta")))</f>
        <v/>
      </c>
      <c r="O265" s="53">
        <f>IF(ISBLANK(H265),"",IF(H265="ALI",IF(M265="L",7,IF(M265="A",10,15)),IF(H265="AIE",IF(M265="L",5,IF(M265="A",7,10)),IF(H265="SE",IF(M265="L",4,IF(M265="A",5,7)),IF(OR(H265="EE",H265="CE"),IF(M265="L",3,IF(M265="A",4,6)))))))</f>
        <v/>
      </c>
      <c r="P265" s="54">
        <f>IF(I265="I",O265*Contagem!$W$15,IF(I265="E",O265*Contagem!$W$17,IF(I265="A",O265*Contagem!$W$16,IF(I265="T",O265*Contagem!$W$18,""))))</f>
        <v/>
      </c>
      <c r="Q265" s="55" t="inlineStr">
        <is>
          <t>Prova: Models AnalysisRecord e AnalysisDivergence; migrations 2026_06_14_215043_create_analysis_records_table, 2026_07_16_100200_add_is_virtual_office_hq_to_analysis_records e 2026_07_24_120000_add_analysis_reasons_and_address_confirmed_to_analysis_records. Mantido por AnalysisRecordService (revisão inicial pela pré-análise, autosave, finalização com registro de divergências, nova revisão) e pelos pedidos de minuta/justificativa que preenchem campo vazio do rascunho. Teste: tests/Feature/Analise/AnalysisRecordFinalizeTest.php::test_finalizar_grava_divergencia_quando_o_final_diverge_do_sugerido. Arquivo lógico: registro da análise humana reconhecido pelo analista da SEDUR, versionado por revisão e imutável quando finalizado; não é dado de código (guarda decisão, justificativa e parecer do caso). Revisões, atividades por CNAE e divergências só existem com a ficha (subgrupos). Teste de independência em relação à Solicitação de viabilidade: tem ciclo de vida próprio (rascunho, finalizada, nova revisão), é mantida por processos próprios do analista e consultada e comparada separadamente da solicitação; por isso fica como ALI separado. TD=21 (revisão, situação da ficha, analista, pré-análise do motor, versões de regras, motor disponível, CNAE, status sugerido, status escolhido, justificativa, condicionantes do CNAE, código LOUOS, código TLL, condicionantes gerais, vagas (requerido/exigido/vistoria), parecer, sede de escritório virtual, motivos de análise, endereço confirmado, finalizada em, campo divergente). TR=3 (revisão da ficha, atividade por CNAE, divergência analista x motor). Recontagem 16/10/2026: alterada (linha 328 da contagem de 01/10/2026: "Dados - Ficha de análise técnica", ALI Média 10 PF, TD 20, AR 2). Motivo: TD 20→21 e TR 2→3: as divergências analista x motor gravadas na finalização (tabela analysis_divergences) são subgrupo da ficha e passam a contar como RLR, com o campo divergente como DER novo. PF inalterado (Média).</t>
        </is>
      </c>
    </row>
    <row r="266" ht="12" customHeight="1" s="73">
      <c r="A266" s="14">
        <f>IF(H266="",IF(C266="",A265,A265+1),A265)</f>
        <v/>
      </c>
      <c r="B266" s="48">
        <f>IF(A266=A265,"",CONCATENATE("F",A266))</f>
        <v/>
      </c>
      <c r="C266" s="85" t="inlineStr">
        <is>
          <t>Dados - Sugestão de texto por IA</t>
        </is>
      </c>
      <c r="D266" s="142" t="n"/>
      <c r="E266" s="142" t="n"/>
      <c r="F266" s="142" t="n"/>
      <c r="G266" s="143" t="n"/>
      <c r="H266" s="56" t="inlineStr">
        <is>
          <t>ALI</t>
        </is>
      </c>
      <c r="I266" s="57" t="inlineStr">
        <is>
          <t>I</t>
        </is>
      </c>
      <c r="J266" s="56" t="n">
        <v>12</v>
      </c>
      <c r="K266" s="56" t="n">
        <v>1</v>
      </c>
      <c r="L266" s="50">
        <f>CONCATENATE(H266,M266)</f>
        <v/>
      </c>
      <c r="M266" s="51">
        <f>IF(OR(ISBLANK(J266),ISBLANK(K266)),IF(OR(H266="ALI",H266="AIE"),"L",IF(ISBLANK(H266),"","A")),IF(H266="EE",IF(K266&gt;=3,IF(J266&gt;=5,"H","A"),IF(K266&gt;=2,IF(J266&gt;=16,"H",IF(J266&lt;=4,"L","A")),IF(J266&lt;=15,"L","A"))),IF(OR(H266="SE",H266="CE"),IF(K266&gt;=4,IF(J266&gt;=6,"H","A"),IF(K266&gt;=2,IF(J266&gt;=20,"H",IF(J266&lt;=5,"L","A")),IF(J266&lt;=19,"L","A"))),IF(OR(H266="ALI",H266="AIE"),IF(K266&gt;=6,IF(J266&gt;=20,"H","A"),IF(K266&gt;=2,IF(J266&gt;=51,"H",IF(J266&lt;=19,"L","A")),IF(J266&lt;=50,"L","A")))))))</f>
        <v/>
      </c>
      <c r="N266" s="52">
        <f>IF(M266="L","Baixa",IF(M266="A","Média",IF(M266="","","Alta")))</f>
        <v/>
      </c>
      <c r="O266" s="53">
        <f>IF(ISBLANK(H266),"",IF(H266="ALI",IF(M266="L",7,IF(M266="A",10,15)),IF(H266="AIE",IF(M266="L",5,IF(M266="A",7,10)),IF(H266="SE",IF(M266="L",4,IF(M266="A",5,7)),IF(OR(H266="EE",H266="CE"),IF(M266="L",3,IF(M266="A",4,6)))))))</f>
        <v/>
      </c>
      <c r="P266" s="54">
        <f>IF(I266="I",O266*Contagem!$W$15,IF(I266="E",O266*Contagem!$W$17,IF(I266="A",O266*Contagem!$W$16,IF(I266="T",O266*Contagem!$W$18,""))))</f>
        <v/>
      </c>
      <c r="Q266" s="55" t="inlineStr">
        <is>
          <t>Prova: Model AiSuggestion; migration 2026_06_17_133446_create_ai_suggestions_table. Mantido pelos pedidos do analista na ficha (minuta de parecer, justificativa, resumo) e pelos jobs de IA do processo; lido nos cards "Apoio de leitura", "Minuta de parecer", "Justificativa da atividade" e "Alertas de IA" da ficha (AnalysisRecordController::sugestoesIa) e no portal (resumo e explicação ao requerente). Teste: tests/Feature/Ai/FichaSugestoesIaTest.php::test_partial_reload_resolve_as_sugestoes_de_ia_do_processo. Arquivo lógico: o analista consulta e reaproveita as sugestões gravadas ao reabrir a ficha; cada sugestão tem tipo, texto, confiança e situação (sugerida ou escalada para análise humana) próprios. Não é log técnico: é lida de volta para a tela. Não é dado de código. Teste de independência: tem ciclo próprio (sugerida, escalada para análise humana), é gerada por pedido próprio e consultada separadamente da ficha; o vínculo com a solicitação é opcional (nullOnDelete), então a sugestão sobrevive à exclusão do processo. TD=12 (tipo da sugestão, solicitação, CNAE de referência, texto sugerido, fundamentação, fonte, pontos-chave, inconsistências apontadas, confiança, situação, criada por, criada em). TR=1 (sugestão de texto por IA). Recontagem 16/10/2026: alterada (linha 515 da contagem de 01/10/2026: "Dados - Sugestão de texto por IA", ALI Baixa 7 PF, TD 14, AR 1). Motivo: TD 14→12: tokens de entrada e saída, custo estimado, provedor, modelo e versão do prompt não aparecem em nenhuma tela nem relatório (dado técnico); entram fundamentação, fonte, pontos-chave e inconsistências apontadas, exibidos nos cards de IA da ficha. PF inalterado.</t>
        </is>
      </c>
    </row>
    <row r="267" ht="12" customHeight="1" s="73">
      <c r="A267" s="14">
        <f>IF(H267="",IF(C267="",A266,A266+1),A266)</f>
        <v/>
      </c>
      <c r="B267" s="48">
        <f>IF(A267=A266,"",CONCATENATE("F",A267))</f>
        <v/>
      </c>
      <c r="C267" s="85" t="inlineStr">
        <is>
          <t>Ficha de análise - consultar</t>
        </is>
      </c>
      <c r="D267" s="142" t="n"/>
      <c r="E267" s="142" t="n"/>
      <c r="F267" s="142" t="n"/>
      <c r="G267" s="143" t="n"/>
      <c r="H267" s="56" t="inlineStr">
        <is>
          <t>SE</t>
        </is>
      </c>
      <c r="I267" s="57" t="inlineStr">
        <is>
          <t>I</t>
        </is>
      </c>
      <c r="J267" s="56" t="n">
        <v>42</v>
      </c>
      <c r="K267" s="56" t="n">
        <v>15</v>
      </c>
      <c r="L267" s="50">
        <f>CONCATENATE(H267,M267)</f>
        <v/>
      </c>
      <c r="M267" s="51">
        <f>IF(OR(ISBLANK(J267),ISBLANK(K267)),IF(OR(H267="ALI",H267="AIE"),"L",IF(ISBLANK(H267),"","A")),IF(H267="EE",IF(K267&gt;=3,IF(J267&gt;=5,"H","A"),IF(K267&gt;=2,IF(J267&gt;=16,"H",IF(J267&lt;=4,"L","A")),IF(J267&lt;=15,"L","A"))),IF(OR(H267="SE",H267="CE"),IF(K267&gt;=4,IF(J267&gt;=6,"H","A"),IF(K267&gt;=2,IF(J267&gt;=20,"H",IF(J267&lt;=5,"L","A")),IF(J267&lt;=19,"L","A"))),IF(OR(H267="ALI",H267="AIE"),IF(K267&gt;=6,IF(J267&gt;=20,"H","A"),IF(K267&gt;=2,IF(J267&gt;=51,"H",IF(J267&lt;=19,"L","A")),IF(J267&lt;=50,"L","A")))))))</f>
        <v/>
      </c>
      <c r="N267" s="52">
        <f>IF(M267="L","Baixa",IF(M267="A","Média",IF(M267="","","Alta")))</f>
        <v/>
      </c>
      <c r="O267" s="53">
        <f>IF(ISBLANK(H267),"",IF(H267="ALI",IF(M267="L",7,IF(M267="A",10,15)),IF(H267="AIE",IF(M267="L",5,IF(M267="A",7,10)),IF(H267="SE",IF(M267="L",4,IF(M267="A",5,7)),IF(OR(H267="EE",H267="CE"),IF(M267="L",3,IF(M267="A",4,6)))))))</f>
        <v/>
      </c>
      <c r="P267" s="54">
        <f>IF(I267="I",O267*Contagem!$W$15,IF(I267="E",O267*Contagem!$W$17,IF(I267="A",O267*Contagem!$W$16,IF(I267="T",O267*Contagem!$W$18,""))))</f>
        <v/>
      </c>
      <c r="Q267" s="55" t="inlineStr">
        <is>
          <t>Prova: Rota GET /gestao/processos/{id}/ficha (consultar-solicitacoes ou analisar-processos; a ficha humana exige analisar-processos no controller). Tela: gestao/ficha-analise/show. O analista abre a ficha vigente; o sistema lê ficha, processo, empresa, tramitação, textos-padrão, setores, planilha, valor da TLL, bloqueio de escritório virtual, vistoria, cadastro imobiliário e as sugestões de IA. Quando não há revisão, a pré-análise cria a revisão inicial (passo de apoio). Ao carregar o card de IA, o resumo e a minuta são gerados se ainda não existirem (efeito automático, não contado à parte). Teste: tests/Feature/Analise/AnalysisRecordAutosaveTest.php::test_show_abre_a_revisao_atual_com_textos_padrao_ativos. Processo elementar independente: menor unidade com significado para o analista; completa por si (abre o processo e vê a ficha vigente); não altera dados de negócio; lógica única (revisão atual com localização, tramitação e opções de enquadramento). Classificação: a exibição não calcula nem deriva, mas a abertura grava a trilha e a chamada de integração do cadastro imobiliário; pela premissa P4, consulta que grava ALI é SE (§5.5.3, Tabela 5). Registros automáticos contados como FTR (premissa P4): Trilha de auditoria, Chamada de integração. TD=42 (protocolo, situação do processo, renovação, nº TVL renovado, revisão, situação da ficha, analista, CNAE, status sugerido, status escolhido, justificativa, condicionantes, código LOUOS, código TLL, valor TLL, parecer, vagas, sede de escritório virtual, motivos de análise (com o ponto da planilha), endereço confirmado, logradouro, número, bairro, CEP, ponto de referência, zona, via, polígono, razão social, porte, categoria, dados do cadastro imobiliário, data da tramitação, setor da tramitação, usuário da tramitação, situação da tramitação, motivo da tramitação, textos-padrão, abrigados (TVL e razão social), ficha de vistoria existente, sugestões de IA (tipo, texto, situação, confiança), ação abrir). AR=15 (Ficha de análise técnica, Solicitação de viabilidade, Usuário, Empresa, Decisão de viabilidade, Texto-padrão, Setor, Planilha de enquadramento, Valor da TLL, Bloqueio de inscrição de escritório virtual, Ficha de vistoria, Cadastro imobiliário da SEFAZ, Sugestão de texto por IA, Trilha de auditoria, Chamada de integração). Para demonstrar: o cadastro imobiliário só aparece com features.cadastro_imobiliario ligado e integrations.inscricao_imobiliaria configurada. Recontagem (catálogo): Versão de regras deixou de ser arquivo lógico próprio e é subgrupo de arquivo já listado no AR; AR ajustado. Recontagem 16/10/2026: alterada (linha 329 da contagem de 01/10/2026: "Ficha de análise - consultar", CE Alta 6 PF, TD 40, AR 13). Motivo: TD 40→42 e AR 13→14: a consulta passa a exibir as sugestões de IA gravadas (cards da ficha, carregados sob demanda na mesma tela) e o motivo de análise passa a apontar o ponto da planilha que tirou a atividade do expresso (commits 6db1255e e 5a3c4469, 14/10). Premissa P4: a abertura grava a trilha (eventos ficha-consulta e ficha-cadastro-consulta) e a consulta ao cadastro imobiliário grava a chamada de integração (SedurSefazPropertyRegistryLookup via Http, RegistrarChamadaIntegracao); por gravar ALI passa de CE a SE (AR 14→16, 6→7 PF). Catálogo: retirado Versão de regras (subgrupo de outro arquivo).</t>
        </is>
      </c>
    </row>
    <row r="268" ht="12" customHeight="1" s="73">
      <c r="A268" s="14">
        <f>IF(H268="",IF(C268="",A267,A267+1),A267)</f>
        <v/>
      </c>
      <c r="B268" s="48">
        <f>IF(A268=A267,"",CONCATENATE("F",A268))</f>
        <v/>
      </c>
      <c r="C268" s="85" t="inlineStr">
        <is>
          <t>Ficha de análise - salvar rascunho</t>
        </is>
      </c>
      <c r="D268" s="142" t="n"/>
      <c r="E268" s="142" t="n"/>
      <c r="F268" s="142" t="n"/>
      <c r="G268" s="143" t="n"/>
      <c r="H268" s="56" t="inlineStr">
        <is>
          <t>EE</t>
        </is>
      </c>
      <c r="I268" s="57" t="inlineStr">
        <is>
          <t>I</t>
        </is>
      </c>
      <c r="J268" s="56" t="n">
        <v>14</v>
      </c>
      <c r="K268" s="56" t="n">
        <v>3</v>
      </c>
      <c r="L268" s="50">
        <f>CONCATENATE(H268,M268)</f>
        <v/>
      </c>
      <c r="M268" s="51">
        <f>IF(OR(ISBLANK(J268),ISBLANK(K268)),IF(OR(H268="ALI",H268="AIE"),"L",IF(ISBLANK(H268),"","A")),IF(H268="EE",IF(K268&gt;=3,IF(J268&gt;=5,"H","A"),IF(K268&gt;=2,IF(J268&gt;=16,"H",IF(J268&lt;=4,"L","A")),IF(J268&lt;=15,"L","A"))),IF(OR(H268="SE",H268="CE"),IF(K268&gt;=4,IF(J268&gt;=6,"H","A"),IF(K268&gt;=2,IF(J268&gt;=20,"H",IF(J268&lt;=5,"L","A")),IF(J268&lt;=19,"L","A"))),IF(OR(H268="ALI",H268="AIE"),IF(K268&gt;=6,IF(J268&gt;=20,"H","A"),IF(K268&gt;=2,IF(J268&gt;=51,"H",IF(J268&lt;=19,"L","A")),IF(J268&lt;=50,"L","A")))))))</f>
        <v/>
      </c>
      <c r="N268" s="52">
        <f>IF(M268="L","Baixa",IF(M268="A","Média",IF(M268="","","Alta")))</f>
        <v/>
      </c>
      <c r="O268" s="53">
        <f>IF(ISBLANK(H268),"",IF(H268="ALI",IF(M268="L",7,IF(M268="A",10,15)),IF(H268="AIE",IF(M268="L",5,IF(M268="A",7,10)),IF(H268="SE",IF(M268="L",4,IF(M268="A",5,7)),IF(OR(H268="EE",H268="CE"),IF(M268="L",3,IF(M268="A",4,6)))))))</f>
        <v/>
      </c>
      <c r="P268" s="54">
        <f>IF(I268="I",O268*Contagem!$W$15,IF(I268="E",O268*Contagem!$W$17,IF(I268="A",O268*Contagem!$W$16,IF(I268="T",O268*Contagem!$W$18,""))))</f>
        <v/>
      </c>
      <c r="Q268" s="55" t="inlineStr">
        <is>
          <t>Prova: Rota PATCH /gestao/processos/{id}/ficha (analisar-processos). Tela: gestao/ficha-analise/show (botão Salvar Ficha e autosave). O analista edita a ficha; AnalysisRecordService::autosave grava só os campos enviados na revisão em rascunho e recusa revisão finalizada (422). Teste: tests/Feature/Analise/AnalysisRecordAutosaveTest.php::test_autosave_atualiza_status_escolhido_e_parecer_no_rascunho. Processo elementar independente: menor unidade com significado para o analista; completa por si (envia e recebe a confirmação); deixa o rascunho gravado e a revisão finalizada intacta; lógica única de gravação parcial. Classificação: intenção primária é manter a ficha, EE. Registros automáticos contados como FTR (premissa P4): Trilha de auditoria. TD=14 (CNAE, status escolhido, justificativa, condicionantes do CNAE, código LOUOS, código TLL, condicionantes gerais, vagas, parecer, sede de escritório virtual, motivos de análise, endereço confirmado, mensagem, ação salvar). AR=3 (Ficha de análise técnica, Solicitação de viabilidade, Trilha de auditoria). Recontagem 16/10/2026: alterada (linha 330 da contagem de 01/10/2026: "Ficha de análise - salvar rascunho", EE Média 4 PF, TD 13, AR 2). Motivo: TD 13→14: motivos de análise (analysis_reasons) também são recebidos no autosave (AnalysisRecordRequest). Premissa P4: grava a trilha (ficha-autosave); AR 2→3 eleva a complexidade a Alta (4→6 PF).</t>
        </is>
      </c>
    </row>
    <row r="269" ht="12" customHeight="1" s="73">
      <c r="A269" s="14">
        <f>IF(H269="",IF(C269="",A268,A268+1),A268)</f>
        <v/>
      </c>
      <c r="B269" s="48">
        <f>IF(A269=A268,"",CONCATENATE("F",A269))</f>
        <v/>
      </c>
      <c r="C269" s="85" t="inlineStr">
        <is>
          <t>Ficha de análise - abrir nova revisão</t>
        </is>
      </c>
      <c r="D269" s="142" t="n"/>
      <c r="E269" s="142" t="n"/>
      <c r="F269" s="142" t="n"/>
      <c r="G269" s="143" t="n"/>
      <c r="H269" s="56" t="inlineStr">
        <is>
          <t>EE</t>
        </is>
      </c>
      <c r="I269" s="57" t="inlineStr">
        <is>
          <t>I</t>
        </is>
      </c>
      <c r="J269" s="56" t="n">
        <v>5</v>
      </c>
      <c r="K269" s="56" t="n">
        <v>2</v>
      </c>
      <c r="L269" s="50">
        <f>CONCATENATE(H269,M269)</f>
        <v/>
      </c>
      <c r="M269" s="51">
        <f>IF(OR(ISBLANK(J269),ISBLANK(K269)),IF(OR(H269="ALI",H269="AIE"),"L",IF(ISBLANK(H269),"","A")),IF(H269="EE",IF(K269&gt;=3,IF(J269&gt;=5,"H","A"),IF(K269&gt;=2,IF(J269&gt;=16,"H",IF(J269&lt;=4,"L","A")),IF(J269&lt;=15,"L","A"))),IF(OR(H269="SE",H269="CE"),IF(K269&gt;=4,IF(J269&gt;=6,"H","A"),IF(K269&gt;=2,IF(J269&gt;=20,"H",IF(J269&lt;=5,"L","A")),IF(J269&lt;=19,"L","A"))),IF(OR(H269="ALI",H269="AIE"),IF(K269&gt;=6,IF(J269&gt;=20,"H","A"),IF(K269&gt;=2,IF(J269&gt;=51,"H",IF(J269&lt;=19,"L","A")),IF(J269&lt;=50,"L","A")))))))</f>
        <v/>
      </c>
      <c r="N269" s="52">
        <f>IF(M269="L","Baixa",IF(M269="A","Média",IF(M269="","","Alta")))</f>
        <v/>
      </c>
      <c r="O269" s="53">
        <f>IF(ISBLANK(H269),"",IF(H269="ALI",IF(M269="L",7,IF(M269="A",10,15)),IF(H269="AIE",IF(M269="L",5,IF(M269="A",7,10)),IF(H269="SE",IF(M269="L",4,IF(M269="A",5,7)),IF(OR(H269="EE",H269="CE"),IF(M269="L",3,IF(M269="A",4,6)))))))</f>
        <v/>
      </c>
      <c r="P269" s="54">
        <f>IF(I269="I",O269*Contagem!$W$15,IF(I269="E",O269*Contagem!$W$17,IF(I269="A",O269*Contagem!$W$16,IF(I269="T",O269*Contagem!$W$18,""))))</f>
        <v/>
      </c>
      <c r="Q269" s="55" t="inlineStr">
        <is>
          <t>Prova: Rota POST /gestao/processos/{id}/ficha/nova-revisao (analisar-processos). Tela: gestao/ficha-analise/show (botão Criar nova ficha, visível com a ficha finalizada). AnalysisRecordService::novaRevisao grava a revisão n+1 em rascunho copiando a anterior; a finalizada fica intacta. Teste: tests/Feature/Analise/AnalysisRecordFinalizeTest.php::test_nova_revisao_cria_revision_2_rascunho_copiando_a_finalizada. Processo elementar independente: menor unidade com significado para o analista; completa por si; preserva o histórico; lógica única de reabertura. Classificação: mantém a ficha, EE. Registros automáticos contados como FTR (premissa P4): Trilha de auditoria. TD=5 (revisão nova, situação rascunho, conteúdo copiado da revisão anterior, mensagem, ação nova revisão). AR=2 (Ficha de análise técnica, Trilha de auditoria). Recontagem 16/10/2026: alterada (linha 333 da contagem de 01/10/2026: "Ficha de análise - abrir nova revisão", EE Baixa 3 PF, TD 5, AR 1). Motivo: Premissa P4: AnalysisRecordService::novaRevisao grava a trilha (ficha-nova-revisao); AR 1→2 eleva a EE a Média (3→4 PF).</t>
        </is>
      </c>
    </row>
    <row r="270" ht="12" customHeight="1" s="73">
      <c r="A270" s="14">
        <f>IF(H270="",IF(C270="",A269,A269+1),A269)</f>
        <v/>
      </c>
      <c r="B270" s="48">
        <f>IF(A270=A269,"",CONCATENATE("F",A270))</f>
        <v/>
      </c>
      <c r="C270" s="85" t="inlineStr">
        <is>
          <t>Ficha de análise - comparar revisões</t>
        </is>
      </c>
      <c r="D270" s="142" t="n"/>
      <c r="E270" s="142" t="n"/>
      <c r="F270" s="142" t="n"/>
      <c r="G270" s="143" t="n"/>
      <c r="H270" s="56" t="inlineStr">
        <is>
          <t>SE</t>
        </is>
      </c>
      <c r="I270" s="57" t="inlineStr">
        <is>
          <t>I</t>
        </is>
      </c>
      <c r="J270" s="56" t="n">
        <v>6</v>
      </c>
      <c r="K270" s="56" t="n">
        <v>2</v>
      </c>
      <c r="L270" s="50">
        <f>CONCATENATE(H270,M270)</f>
        <v/>
      </c>
      <c r="M270" s="51">
        <f>IF(OR(ISBLANK(J270),ISBLANK(K270)),IF(OR(H270="ALI",H270="AIE"),"L",IF(ISBLANK(H270),"","A")),IF(H270="EE",IF(K270&gt;=3,IF(J270&gt;=5,"H","A"),IF(K270&gt;=2,IF(J270&gt;=16,"H",IF(J270&lt;=4,"L","A")),IF(J270&lt;=15,"L","A"))),IF(OR(H270="SE",H270="CE"),IF(K270&gt;=4,IF(J270&gt;=6,"H","A"),IF(K270&gt;=2,IF(J270&gt;=20,"H",IF(J270&lt;=5,"L","A")),IF(J270&lt;=19,"L","A"))),IF(OR(H270="ALI",H270="AIE"),IF(K270&gt;=6,IF(J270&gt;=20,"H","A"),IF(K270&gt;=2,IF(J270&gt;=51,"H",IF(J270&lt;=19,"L","A")),IF(J270&lt;=50,"L","A")))))))</f>
        <v/>
      </c>
      <c r="N270" s="52">
        <f>IF(M270="L","Baixa",IF(M270="A","Média",IF(M270="","","Alta")))</f>
        <v/>
      </c>
      <c r="O270" s="53">
        <f>IF(ISBLANK(H270),"",IF(H270="ALI",IF(M270="L",7,IF(M270="A",10,15)),IF(H270="AIE",IF(M270="L",5,IF(M270="A",7,10)),IF(H270="SE",IF(M270="L",4,IF(M270="A",5,7)),IF(OR(H270="EE",H270="CE"),IF(M270="L",3,IF(M270="A",4,6)))))))</f>
        <v/>
      </c>
      <c r="P270" s="54">
        <f>IF(I270="I",O270*Contagem!$W$15,IF(I270="E",O270*Contagem!$W$17,IF(I270="A",O270*Contagem!$W$16,IF(I270="T",O270*Contagem!$W$18,""))))</f>
        <v/>
      </c>
      <c r="Q270" s="55" t="inlineStr">
        <is>
          <t>Prova: Rota GET /gestao/processos/{id}/ficha/diff?de=&amp;para= (analisar-processos). Tela: gestao/ficha-analise/show (botão Comparar revisões, a partir da revisão 2). O analista escolhe duas revisões; AnalysisRecordDiff calcula campo a campo o que mudou; nada é gravado. Teste: tests/Feature/Analise/AnalysisRecordRevisionDiffTest.php::test_endpoint_diff_serve_o_painel_gated_e_auditado. Processo elementar independente: menor unidade com significado para o analista; completa por si; não altera dados; lógica única de comparação. Não é reemissão da consulta da ficha: entrega só as diferenças, que não estão gravadas. Classificação: diferença calculada é dado derivado, SE e não CE (§5.5.3). Registros automáticos contados como FTR (premissa P4): Trilha de auditoria. TD=6 (revisão de origem, revisão de destino, campo alterado, valor anterior, valor novo, ação comparar). AR=2 (Ficha de análise técnica, Trilha de auditoria). Recontagem 16/10/2026: alterada (linha 336 da contagem de 01/10/2026: "Ficha de análise - comparar revisões", SE Baixa 4 PF, TD 6, AR 1). Motivo: Premissa P4: grava a trilha (ficha-diff); AR 1→2 eleva a SE a Média (4→5 PF).</t>
        </is>
      </c>
    </row>
    <row r="271" ht="12" customHeight="1" s="73">
      <c r="A271" s="14">
        <f>IF(H271="",IF(C271="",A270,A270+1),A270)</f>
        <v/>
      </c>
      <c r="B271" s="48">
        <f>IF(A271=A270,"",CONCATENATE("F",A271))</f>
        <v/>
      </c>
      <c r="C271" s="85" t="inlineStr">
        <is>
          <t>Ficha de análise - sugerir minuta de parecer</t>
        </is>
      </c>
      <c r="D271" s="142" t="n"/>
      <c r="E271" s="142" t="n"/>
      <c r="F271" s="142" t="n"/>
      <c r="G271" s="143" t="n"/>
      <c r="H271" s="56" t="inlineStr">
        <is>
          <t>EE</t>
        </is>
      </c>
      <c r="I271" s="57" t="inlineStr">
        <is>
          <t>I</t>
        </is>
      </c>
      <c r="J271" s="56" t="n">
        <v>7</v>
      </c>
      <c r="K271" s="56" t="n">
        <v>7</v>
      </c>
      <c r="L271" s="50">
        <f>CONCATENATE(H271,M271)</f>
        <v/>
      </c>
      <c r="M271" s="51">
        <f>IF(OR(ISBLANK(J271),ISBLANK(K271)),IF(OR(H271="ALI",H271="AIE"),"L",IF(ISBLANK(H271),"","A")),IF(H271="EE",IF(K271&gt;=3,IF(J271&gt;=5,"H","A"),IF(K271&gt;=2,IF(J271&gt;=16,"H",IF(J271&lt;=4,"L","A")),IF(J271&lt;=15,"L","A"))),IF(OR(H271="SE",H271="CE"),IF(K271&gt;=4,IF(J271&gt;=6,"H","A"),IF(K271&gt;=2,IF(J271&gt;=20,"H",IF(J271&lt;=5,"L","A")),IF(J271&lt;=19,"L","A"))),IF(OR(H271="ALI",H271="AIE"),IF(K271&gt;=6,IF(J271&gt;=20,"H","A"),IF(K271&gt;=2,IF(J271&gt;=51,"H",IF(J271&lt;=19,"L","A")),IF(J271&lt;=50,"L","A")))))))</f>
        <v/>
      </c>
      <c r="N271" s="52">
        <f>IF(M271="L","Baixa",IF(M271="A","Média",IF(M271="","","Alta")))</f>
        <v/>
      </c>
      <c r="O271" s="53">
        <f>IF(ISBLANK(H271),"",IF(H271="ALI",IF(M271="L",7,IF(M271="A",10,15)),IF(H271="AIE",IF(M271="L",5,IF(M271="A",7,10)),IF(H271="SE",IF(M271="L",4,IF(M271="A",5,7)),IF(OR(H271="EE",H271="CE"),IF(M271="L",3,IF(M271="A",4,6)))))))</f>
        <v/>
      </c>
      <c r="P271" s="54">
        <f>IF(I271="I",O271*Contagem!$W$15,IF(I271="E",O271*Contagem!$W$17,IF(I271="A",O271*Contagem!$W$16,IF(I271="T",O271*Contagem!$W$18,""))))</f>
        <v/>
      </c>
      <c r="Q271" s="55" t="inlineStr">
        <is>
          <t>Prova: Rota POST /gestao/processos/{id}/ficha/sugerir-parecer (analisar-processos). Tela: gestao/ficha-analise/show (card Minuta de parecer). O analista pede a minuta; SugestaoParecerJob envia ficha, CNAEs e textos-padrão ao provedor configurado, grava a sugestão (situação sugerida ou escalada) e preenche o parecer do rascunho só se estiver vazio; recusa revisão finalizada e informa o motivo quando a função está desligada ou falta a pré-análise do motor. Teste: tests/Feature/Ai/SugestaoParecerTest.php::test_minuta_costura_texto_padrao_e_nao_sobrescreve_parecer_ja_escrito. Processo elementar independente: pedido explícito do analista, não é consequência de outra função; completa por si (pede e recebe minuta ou motivo); deixa a sugestão registrada sem decidir; lógica própria (minuta fundamentada no motor e nos textos-padrão). Classificação: o processamento grava a sugestão e o parecer do rascunho, e a resposta só confirma o pedido (a minuta aparece na consulta da ficha); intenção primária é manter dados, EE (§5.5.3). Registros automáticos contados como FTR (premissa P4): Trilha de auditoria. TD=7 (minuta sugerida, fundamentação, fonte, confiança, situação do pedido, mensagem, ação sugerir). AR=7 (Ficha de análise técnica, Solicitação de viabilidade, CNAE, Texto-padrão, Sugestão de texto por IA, Provedor de inteligência artificial, Trilha de auditoria). Para demonstrar: features.ia_parecer ligado, provedor de IA de texto ativo e processo com pré-análise do motor. Recontagem 16/10/2026: alterada (linha 334 da contagem de 01/10/2026: "Ficha de análise - sugerir minuta de parecer", EE Média 4 PF, TD 4, AR 6). Motivo: TD 4→7 (fundamentação, fonte e confiança da minuta recebidas do provedor e gravadas). Complexidade Média→Alta: 4→6 PF.</t>
        </is>
      </c>
    </row>
    <row r="272" ht="12" customHeight="1" s="73">
      <c r="A272" s="14">
        <f>IF(H272="",IF(C272="",A271,A271+1),A271)</f>
        <v/>
      </c>
      <c r="B272" s="48">
        <f>IF(A272=A271,"",CONCATENATE("F",A272))</f>
        <v/>
      </c>
      <c r="C272" s="85" t="inlineStr">
        <is>
          <t>Ficha de análise - obter resumo do processo</t>
        </is>
      </c>
      <c r="D272" s="142" t="n"/>
      <c r="E272" s="142" t="n"/>
      <c r="F272" s="142" t="n"/>
      <c r="G272" s="143" t="n"/>
      <c r="H272" s="56" t="inlineStr">
        <is>
          <t>EE</t>
        </is>
      </c>
      <c r="I272" s="57" t="inlineStr">
        <is>
          <t>I</t>
        </is>
      </c>
      <c r="J272" s="56" t="n">
        <v>6</v>
      </c>
      <c r="K272" s="56" t="n">
        <v>8</v>
      </c>
      <c r="L272" s="50">
        <f>CONCATENATE(H272,M272)</f>
        <v/>
      </c>
      <c r="M272" s="51">
        <f>IF(OR(ISBLANK(J272),ISBLANK(K272)),IF(OR(H272="ALI",H272="AIE"),"L",IF(ISBLANK(H272),"","A")),IF(H272="EE",IF(K272&gt;=3,IF(J272&gt;=5,"H","A"),IF(K272&gt;=2,IF(J272&gt;=16,"H",IF(J272&lt;=4,"L","A")),IF(J272&lt;=15,"L","A"))),IF(OR(H272="SE",H272="CE"),IF(K272&gt;=4,IF(J272&gt;=6,"H","A"),IF(K272&gt;=2,IF(J272&gt;=20,"H",IF(J272&lt;=5,"L","A")),IF(J272&lt;=19,"L","A"))),IF(OR(H272="ALI",H272="AIE"),IF(K272&gt;=6,IF(J272&gt;=20,"H","A"),IF(K272&gt;=2,IF(J272&gt;=51,"H",IF(J272&lt;=19,"L","A")),IF(J272&lt;=50,"L","A")))))))</f>
        <v/>
      </c>
      <c r="N272" s="52">
        <f>IF(M272="L","Baixa",IF(M272="A","Média",IF(M272="","","Alta")))</f>
        <v/>
      </c>
      <c r="O272" s="53">
        <f>IF(ISBLANK(H272),"",IF(H272="ALI",IF(M272="L",7,IF(M272="A",10,15)),IF(H272="AIE",IF(M272="L",5,IF(M272="A",7,10)),IF(H272="SE",IF(M272="L",4,IF(M272="A",5,7)),IF(OR(H272="EE",H272="CE"),IF(M272="L",3,IF(M272="A",4,6)))))))</f>
        <v/>
      </c>
      <c r="P272" s="54">
        <f>IF(I272="I",O272*Contagem!$W$15,IF(I272="E",O272*Contagem!$W$17,IF(I272="A",O272*Contagem!$W$16,IF(I272="T",O272*Contagem!$W$18,""))))</f>
        <v/>
      </c>
      <c r="Q272" s="55" t="inlineStr">
        <is>
          <t>Prova: Rota POST /gestao/processos/{id}/ficha/gerar-resumo (analisar-processos). Tela: gestao/ficha-analise/show (card Apoio de leitura, botão Gerar resumo). ResumoProcessoJob (dispatchSync) lê processo, ficha, CNAEs e convites e grava uma única síntese revisável; sem fonte, escala para análise humana. Teste: tests/Feature/Ai/ResumoProcessoTest.php::test_endpoint_gera_resumo_quando_disponivel. Processo elementar independente: pedido explícito do analista; completa por si (pede e recebe resumo ou motivo); não duplica resumo existente; lógica própria de síntese com fonte. Classificação: grava a sugestão e devolve só a confirmação; o texto é exibido pela consulta da ficha; EE (§5.5.3). Registros automáticos contados como FTR (premissa P4): Trilha de auditoria, Chamada de integração. TD=6 (resumo, pontos-chave, fonte, situação do pedido, mensagem, ação gerar resumo). AR=8 (Solicitação de viabilidade, Ficha de análise técnica, CNAE, Pendência da análise, Sugestão de texto por IA, Provedor de inteligência artificial, Trilha de auditoria, Chamada de integração). Para demonstrar: features.ia_resumo ligado e provedor de IA de texto ativo. Recontagem 16/10/2026: alterada (linha 335 da contagem de 01/10/2026: "Ficha de análise - obter resumo do processo", EE Média 4 PF, TD 4, AR 6). Motivo: TD 4→6 (pontos-chave e fonte do resumo gravados e exibidos). Complexidade Média→Alta: 4→6 PF.</t>
        </is>
      </c>
    </row>
    <row r="273" ht="12" customHeight="1" s="73">
      <c r="A273" s="14">
        <f>IF(H273="",IF(C273="",A272,A272+1),A272)</f>
        <v/>
      </c>
      <c r="B273" s="48">
        <f>IF(A273=A272,"",CONCATENATE("F",A273))</f>
        <v/>
      </c>
      <c r="C273" s="85" t="inlineStr">
        <is>
          <t>Ficha de análise - sugerir justificativa</t>
        </is>
      </c>
      <c r="D273" s="142" t="n"/>
      <c r="E273" s="142" t="n"/>
      <c r="F273" s="142" t="n"/>
      <c r="G273" s="143" t="n"/>
      <c r="H273" s="56" t="inlineStr">
        <is>
          <t>EE</t>
        </is>
      </c>
      <c r="I273" s="57" t="inlineStr">
        <is>
          <t>I</t>
        </is>
      </c>
      <c r="J273" s="56" t="n">
        <v>8</v>
      </c>
      <c r="K273" s="56" t="n">
        <v>6</v>
      </c>
      <c r="L273" s="50">
        <f>CONCATENATE(H273,M273)</f>
        <v/>
      </c>
      <c r="M273" s="51">
        <f>IF(OR(ISBLANK(J273),ISBLANK(K273)),IF(OR(H273="ALI",H273="AIE"),"L",IF(ISBLANK(H273),"","A")),IF(H273="EE",IF(K273&gt;=3,IF(J273&gt;=5,"H","A"),IF(K273&gt;=2,IF(J273&gt;=16,"H",IF(J273&lt;=4,"L","A")),IF(J273&lt;=15,"L","A"))),IF(OR(H273="SE",H273="CE"),IF(K273&gt;=4,IF(J273&gt;=6,"H","A"),IF(K273&gt;=2,IF(J273&gt;=20,"H",IF(J273&lt;=5,"L","A")),IF(J273&lt;=19,"L","A"))),IF(OR(H273="ALI",H273="AIE"),IF(K273&gt;=6,IF(J273&gt;=20,"H","A"),IF(K273&gt;=2,IF(J273&gt;=51,"H",IF(J273&lt;=19,"L","A")),IF(J273&lt;=50,"L","A")))))))</f>
        <v/>
      </c>
      <c r="N273" s="52">
        <f>IF(M273="L","Baixa",IF(M273="A","Média",IF(M273="","","Alta")))</f>
        <v/>
      </c>
      <c r="O273" s="53">
        <f>IF(ISBLANK(H273),"",IF(H273="ALI",IF(M273="L",7,IF(M273="A",10,15)),IF(H273="AIE",IF(M273="L",5,IF(M273="A",7,10)),IF(H273="SE",IF(M273="L",4,IF(M273="A",5,7)),IF(OR(H273="EE",H273="CE"),IF(M273="L",3,IF(M273="A",4,6)))))))</f>
        <v/>
      </c>
      <c r="P273" s="54">
        <f>IF(I273="I",O273*Contagem!$W$15,IF(I273="E",O273*Contagem!$W$17,IF(I273="A",O273*Contagem!$W$16,IF(I273="T",O273*Contagem!$W$18,""))))</f>
        <v/>
      </c>
      <c r="Q273" s="55" t="inlineStr">
        <is>
          <t>Prova: Rota POST /gestao/processos/{id}/ficha/sugerir-justificativa (analisar-processos). Tela: gestao/ficha-analise/show (card Justificativa da atividade). O analista informa o CNAE já decidido; SugestaoJustificativaJob grava a sugestão e preenche a justificativa da atividade no rascunho só se estiver vazia; 422 sem decisão do CNAE ou com revisão finalizada. Teste: tests/Feature/Ai/SugestaoJustificativaTest.php::test_sugere_justificativa_conforme_decisao_do_analista_e_preenche_campo_vazio. Processo elementar independente: pedido explícito do analista por atividade; completa por si; mantém a decisão do CNAE; lógica própria (texto coerente com a decisão). Difere da minuta de parecer em DER (CNAE) e FTR. Classificação: grava sugestão e campo do rascunho, EE (§5.5.3). Registros automáticos contados como FTR (premissa P4): Trilha de auditoria. TD=8 (CNAE, justificativa sugerida, fundamentação, fonte, confiança, situação do pedido, mensagem, ação sugerir). AR=6 (Ficha de análise técnica, Solicitação de viabilidade, CNAE, Sugestão de texto por IA, Provedor de inteligência artificial, Trilha de auditoria). Para demonstrar: features.ia_justificativa ligado e provedor de IA de texto ativo. Recontagem 16/10/2026: alterada (linha 338 da contagem de 01/10/2026: "Ficha de análise - sugerir justificativa", EE Alta 6 PF, TD 5, AR 5). Motivo: TD 5→8 (fundamentação, fonte e confiança recebidas e gravadas). PF inalterado (EE Alta).</t>
        </is>
      </c>
    </row>
    <row r="274" ht="12" customHeight="1" s="73">
      <c r="A274" s="14">
        <f>IF(H274="",IF(C274="",A273,A273+1),A273)</f>
        <v/>
      </c>
      <c r="B274" s="48">
        <f>IF(A274=A273,"",CONCATENATE("F",A274))</f>
        <v/>
      </c>
      <c r="C274" s="85" t="n"/>
      <c r="D274" s="142" t="n"/>
      <c r="E274" s="142" t="n"/>
      <c r="F274" s="142" t="n"/>
      <c r="G274" s="143" t="n"/>
      <c r="H274" s="56" t="n"/>
      <c r="I274" s="57" t="n"/>
      <c r="J274" s="56" t="n"/>
      <c r="K274" s="56" t="n"/>
      <c r="L274" s="50">
        <f>CONCATENATE(H274,M274)</f>
        <v/>
      </c>
      <c r="M274" s="51">
        <f>IF(OR(ISBLANK(J274),ISBLANK(K274)),IF(OR(H274="ALI",H274="AIE"),"L",IF(ISBLANK(H274),"","A")),IF(H274="EE",IF(K274&gt;=3,IF(J274&gt;=5,"H","A"),IF(K274&gt;=2,IF(J274&gt;=16,"H",IF(J274&lt;=4,"L","A")),IF(J274&lt;=15,"L","A"))),IF(OR(H274="SE",H274="CE"),IF(K274&gt;=4,IF(J274&gt;=6,"H","A"),IF(K274&gt;=2,IF(J274&gt;=20,"H",IF(J274&lt;=5,"L","A")),IF(J274&lt;=19,"L","A"))),IF(OR(H274="ALI",H274="AIE"),IF(K274&gt;=6,IF(J274&gt;=20,"H","A"),IF(K274&gt;=2,IF(J274&gt;=51,"H",IF(J274&lt;=19,"L","A")),IF(J274&lt;=50,"L","A")))))))</f>
        <v/>
      </c>
      <c r="N274" s="52">
        <f>IF(M274="L","Baixa",IF(M274="A","Média",IF(M274="","","Alta")))</f>
        <v/>
      </c>
      <c r="O274" s="53">
        <f>IF(ISBLANK(H274),"",IF(H274="ALI",IF(M274="L",7,IF(M274="A",10,15)),IF(H274="AIE",IF(M274="L",5,IF(M274="A",7,10)),IF(H274="SE",IF(M274="L",4,IF(M274="A",5,7)),IF(OR(H274="EE",H274="CE"),IF(M274="L",3,IF(M274="A",4,6)))))))</f>
        <v/>
      </c>
      <c r="P274" s="54">
        <f>IF(I274="I",O274*Contagem!$W$15,IF(I274="E",O274*Contagem!$W$17,IF(I274="A",O274*Contagem!$W$16,IF(I274="T",O274*Contagem!$W$18,""))))</f>
        <v/>
      </c>
      <c r="Q274" s="55" t="n"/>
    </row>
    <row r="275" ht="12" customHeight="1" s="73">
      <c r="A275" s="14">
        <f>IF(H275="",IF(C275="",A274,A274+1),A274)</f>
        <v/>
      </c>
      <c r="B275" s="48">
        <f>IF(A275=A274,"",CONCATENATE("F",A275))</f>
        <v/>
      </c>
      <c r="C275" s="85" t="inlineStr">
        <is>
          <t>Decisão e conclusão da análise</t>
        </is>
      </c>
      <c r="D275" s="142" t="n"/>
      <c r="E275" s="142" t="n"/>
      <c r="F275" s="142" t="n"/>
      <c r="G275" s="143" t="n"/>
      <c r="H275" s="56" t="n"/>
      <c r="I275" s="57" t="n"/>
      <c r="J275" s="56" t="n"/>
      <c r="K275" s="56" t="n"/>
      <c r="L275" s="50">
        <f>CONCATENATE(H275,M275)</f>
        <v/>
      </c>
      <c r="M275" s="51">
        <f>IF(OR(ISBLANK(J275),ISBLANK(K275)),IF(OR(H275="ALI",H275="AIE"),"L",IF(ISBLANK(H275),"","A")),IF(H275="EE",IF(K275&gt;=3,IF(J275&gt;=5,"H","A"),IF(K275&gt;=2,IF(J275&gt;=16,"H",IF(J275&lt;=4,"L","A")),IF(J275&lt;=15,"L","A"))),IF(OR(H275="SE",H275="CE"),IF(K275&gt;=4,IF(J275&gt;=6,"H","A"),IF(K275&gt;=2,IF(J275&gt;=20,"H",IF(J275&lt;=5,"L","A")),IF(J275&lt;=19,"L","A"))),IF(OR(H275="ALI",H275="AIE"),IF(K275&gt;=6,IF(J275&gt;=20,"H","A"),IF(K275&gt;=2,IF(J275&gt;=51,"H",IF(J275&lt;=19,"L","A")),IF(J275&lt;=50,"L","A")))))))</f>
        <v/>
      </c>
      <c r="N275" s="52">
        <f>IF(M275="L","Baixa",IF(M275="A","Média",IF(M275="","","Alta")))</f>
        <v/>
      </c>
      <c r="O275" s="53">
        <f>IF(ISBLANK(H275),"",IF(H275="ALI",IF(M275="L",7,IF(M275="A",10,15)),IF(H275="AIE",IF(M275="L",5,IF(M275="A",7,10)),IF(H275="SE",IF(M275="L",4,IF(M275="A",5,7)),IF(OR(H275="EE",H275="CE"),IF(M275="L",3,IF(M275="A",4,6)))))))</f>
        <v/>
      </c>
      <c r="P275" s="54">
        <f>IF(I275="I",O275*Contagem!$W$15,IF(I275="E",O275*Contagem!$W$17,IF(I275="A",O275*Contagem!$W$16,IF(I275="T",O275*Contagem!$W$18,""))))</f>
        <v/>
      </c>
      <c r="Q275" s="55" t="n"/>
    </row>
    <row r="276" ht="12" customHeight="1" s="73">
      <c r="A276" s="14">
        <f>IF(H276="",IF(C276="",A275,A275+1),A275)</f>
        <v/>
      </c>
      <c r="B276" s="48">
        <f>IF(A276=A275,"",CONCATENATE("F",A276))</f>
        <v/>
      </c>
      <c r="C276" s="85" t="inlineStr">
        <is>
          <t>Dados - Decisão de viabilidade</t>
        </is>
      </c>
      <c r="D276" s="142" t="n"/>
      <c r="E276" s="142" t="n"/>
      <c r="F276" s="142" t="n"/>
      <c r="G276" s="143" t="n"/>
      <c r="H276" s="56" t="inlineStr">
        <is>
          <t>ALI</t>
        </is>
      </c>
      <c r="I276" s="57" t="inlineStr">
        <is>
          <t>I</t>
        </is>
      </c>
      <c r="J276" s="56" t="n">
        <v>21</v>
      </c>
      <c r="K276" s="56" t="n">
        <v>3</v>
      </c>
      <c r="L276" s="50">
        <f>CONCATENATE(H276,M276)</f>
        <v/>
      </c>
      <c r="M276" s="51">
        <f>IF(OR(ISBLANK(J276),ISBLANK(K276)),IF(OR(H276="ALI",H276="AIE"),"L",IF(ISBLANK(H276),"","A")),IF(H276="EE",IF(K276&gt;=3,IF(J276&gt;=5,"H","A"),IF(K276&gt;=2,IF(J276&gt;=16,"H",IF(J276&lt;=4,"L","A")),IF(J276&lt;=15,"L","A"))),IF(OR(H276="SE",H276="CE"),IF(K276&gt;=4,IF(J276&gt;=6,"H","A"),IF(K276&gt;=2,IF(J276&gt;=20,"H",IF(J276&lt;=5,"L","A")),IF(J276&lt;=19,"L","A"))),IF(OR(H276="ALI",H276="AIE"),IF(K276&gt;=6,IF(J276&gt;=20,"H","A"),IF(K276&gt;=2,IF(J276&gt;=51,"H",IF(J276&lt;=19,"L","A")),IF(J276&lt;=50,"L","A")))))))</f>
        <v/>
      </c>
      <c r="N276" s="52">
        <f>IF(M276="L","Baixa",IF(M276="A","Média",IF(M276="","","Alta")))</f>
        <v/>
      </c>
      <c r="O276" s="53">
        <f>IF(ISBLANK(H276),"",IF(H276="ALI",IF(M276="L",7,IF(M276="A",10,15)),IF(H276="AIE",IF(M276="L",5,IF(M276="A",7,10)),IF(H276="SE",IF(M276="L",4,IF(M276="A",5,7)),IF(OR(H276="EE",H276="CE"),IF(M276="L",3,IF(M276="A",4,6)))))))</f>
        <v/>
      </c>
      <c r="P276" s="54">
        <f>IF(I276="I",O276*Contagem!$W$15,IF(I276="E",O276*Contagem!$W$17,IF(I276="A",O276*Contagem!$W$16,IF(I276="T",O276*Contagem!$W$18,""))))</f>
        <v/>
      </c>
      <c r="Q276" s="55" t="inlineStr">
        <is>
          <t>Prova: Models ViabilityDecision e TvlDocument; migrations 2026_06_14_163233_create_viability_decisions_table, 2026_06_15_081450_add_decision_trace_to_viability_decisions, 2026_07_16_100000_add_virtual_office_hq_to_viability, 2026_07_16_110100_add_tenant_fields_to_viability_decisions, 2026_09_28_165056_add_tvl_validity_to_viability_decisions_table e 2026_06_14_215048_create_tvl_documents_table. Mantida pelo fluxo expresso, pela decisão da ficha (AnaliseTecnicaDecisionService), pela conclusão da análise (ConclusaoAnaliseService), pelos indeferimentos por prazo e pela emissão do PDF do TVL (TvlPdfService). Teste: tests/Feature/Analise/AnaliseTecnicaDecisionTest.php::test_deferimento_grava_o_parecer_do_analista_como_motivo. Arquivo lógico: a decisão de viabilidade é o ato reconhecido pelo analista, pelo requerente e pela JUCEB, com desfecho, fundamentação e número do TVL. Resultado por CNAE e emissões do PDF do TVL são subgrupos dependentes (CPM Parte 3 Cap. 2, entidade dependente). Teste de independência em relação à Solicitação de viabilidade: a decisão tem ciclo próprio (deferida, indeferida, cassada, revogada, desativada), é o ato comunicado à JUCEB e à SEFAZ, consultada em telas próprias (resultados do expresso, ficha do expresso) e verificada publicamente pelo número do TVL; fica como ALI separado. TD=21 (solicitação, fluxo, desfecho, resultado consolidado, número do TVL, tipo do TVL, validade do TVL, resultado por CNAE, versões de regras, fundamentação, rastro da decisão, motivo (parecer), decidida por, decidida em, sede de escritório virtual, abrigado de escritório virtual, número do TVL da sede, PDF emitido, código de verificação, emitido por, emitido em). TR=3 (decisão, resultado por CNAE, emissão do PDF do TVL). Recontagem 16/10/2026: alterada (linha 512 da contagem de 01/10/2026: "Dados - Decisão de viabilidade", ALI Baixa 7 PF, TD 17, AR 2). Motivo: TD 17→21 e TR 2→3: o TVL emitido em PDF (tvl_documents) deixa de ser ALI próprio e entra como subgrupo da decisão (teste de independência: cada emissão só existe com a decisão deferida e é apagada com ela, cascadeOnDelete). Complexidade Baixa→Média: 7→10 PF.</t>
        </is>
      </c>
    </row>
    <row r="277" ht="12" customHeight="1" s="73">
      <c r="A277" s="14">
        <f>IF(H277="",IF(C277="",A276,A276+1),A276)</f>
        <v/>
      </c>
      <c r="B277" s="48">
        <f>IF(A277=A276,"",CONCATENATE("F",A277))</f>
        <v/>
      </c>
      <c r="C277" s="85" t="inlineStr">
        <is>
          <t>Análise - decidir o processo conforme a ficha</t>
        </is>
      </c>
      <c r="D277" s="142" t="n"/>
      <c r="E277" s="142" t="n"/>
      <c r="F277" s="142" t="n"/>
      <c r="G277" s="143" t="n"/>
      <c r="H277" s="56" t="inlineStr">
        <is>
          <t>EE</t>
        </is>
      </c>
      <c r="I277" s="57" t="inlineStr">
        <is>
          <t>I</t>
        </is>
      </c>
      <c r="J277" s="56" t="n">
        <v>9</v>
      </c>
      <c r="K277" s="56" t="n">
        <v>8</v>
      </c>
      <c r="L277" s="50">
        <f>CONCATENATE(H277,M277)</f>
        <v/>
      </c>
      <c r="M277" s="51">
        <f>IF(OR(ISBLANK(J277),ISBLANK(K277)),IF(OR(H277="ALI",H277="AIE"),"L",IF(ISBLANK(H277),"","A")),IF(H277="EE",IF(K277&gt;=3,IF(J277&gt;=5,"H","A"),IF(K277&gt;=2,IF(J277&gt;=16,"H",IF(J277&lt;=4,"L","A")),IF(J277&lt;=15,"L","A"))),IF(OR(H277="SE",H277="CE"),IF(K277&gt;=4,IF(J277&gt;=6,"H","A"),IF(K277&gt;=2,IF(J277&gt;=20,"H",IF(J277&lt;=5,"L","A")),IF(J277&lt;=19,"L","A"))),IF(OR(H277="ALI",H277="AIE"),IF(K277&gt;=6,IF(J277&gt;=20,"H","A"),IF(K277&gt;=2,IF(J277&gt;=51,"H",IF(J277&lt;=19,"L","A")),IF(J277&lt;=50,"L","A")))))))</f>
        <v/>
      </c>
      <c r="N277" s="52">
        <f>IF(M277="L","Baixa",IF(M277="A","Média",IF(M277="","","Alta")))</f>
        <v/>
      </c>
      <c r="O277" s="53">
        <f>IF(ISBLANK(H277),"",IF(H277="ALI",IF(M277="L",7,IF(M277="A",10,15)),IF(H277="AIE",IF(M277="L",5,IF(M277="A",7,10)),IF(H277="SE",IF(M277="L",4,IF(M277="A",5,7)),IF(OR(H277="EE",H277="CE"),IF(M277="L",3,IF(M277="A",4,6)))))))</f>
        <v/>
      </c>
      <c r="P277" s="54">
        <f>IF(I277="I",O277*Contagem!$W$15,IF(I277="E",O277*Contagem!$W$17,IF(I277="A",O277*Contagem!$W$16,IF(I277="T",O277*Contagem!$W$18,""))))</f>
        <v/>
      </c>
      <c r="Q277" s="55" t="inlineStr">
        <is>
          <t>Prova: Rotas POST /gestao/processos/{id}/ficha/concluir-processo (botão Finalizar processo, ficha em rascunho) e POST /gestao/processos/{id}/decidir (botão Decidir processo conforme ficha, ficha finalizada, com os dados da renovação), ambas sob analisar-processos e concluir-analise (desde 15/10 só chefias e Analista Servidor, migration 2026_10_15_190000_restringe_permissao_concluir_analise). Tela: gestao/ficha-analise/show. O sistema finaliza a revisão (imutável, com divergências), deriva deferido ou indeferido das escolhas por CNAE, grava a decisão com número do TVL e parecer, muda a situação do processo, trava a inscrição quando é sede de escritório virtual e notifica o requerente. O envio do parecer à JUCEB é consequência automática (área de integração). Teste: tests/Feature/Analise/ProcessoDecisaoEndpointTest.php::test_concluir_processo_a_partir_do_rascunho_defere_e_encerra. Processo elementar independente: menor unidade com significado para o analista (decidir o processo pela ficha); completa por si; deixa decisão, situação e comunicação consistentes juntas; mesma lógica nas duas rotas, contada uma vez (§5.5.2.2). Classificação: intenção primária é gravar a decisão, EE. Registros automáticos contados como FTR (premissa P4): Comunicação ao requerente, Trilha de auditoria, Chamada de integração. TD=9 (tipo do TVL na renovação, nova validade na renovação, condicionantes atendidos, resultado (deferido/indeferido), situação do processo, nº do TVL, mensagem, ação decidir, parecer enviado à JUCEB). AR=8 (Ficha de análise técnica, Solicitação de viabilidade, Decisão de viabilidade, Bloqueio de inscrição de escritório virtual, Recebimento do REGIN, Comunicação ao requerente, Trilha de auditoria, Chamada de integração). Recontagem 16/10/2026: alterada (linha 332 da contagem de 01/10/2026: "Ficha de análise - concluir processo", EE Alta 6 PF, TD 9, AR 4). Motivo: Unifica três linhas anteriores: "Ficha de análise - concluir processo" (332), "Análise - registrar decisão técnica" (215) e "Ficha de análise - finalizar" (331). As rotas /ficha/concluir-processo e /decidir chamam o mesmo AnaliseTecnicaDecisionService::decide; a primeira apenas finaliza antes o rascunho (passo sequencial do mesmo processo, Roteiro SISP §5.3) e a segunda recebe os dados de renovação. A finalização isolada não tem mais botão desde 17/09 (commit 97226c68). Nome, TD (9→9, com DER de renovação no lugar dos campos da ficha) e AR (4→8) ajustados. Total 15 PF → 6 PF. Harmonização: Recebimento do REGIN entra como FTR (HttpReginParecerNotifier lê o CNPJ do envelope recebido para montar o parecer); o parecer enviado à JUCEB entra como DER de saída; Notificação ao usuário sai porque a notificação é enfileirada (ShouldQueue), não gravada no mesmo request; trilha, comunicação e chamada de integração contadas por premissa P4.</t>
        </is>
      </c>
    </row>
    <row r="278" ht="12" customHeight="1" s="73">
      <c r="A278" s="14">
        <f>IF(H278="",IF(C278="",A277,A277+1),A277)</f>
        <v/>
      </c>
      <c r="B278" s="48">
        <f>IF(A278=A277,"",CONCATENATE("F",A278))</f>
        <v/>
      </c>
      <c r="C278" s="85" t="inlineStr">
        <is>
          <t>Análise - concluir com deferimento, indeferimento, desativação, cassação ou revogação</t>
        </is>
      </c>
      <c r="D278" s="142" t="n"/>
      <c r="E278" s="142" t="n"/>
      <c r="F278" s="142" t="n"/>
      <c r="G278" s="143" t="n"/>
      <c r="H278" s="56" t="inlineStr">
        <is>
          <t>EE</t>
        </is>
      </c>
      <c r="I278" s="57" t="inlineStr">
        <is>
          <t>I</t>
        </is>
      </c>
      <c r="J278" s="56" t="n">
        <v>5</v>
      </c>
      <c r="K278" s="56" t="n">
        <v>8</v>
      </c>
      <c r="L278" s="50">
        <f>CONCATENATE(H278,M278)</f>
        <v/>
      </c>
      <c r="M278" s="51">
        <f>IF(OR(ISBLANK(J278),ISBLANK(K278)),IF(OR(H278="ALI",H278="AIE"),"L",IF(ISBLANK(H278),"","A")),IF(H278="EE",IF(K278&gt;=3,IF(J278&gt;=5,"H","A"),IF(K278&gt;=2,IF(J278&gt;=16,"H",IF(J278&lt;=4,"L","A")),IF(J278&lt;=15,"L","A"))),IF(OR(H278="SE",H278="CE"),IF(K278&gt;=4,IF(J278&gt;=6,"H","A"),IF(K278&gt;=2,IF(J278&gt;=20,"H",IF(J278&lt;=5,"L","A")),IF(J278&lt;=19,"L","A"))),IF(OR(H278="ALI",H278="AIE"),IF(K278&gt;=6,IF(J278&gt;=20,"H","A"),IF(K278&gt;=2,IF(J278&gt;=51,"H",IF(J278&lt;=19,"L","A")),IF(J278&lt;=50,"L","A")))))))</f>
        <v/>
      </c>
      <c r="N278" s="52">
        <f>IF(M278="L","Baixa",IF(M278="A","Média",IF(M278="","","Alta")))</f>
        <v/>
      </c>
      <c r="O278" s="53">
        <f>IF(ISBLANK(H278),"",IF(H278="ALI",IF(M278="L",7,IF(M278="A",10,15)),IF(H278="AIE",IF(M278="L",5,IF(M278="A",7,10)),IF(H278="SE",IF(M278="L",4,IF(M278="A",5,7)),IF(OR(H278="EE",H278="CE"),IF(M278="L",3,IF(M278="A",4,6)))))))</f>
        <v/>
      </c>
      <c r="P278" s="54">
        <f>IF(I278="I",O278*Contagem!$W$15,IF(I278="E",O278*Contagem!$W$17,IF(I278="A",O278*Contagem!$W$16,IF(I278="T",O278*Contagem!$W$18,""))))</f>
        <v/>
      </c>
      <c r="Q278" s="55" t="inlineStr">
        <is>
          <t>Prova: Rota POST /gestao/processos/{id}/conclusao-analise (analisar-processos e concluir-analise). Telas: gestao/ficha-analise/show, gestao/processos/show e gestao/malha-fina/index (modal Conclusão de Análise, ConcluirAnaliseRequest). ConclusaoAnaliseService decide pela ficha (deferido/indeferido, com o parecer) ou encerra por desativação, cassação ou revogação (inclusive processo já deferido, sem TVL), fecha o eixo de análise e desvincula a sede de escritório virtual. Teste: tests/Feature/Analise/ConclusaoAnaliseTest.php::test_cassado_revogado_e_desativado_encerram_sem_tvl. Processo elementar independente: difere da decisão pela ficha em DER (resultado escolhido entre cinco e parecer) e em lógica (encerramentos, eixo de análise, desvínculo da sede), por isso é processo distinto (§5.5.2.2). Classificação: grava decisão e situação, EE. Registros automáticos contados como FTR (premissa P4): Comunicação ao requerente, Trilha de auditoria, Chamada de integração. TD=5 (resultado (deferido/indeferido/desativado/cassado/revogado), parecer, situação do processo, mensagem, ação concluir). AR=8 (Solicitação de viabilidade, Ficha de análise técnica, Decisão de viabilidade, Bloqueio de inscrição de escritório virtual, Recebimento do REGIN, Comunicação ao requerente, Trilha de auditoria, Chamada de integração). Recontagem 16/10/2026: alterada (linha 337 da contagem de 01/10/2026: "Análise - concluir com deferimento, indeferimento, desativação, cassação ou revogação", EE Alta 6 PF, TD 5, AR 4). Motivo: Desde 15/10 a rota exige concluir-analise e o deferimento grava o parecer informado, que segue na justificativa à JUCEB (commits 60107795 e 396d1565). AR 4→8, PF inalterado (EE Alta). Harmonização: Recebimento do REGIN entra como FTR (montagem do parecer à JUCEB); Notificação ao usuário sai (enfileirada); trilha, comunicação e chamada de integração contadas por premissa P4.</t>
        </is>
      </c>
    </row>
    <row r="279" ht="12" customHeight="1" s="73">
      <c r="A279" s="14">
        <f>IF(H279="",IF(C279="",A278,A278+1),A278)</f>
        <v/>
      </c>
      <c r="B279" s="48">
        <f>IF(A279=A278,"",CONCATENATE("F",A279))</f>
        <v/>
      </c>
      <c r="C279" s="85" t="inlineStr">
        <is>
          <t>TVL - emitir e abrir o termo em PDF</t>
        </is>
      </c>
      <c r="D279" s="142" t="n"/>
      <c r="E279" s="142" t="n"/>
      <c r="F279" s="142" t="n"/>
      <c r="G279" s="143" t="n"/>
      <c r="H279" s="56" t="inlineStr">
        <is>
          <t>SE</t>
        </is>
      </c>
      <c r="I279" s="57" t="inlineStr">
        <is>
          <t>I</t>
        </is>
      </c>
      <c r="J279" s="56" t="n">
        <v>21</v>
      </c>
      <c r="K279" s="56" t="n">
        <v>7</v>
      </c>
      <c r="L279" s="50">
        <f>CONCATENATE(H279,M279)</f>
        <v/>
      </c>
      <c r="M279" s="51">
        <f>IF(OR(ISBLANK(J279),ISBLANK(K279)),IF(OR(H279="ALI",H279="AIE"),"L",IF(ISBLANK(H279),"","A")),IF(H279="EE",IF(K279&gt;=3,IF(J279&gt;=5,"H","A"),IF(K279&gt;=2,IF(J279&gt;=16,"H",IF(J279&lt;=4,"L","A")),IF(J279&lt;=15,"L","A"))),IF(OR(H279="SE",H279="CE"),IF(K279&gt;=4,IF(J279&gt;=6,"H","A"),IF(K279&gt;=2,IF(J279&gt;=20,"H",IF(J279&lt;=5,"L","A")),IF(J279&lt;=19,"L","A"))),IF(OR(H279="ALI",H279="AIE"),IF(K279&gt;=6,IF(J279&gt;=20,"H","A"),IF(K279&gt;=2,IF(J279&gt;=51,"H",IF(J279&lt;=19,"L","A")),IF(J279&lt;=50,"L","A")))))))</f>
        <v/>
      </c>
      <c r="N279" s="52">
        <f>IF(M279="L","Baixa",IF(M279="A","Média",IF(M279="","","Alta")))</f>
        <v/>
      </c>
      <c r="O279" s="53">
        <f>IF(ISBLANK(H279),"",IF(H279="ALI",IF(M279="L",7,IF(M279="A",10,15)),IF(H279="AIE",IF(M279="L",5,IF(M279="A",7,10)),IF(H279="SE",IF(M279="L",4,IF(M279="A",5,7)),IF(OR(H279="EE",H279="CE"),IF(M279="L",3,IF(M279="A",4,6)))))))</f>
        <v/>
      </c>
      <c r="P279" s="54">
        <f>IF(I279="I",O279*Contagem!$W$15,IF(I279="E",O279*Contagem!$W$17,IF(I279="A",O279*Contagem!$W$16,IF(I279="T",O279*Contagem!$W$18,""))))</f>
        <v/>
      </c>
      <c r="Q279" s="55" t="inlineStr">
        <is>
          <t>Prova: Rotas POST /gestao/processos/{id}/tvl e GET /gestao/processos/tvl/{documento}/download (emitir-tvl, URL temporária assinada). Telas: gestao/ficha-analise/show, gestao/processos/show, gestao/resultados-expresso/show e gestao/relatorios/tempo-emissao-tvl (componente baixar-tvl). TvlPdfService lê decisão deferida, processo, empresa, ficha, CNAEs e assinatura parametrizada, gera o PDF, grava a emissão com código de verificação e entrega o arquivo; decisão não deferida recebe 422. Teste: tests/Feature/Analise/TvlDocumentEndpointTest.php::test_emite_tvl_de_decisao_deferida. Processo elementar independente: menor unidade com significado para o servidor (obter o termo oficial); emissão e download são passos sequenciais do mesmo clique, contados uma vez; as quatro telas acionam a mesma lógica. Classificação: intenção primária é apresentar o documento, com dados derivados (código e URL de verificação) e gravação da emissão, SE (§5.5.3). Registros automáticos contados como FTR (premissa P4): Trilha de auditoria. TD=21 (número do TVL, código de verificação, URL de verificação, emitido em, decidido em, protocolo, razão social, nome fantasia, CNPJ, endereço, bairro, CEP, CNAE, descrição da atividade, condicionantes da atividade, condicionantes da ficha, parecer, fundamentação, assinatura, mensagem de erro, ação abrir PDF). AR=7 (Decisão de viabilidade, Solicitação de viabilidade, Empresa, Ficha de análise técnica, CNAE, Parâmetro, Trilha de auditoria). Recontagem 16/10/2026: alterada (linha 276 da contagem de 01/10/2026: "TVL - emitir termo", EE Alta 6 PF, TD 6, AR 8). Motivo: Unifica "TVL - emitir termo" (276, EE) e "TVL - baixar termo emitido" (277, SE): o botão Abrir PDF / Visualizar Viabilidade chama POST /tvl e abre na hora a URL assinada (5 min) devolvida; não há tela que liste ou baixe um termo emitido antes. Reclassificada EE→SE pela intenção primária (ver o documento). AR sem o TVL emitido (agora subgrupo da Decisão). Total 13 PF → 7 PF.</t>
        </is>
      </c>
    </row>
    <row r="280" ht="12" customHeight="1" s="73">
      <c r="A280" s="14">
        <f>IF(H280="",IF(C280="",A279,A279+1),A279)</f>
        <v/>
      </c>
      <c r="B280" s="48">
        <f>IF(A280=A279,"",CONCATENATE("F",A280))</f>
        <v/>
      </c>
      <c r="C280" s="85" t="n"/>
      <c r="D280" s="142" t="n"/>
      <c r="E280" s="142" t="n"/>
      <c r="F280" s="142" t="n"/>
      <c r="G280" s="143" t="n"/>
      <c r="H280" s="56" t="n"/>
      <c r="I280" s="57" t="n"/>
      <c r="J280" s="56" t="n"/>
      <c r="K280" s="56" t="n"/>
      <c r="L280" s="50">
        <f>CONCATENATE(H280,M280)</f>
        <v/>
      </c>
      <c r="M280" s="51">
        <f>IF(OR(ISBLANK(J280),ISBLANK(K280)),IF(OR(H280="ALI",H280="AIE"),"L",IF(ISBLANK(H280),"","A")),IF(H280="EE",IF(K280&gt;=3,IF(J280&gt;=5,"H","A"),IF(K280&gt;=2,IF(J280&gt;=16,"H",IF(J280&lt;=4,"L","A")),IF(J280&lt;=15,"L","A"))),IF(OR(H280="SE",H280="CE"),IF(K280&gt;=4,IF(J280&gt;=6,"H","A"),IF(K280&gt;=2,IF(J280&gt;=20,"H",IF(J280&lt;=5,"L","A")),IF(J280&lt;=19,"L","A"))),IF(OR(H280="ALI",H280="AIE"),IF(K280&gt;=6,IF(J280&gt;=20,"H","A"),IF(K280&gt;=2,IF(J280&gt;=51,"H",IF(J280&lt;=19,"L","A")),IF(J280&lt;=50,"L","A")))))))</f>
        <v/>
      </c>
      <c r="N280" s="52">
        <f>IF(M280="L","Baixa",IF(M280="A","Média",IF(M280="","","Alta")))</f>
        <v/>
      </c>
      <c r="O280" s="53">
        <f>IF(ISBLANK(H280),"",IF(H280="ALI",IF(M280="L",7,IF(M280="A",10,15)),IF(H280="AIE",IF(M280="L",5,IF(M280="A",7,10)),IF(H280="SE",IF(M280="L",4,IF(M280="A",5,7)),IF(OR(H280="EE",H280="CE"),IF(M280="L",3,IF(M280="A",4,6)))))))</f>
        <v/>
      </c>
      <c r="P280" s="54">
        <f>IF(I280="I",O280*Contagem!$W$15,IF(I280="E",O280*Contagem!$W$17,IF(I280="A",O280*Contagem!$W$16,IF(I280="T",O280*Contagem!$W$18,""))))</f>
        <v/>
      </c>
      <c r="Q280" s="55" t="n"/>
    </row>
    <row r="281" ht="12" customHeight="1" s="73">
      <c r="A281" s="14">
        <f>IF(H281="",IF(C281="",A280,A280+1),A280)</f>
        <v/>
      </c>
      <c r="B281" s="48">
        <f>IF(A281=A280,"",CONCATENATE("F",A281))</f>
        <v/>
      </c>
      <c r="C281" s="85" t="inlineStr">
        <is>
          <t>Precedentes de análise</t>
        </is>
      </c>
      <c r="D281" s="142" t="n"/>
      <c r="E281" s="142" t="n"/>
      <c r="F281" s="142" t="n"/>
      <c r="G281" s="143" t="n"/>
      <c r="H281" s="56" t="n"/>
      <c r="I281" s="57" t="n"/>
      <c r="J281" s="56" t="n"/>
      <c r="K281" s="56" t="n"/>
      <c r="L281" s="50">
        <f>CONCATENATE(H281,M281)</f>
        <v/>
      </c>
      <c r="M281" s="51">
        <f>IF(OR(ISBLANK(J281),ISBLANK(K281)),IF(OR(H281="ALI",H281="AIE"),"L",IF(ISBLANK(H281),"","A")),IF(H281="EE",IF(K281&gt;=3,IF(J281&gt;=5,"H","A"),IF(K281&gt;=2,IF(J281&gt;=16,"H",IF(J281&lt;=4,"L","A")),IF(J281&lt;=15,"L","A"))),IF(OR(H281="SE",H281="CE"),IF(K281&gt;=4,IF(J281&gt;=6,"H","A"),IF(K281&gt;=2,IF(J281&gt;=20,"H",IF(J281&lt;=5,"L","A")),IF(J281&lt;=19,"L","A"))),IF(OR(H281="ALI",H281="AIE"),IF(K281&gt;=6,IF(J281&gt;=20,"H","A"),IF(K281&gt;=2,IF(J281&gt;=51,"H",IF(J281&lt;=19,"L","A")),IF(J281&lt;=50,"L","A")))))))</f>
        <v/>
      </c>
      <c r="N281" s="52">
        <f>IF(M281="L","Baixa",IF(M281="A","Média",IF(M281="","","Alta")))</f>
        <v/>
      </c>
      <c r="O281" s="53">
        <f>IF(ISBLANK(H281),"",IF(H281="ALI",IF(M281="L",7,IF(M281="A",10,15)),IF(H281="AIE",IF(M281="L",5,IF(M281="A",7,10)),IF(H281="SE",IF(M281="L",4,IF(M281="A",5,7)),IF(OR(H281="EE",H281="CE"),IF(M281="L",3,IF(M281="A",4,6)))))))</f>
        <v/>
      </c>
      <c r="P281" s="54">
        <f>IF(I281="I",O281*Contagem!$W$15,IF(I281="E",O281*Contagem!$W$17,IF(I281="A",O281*Contagem!$W$16,IF(I281="T",O281*Contagem!$W$18,""))))</f>
        <v/>
      </c>
      <c r="Q281" s="55" t="n"/>
    </row>
    <row r="282" ht="12" customHeight="1" s="73">
      <c r="A282" s="14">
        <f>IF(H282="",IF(C282="",A281,A281+1),A281)</f>
        <v/>
      </c>
      <c r="B282" s="48">
        <f>IF(A282=A281,"",CONCATENATE("F",A282))</f>
        <v/>
      </c>
      <c r="C282" s="85" t="inlineStr">
        <is>
          <t>Análise - consultar precedentes</t>
        </is>
      </c>
      <c r="D282" s="142" t="n"/>
      <c r="E282" s="142" t="n"/>
      <c r="F282" s="142" t="n"/>
      <c r="G282" s="143" t="n"/>
      <c r="H282" s="56" t="inlineStr">
        <is>
          <t>SE</t>
        </is>
      </c>
      <c r="I282" s="57" t="inlineStr">
        <is>
          <t>I</t>
        </is>
      </c>
      <c r="J282" s="56" t="n">
        <v>14</v>
      </c>
      <c r="K282" s="56" t="n">
        <v>6</v>
      </c>
      <c r="L282" s="50">
        <f>CONCATENATE(H282,M282)</f>
        <v/>
      </c>
      <c r="M282" s="51">
        <f>IF(OR(ISBLANK(J282),ISBLANK(K282)),IF(OR(H282="ALI",H282="AIE"),"L",IF(ISBLANK(H282),"","A")),IF(H282="EE",IF(K282&gt;=3,IF(J282&gt;=5,"H","A"),IF(K282&gt;=2,IF(J282&gt;=16,"H",IF(J282&lt;=4,"L","A")),IF(J282&lt;=15,"L","A"))),IF(OR(H282="SE",H282="CE"),IF(K282&gt;=4,IF(J282&gt;=6,"H","A"),IF(K282&gt;=2,IF(J282&gt;=20,"H",IF(J282&lt;=5,"L","A")),IF(J282&lt;=19,"L","A"))),IF(OR(H282="ALI",H282="AIE"),IF(K282&gt;=6,IF(J282&gt;=20,"H","A"),IF(K282&gt;=2,IF(J282&gt;=51,"H",IF(J282&lt;=19,"L","A")),IF(J282&lt;=50,"L","A")))))))</f>
        <v/>
      </c>
      <c r="N282" s="52">
        <f>IF(M282="L","Baixa",IF(M282="A","Média",IF(M282="","","Alta")))</f>
        <v/>
      </c>
      <c r="O282" s="53">
        <f>IF(ISBLANK(H282),"",IF(H282="ALI",IF(M282="L",7,IF(M282="A",10,15)),IF(H282="AIE",IF(M282="L",5,IF(M282="A",7,10)),IF(H282="SE",IF(M282="L",4,IF(M282="A",5,7)),IF(OR(H282="EE",H282="CE"),IF(M282="L",3,IF(M282="A",4,6)))))))</f>
        <v/>
      </c>
      <c r="P282" s="54">
        <f>IF(I282="I",O282*Contagem!$W$15,IF(I282="E",O282*Contagem!$W$17,IF(I282="A",O282*Contagem!$W$16,IF(I282="T",O282*Contagem!$W$18,""))))</f>
        <v/>
      </c>
      <c r="Q282" s="55" t="inlineStr">
        <is>
          <t>Prova: Rota GET /gestao/processos/{id}/precedentes (analisar-processos). Tela: painel de precedentes em gestao/ficha-analise/show. PrecedentService traz decisões anteriores no mesmo imóvel, a estatística do CNAE na zona na janela parametrizada e a contagem de processos em análise no imóvel, sem CPF. Teste: tests/Feature/Analise/PrecedenteEndpointTest.php::test_precedentes_retorna_imovel_sem_cpf_e_cnae_zona_auditado. Processo elementar independente: menor unidade com significado para quem decide; completa por si; só leitura; lógica única. Classificação: totais e estatística calculados, SE e não CE (§5.5.3). Registros automáticos contados como FTR (premissa P4): Trilha de auditoria. TD=14 (protocolo do precedente, resultado do precedente, decidido em, serviço, analista, CNAE, zona, total na zona, deferidos, indeferidos, janela (meses), estatística disponível ou motivo, em análise no mesmo imóvel, ação consultar). AR=6 (Solicitação de viabilidade, Decisão de viabilidade, Ficha de análise técnica, Usuário, Parâmetro, Trilha de auditoria). Recontagem 16/10/2026: mantida (linha 140 da contagem de 01/10/2026).</t>
        </is>
      </c>
    </row>
    <row r="283" ht="12" customHeight="1" s="73">
      <c r="A283" s="14">
        <f>IF(H283="",IF(C283="",A282,A282+1),A282)</f>
        <v/>
      </c>
      <c r="B283" s="48">
        <f>IF(A283=A282,"",CONCATENATE("F",A283))</f>
        <v/>
      </c>
      <c r="C283" s="85" t="n"/>
      <c r="D283" s="142" t="n"/>
      <c r="E283" s="142" t="n"/>
      <c r="F283" s="142" t="n"/>
      <c r="G283" s="143" t="n"/>
      <c r="H283" s="56" t="n"/>
      <c r="I283" s="57" t="n"/>
      <c r="J283" s="56" t="n"/>
      <c r="K283" s="56" t="n"/>
      <c r="L283" s="50">
        <f>CONCATENATE(H283,M283)</f>
        <v/>
      </c>
      <c r="M283" s="51">
        <f>IF(OR(ISBLANK(J283),ISBLANK(K283)),IF(OR(H283="ALI",H283="AIE"),"L",IF(ISBLANK(H283),"","A")),IF(H283="EE",IF(K283&gt;=3,IF(J283&gt;=5,"H","A"),IF(K283&gt;=2,IF(J283&gt;=16,"H",IF(J283&lt;=4,"L","A")),IF(J283&lt;=15,"L","A"))),IF(OR(H283="SE",H283="CE"),IF(K283&gt;=4,IF(J283&gt;=6,"H","A"),IF(K283&gt;=2,IF(J283&gt;=20,"H",IF(J283&lt;=5,"L","A")),IF(J283&lt;=19,"L","A"))),IF(OR(H283="ALI",H283="AIE"),IF(K283&gt;=6,IF(J283&gt;=20,"H","A"),IF(K283&gt;=2,IF(J283&gt;=51,"H",IF(J283&lt;=19,"L","A")),IF(J283&lt;=50,"L","A")))))))</f>
        <v/>
      </c>
      <c r="N283" s="52">
        <f>IF(M283="L","Baixa",IF(M283="A","Média",IF(M283="","","Alta")))</f>
        <v/>
      </c>
      <c r="O283" s="53">
        <f>IF(ISBLANK(H283),"",IF(H283="ALI",IF(M283="L",7,IF(M283="A",10,15)),IF(H283="AIE",IF(M283="L",5,IF(M283="A",7,10)),IF(H283="SE",IF(M283="L",4,IF(M283="A",5,7)),IF(OR(H283="EE",H283="CE"),IF(M283="L",3,IF(M283="A",4,6)))))))</f>
        <v/>
      </c>
      <c r="P283" s="54">
        <f>IF(I283="I",O283*Contagem!$W$15,IF(I283="E",O283*Contagem!$W$17,IF(I283="A",O283*Contagem!$W$16,IF(I283="T",O283*Contagem!$W$18,""))))</f>
        <v/>
      </c>
      <c r="Q283" s="55" t="n"/>
    </row>
    <row r="284" ht="12" customHeight="1" s="73">
      <c r="A284" s="14">
        <f>IF(H284="",IF(C284="",A283,A283+1),A283)</f>
        <v/>
      </c>
      <c r="B284" s="48">
        <f>IF(A284=A283,"",CONCATENATE("F",A284))</f>
        <v/>
      </c>
      <c r="C284" s="85" t="inlineStr">
        <is>
          <t>Convites (pendências) do processo</t>
        </is>
      </c>
      <c r="D284" s="142" t="n"/>
      <c r="E284" s="142" t="n"/>
      <c r="F284" s="142" t="n"/>
      <c r="G284" s="143" t="n"/>
      <c r="H284" s="56" t="n"/>
      <c r="I284" s="57" t="n"/>
      <c r="J284" s="56" t="n"/>
      <c r="K284" s="56" t="n"/>
      <c r="L284" s="50">
        <f>CONCATENATE(H284,M284)</f>
        <v/>
      </c>
      <c r="M284" s="51">
        <f>IF(OR(ISBLANK(J284),ISBLANK(K284)),IF(OR(H284="ALI",H284="AIE"),"L",IF(ISBLANK(H284),"","A")),IF(H284="EE",IF(K284&gt;=3,IF(J284&gt;=5,"H","A"),IF(K284&gt;=2,IF(J284&gt;=16,"H",IF(J284&lt;=4,"L","A")),IF(J284&lt;=15,"L","A"))),IF(OR(H284="SE",H284="CE"),IF(K284&gt;=4,IF(J284&gt;=6,"H","A"),IF(K284&gt;=2,IF(J284&gt;=20,"H",IF(J284&lt;=5,"L","A")),IF(J284&lt;=19,"L","A"))),IF(OR(H284="ALI",H284="AIE"),IF(K284&gt;=6,IF(J284&gt;=20,"H","A"),IF(K284&gt;=2,IF(J284&gt;=51,"H",IF(J284&lt;=19,"L","A")),IF(J284&lt;=50,"L","A")))))))</f>
        <v/>
      </c>
      <c r="N284" s="52">
        <f>IF(M284="L","Baixa",IF(M284="A","Média",IF(M284="","","Alta")))</f>
        <v/>
      </c>
      <c r="O284" s="53">
        <f>IF(ISBLANK(H284),"",IF(H284="ALI",IF(M284="L",7,IF(M284="A",10,15)),IF(H284="AIE",IF(M284="L",5,IF(M284="A",7,10)),IF(H284="SE",IF(M284="L",4,IF(M284="A",5,7)),IF(OR(H284="EE",H284="CE"),IF(M284="L",3,IF(M284="A",4,6)))))))</f>
        <v/>
      </c>
      <c r="P284" s="54">
        <f>IF(I284="I",O284*Contagem!$W$15,IF(I284="E",O284*Contagem!$W$17,IF(I284="A",O284*Contagem!$W$16,IF(I284="T",O284*Contagem!$W$18,""))))</f>
        <v/>
      </c>
      <c r="Q284" s="55" t="n"/>
    </row>
    <row r="285" ht="12" customHeight="1" s="73">
      <c r="A285" s="14">
        <f>IF(H285="",IF(C285="",A284,A284+1),A284)</f>
        <v/>
      </c>
      <c r="B285" s="48">
        <f>IF(A285=A284,"",CONCATENATE("F",A285))</f>
        <v/>
      </c>
      <c r="C285" s="85" t="inlineStr">
        <is>
          <t>Dados - Pendência da análise</t>
        </is>
      </c>
      <c r="D285" s="142" t="n"/>
      <c r="E285" s="142" t="n"/>
      <c r="F285" s="142" t="n"/>
      <c r="G285" s="143" t="n"/>
      <c r="H285" s="56" t="inlineStr">
        <is>
          <t>ALI</t>
        </is>
      </c>
      <c r="I285" s="57" t="inlineStr">
        <is>
          <t>I</t>
        </is>
      </c>
      <c r="J285" s="56" t="n">
        <v>11</v>
      </c>
      <c r="K285" s="56" t="n">
        <v>1</v>
      </c>
      <c r="L285" s="50">
        <f>CONCATENATE(H285,M285)</f>
        <v/>
      </c>
      <c r="M285" s="51">
        <f>IF(OR(ISBLANK(J285),ISBLANK(K285)),IF(OR(H285="ALI",H285="AIE"),"L",IF(ISBLANK(H285),"","A")),IF(H285="EE",IF(K285&gt;=3,IF(J285&gt;=5,"H","A"),IF(K285&gt;=2,IF(J285&gt;=16,"H",IF(J285&lt;=4,"L","A")),IF(J285&lt;=15,"L","A"))),IF(OR(H285="SE",H285="CE"),IF(K285&gt;=4,IF(J285&gt;=6,"H","A"),IF(K285&gt;=2,IF(J285&gt;=20,"H",IF(J285&lt;=5,"L","A")),IF(J285&lt;=19,"L","A"))),IF(OR(H285="ALI",H285="AIE"),IF(K285&gt;=6,IF(J285&gt;=20,"H","A"),IF(K285&gt;=2,IF(J285&gt;=51,"H",IF(J285&lt;=19,"L","A")),IF(J285&lt;=50,"L","A")))))))</f>
        <v/>
      </c>
      <c r="N285" s="52">
        <f>IF(M285="L","Baixa",IF(M285="A","Média",IF(M285="","","Alta")))</f>
        <v/>
      </c>
      <c r="O285" s="53">
        <f>IF(ISBLANK(H285),"",IF(H285="ALI",IF(M285="L",7,IF(M285="A",10,15)),IF(H285="AIE",IF(M285="L",5,IF(M285="A",7,10)),IF(H285="SE",IF(M285="L",4,IF(M285="A",5,7)),IF(OR(H285="EE",H285="CE"),IF(M285="L",3,IF(M285="A",4,6)))))))</f>
        <v/>
      </c>
      <c r="P285" s="54">
        <f>IF(I285="I",O285*Contagem!$W$15,IF(I285="E",O285*Contagem!$W$17,IF(I285="A",O285*Contagem!$W$16,IF(I285="T",O285*Contagem!$W$18,""))))</f>
        <v/>
      </c>
      <c r="Q285" s="55" t="inlineStr">
        <is>
          <t>Prova: Model AnalysisPendency; migrations 2026_06_14_215045_create_analysis_pendencies_table e 2026_07_14_110000_add_cancelamento_to_analysis_pendencies. Mantida por PendenciaService: abrir convite (ProcessoPendenciaController), responder no portal (PendenciaRespostaController), cancelar e expirar por prazo. Teste: tests/Feature/Analise/PendenciaCancelarTest.php::test_cancelar_registra_parecer_e_reabre_analise. Arquivo lógico: o convite ao requerente é reconhecido pelo analista e pelo requerente, com descrição, prazo, resposta e ciclo aberta/respondida/cancelada próprios; não é dado de código. Teste de independência: tem ciclo de vida próprio, é aberta, respondida pelo requerente no portal, cancelada e expirada por processos próprios, e várias podem existir para a mesma solicitação; fica como ALI separado. TD=11 (solicitação, solicitada por, descrição, situação, prazo, respondida em, resposta, parecer de cancelamento, cancelada em, cancelada por, solicitada em). TR=1 (pendência). Recontagem 16/10/2026: mantida (linha 514 da contagem de 01/10/2026).</t>
        </is>
      </c>
    </row>
    <row r="286" ht="12" customHeight="1" s="73">
      <c r="A286" s="14">
        <f>IF(H286="",IF(C286="",A285,A285+1),A285)</f>
        <v/>
      </c>
      <c r="B286" s="48">
        <f>IF(A286=A285,"",CONCATENATE("F",A286))</f>
        <v/>
      </c>
      <c r="C286" s="85" t="inlineStr">
        <is>
          <t>Pendências - abrir convite ao requerente</t>
        </is>
      </c>
      <c r="D286" s="142" t="n"/>
      <c r="E286" s="142" t="n"/>
      <c r="F286" s="142" t="n"/>
      <c r="G286" s="143" t="n"/>
      <c r="H286" s="56" t="inlineStr">
        <is>
          <t>EE</t>
        </is>
      </c>
      <c r="I286" s="57" t="inlineStr">
        <is>
          <t>I</t>
        </is>
      </c>
      <c r="J286" s="56" t="n">
        <v>4</v>
      </c>
      <c r="K286" s="56" t="n">
        <v>6</v>
      </c>
      <c r="L286" s="50">
        <f>CONCATENATE(H286,M286)</f>
        <v/>
      </c>
      <c r="M286" s="51">
        <f>IF(OR(ISBLANK(J286),ISBLANK(K286)),IF(OR(H286="ALI",H286="AIE"),"L",IF(ISBLANK(H286),"","A")),IF(H286="EE",IF(K286&gt;=3,IF(J286&gt;=5,"H","A"),IF(K286&gt;=2,IF(J286&gt;=16,"H",IF(J286&lt;=4,"L","A")),IF(J286&lt;=15,"L","A"))),IF(OR(H286="SE",H286="CE"),IF(K286&gt;=4,IF(J286&gt;=6,"H","A"),IF(K286&gt;=2,IF(J286&gt;=20,"H",IF(J286&lt;=5,"L","A")),IF(J286&lt;=19,"L","A"))),IF(OR(H286="ALI",H286="AIE"),IF(K286&gt;=6,IF(J286&gt;=20,"H","A"),IF(K286&gt;=2,IF(J286&gt;=51,"H",IF(J286&lt;=19,"L","A")),IF(J286&lt;=50,"L","A")))))))</f>
        <v/>
      </c>
      <c r="N286" s="52">
        <f>IF(M286="L","Baixa",IF(M286="A","Média",IF(M286="","","Alta")))</f>
        <v/>
      </c>
      <c r="O286" s="53">
        <f>IF(ISBLANK(H286),"",IF(H286="ALI",IF(M286="L",7,IF(M286="A",10,15)),IF(H286="AIE",IF(M286="L",5,IF(M286="A",7,10)),IF(H286="SE",IF(M286="L",4,IF(M286="A",5,7)),IF(OR(H286="EE",H286="CE"),IF(M286="L",3,IF(M286="A",4,6)))))))</f>
        <v/>
      </c>
      <c r="P286" s="54">
        <f>IF(I286="I",O286*Contagem!$W$15,IF(I286="E",O286*Contagem!$W$17,IF(I286="A",O286*Contagem!$W$16,IF(I286="T",O286*Contagem!$W$18,""))))</f>
        <v/>
      </c>
      <c r="Q286" s="55" t="inlineStr">
        <is>
          <t>Prova: Rota POST /gestao/processos/{id}/pendencias (analisar-processos). Tela: gestao/ficha-analise/show (modal Colocar em convite). O analista descreve o que falta; PendenciaService::abrir calcula o prazo em horas úteis (feriados e parâmetro analise.convite.prazo_resposta_horas_uteis), grava o convite, muda a situação do processo e notifica o requerente com o prazo. Teste: tests/Feature/Analise/ProcessoPendenciaEndpointTest.php::test_abre_pendencia_em_processo_em_analise. Processo elementar independente: menor unidade com significado para o analista; completa por si; deixa o processo aguardando o requerente com prazo; lógica única. Classificação: mantém convite e processo, EE. Registros automáticos contados como FTR (premissa P4): Comunicação ao requerente, Trilha de auditoria. TD=4 (descrição, prazo de resposta (na notificação), mensagem, ação). AR=6 (Pendência da análise, Solicitação de viabilidade, Feriado, Parâmetro, Comunicação ao requerente, Trilha de auditoria). Recontagem 16/10/2026: alterada (linha 136 da contagem de 01/10/2026: "Pendências - abrir pendência no processo", EE Média 4 PF, TD 4, AR 5). Motivo: Nome acompanha a tela ("Colocar em convite"). Premissa P4: Comunicação ao requerente (ledger gravado pelo NotificationDispatcher no listener síncrono NotificarPendencia) e trilha passam a constar como registros automáticos; AR 5→6, PF inalterado.</t>
        </is>
      </c>
    </row>
    <row r="287" ht="12" customHeight="1" s="73">
      <c r="A287" s="14">
        <f>IF(H287="",IF(C287="",A286,A286+1),A286)</f>
        <v/>
      </c>
      <c r="B287" s="48">
        <f>IF(A287=A286,"",CONCATENATE("F",A287))</f>
        <v/>
      </c>
      <c r="C287" s="85" t="inlineStr">
        <is>
          <t>Pendências - cancelar convite</t>
        </is>
      </c>
      <c r="D287" s="142" t="n"/>
      <c r="E287" s="142" t="n"/>
      <c r="F287" s="142" t="n"/>
      <c r="G287" s="143" t="n"/>
      <c r="H287" s="56" t="inlineStr">
        <is>
          <t>EE</t>
        </is>
      </c>
      <c r="I287" s="57" t="inlineStr">
        <is>
          <t>I</t>
        </is>
      </c>
      <c r="J287" s="56" t="n">
        <v>3</v>
      </c>
      <c r="K287" s="56" t="n">
        <v>3</v>
      </c>
      <c r="L287" s="50">
        <f>CONCATENATE(H287,M287)</f>
        <v/>
      </c>
      <c r="M287" s="51">
        <f>IF(OR(ISBLANK(J287),ISBLANK(K287)),IF(OR(H287="ALI",H287="AIE"),"L",IF(ISBLANK(H287),"","A")),IF(H287="EE",IF(K287&gt;=3,IF(J287&gt;=5,"H","A"),IF(K287&gt;=2,IF(J287&gt;=16,"H",IF(J287&lt;=4,"L","A")),IF(J287&lt;=15,"L","A"))),IF(OR(H287="SE",H287="CE"),IF(K287&gt;=4,IF(J287&gt;=6,"H","A"),IF(K287&gt;=2,IF(J287&gt;=20,"H",IF(J287&lt;=5,"L","A")),IF(J287&lt;=19,"L","A"))),IF(OR(H287="ALI",H287="AIE"),IF(K287&gt;=6,IF(J287&gt;=20,"H","A"),IF(K287&gt;=2,IF(J287&gt;=51,"H",IF(J287&lt;=19,"L","A")),IF(J287&lt;=50,"L","A")))))))</f>
        <v/>
      </c>
      <c r="N287" s="52">
        <f>IF(M287="L","Baixa",IF(M287="A","Média",IF(M287="","","Alta")))</f>
        <v/>
      </c>
      <c r="O287" s="53">
        <f>IF(ISBLANK(H287),"",IF(H287="ALI",IF(M287="L",7,IF(M287="A",10,15)),IF(H287="AIE",IF(M287="L",5,IF(M287="A",7,10)),IF(H287="SE",IF(M287="L",4,IF(M287="A",5,7)),IF(OR(H287="EE",H287="CE"),IF(M287="L",3,IF(M287="A",4,6)))))))</f>
        <v/>
      </c>
      <c r="P287" s="54">
        <f>IF(I287="I",O287*Contagem!$W$15,IF(I287="E",O287*Contagem!$W$17,IF(I287="A",O287*Contagem!$W$16,IF(I287="T",O287*Contagem!$W$18,""))))</f>
        <v/>
      </c>
      <c r="Q287" s="55" t="inlineStr">
        <is>
          <t>Prova: Rota POST /gestao/processos/{id}/cancelar-convite (analisar-processos). Tela: gestao/ficha-analise/show (botão Cancelar convite, processo em pendência). PendenciaService::cancelar encerra o convite aberto com parecer e devolve o processo à análise. Teste: tests/Feature/Analise/CancelarConviteEndpointTest.php::test_analista_cancela_convite_com_parecer. Processo elementar independente: menor unidade com significado para o analista; completa por si; deixa o convite cancelado e o processo em análise; lógica única. Classificação: EE. Registros automáticos contados como FTR (premissa P4): Trilha de auditoria. TD=3 (parecer, mensagem, ação). AR=3 (Pendência da análise, Solicitação de viabilidade, Trilha de auditoria). Recontagem 16/10/2026: alterada (linha 137 da contagem de 01/10/2026: "Pendências - cancelar pendência", EE Baixa 3 PF, TD 3, AR 2). Motivo: Premissa P4: grava a trilha; AR 2→3 eleva a EE a Média (3→4 PF).</t>
        </is>
      </c>
    </row>
    <row r="288" ht="12" customHeight="1" s="73">
      <c r="A288" s="14">
        <f>IF(H288="",IF(C288="",A287,A287+1),A287)</f>
        <v/>
      </c>
      <c r="B288" s="48">
        <f>IF(A288=A287,"",CONCATENATE("F",A288))</f>
        <v/>
      </c>
      <c r="C288" s="85" t="n"/>
      <c r="D288" s="142" t="n"/>
      <c r="E288" s="142" t="n"/>
      <c r="F288" s="142" t="n"/>
      <c r="G288" s="143" t="n"/>
      <c r="H288" s="56" t="n"/>
      <c r="I288" s="57" t="n"/>
      <c r="J288" s="56" t="n"/>
      <c r="K288" s="56" t="n"/>
      <c r="L288" s="50">
        <f>CONCATENATE(H288,M288)</f>
        <v/>
      </c>
      <c r="M288" s="51">
        <f>IF(OR(ISBLANK(J288),ISBLANK(K288)),IF(OR(H288="ALI",H288="AIE"),"L",IF(ISBLANK(H288),"","A")),IF(H288="EE",IF(K288&gt;=3,IF(J288&gt;=5,"H","A"),IF(K288&gt;=2,IF(J288&gt;=16,"H",IF(J288&lt;=4,"L","A")),IF(J288&lt;=15,"L","A"))),IF(OR(H288="SE",H288="CE"),IF(K288&gt;=4,IF(J288&gt;=6,"H","A"),IF(K288&gt;=2,IF(J288&gt;=20,"H",IF(J288&lt;=5,"L","A")),IF(J288&lt;=19,"L","A"))),IF(OR(H288="ALI",H288="AIE"),IF(K288&gt;=6,IF(J288&gt;=20,"H","A"),IF(K288&gt;=2,IF(J288&gt;=51,"H",IF(J288&lt;=19,"L","A")),IF(J288&lt;=50,"L","A")))))))</f>
        <v/>
      </c>
      <c r="N288" s="52">
        <f>IF(M288="L","Baixa",IF(M288="A","Média",IF(M288="","","Alta")))</f>
        <v/>
      </c>
      <c r="O288" s="53">
        <f>IF(ISBLANK(H288),"",IF(H288="ALI",IF(M288="L",7,IF(M288="A",10,15)),IF(H288="AIE",IF(M288="L",5,IF(M288="A",7,10)),IF(H288="SE",IF(M288="L",4,IF(M288="A",5,7)),IF(OR(H288="EE",H288="CE"),IF(M288="L",3,IF(M288="A",4,6)))))))</f>
        <v/>
      </c>
      <c r="P288" s="54">
        <f>IF(I288="I",O288*Contagem!$W$15,IF(I288="E",O288*Contagem!$W$17,IF(I288="A",O288*Contagem!$W$16,IF(I288="T",O288*Contagem!$W$18,""))))</f>
        <v/>
      </c>
      <c r="Q288" s="55" t="n"/>
    </row>
    <row r="289" ht="12" customHeight="1" s="73">
      <c r="A289" s="14">
        <f>IF(H289="",IF(C289="",A288,A288+1),A288)</f>
        <v/>
      </c>
      <c r="B289" s="48">
        <f>IF(A289=A288,"",CONCATENATE("F",A289))</f>
        <v/>
      </c>
      <c r="C289" s="85" t="inlineStr">
        <is>
          <t>Vistoria</t>
        </is>
      </c>
      <c r="D289" s="142" t="n"/>
      <c r="E289" s="142" t="n"/>
      <c r="F289" s="142" t="n"/>
      <c r="G289" s="143" t="n"/>
      <c r="H289" s="56" t="n"/>
      <c r="I289" s="57" t="n"/>
      <c r="J289" s="56" t="n"/>
      <c r="K289" s="56" t="n"/>
      <c r="L289" s="50">
        <f>CONCATENATE(H289,M289)</f>
        <v/>
      </c>
      <c r="M289" s="51">
        <f>IF(OR(ISBLANK(J289),ISBLANK(K289)),IF(OR(H289="ALI",H289="AIE"),"L",IF(ISBLANK(H289),"","A")),IF(H289="EE",IF(K289&gt;=3,IF(J289&gt;=5,"H","A"),IF(K289&gt;=2,IF(J289&gt;=16,"H",IF(J289&lt;=4,"L","A")),IF(J289&lt;=15,"L","A"))),IF(OR(H289="SE",H289="CE"),IF(K289&gt;=4,IF(J289&gt;=6,"H","A"),IF(K289&gt;=2,IF(J289&gt;=20,"H",IF(J289&lt;=5,"L","A")),IF(J289&lt;=19,"L","A"))),IF(OR(H289="ALI",H289="AIE"),IF(K289&gt;=6,IF(J289&gt;=20,"H","A"),IF(K289&gt;=2,IF(J289&gt;=51,"H",IF(J289&lt;=19,"L","A")),IF(J289&lt;=50,"L","A")))))))</f>
        <v/>
      </c>
      <c r="N289" s="52">
        <f>IF(M289="L","Baixa",IF(M289="A","Média",IF(M289="","","Alta")))</f>
        <v/>
      </c>
      <c r="O289" s="53">
        <f>IF(ISBLANK(H289),"",IF(H289="ALI",IF(M289="L",7,IF(M289="A",10,15)),IF(H289="AIE",IF(M289="L",5,IF(M289="A",7,10)),IF(H289="SE",IF(M289="L",4,IF(M289="A",5,7)),IF(OR(H289="EE",H289="CE"),IF(M289="L",3,IF(M289="A",4,6)))))))</f>
        <v/>
      </c>
      <c r="P289" s="54">
        <f>IF(I289="I",O289*Contagem!$W$15,IF(I289="E",O289*Contagem!$W$17,IF(I289="A",O289*Contagem!$W$16,IF(I289="T",O289*Contagem!$W$18,""))))</f>
        <v/>
      </c>
      <c r="Q289" s="55" t="n"/>
    </row>
    <row r="290" ht="12" customHeight="1" s="73">
      <c r="A290" s="14">
        <f>IF(H290="",IF(C290="",A289,A289+1),A289)</f>
        <v/>
      </c>
      <c r="B290" s="48">
        <f>IF(A290=A289,"",CONCATENATE("F",A290))</f>
        <v/>
      </c>
      <c r="C290" s="85" t="inlineStr">
        <is>
          <t>Dados - Ficha de vistoria</t>
        </is>
      </c>
      <c r="D290" s="142" t="n"/>
      <c r="E290" s="142" t="n"/>
      <c r="F290" s="142" t="n"/>
      <c r="G290" s="143" t="n"/>
      <c r="H290" s="56" t="inlineStr">
        <is>
          <t>ALI</t>
        </is>
      </c>
      <c r="I290" s="57" t="inlineStr">
        <is>
          <t>I</t>
        </is>
      </c>
      <c r="J290" s="56" t="n">
        <v>79</v>
      </c>
      <c r="K290" s="56" t="n">
        <v>3</v>
      </c>
      <c r="L290" s="50">
        <f>CONCATENATE(H290,M290)</f>
        <v/>
      </c>
      <c r="M290" s="51">
        <f>IF(OR(ISBLANK(J290),ISBLANK(K290)),IF(OR(H290="ALI",H290="AIE"),"L",IF(ISBLANK(H290),"","A")),IF(H290="EE",IF(K290&gt;=3,IF(J290&gt;=5,"H","A"),IF(K290&gt;=2,IF(J290&gt;=16,"H",IF(J290&lt;=4,"L","A")),IF(J290&lt;=15,"L","A"))),IF(OR(H290="SE",H290="CE"),IF(K290&gt;=4,IF(J290&gt;=6,"H","A"),IF(K290&gt;=2,IF(J290&gt;=20,"H",IF(J290&lt;=5,"L","A")),IF(J290&lt;=19,"L","A"))),IF(OR(H290="ALI",H290="AIE"),IF(K290&gt;=6,IF(J290&gt;=20,"H","A"),IF(K290&gt;=2,IF(J290&gt;=51,"H",IF(J290&lt;=19,"L","A")),IF(J290&lt;=50,"L","A")))))))</f>
        <v/>
      </c>
      <c r="N290" s="52">
        <f>IF(M290="L","Baixa",IF(M290="A","Média",IF(M290="","","Alta")))</f>
        <v/>
      </c>
      <c r="O290" s="53">
        <f>IF(ISBLANK(H290),"",IF(H290="ALI",IF(M290="L",7,IF(M290="A",10,15)),IF(H290="AIE",IF(M290="L",5,IF(M290="A",7,10)),IF(H290="SE",IF(M290="L",4,IF(M290="A",5,7)),IF(OR(H290="EE",H290="CE"),IF(M290="L",3,IF(M290="A",4,6)))))))</f>
        <v/>
      </c>
      <c r="P290" s="54">
        <f>IF(I290="I",O290*Contagem!$W$15,IF(I290="E",O290*Contagem!$W$17,IF(I290="A",O290*Contagem!$W$16,IF(I290="T",O290*Contagem!$W$18,""))))</f>
        <v/>
      </c>
      <c r="Q290" s="55" t="inlineStr">
        <is>
          <t>Prova: Models Inspection, InspectionAttachment e InspectionReferral; migrations 2026_09_22_133337_create_inspections_table, 2026_09_22_133443_create_inspection_attachments_table e 2026_09_22_160000_create_inspection_referrals_table. Mantida por InspectionService (abrir, rascunho, polígono, conclusão), InspectionController (anexos) e EncaminharVistoriaService. Teste: tests/Feature/Vistoria/InspectionFlowTest.php::test_abrir_ficha_cria_registro_com_identificacao_e_snapshot_da_localizacao. Arquivo lógico: ficha de vistoria do processo reconhecida pelo vistoriador e pelo analista; anexos e encaminhamentos só existem com a ficha (subgrupos). Não é dado de código. Teste de independência em relação à Solicitação de viabilidade: tem ciclo próprio (em preenchimento, concluída e imutável), é preenchida por outro ator (vistoriador) e consultada separadamente (visualizar ficha de vistoria); fica como ALI separado. TD=79 (67 campos da ficha (identificação, localização, polígono, imóvel, vagas, características, entorno, infraestrutura, ambiental, segurança, conclusão), processo vinculado, anexo: nome, tipo, tamanho, enviado por, data, encaminhamento: encaminhado por, setor de origem, analista de origem, setor de vistoria, motivo, data). TR=3 (ficha, anexo, encaminhamento). Recontagem 16/10/2026: mantida (linha 415 da contagem de 01/10/2026).</t>
        </is>
      </c>
    </row>
    <row r="291" ht="12" customHeight="1" s="73">
      <c r="A291" s="14">
        <f>IF(H291="",IF(C291="",A290,A290+1),A290)</f>
        <v/>
      </c>
      <c r="B291" s="48">
        <f>IF(A291=A290,"",CONCATENATE("F",A291))</f>
        <v/>
      </c>
      <c r="C291" s="85" t="inlineStr">
        <is>
          <t>Vistoria - abrir ficha de vistoria</t>
        </is>
      </c>
      <c r="D291" s="142" t="n"/>
      <c r="E291" s="142" t="n"/>
      <c r="F291" s="142" t="n"/>
      <c r="G291" s="143" t="n"/>
      <c r="H291" s="56" t="inlineStr">
        <is>
          <t>EE</t>
        </is>
      </c>
      <c r="I291" s="57" t="inlineStr">
        <is>
          <t>I</t>
        </is>
      </c>
      <c r="J291" s="56" t="n">
        <v>3</v>
      </c>
      <c r="K291" s="56" t="n">
        <v>3</v>
      </c>
      <c r="L291" s="50">
        <f>CONCATENATE(H291,M291)</f>
        <v/>
      </c>
      <c r="M291" s="51">
        <f>IF(OR(ISBLANK(J291),ISBLANK(K291)),IF(OR(H291="ALI",H291="AIE"),"L",IF(ISBLANK(H291),"","A")),IF(H291="EE",IF(K291&gt;=3,IF(J291&gt;=5,"H","A"),IF(K291&gt;=2,IF(J291&gt;=16,"H",IF(J291&lt;=4,"L","A")),IF(J291&lt;=15,"L","A"))),IF(OR(H291="SE",H291="CE"),IF(K291&gt;=4,IF(J291&gt;=6,"H","A"),IF(K291&gt;=2,IF(J291&gt;=20,"H",IF(J291&lt;=5,"L","A")),IF(J291&lt;=19,"L","A"))),IF(OR(H291="ALI",H291="AIE"),IF(K291&gt;=6,IF(J291&gt;=20,"H","A"),IF(K291&gt;=2,IF(J291&gt;=51,"H",IF(J291&lt;=19,"L","A")),IF(J291&lt;=50,"L","A")))))))</f>
        <v/>
      </c>
      <c r="N291" s="52">
        <f>IF(M291="L","Baixa",IF(M291="A","Média",IF(M291="","","Alta")))</f>
        <v/>
      </c>
      <c r="O291" s="53">
        <f>IF(ISBLANK(H291),"",IF(H291="ALI",IF(M291="L",7,IF(M291="A",10,15)),IF(H291="AIE",IF(M291="L",5,IF(M291="A",7,10)),IF(H291="SE",IF(M291="L",4,IF(M291="A",5,7)),IF(OR(H291="EE",H291="CE"),IF(M291="L",3,IF(M291="A",4,6)))))))</f>
        <v/>
      </c>
      <c r="P291" s="54">
        <f>IF(I291="I",O291*Contagem!$W$15,IF(I291="E",O291*Contagem!$W$17,IF(I291="A",O291*Contagem!$W$16,IF(I291="T",O291*Contagem!$W$18,""))))</f>
        <v/>
      </c>
      <c r="Q291" s="55" t="inlineStr">
        <is>
          <t>Prova: Rota GET /gestao/processos/{id}/vistoria (preencher-ficha-vistoria), primeiro acesso. Tela: gestao/vistoria/show. InspectionService::abrirOuRetomar confere se o processo pode ser assumido, atribui o processo ao vistoriador quando está sem responsável e grava a ficha em preenchimento com tipo, vistoriador, data e o endereço, zona, via e polígono do processo; com ficha existente apenas retoma (consulta). Teste: tests/Feature/Vistoria/InspectionFlowTest.php::test_abrir_ficha_cria_registro_com_identificacao_e_snapshot_da_localizacao. Processo elementar independente: menor unidade com significado para o vistoriador (assumir a vistoria); completa por si; deixa o processo com responsável e a ficha criada; lógica própria (abertura com retrato da localização, sem duplicar, conforme test_reabrir_ficha_nao_duplica_registro). Não é tela que só abre formulário: grava dados. Classificação: intenção primária é criar a ficha, EE. Registros automáticos contados como FTR (premissa P4): Trilha de auditoria. TD=3 (processo selecionado (protocolo), mensagem (processo atribuído a outro vistoriador), ação abrir). AR=3 (Ficha de vistoria, Solicitação de viabilidade, Trilha de auditoria). Recontagem 16/10/2026: nova (não constava da contagem de 01/10/2026). Função nova: ao abrir a vistoria de um processo sem ficha, o sistema cria a ficha com identificação e retrato da localização e passa o processo ao vistoriador. Antes estava embutida na consulta (linha 417), que é só leitura.</t>
        </is>
      </c>
    </row>
    <row r="292" ht="12" customHeight="1" s="73">
      <c r="A292" s="14">
        <f>IF(H292="",IF(C292="",A291,A291+1),A291)</f>
        <v/>
      </c>
      <c r="B292" s="48">
        <f>IF(A292=A291,"",CONCATENATE("F",A292))</f>
        <v/>
      </c>
      <c r="C292" s="85" t="inlineStr">
        <is>
          <t>Vistoria - consultar ficha</t>
        </is>
      </c>
      <c r="D292" s="142" t="n"/>
      <c r="E292" s="142" t="n"/>
      <c r="F292" s="142" t="n"/>
      <c r="G292" s="143" t="n"/>
      <c r="H292" s="56" t="inlineStr">
        <is>
          <t>SE</t>
        </is>
      </c>
      <c r="I292" s="57" t="inlineStr">
        <is>
          <t>I</t>
        </is>
      </c>
      <c r="J292" s="56" t="n">
        <v>75</v>
      </c>
      <c r="K292" s="56" t="n">
        <v>5</v>
      </c>
      <c r="L292" s="50">
        <f>CONCATENATE(H292,M292)</f>
        <v/>
      </c>
      <c r="M292" s="51">
        <f>IF(OR(ISBLANK(J292),ISBLANK(K292)),IF(OR(H292="ALI",H292="AIE"),"L",IF(ISBLANK(H292),"","A")),IF(H292="EE",IF(K292&gt;=3,IF(J292&gt;=5,"H","A"),IF(K292&gt;=2,IF(J292&gt;=16,"H",IF(J292&lt;=4,"L","A")),IF(J292&lt;=15,"L","A"))),IF(OR(H292="SE",H292="CE"),IF(K292&gt;=4,IF(J292&gt;=6,"H","A"),IF(K292&gt;=2,IF(J292&gt;=20,"H",IF(J292&lt;=5,"L","A")),IF(J292&lt;=19,"L","A"))),IF(OR(H292="ALI",H292="AIE"),IF(K292&gt;=6,IF(J292&gt;=20,"H","A"),IF(K292&gt;=2,IF(J292&gt;=51,"H",IF(J292&lt;=19,"L","A")),IF(J292&lt;=50,"L","A")))))))</f>
        <v/>
      </c>
      <c r="N292" s="52">
        <f>IF(M292="L","Baixa",IF(M292="A","Média",IF(M292="","","Alta")))</f>
        <v/>
      </c>
      <c r="O292" s="53">
        <f>IF(ISBLANK(H292),"",IF(H292="ALI",IF(M292="L",7,IF(M292="A",10,15)),IF(H292="AIE",IF(M292="L",5,IF(M292="A",7,10)),IF(H292="SE",IF(M292="L",4,IF(M292="A",5,7)),IF(OR(H292="EE",H292="CE"),IF(M292="L",3,IF(M292="A",4,6)))))))</f>
        <v/>
      </c>
      <c r="P292" s="54">
        <f>IF(I292="I",O292*Contagem!$W$15,IF(I292="E",O292*Contagem!$W$17,IF(I292="A",O292*Contagem!$W$16,IF(I292="T",O292*Contagem!$W$18,""))))</f>
        <v/>
      </c>
      <c r="Q292" s="55" t="inlineStr">
        <is>
          <t>Prova: Rotas GET /gestao/processos/{id}/vistoria com ficha existente (preencher-ficha-vistoria) e GET .../vistoria/visualizar (analisar-processos, somente leitura; botão Visualizar ficha de vistoria na ficha de análise). Tela: gestao/vistoria/show. Lê Ficha de vistoria, Solicitação de viabilidade, Usuário e Tipo de imóvel; sem ficha, visualizar informa a ausência. Teste: tests/Feature/Vistoria/VisualizarFichaVistoriaTest.php::test_com_ficha_exibe_somente_leitura_sem_alterar_a_autoria. Processo elementar independente: menor unidade com significado para vistoriador e analista; completa por si; não altera dados; as duas rotas expõem a mesma consulta e contam uma vez (§5.5.2.2). Classificação: exibe a ficha sem cálculo, mas grava a trilha a cada acesso; pela premissa P4, consulta que grava ALI é SE (§5.5.3, Tabela 5). TD=75 (67 campos da ficha (identificação, localização, polígono, imóvel, vagas, características, entorno, infraestrutura, ambiental, segurança, conclusão), protocolo, situação do processo, anexos: nome, tipo, tamanho, data, mensagem de ausência de ficha, ação). Registros automáticos contados como FTR (premissa P4): Trilha de auditoria. AR=5 (Ficha de vistoria, Solicitação de viabilidade, Usuário, Tipo de imóvel, Trilha de auditoria). Recontagem 16/10/2026: alterada (linha 417 da contagem de 01/10/2026: "Vistoria - consultar ficha", CE Alta 6 PF, TD 75, AR 4). Motivo: A criação da ficha no primeiro acesso passou para a função nova "Vistoria - abrir ficha de vistoria". Premissa P4: show e visualizar gravam a trilha (ficha-consulta / ficha-visualizacao); por gravar ALI passa de CE a SE (AR 4→5, 6→7 PF).</t>
        </is>
      </c>
    </row>
    <row r="293" ht="12" customHeight="1" s="73">
      <c r="A293" s="14">
        <f>IF(H293="",IF(C293="",A292,A292+1),A292)</f>
        <v/>
      </c>
      <c r="B293" s="48">
        <f>IF(A293=A292,"",CONCATENATE("F",A293))</f>
        <v/>
      </c>
      <c r="C293" s="85" t="inlineStr">
        <is>
          <t>Vistoria - salvar rascunho da ficha</t>
        </is>
      </c>
      <c r="D293" s="142" t="n"/>
      <c r="E293" s="142" t="n"/>
      <c r="F293" s="142" t="n"/>
      <c r="G293" s="143" t="n"/>
      <c r="H293" s="56" t="inlineStr">
        <is>
          <t>EE</t>
        </is>
      </c>
      <c r="I293" s="57" t="inlineStr">
        <is>
          <t>I</t>
        </is>
      </c>
      <c r="J293" s="56" t="n">
        <v>54</v>
      </c>
      <c r="K293" s="56" t="n">
        <v>3</v>
      </c>
      <c r="L293" s="50">
        <f>CONCATENATE(H293,M293)</f>
        <v/>
      </c>
      <c r="M293" s="51">
        <f>IF(OR(ISBLANK(J293),ISBLANK(K293)),IF(OR(H293="ALI",H293="AIE"),"L",IF(ISBLANK(H293),"","A")),IF(H293="EE",IF(K293&gt;=3,IF(J293&gt;=5,"H","A"),IF(K293&gt;=2,IF(J293&gt;=16,"H",IF(J293&lt;=4,"L","A")),IF(J293&lt;=15,"L","A"))),IF(OR(H293="SE",H293="CE"),IF(K293&gt;=4,IF(J293&gt;=6,"H","A"),IF(K293&gt;=2,IF(J293&gt;=20,"H",IF(J293&lt;=5,"L","A")),IF(J293&lt;=19,"L","A"))),IF(OR(H293="ALI",H293="AIE"),IF(K293&gt;=6,IF(J293&gt;=20,"H","A"),IF(K293&gt;=2,IF(J293&gt;=51,"H",IF(J293&lt;=19,"L","A")),IF(J293&lt;=50,"L","A")))))))</f>
        <v/>
      </c>
      <c r="N293" s="52">
        <f>IF(M293="L","Baixa",IF(M293="A","Média",IF(M293="","","Alta")))</f>
        <v/>
      </c>
      <c r="O293" s="53">
        <f>IF(ISBLANK(H293),"",IF(H293="ALI",IF(M293="L",7,IF(M293="A",10,15)),IF(H293="AIE",IF(M293="L",5,IF(M293="A",7,10)),IF(H293="SE",IF(M293="L",4,IF(M293="A",5,7)),IF(OR(H293="EE",H293="CE"),IF(M293="L",3,IF(M293="A",4,6)))))))</f>
        <v/>
      </c>
      <c r="P293" s="54">
        <f>IF(I293="I",O293*Contagem!$W$15,IF(I293="E",O293*Contagem!$W$17,IF(I293="A",O293*Contagem!$W$16,IF(I293="T",O293*Contagem!$W$18,""))))</f>
        <v/>
      </c>
      <c r="Q293" s="55" t="inlineStr">
        <is>
          <t>Prova: Rota PATCH /gestao/processos/{id}/vistoria (preencher-ficha-vistoria). Tela: gestao/vistoria/show. InspectionService::salvarRascunho grava os campos enviados (InspectionUpdateRequest) e recusa ficha concluída. Teste: tests/Feature/Vistoria/InspectionFlowTest.php::test_salvar_rascunho_persiste_campos_das_secoes. Processo elementar independente: menor unidade com significado para o vistoriador; completa por si; ficha consistente em rascunho; lógica de gravação parcial sem exigir parecer. Classificação: EE. TD=54 (52 campos do InspectionUpdateRequest, mensagem, ação). Registros automáticos contados como FTR (premissa P4): Trilha de auditoria. AR=3 (Ficha de vistoria, Solicitação de viabilidade, Trilha de auditoria). Recontagem 16/10/2026: alterada (linha 418 da contagem de 01/10/2026: "Vistoria - salvar rascunho da ficha", EE Alta 6 PF, TD 54, AR 2). Motivo: Premissa P4: grava a trilha (ficha-rascunho); AR 2→3, PF inalterado (EE Alta).</t>
        </is>
      </c>
    </row>
    <row r="294" ht="12" customHeight="1" s="73">
      <c r="A294" s="14">
        <f>IF(H294="",IF(C294="",A293,A293+1),A293)</f>
        <v/>
      </c>
      <c r="B294" s="48">
        <f>IF(A294=A293,"",CONCATENATE("F",A294))</f>
        <v/>
      </c>
      <c r="C294" s="85" t="inlineStr">
        <is>
          <t>Vistoria - concluir ficha</t>
        </is>
      </c>
      <c r="D294" s="142" t="n"/>
      <c r="E294" s="142" t="n"/>
      <c r="F294" s="142" t="n"/>
      <c r="G294" s="143" t="n"/>
      <c r="H294" s="56" t="inlineStr">
        <is>
          <t>EE</t>
        </is>
      </c>
      <c r="I294" s="57" t="inlineStr">
        <is>
          <t>I</t>
        </is>
      </c>
      <c r="J294" s="56" t="n">
        <v>54</v>
      </c>
      <c r="K294" s="56" t="n">
        <v>3</v>
      </c>
      <c r="L294" s="50">
        <f>CONCATENATE(H294,M294)</f>
        <v/>
      </c>
      <c r="M294" s="51">
        <f>IF(OR(ISBLANK(J294),ISBLANK(K294)),IF(OR(H294="ALI",H294="AIE"),"L",IF(ISBLANK(H294),"","A")),IF(H294="EE",IF(K294&gt;=3,IF(J294&gt;=5,"H","A"),IF(K294&gt;=2,IF(J294&gt;=16,"H",IF(J294&lt;=4,"L","A")),IF(J294&lt;=15,"L","A"))),IF(OR(H294="SE",H294="CE"),IF(K294&gt;=4,IF(J294&gt;=6,"H","A"),IF(K294&gt;=2,IF(J294&gt;=20,"H",IF(J294&lt;=5,"L","A")),IF(J294&lt;=19,"L","A"))),IF(OR(H294="ALI",H294="AIE"),IF(K294&gt;=6,IF(J294&gt;=20,"H","A"),IF(K294&gt;=2,IF(J294&gt;=51,"H",IF(J294&lt;=19,"L","A")),IF(J294&lt;=50,"L","A")))))))</f>
        <v/>
      </c>
      <c r="N294" s="52">
        <f>IF(M294="L","Baixa",IF(M294="A","Média",IF(M294="","","Alta")))</f>
        <v/>
      </c>
      <c r="O294" s="53">
        <f>IF(ISBLANK(H294),"",IF(H294="ALI",IF(M294="L",7,IF(M294="A",10,15)),IF(H294="AIE",IF(M294="L",5,IF(M294="A",7,10)),IF(H294="SE",IF(M294="L",4,IF(M294="A",5,7)),IF(OR(H294="EE",H294="CE"),IF(M294="L",3,IF(M294="A",4,6)))))))</f>
        <v/>
      </c>
      <c r="P294" s="54">
        <f>IF(I294="I",O294*Contagem!$W$15,IF(I294="E",O294*Contagem!$W$17,IF(I294="A",O294*Contagem!$W$16,IF(I294="T",O294*Contagem!$W$18,""))))</f>
        <v/>
      </c>
      <c r="Q294" s="55" t="inlineStr">
        <is>
          <t>Prova: Rota POST /gestao/processos/{id}/vistoria/concluir (preencher-ficha-vistoria). Tela: gestao/vistoria/show. InspectionService::concluir grava a ficha concluída e imutável com parecer obrigatório, passa o processo de Vistoriar para Vistoriado e devolve ao analista de origem quando houve encaminhamento. Teste: tests/Feature/Vistoria/InspectionFlowTest.php::test_concluir_com_parecer_finaliza_a_ficha. Processo elementar independente: difere do rascunho em lógica (parecer obrigatório, imutabilidade, devolução ao analista). Classificação: EE. TD=54 (52 campos da ficha com parecer obrigatório, mensagem, ação). Registros automáticos contados como FTR (premissa P4): Trilha de auditoria. AR=3 (Ficha de vistoria, Solicitação de viabilidade, Trilha de auditoria). Recontagem 16/10/2026: alterada (linha 419 da contagem de 01/10/2026: "Vistoria - concluir ficha", EE Alta 6 PF, TD 54, AR 2). Motivo: Premissa P4: grava a trilha (ficha-conclusao); AR 2→3, PF inalterado (EE Alta).</t>
        </is>
      </c>
    </row>
    <row r="295" ht="12" customHeight="1" s="73">
      <c r="A295" s="14">
        <f>IF(H295="",IF(C295="",A294,A294+1),A294)</f>
        <v/>
      </c>
      <c r="B295" s="48">
        <f>IF(A295=A294,"",CONCATENATE("F",A295))</f>
        <v/>
      </c>
      <c r="C295" s="85" t="inlineStr">
        <is>
          <t>Vistoria - validar polígono do imóvel</t>
        </is>
      </c>
      <c r="D295" s="142" t="n"/>
      <c r="E295" s="142" t="n"/>
      <c r="F295" s="142" t="n"/>
      <c r="G295" s="143" t="n"/>
      <c r="H295" s="56" t="inlineStr">
        <is>
          <t>EE</t>
        </is>
      </c>
      <c r="I295" s="57" t="inlineStr">
        <is>
          <t>I</t>
        </is>
      </c>
      <c r="J295" s="56" t="n">
        <v>5</v>
      </c>
      <c r="K295" s="56" t="n">
        <v>3</v>
      </c>
      <c r="L295" s="50">
        <f>CONCATENATE(H295,M295)</f>
        <v/>
      </c>
      <c r="M295" s="51">
        <f>IF(OR(ISBLANK(J295),ISBLANK(K295)),IF(OR(H295="ALI",H295="AIE"),"L",IF(ISBLANK(H295),"","A")),IF(H295="EE",IF(K295&gt;=3,IF(J295&gt;=5,"H","A"),IF(K295&gt;=2,IF(J295&gt;=16,"H",IF(J295&lt;=4,"L","A")),IF(J295&lt;=15,"L","A"))),IF(OR(H295="SE",H295="CE"),IF(K295&gt;=4,IF(J295&gt;=6,"H","A"),IF(K295&gt;=2,IF(J295&gt;=20,"H",IF(J295&lt;=5,"L","A")),IF(J295&lt;=19,"L","A"))),IF(OR(H295="ALI",H295="AIE"),IF(K295&gt;=6,IF(J295&gt;=20,"H","A"),IF(K295&gt;=2,IF(J295&gt;=51,"H",IF(J295&lt;=19,"L","A")),IF(J295&lt;=50,"L","A")))))))</f>
        <v/>
      </c>
      <c r="N295" s="52">
        <f>IF(M295="L","Baixa",IF(M295="A","Média",IF(M295="","","Alta")))</f>
        <v/>
      </c>
      <c r="O295" s="53">
        <f>IF(ISBLANK(H295),"",IF(H295="ALI",IF(M295="L",7,IF(M295="A",10,15)),IF(H295="AIE",IF(M295="L",5,IF(M295="A",7,10)),IF(H295="SE",IF(M295="L",4,IF(M295="A",5,7)),IF(OR(H295="EE",H295="CE"),IF(M295="L",3,IF(M295="A",4,6)))))))</f>
        <v/>
      </c>
      <c r="P295" s="54">
        <f>IF(I295="I",O295*Contagem!$W$15,IF(I295="E",O295*Contagem!$W$17,IF(I295="A",O295*Contagem!$W$16,IF(I295="T",O295*Contagem!$W$18,""))))</f>
        <v/>
      </c>
      <c r="Q295" s="55" t="inlineStr">
        <is>
          <t>Prova: Rota POST /gestao/processos/{id}/vistoria/poligono (preencher-ficha-vistoria). Tela: gestao/vistoria/show (mapa). InspectionService::validarPoligono grava o polígono redesenhado ou confirmado, a área calculada e a data de validação; recusa polígono inválido. Teste: tests/Feature/Vistoria/InspectionFlowTest.php::test_validar_poligono_persiste_novo_desenho_com_area_e_data. Processo elementar independente: menor unidade com significado para o vistoriador; completa por si; lógica própria de validação geométrica. Classificação: EE. Registros automáticos contados como FTR (premissa P4): Trilha de auditoria. TD=5 (polígono, área calculada, data de validação, mensagem, ação). AR=3 (Ficha de vistoria, Solicitação de viabilidade, Trilha de auditoria). Recontagem 16/10/2026: alterada (linha 420 da contagem de 01/10/2026: "Vistoria - validar polígono do imóvel", EE Média 4 PF, TD 5, AR 2). Motivo: Premissa P4: grava a trilha (poligono-validado); AR 2→3, EE Alta (4→6 PF).</t>
        </is>
      </c>
    </row>
    <row r="296" ht="12" customHeight="1" s="73">
      <c r="A296" s="14">
        <f>IF(H296="",IF(C296="",A295,A295+1),A295)</f>
        <v/>
      </c>
      <c r="B296" s="48">
        <f>IF(A296=A295,"",CONCATENATE("F",A296))</f>
        <v/>
      </c>
      <c r="C296" s="85" t="inlineStr">
        <is>
          <t>Vistoria - anexar foto ou documento</t>
        </is>
      </c>
      <c r="D296" s="142" t="n"/>
      <c r="E296" s="142" t="n"/>
      <c r="F296" s="142" t="n"/>
      <c r="G296" s="143" t="n"/>
      <c r="H296" s="56" t="inlineStr">
        <is>
          <t>EE</t>
        </is>
      </c>
      <c r="I296" s="57" t="inlineStr">
        <is>
          <t>I</t>
        </is>
      </c>
      <c r="J296" s="56" t="n">
        <v>6</v>
      </c>
      <c r="K296" s="56" t="n">
        <v>3</v>
      </c>
      <c r="L296" s="50">
        <f>CONCATENATE(H296,M296)</f>
        <v/>
      </c>
      <c r="M296" s="51">
        <f>IF(OR(ISBLANK(J296),ISBLANK(K296)),IF(OR(H296="ALI",H296="AIE"),"L",IF(ISBLANK(H296),"","A")),IF(H296="EE",IF(K296&gt;=3,IF(J296&gt;=5,"H","A"),IF(K296&gt;=2,IF(J296&gt;=16,"H",IF(J296&lt;=4,"L","A")),IF(J296&lt;=15,"L","A"))),IF(OR(H296="SE",H296="CE"),IF(K296&gt;=4,IF(J296&gt;=6,"H","A"),IF(K296&gt;=2,IF(J296&gt;=20,"H",IF(J296&lt;=5,"L","A")),IF(J296&lt;=19,"L","A"))),IF(OR(H296="ALI",H296="AIE"),IF(K296&gt;=6,IF(J296&gt;=20,"H","A"),IF(K296&gt;=2,IF(J296&gt;=51,"H",IF(J296&lt;=19,"L","A")),IF(J296&lt;=50,"L","A")))))))</f>
        <v/>
      </c>
      <c r="N296" s="52">
        <f>IF(M296="L","Baixa",IF(M296="A","Média",IF(M296="","","Alta")))</f>
        <v/>
      </c>
      <c r="O296" s="53">
        <f>IF(ISBLANK(H296),"",IF(H296="ALI",IF(M296="L",7,IF(M296="A",10,15)),IF(H296="AIE",IF(M296="L",5,IF(M296="A",7,10)),IF(H296="SE",IF(M296="L",4,IF(M296="A",5,7)),IF(OR(H296="EE",H296="CE"),IF(M296="L",3,IF(M296="A",4,6)))))))</f>
        <v/>
      </c>
      <c r="P296" s="54">
        <f>IF(I296="I",O296*Contagem!$W$15,IF(I296="E",O296*Contagem!$W$17,IF(I296="A",O296*Contagem!$W$16,IF(I296="T",O296*Contagem!$W$18,""))))</f>
        <v/>
      </c>
      <c r="Q296" s="55" t="inlineStr">
        <is>
          <t>Prova: Rota POST /gestao/processos/{id}/vistoria/anexos (preencher-ficha-vistoria). Tela: gestao/vistoria/show. InspectionController@storeAnexo grava o arquivo e os metadados (nome, tipo, tamanho, hash, autor) na ficha. Teste: tests/Feature/Vistoria/InspectionFlowTest.php::test_upload_de_anexo_persiste_arquivo_e_metadados. Processo elementar independente: menor unidade com significado para o vistoriador; completa por si; lógica única de upload. Classificação: EE. Registros automáticos contados como FTR (premissa P4): Trilha de auditoria. TD=6 (arquivo, nome, tipo, tamanho, mensagem, ação). AR=3 (Ficha de vistoria, Solicitação de viabilidade, Trilha de auditoria). Recontagem 16/10/2026: alterada (linha 421 da contagem de 01/10/2026: "Vistoria - anexar foto ou documento", EE Média 4 PF, TD 6, AR 2). Motivo: Premissa P4: grava a trilha (anexo-adicionado); AR 2→3, EE Alta (4→6 PF).</t>
        </is>
      </c>
    </row>
    <row r="297" ht="12" customHeight="1" s="73">
      <c r="A297" s="14">
        <f>IF(H297="",IF(C297="",A296,A296+1),A296)</f>
        <v/>
      </c>
      <c r="B297" s="48">
        <f>IF(A297=A296,"",CONCATENATE("F",A297))</f>
        <v/>
      </c>
      <c r="C297" s="85" t="inlineStr">
        <is>
          <t>Vistoria - baixar anexo</t>
        </is>
      </c>
      <c r="D297" s="142" t="n"/>
      <c r="E297" s="142" t="n"/>
      <c r="F297" s="142" t="n"/>
      <c r="G297" s="143" t="n"/>
      <c r="H297" s="56" t="inlineStr">
        <is>
          <t>SE</t>
        </is>
      </c>
      <c r="I297" s="57" t="inlineStr">
        <is>
          <t>I</t>
        </is>
      </c>
      <c r="J297" s="56" t="n">
        <v>4</v>
      </c>
      <c r="K297" s="56" t="n">
        <v>3</v>
      </c>
      <c r="L297" s="50">
        <f>CONCATENATE(H297,M297)</f>
        <v/>
      </c>
      <c r="M297" s="51">
        <f>IF(OR(ISBLANK(J297),ISBLANK(K297)),IF(OR(H297="ALI",H297="AIE"),"L",IF(ISBLANK(H297),"","A")),IF(H297="EE",IF(K297&gt;=3,IF(J297&gt;=5,"H","A"),IF(K297&gt;=2,IF(J297&gt;=16,"H",IF(J297&lt;=4,"L","A")),IF(J297&lt;=15,"L","A"))),IF(OR(H297="SE",H297="CE"),IF(K297&gt;=4,IF(J297&gt;=6,"H","A"),IF(K297&gt;=2,IF(J297&gt;=20,"H",IF(J297&lt;=5,"L","A")),IF(J297&lt;=19,"L","A"))),IF(OR(H297="ALI",H297="AIE"),IF(K297&gt;=6,IF(J297&gt;=20,"H","A"),IF(K297&gt;=2,IF(J297&gt;=51,"H",IF(J297&lt;=19,"L","A")),IF(J297&lt;=50,"L","A")))))))</f>
        <v/>
      </c>
      <c r="N297" s="52">
        <f>IF(M297="L","Baixa",IF(M297="A","Média",IF(M297="","","Alta")))</f>
        <v/>
      </c>
      <c r="O297" s="53">
        <f>IF(ISBLANK(H297),"",IF(H297="ALI",IF(M297="L",7,IF(M297="A",10,15)),IF(H297="AIE",IF(M297="L",5,IF(M297="A",7,10)),IF(H297="SE",IF(M297="L",4,IF(M297="A",5,7)),IF(OR(H297="EE",H297="CE"),IF(M297="L",3,IF(M297="A",4,6)))))))</f>
        <v/>
      </c>
      <c r="P297" s="54">
        <f>IF(I297="I",O297*Contagem!$W$15,IF(I297="E",O297*Contagem!$W$17,IF(I297="A",O297*Contagem!$W$16,IF(I297="T",O297*Contagem!$W$18,""))))</f>
        <v/>
      </c>
      <c r="Q297" s="55" t="inlineStr">
        <is>
          <t>Prova: Rota GET /gestao/processos/{id}/vistoria/anexos/{anexo} (analisar-processos ou preencher-ficha-vistoria). Tela: gestao/vistoria/show. O controller confere que o anexo é da ficha do processo e entrega o arquivo enviado pelo vistoriador, sem cálculo. Teste: tests/Feature/Vistoria/VisualizarFichaVistoriaTest.php::test_analista_baixa_anexo_sem_permissao_de_preencher. Processo elementar independente: entrega um anexo escolhido, dado diferente da consulta da ficha (que só lista os metadados). Classificação: entrega sem cálculo, mas grava a trilha do download; pela premissa P4, é SE (§5.5.3, Tabela 5). Registros automáticos contados como FTR (premissa P4): Trilha de auditoria. TD=4 (arquivo, nome, tipo, ação). AR=3 (Ficha de vistoria, Solicitação de viabilidade, Trilha de auditoria). Recontagem 16/10/2026: alterada (linha 422 da contagem de 01/10/2026: "Vistoria - baixar anexo", CE Baixa 3 PF, TD 4, AR 2). Motivo: Premissa P4: grava a trilha (anexo-download); por gravar ALI passa de CE a SE (AR 2→3, 3→4 PF).</t>
        </is>
      </c>
    </row>
    <row r="298" ht="12" customHeight="1" s="73">
      <c r="A298" s="14">
        <f>IF(H298="",IF(C298="",A297,A297+1),A297)</f>
        <v/>
      </c>
      <c r="B298" s="48">
        <f>IF(A298=A297,"",CONCATENATE("F",A298))</f>
        <v/>
      </c>
      <c r="C298" s="85" t="inlineStr">
        <is>
          <t>Vistoria - remover anexo</t>
        </is>
      </c>
      <c r="D298" s="142" t="n"/>
      <c r="E298" s="142" t="n"/>
      <c r="F298" s="142" t="n"/>
      <c r="G298" s="143" t="n"/>
      <c r="H298" s="56" t="inlineStr">
        <is>
          <t>EE</t>
        </is>
      </c>
      <c r="I298" s="57" t="inlineStr">
        <is>
          <t>I</t>
        </is>
      </c>
      <c r="J298" s="56" t="n">
        <v>3</v>
      </c>
      <c r="K298" s="56" t="n">
        <v>3</v>
      </c>
      <c r="L298" s="50">
        <f>CONCATENATE(H298,M298)</f>
        <v/>
      </c>
      <c r="M298" s="51">
        <f>IF(OR(ISBLANK(J298),ISBLANK(K298)),IF(OR(H298="ALI",H298="AIE"),"L",IF(ISBLANK(H298),"","A")),IF(H298="EE",IF(K298&gt;=3,IF(J298&gt;=5,"H","A"),IF(K298&gt;=2,IF(J298&gt;=16,"H",IF(J298&lt;=4,"L","A")),IF(J298&lt;=15,"L","A"))),IF(OR(H298="SE",H298="CE"),IF(K298&gt;=4,IF(J298&gt;=6,"H","A"),IF(K298&gt;=2,IF(J298&gt;=20,"H",IF(J298&lt;=5,"L","A")),IF(J298&lt;=19,"L","A"))),IF(OR(H298="ALI",H298="AIE"),IF(K298&gt;=6,IF(J298&gt;=20,"H","A"),IF(K298&gt;=2,IF(J298&gt;=51,"H",IF(J298&lt;=19,"L","A")),IF(J298&lt;=50,"L","A")))))))</f>
        <v/>
      </c>
      <c r="N298" s="52">
        <f>IF(M298="L","Baixa",IF(M298="A","Média",IF(M298="","","Alta")))</f>
        <v/>
      </c>
      <c r="O298" s="53">
        <f>IF(ISBLANK(H298),"",IF(H298="ALI",IF(M298="L",7,IF(M298="A",10,15)),IF(H298="AIE",IF(M298="L",5,IF(M298="A",7,10)),IF(H298="SE",IF(M298="L",4,IF(M298="A",5,7)),IF(OR(H298="EE",H298="CE"),IF(M298="L",3,IF(M298="A",4,6)))))))</f>
        <v/>
      </c>
      <c r="P298" s="54">
        <f>IF(I298="I",O298*Contagem!$W$15,IF(I298="E",O298*Contagem!$W$17,IF(I298="A",O298*Contagem!$W$16,IF(I298="T",O298*Contagem!$W$18,""))))</f>
        <v/>
      </c>
      <c r="Q298" s="55" t="inlineStr">
        <is>
          <t>Prova: Rota DELETE /gestao/processos/{id}/vistoria/anexos/{anexo} (preencher-ficha-vistoria). Tela: gestao/vistoria/show. destroyAnexo apaga arquivo e registro de ficha não concluída. Teste: tests/Feature/Vistoria/InspectionFlowTest.php::test_remover_anexo_exclui_arquivo_e_registro. Processo elementar independente: completa por si; lógica única de exclusão. Classificação: EE. Registros automáticos contados como FTR (premissa P4): Trilha de auditoria. TD=3 (anexo selecionado, mensagem, ação). AR=3 (Ficha de vistoria, Solicitação de viabilidade, Trilha de auditoria). Recontagem 16/10/2026: alterada (linha 423 da contagem de 01/10/2026: "Vistoria - remover anexo", EE Baixa 3 PF, TD 3, AR 2). Motivo: Premissa P4: grava a trilha (anexo-removido); AR 2→3, EE Média (3→4 PF).</t>
        </is>
      </c>
    </row>
    <row r="299" ht="12" customHeight="1" s="73">
      <c r="A299" s="14">
        <f>IF(H299="",IF(C299="",A298,A298+1),A298)</f>
        <v/>
      </c>
      <c r="B299" s="48">
        <f>IF(A299=A298,"",CONCATENATE("F",A299))</f>
        <v/>
      </c>
      <c r="C299" s="85" t="inlineStr">
        <is>
          <t>Vistoria - encaminhar processo para vistoria</t>
        </is>
      </c>
      <c r="D299" s="142" t="n"/>
      <c r="E299" s="142" t="n"/>
      <c r="F299" s="142" t="n"/>
      <c r="G299" s="143" t="n"/>
      <c r="H299" s="56" t="inlineStr">
        <is>
          <t>EE</t>
        </is>
      </c>
      <c r="I299" s="57" t="inlineStr">
        <is>
          <t>I</t>
        </is>
      </c>
      <c r="J299" s="56" t="n">
        <v>4</v>
      </c>
      <c r="K299" s="56" t="n">
        <v>4</v>
      </c>
      <c r="L299" s="50">
        <f>CONCATENATE(H299,M299)</f>
        <v/>
      </c>
      <c r="M299" s="51">
        <f>IF(OR(ISBLANK(J299),ISBLANK(K299)),IF(OR(H299="ALI",H299="AIE"),"L",IF(ISBLANK(H299),"","A")),IF(H299="EE",IF(K299&gt;=3,IF(J299&gt;=5,"H","A"),IF(K299&gt;=2,IF(J299&gt;=16,"H",IF(J299&lt;=4,"L","A")),IF(J299&lt;=15,"L","A"))),IF(OR(H299="SE",H299="CE"),IF(K299&gt;=4,IF(J299&gt;=6,"H","A"),IF(K299&gt;=2,IF(J299&gt;=20,"H",IF(J299&lt;=5,"L","A")),IF(J299&lt;=19,"L","A"))),IF(OR(H299="ALI",H299="AIE"),IF(K299&gt;=6,IF(J299&gt;=20,"H","A"),IF(K299&gt;=2,IF(J299&gt;=51,"H",IF(J299&lt;=19,"L","A")),IF(J299&lt;=50,"L","A")))))))</f>
        <v/>
      </c>
      <c r="N299" s="52">
        <f>IF(M299="L","Baixa",IF(M299="A","Média",IF(M299="","","Alta")))</f>
        <v/>
      </c>
      <c r="O299" s="53">
        <f>IF(ISBLANK(H299),"",IF(H299="ALI",IF(M299="L",7,IF(M299="A",10,15)),IF(H299="AIE",IF(M299="L",5,IF(M299="A",7,10)),IF(H299="SE",IF(M299="L",4,IF(M299="A",5,7)),IF(OR(H299="EE",H299="CE"),IF(M299="L",3,IF(M299="A",4,6)))))))</f>
        <v/>
      </c>
      <c r="P299" s="54">
        <f>IF(I299="I",O299*Contagem!$W$15,IF(I299="E",O299*Contagem!$W$17,IF(I299="A",O299*Contagem!$W$16,IF(I299="T",O299*Contagem!$W$18,""))))</f>
        <v/>
      </c>
      <c r="Q299" s="55" t="inlineStr">
        <is>
          <t>Prova: Rota POST /gestao/processos/{id}/vistoria/encaminhar (analisar-processos). Tela: gestao/ficha-analise/show (modal Encaminhar para a vistoria). EncaminharVistoriaService grava o encaminhamento (setor de vistoria, motivo, origem), move o processo para a caixa do setor e registra a situação Vistoriar. Teste: tests/Feature/Vistoria/VistoriaEncaminhamentoTest.php::test_encaminhar_faz_o_handoff_para_a_caixa_do_setor_de_vistoria. Processo elementar independente: menor unidade com significado para o analista; completa por si; lógica única de passagem à vistoria. Classificação: EE. Registros automáticos contados como FTR (premissa P4): Trilha de auditoria. TD=4 (setor de vistoria, motivo, mensagem, ação). AR=4 (Ficha de vistoria, Setor, Solicitação de viabilidade, Trilha de auditoria). Recontagem 16/10/2026: alterada (linha 416 da contagem de 01/10/2026: "Vistoria - encaminhar processo para vistoria", EE Média 4 PF, TD 4, AR 3). Motivo: Premissa P4: EncaminharVistoriaService grava a trilha; AR 3→4, PF inalterado.</t>
        </is>
      </c>
    </row>
    <row r="300" ht="12" customHeight="1" s="73">
      <c r="A300" s="14">
        <f>IF(H300="",IF(C300="",A299,A299+1),A299)</f>
        <v/>
      </c>
      <c r="B300" s="48">
        <f>IF(A300=A299,"",CONCATENATE("F",A300))</f>
        <v/>
      </c>
      <c r="C300" s="85" t="inlineStr">
        <is>
          <t>Vistorias - consultar lista</t>
        </is>
      </c>
      <c r="D300" s="142" t="n"/>
      <c r="E300" s="142" t="n"/>
      <c r="F300" s="142" t="n"/>
      <c r="G300" s="143" t="n"/>
      <c r="H300" s="56" t="inlineStr">
        <is>
          <t>SE</t>
        </is>
      </c>
      <c r="I300" s="57" t="inlineStr">
        <is>
          <t>I</t>
        </is>
      </c>
      <c r="J300" s="56" t="n">
        <v>18</v>
      </c>
      <c r="K300" s="56" t="n">
        <v>6</v>
      </c>
      <c r="L300" s="50">
        <f>CONCATENATE(H300,M300)</f>
        <v/>
      </c>
      <c r="M300" s="51">
        <f>IF(OR(ISBLANK(J300),ISBLANK(K300)),IF(OR(H300="ALI",H300="AIE"),"L",IF(ISBLANK(H300),"","A")),IF(H300="EE",IF(K300&gt;=3,IF(J300&gt;=5,"H","A"),IF(K300&gt;=2,IF(J300&gt;=16,"H",IF(J300&lt;=4,"L","A")),IF(J300&lt;=15,"L","A"))),IF(OR(H300="SE",H300="CE"),IF(K300&gt;=4,IF(J300&gt;=6,"H","A"),IF(K300&gt;=2,IF(J300&gt;=20,"H",IF(J300&lt;=5,"L","A")),IF(J300&lt;=19,"L","A"))),IF(OR(H300="ALI",H300="AIE"),IF(K300&gt;=6,IF(J300&gt;=20,"H","A"),IF(K300&gt;=2,IF(J300&gt;=51,"H",IF(J300&lt;=19,"L","A")),IF(J300&lt;=50,"L","A")))))))</f>
        <v/>
      </c>
      <c r="N300" s="52">
        <f>IF(M300="L","Baixa",IF(M300="A","Média",IF(M300="","","Alta")))</f>
        <v/>
      </c>
      <c r="O300" s="53">
        <f>IF(ISBLANK(H300),"",IF(H300="ALI",IF(M300="L",7,IF(M300="A",10,15)),IF(H300="AIE",IF(M300="L",5,IF(M300="A",7,10)),IF(H300="SE",IF(M300="L",4,IF(M300="A",5,7)),IF(OR(H300="EE",H300="CE"),IF(M300="L",3,IF(M300="A",4,6)))))))</f>
        <v/>
      </c>
      <c r="P300" s="54">
        <f>IF(I300="I",O300*Contagem!$W$15,IF(I300="E",O300*Contagem!$W$17,IF(I300="A",O300*Contagem!$W$16,IF(I300="T",O300*Contagem!$W$18,""))))</f>
        <v/>
      </c>
      <c r="Q300" s="55" t="inlineStr">
        <is>
          <t>Prova: Rota GET /gestao/vistorias (preencher-ficha-vistoria). Tela: gestao/vistorias. VistoriaConsultaController lista os processos de vistoria, calcula seis indicadores por contagem e deriva a situação de cada linha. Teste: tests/Feature/Vistoria/VistoriaConsultaTest.php::test_consulta_renderiza_universo_kpis_e_situacao. Processo elementar independente: menor unidade com significado para o setor de vistoria; completa por si; só leitura. Classificação: contagens e situação derivada, SE (§5.5.3). Registros automáticos contados como FTR (premissa P4): Trilha de auditoria. TD=18 (protocolo, BAP, empresa, imóvel, zona, setor, situação, vistoriador, responsável, prazo, KPI encaminhadas, KPI a designar, KPI em campo, KPI concluídas, KPI concluídas no mês, KPI prazo vencido, busca, ação). AR=6 (Solicitação de viabilidade, Ficha de vistoria, Empresa, Setor, Usuário, Trilha de auditoria). Recontagem 16/10/2026: alterada (linha 424 da contagem de 01/10/2026: "Vistorias - consultar lista", SE Alta 7 PF, TD 18, AR 5). Motivo: Premissa P4: grava a trilha da consulta; AR 5→6, PF inalterado.</t>
        </is>
      </c>
    </row>
    <row r="301" ht="12" customHeight="1" s="73">
      <c r="A301" s="14">
        <f>IF(H301="",IF(C301="",A300,A300+1),A300)</f>
        <v/>
      </c>
      <c r="B301" s="48">
        <f>IF(A301=A300,"",CONCATENATE("F",A301))</f>
        <v/>
      </c>
      <c r="C301" s="85" t="n"/>
      <c r="D301" s="142" t="n"/>
      <c r="E301" s="142" t="n"/>
      <c r="F301" s="142" t="n"/>
      <c r="G301" s="143" t="n"/>
      <c r="H301" s="56" t="n"/>
      <c r="I301" s="57" t="n"/>
      <c r="J301" s="56" t="n"/>
      <c r="K301" s="56" t="n"/>
      <c r="L301" s="50">
        <f>CONCATENATE(H301,M301)</f>
        <v/>
      </c>
      <c r="M301" s="51">
        <f>IF(OR(ISBLANK(J301),ISBLANK(K301)),IF(OR(H301="ALI",H301="AIE"),"L",IF(ISBLANK(H301),"","A")),IF(H301="EE",IF(K301&gt;=3,IF(J301&gt;=5,"H","A"),IF(K301&gt;=2,IF(J301&gt;=16,"H",IF(J301&lt;=4,"L","A")),IF(J301&lt;=15,"L","A"))),IF(OR(H301="SE",H301="CE"),IF(K301&gt;=4,IF(J301&gt;=6,"H","A"),IF(K301&gt;=2,IF(J301&gt;=20,"H",IF(J301&lt;=5,"L","A")),IF(J301&lt;=19,"L","A"))),IF(OR(H301="ALI",H301="AIE"),IF(K301&gt;=6,IF(J301&gt;=20,"H","A"),IF(K301&gt;=2,IF(J301&gt;=51,"H",IF(J301&lt;=19,"L","A")),IF(J301&lt;=50,"L","A")))))))</f>
        <v/>
      </c>
      <c r="N301" s="52">
        <f>IF(M301="L","Baixa",IF(M301="A","Média",IF(M301="","","Alta")))</f>
        <v/>
      </c>
      <c r="O301" s="53">
        <f>IF(ISBLANK(H301),"",IF(H301="ALI",IF(M301="L",7,IF(M301="A",10,15)),IF(H301="AIE",IF(M301="L",5,IF(M301="A",7,10)),IF(H301="SE",IF(M301="L",4,IF(M301="A",5,7)),IF(OR(H301="EE",H301="CE"),IF(M301="L",3,IF(M301="A",4,6)))))))</f>
        <v/>
      </c>
      <c r="P301" s="54">
        <f>IF(I301="I",O301*Contagem!$W$15,IF(I301="E",O301*Contagem!$W$17,IF(I301="A",O301*Contagem!$W$16,IF(I301="T",O301*Contagem!$W$18,""))))</f>
        <v/>
      </c>
      <c r="Q301" s="55" t="n"/>
    </row>
    <row r="302" ht="12" customHeight="1" s="73">
      <c r="A302" s="14">
        <f>IF(H302="",IF(C302="",A301,A301+1),A301)</f>
        <v/>
      </c>
      <c r="B302" s="48">
        <f>IF(A302=A301,"",CONCATENATE("F",A302))</f>
        <v/>
      </c>
      <c r="C302" s="85" t="inlineStr">
        <is>
          <t>Resultados do fluxo expresso</t>
        </is>
      </c>
      <c r="D302" s="142" t="n"/>
      <c r="E302" s="142" t="n"/>
      <c r="F302" s="142" t="n"/>
      <c r="G302" s="143" t="n"/>
      <c r="H302" s="56" t="n"/>
      <c r="I302" s="57" t="n"/>
      <c r="J302" s="56" t="n"/>
      <c r="K302" s="56" t="n"/>
      <c r="L302" s="50">
        <f>CONCATENATE(H302,M302)</f>
        <v/>
      </c>
      <c r="M302" s="51">
        <f>IF(OR(ISBLANK(J302),ISBLANK(K302)),IF(OR(H302="ALI",H302="AIE"),"L",IF(ISBLANK(H302),"","A")),IF(H302="EE",IF(K302&gt;=3,IF(J302&gt;=5,"H","A"),IF(K302&gt;=2,IF(J302&gt;=16,"H",IF(J302&lt;=4,"L","A")),IF(J302&lt;=15,"L","A"))),IF(OR(H302="SE",H302="CE"),IF(K302&gt;=4,IF(J302&gt;=6,"H","A"),IF(K302&gt;=2,IF(J302&gt;=20,"H",IF(J302&lt;=5,"L","A")),IF(J302&lt;=19,"L","A"))),IF(OR(H302="ALI",H302="AIE"),IF(K302&gt;=6,IF(J302&gt;=20,"H","A"),IF(K302&gt;=2,IF(J302&gt;=51,"H",IF(J302&lt;=19,"L","A")),IF(J302&lt;=50,"L","A")))))))</f>
        <v/>
      </c>
      <c r="N302" s="52">
        <f>IF(M302="L","Baixa",IF(M302="A","Média",IF(M302="","","Alta")))</f>
        <v/>
      </c>
      <c r="O302" s="53">
        <f>IF(ISBLANK(H302),"",IF(H302="ALI",IF(M302="L",7,IF(M302="A",10,15)),IF(H302="AIE",IF(M302="L",5,IF(M302="A",7,10)),IF(H302="SE",IF(M302="L",4,IF(M302="A",5,7)),IF(OR(H302="EE",H302="CE"),IF(M302="L",3,IF(M302="A",4,6)))))))</f>
        <v/>
      </c>
      <c r="P302" s="54">
        <f>IF(I302="I",O302*Contagem!$W$15,IF(I302="E",O302*Contagem!$W$17,IF(I302="A",O302*Contagem!$W$16,IF(I302="T",O302*Contagem!$W$18,""))))</f>
        <v/>
      </c>
      <c r="Q302" s="55" t="n"/>
    </row>
    <row r="303" ht="12" customHeight="1" s="73">
      <c r="A303" s="14">
        <f>IF(H303="",IF(C303="",A302,A302+1),A302)</f>
        <v/>
      </c>
      <c r="B303" s="48">
        <f>IF(A303=A302,"",CONCATENATE("F",A303))</f>
        <v/>
      </c>
      <c r="C303" s="85" t="inlineStr">
        <is>
          <t>Resultados do expresso - consultar lista</t>
        </is>
      </c>
      <c r="D303" s="142" t="n"/>
      <c r="E303" s="142" t="n"/>
      <c r="F303" s="142" t="n"/>
      <c r="G303" s="143" t="n"/>
      <c r="H303" s="56" t="inlineStr">
        <is>
          <t>SE</t>
        </is>
      </c>
      <c r="I303" s="57" t="inlineStr">
        <is>
          <t>I</t>
        </is>
      </c>
      <c r="J303" s="56" t="n">
        <v>13</v>
      </c>
      <c r="K303" s="56" t="n">
        <v>4</v>
      </c>
      <c r="L303" s="50">
        <f>CONCATENATE(H303,M303)</f>
        <v/>
      </c>
      <c r="M303" s="51">
        <f>IF(OR(ISBLANK(J303),ISBLANK(K303)),IF(OR(H303="ALI",H303="AIE"),"L",IF(ISBLANK(H303),"","A")),IF(H303="EE",IF(K303&gt;=3,IF(J303&gt;=5,"H","A"),IF(K303&gt;=2,IF(J303&gt;=16,"H",IF(J303&lt;=4,"L","A")),IF(J303&lt;=15,"L","A"))),IF(OR(H303="SE",H303="CE"),IF(K303&gt;=4,IF(J303&gt;=6,"H","A"),IF(K303&gt;=2,IF(J303&gt;=20,"H",IF(J303&lt;=5,"L","A")),IF(J303&lt;=19,"L","A"))),IF(OR(H303="ALI",H303="AIE"),IF(K303&gt;=6,IF(J303&gt;=20,"H","A"),IF(K303&gt;=2,IF(J303&gt;=51,"H",IF(J303&lt;=19,"L","A")),IF(J303&lt;=50,"L","A")))))))</f>
        <v/>
      </c>
      <c r="N303" s="52">
        <f>IF(M303="L","Baixa",IF(M303="A","Média",IF(M303="","","Alta")))</f>
        <v/>
      </c>
      <c r="O303" s="53">
        <f>IF(ISBLANK(H303),"",IF(H303="ALI",IF(M303="L",7,IF(M303="A",10,15)),IF(H303="AIE",IF(M303="L",5,IF(M303="A",7,10)),IF(H303="SE",IF(M303="L",4,IF(M303="A",5,7)),IF(OR(H303="EE",H303="CE"),IF(M303="L",3,IF(M303="A",4,6)))))))</f>
        <v/>
      </c>
      <c r="P303" s="54">
        <f>IF(I303="I",O303*Contagem!$W$15,IF(I303="E",O303*Contagem!$W$17,IF(I303="A",O303*Contagem!$W$16,IF(I303="T",O303*Contagem!$W$18,""))))</f>
        <v/>
      </c>
      <c r="Q303" s="55" t="inlineStr">
        <is>
          <t>Prova: Rota GET /gestao/resultados-expresso (consultar-solicitacoes). Tela: gestao/resultados-expresso/index. Lista solicitações com decisão, filtradas por resultado, protocolo ou TVL e período, mais recentes primeiro; sem cálculo. Teste: tests/Feature/Expresso/ResultadoExpressoConsoleTest.php::test_com_permissao_lista_apenas_decididas. Processo elementar independente: menor unidade com significado para quem acompanha o expresso; completa por si; não altera dados de negócio. Classificação: lista sem cálculo, mas grava a trilha da consulta; pela premissa P4, é SE (§5.5.3, Tabela 5). Registros automáticos contados como FTR (premissa P4): Trilha de auditoria. TD=13 (busca (protocolo ou TVL), resultado (filtro), data inicial, data final, protocolo, situação, empresa, CNPJ, resultado, resultado consolidado, nº do TVL, decidido em, ação consultar). AR=4 (Solicitação de viabilidade, Decisão de viabilidade, Empresa, Trilha de auditoria). Recontagem 16/10/2026: alterada (linha 245 da contagem de 01/10/2026: "Resultados do expresso - consultar lista", CE Média 4 PF, TD 13, AR 3). Motivo: Premissa P4: grava a trilha da consulta; por gravar ALI passa de CE a SE (AR 3→4, 4→7 PF).</t>
        </is>
      </c>
    </row>
    <row r="304" ht="12" customHeight="1" s="73">
      <c r="A304" s="14">
        <f>IF(H304="",IF(C304="",A303,A303+1),A303)</f>
        <v/>
      </c>
      <c r="B304" s="48">
        <f>IF(A304=A303,"",CONCATENATE("F",A304))</f>
        <v/>
      </c>
      <c r="C304" s="85" t="inlineStr">
        <is>
          <t>Resultados do expresso - consultar detalhe</t>
        </is>
      </c>
      <c r="D304" s="142" t="n"/>
      <c r="E304" s="142" t="n"/>
      <c r="F304" s="142" t="n"/>
      <c r="G304" s="143" t="n"/>
      <c r="H304" s="56" t="inlineStr">
        <is>
          <t>SE</t>
        </is>
      </c>
      <c r="I304" s="57" t="inlineStr">
        <is>
          <t>I</t>
        </is>
      </c>
      <c r="J304" s="56" t="n">
        <v>26</v>
      </c>
      <c r="K304" s="56" t="n">
        <v>5</v>
      </c>
      <c r="L304" s="50">
        <f>CONCATENATE(H304,M304)</f>
        <v/>
      </c>
      <c r="M304" s="51">
        <f>IF(OR(ISBLANK(J304),ISBLANK(K304)),IF(OR(H304="ALI",H304="AIE"),"L",IF(ISBLANK(H304),"","A")),IF(H304="EE",IF(K304&gt;=3,IF(J304&gt;=5,"H","A"),IF(K304&gt;=2,IF(J304&gt;=16,"H",IF(J304&lt;=4,"L","A")),IF(J304&lt;=15,"L","A"))),IF(OR(H304="SE",H304="CE"),IF(K304&gt;=4,IF(J304&gt;=6,"H","A"),IF(K304&gt;=2,IF(J304&gt;=20,"H",IF(J304&lt;=5,"L","A")),IF(J304&lt;=19,"L","A"))),IF(OR(H304="ALI",H304="AIE"),IF(K304&gt;=6,IF(J304&gt;=20,"H","A"),IF(K304&gt;=2,IF(J304&gt;=51,"H",IF(J304&lt;=19,"L","A")),IF(J304&lt;=50,"L","A")))))))</f>
        <v/>
      </c>
      <c r="N304" s="52">
        <f>IF(M304="L","Baixa",IF(M304="A","Média",IF(M304="","","Alta")))</f>
        <v/>
      </c>
      <c r="O304" s="53">
        <f>IF(ISBLANK(H304),"",IF(H304="ALI",IF(M304="L",7,IF(M304="A",10,15)),IF(H304="AIE",IF(M304="L",5,IF(M304="A",7,10)),IF(H304="SE",IF(M304="L",4,IF(M304="A",5,7)),IF(OR(H304="EE",H304="CE"),IF(M304="L",3,IF(M304="A",4,6)))))))</f>
        <v/>
      </c>
      <c r="P304" s="54">
        <f>IF(I304="I",O304*Contagem!$W$15,IF(I304="E",O304*Contagem!$W$17,IF(I304="A",O304*Contagem!$W$16,IF(I304="T",O304*Contagem!$W$18,""))))</f>
        <v/>
      </c>
      <c r="Q304" s="55" t="inlineStr">
        <is>
          <t>Prova: Rota GET /gestao/resultados-expresso/{id} (consultar-solicitacoes). Tela: gestao/resultados-expresso/show. Mostra a decisão, a explicação passo a passo (DecisionExplanationService) e a situação da transmissão à JUCEB e à SEFAZ derivada da trilha de integrações. O botão Abrir PDF desta tela é a função "TVL - emitir e abrir o termo em PDF". Teste: tests/Feature/Expresso/ResultadoExpressoConsoleTest.php::test_show_exibe_transmissao_regin_sefaz_como_pendente_da_auditoria. Processo elementar independente: menor unidade com significado para quem confere um resultado automático; completa por si; só leitura. Classificação: explicação e situação de transmissão derivadas, SE. TD=26 (protocolo, situação, empresa, CNPJ, endereço, resultado, resultado consolidado, fluxo, motivo, fundamentação legal, CNAE, resultado por CNAE, decidido em, decidido por, decisão do sistema, nº do TVL, versões de regras, canal de transmissão, situação da transmissão, transmitido em, passo da explicação, título do passo, entrada do passo, origem do dado, desfecho do passo, ação consultar). AR=5 (Decisão de viabilidade, Solicitação de viabilidade, Empresa, Usuário, Trilha de auditoria). Recontagem 16/10/2026: mantida (linha 246 da contagem de 01/10/2026).</t>
        </is>
      </c>
    </row>
    <row r="305" ht="12" customHeight="1" s="73">
      <c r="A305" s="14">
        <f>IF(H305="",IF(C305="",A304,A304+1),A304)</f>
        <v/>
      </c>
      <c r="B305" s="48">
        <f>IF(A305=A304,"",CONCATENATE("F",A305))</f>
        <v/>
      </c>
      <c r="C305" s="85" t="inlineStr">
        <is>
          <t>Ficha do expresso - consultar decisão somente leitura</t>
        </is>
      </c>
      <c r="D305" s="142" t="n"/>
      <c r="E305" s="142" t="n"/>
      <c r="F305" s="142" t="n"/>
      <c r="G305" s="143" t="n"/>
      <c r="H305" s="56" t="inlineStr">
        <is>
          <t>SE</t>
        </is>
      </c>
      <c r="I305" s="57" t="inlineStr">
        <is>
          <t>I</t>
        </is>
      </c>
      <c r="J305" s="56" t="n">
        <v>31</v>
      </c>
      <c r="K305" s="56" t="n">
        <v>7</v>
      </c>
      <c r="L305" s="50">
        <f>CONCATENATE(H305,M305)</f>
        <v/>
      </c>
      <c r="M305" s="51">
        <f>IF(OR(ISBLANK(J305),ISBLANK(K305)),IF(OR(H305="ALI",H305="AIE"),"L",IF(ISBLANK(H305),"","A")),IF(H305="EE",IF(K305&gt;=3,IF(J305&gt;=5,"H","A"),IF(K305&gt;=2,IF(J305&gt;=16,"H",IF(J305&lt;=4,"L","A")),IF(J305&lt;=15,"L","A"))),IF(OR(H305="SE",H305="CE"),IF(K305&gt;=4,IF(J305&gt;=6,"H","A"),IF(K305&gt;=2,IF(J305&gt;=20,"H",IF(J305&lt;=5,"L","A")),IF(J305&lt;=19,"L","A"))),IF(OR(H305="ALI",H305="AIE"),IF(K305&gt;=6,IF(J305&gt;=20,"H","A"),IF(K305&gt;=2,IF(J305&gt;=51,"H",IF(J305&lt;=19,"L","A")),IF(J305&lt;=50,"L","A")))))))</f>
        <v/>
      </c>
      <c r="N305" s="52">
        <f>IF(M305="L","Baixa",IF(M305="A","Média",IF(M305="","","Alta")))</f>
        <v/>
      </c>
      <c r="O305" s="53">
        <f>IF(ISBLANK(H305),"",IF(H305="ALI",IF(M305="L",7,IF(M305="A",10,15)),IF(H305="AIE",IF(M305="L",5,IF(M305="A",7,10)),IF(H305="SE",IF(M305="L",4,IF(M305="A",5,7)),IF(OR(H305="EE",H305="CE"),IF(M305="L",3,IF(M305="A",4,6)))))))</f>
        <v/>
      </c>
      <c r="P305" s="54">
        <f>IF(I305="I",O305*Contagem!$W$15,IF(I305="E",O305*Contagem!$W$17,IF(I305="A",O305*Contagem!$W$16,IF(I305="T",O305*Contagem!$W$18,""))))</f>
        <v/>
      </c>
      <c r="Q305" s="55" t="inlineStr">
        <is>
          <t>Prova: Rota GET /gestao/processos/{id}/ficha quando a decisão é do fluxo expresso (consultar-solicitacoes ou analisar-processos). Tela: gestao/ficha-expresso/show (AnalysisRecordController::showExpresso). Lê decisão, processo, empresa, quem decidiu, etapas do motor e cadastro imobiliário; monta a explicação (DecisionExplanationService) e o check dos quadros por CNAE (QuadrosFichaChecklist); não cria revisão de análise. Teste: tests/Feature/Expresso/FichaExpressoTest.php::test_ficha_do_expresso_mostra_o_check_dos_quadros_10_e_11a_de_cada_cnae. Processo elementar independente: menor unidade com significado para quem consulta um processo decidido automaticamente; completa por si; só leitura; lógica própria. Classificação: explicação e check dos quadros são dados derivados, SE e não CE (§5.5.3). Registros automáticos contados como FTR (premissa P4): Trilha de auditoria, Chamada de integração. TD=31 (protocolo, situação do processo, empresa, CNPJ, resultado, resultado consolidado, decidido em, decidido por ou automático, nº da viabilidade (TVL), motivo do resultado, CNAE, atividade principal, resultado por CNAE, encaminhamento por risco, quadro verificado (10/11A), situação do quadro, fundamentação, etapa do motor, situação da etapa, motivo da etapa, logradouro, número, bairro, CEP, zona, via, passo da explicação, entrada do passo, origem do dado, desfecho do passo, ação abrir). AR=7 (Decisão de viabilidade, Solicitação de viabilidade, Empresa, Usuário, Cadastro imobiliário da SEFAZ, Trilha de auditoria, Chamada de integração). Recontagem 16/10/2026: nova (não constava da contagem de 01/10/2026). Função nova (commits 34253c84 e 5c9c09af, 14/10): o processo decidido no fluxo expresso abre uma ficha própria, só leitura, com o resultado de cada CNAE, o check dos Quadros 10 e 11A, as etapas do motor, a localização e a explicação. Difere do detalhe de resultados do expresso em DER (quadros, etapas, localização) e FTR (cadastro imobiliário).</t>
        </is>
      </c>
    </row>
    <row r="306" ht="12" customHeight="1" s="73">
      <c r="A306" s="14">
        <f>IF(H306="",IF(C306="",A305,A305+1),A305)</f>
        <v/>
      </c>
      <c r="B306" s="48">
        <f>IF(A306=A305,"",CONCATENATE("F",A306))</f>
        <v/>
      </c>
      <c r="C306" s="85" t="inlineStr">
        <is>
          <t>Processos - reprocessar etapas do motor</t>
        </is>
      </c>
      <c r="D306" s="142" t="n"/>
      <c r="E306" s="142" t="n"/>
      <c r="F306" s="142" t="n"/>
      <c r="G306" s="143" t="n"/>
      <c r="H306" s="56" t="inlineStr">
        <is>
          <t>EE</t>
        </is>
      </c>
      <c r="I306" s="57" t="inlineStr">
        <is>
          <t>I</t>
        </is>
      </c>
      <c r="J306" s="56" t="n">
        <v>2</v>
      </c>
      <c r="K306" s="56" t="n">
        <v>18</v>
      </c>
      <c r="L306" s="50">
        <f>CONCATENATE(H306,M306)</f>
        <v/>
      </c>
      <c r="M306" s="51">
        <f>IF(OR(ISBLANK(J306),ISBLANK(K306)),IF(OR(H306="ALI",H306="AIE"),"L",IF(ISBLANK(H306),"","A")),IF(H306="EE",IF(K306&gt;=3,IF(J306&gt;=5,"H","A"),IF(K306&gt;=2,IF(J306&gt;=16,"H",IF(J306&lt;=4,"L","A")),IF(J306&lt;=15,"L","A"))),IF(OR(H306="SE",H306="CE"),IF(K306&gt;=4,IF(J306&gt;=6,"H","A"),IF(K306&gt;=2,IF(J306&gt;=20,"H",IF(J306&lt;=5,"L","A")),IF(J306&lt;=19,"L","A"))),IF(OR(H306="ALI",H306="AIE"),IF(K306&gt;=6,IF(J306&gt;=20,"H","A"),IF(K306&gt;=2,IF(J306&gt;=51,"H",IF(J306&lt;=19,"L","A")),IF(J306&lt;=50,"L","A")))))))</f>
        <v/>
      </c>
      <c r="N306" s="52">
        <f>IF(M306="L","Baixa",IF(M306="A","Média",IF(M306="","","Alta")))</f>
        <v/>
      </c>
      <c r="O306" s="53">
        <f>IF(ISBLANK(H306),"",IF(H306="ALI",IF(M306="L",7,IF(M306="A",10,15)),IF(H306="AIE",IF(M306="L",5,IF(M306="A",7,10)),IF(H306="SE",IF(M306="L",4,IF(M306="A",5,7)),IF(OR(H306="EE",H306="CE"),IF(M306="L",3,IF(M306="A",4,6)))))))</f>
        <v/>
      </c>
      <c r="P306" s="54">
        <f>IF(I306="I",O306*Contagem!$W$15,IF(I306="E",O306*Contagem!$W$17,IF(I306="A",O306*Contagem!$W$16,IF(I306="T",O306*Contagem!$W$18,""))))</f>
        <v/>
      </c>
      <c r="Q306" s="55" t="inlineStr">
        <is>
          <t>Prova: Rota POST /gestao/processos/{viabilityRequest}/reprocessar (permissão reprocessar-processos). Tela: gestao/ficha-expresso/show, card "Etapas do motor" (components/analise/etapas-motor.tsx), botão "Reprocessar", exibido quando alguma etapa ficou indisponível. ReprocessarProcessoController chama ReprocessarEtapasService::reprocessar: refaz, na ordem, as etapas que falharam por serviço indisponível (localização pela inscrição no cadastro imobiliário, completar território, lote pelo ponto) e reavalia o veredito pelo fluxo expresso (FluxoExpressoService::reavaliar ou DecidirFluxoExpressoJob), gravando etapas, território, decisão e o registro de auditoria "reprocesso"; devolve a mensagem do resultado. Teste: tests/Feature/Motor/ReprocessarProcessoEndpointTest.php::test_analista_reprocessa_o_processo_e_ve_a_mensagem. Processo elementar independente: o analista aciona explicitamente quando o motor parou por serviço de terceiro fora do ar (HU-171); completo (do clique ao veredito reavaliado ou à parada informada); deixa o processo consistente. A rotina agendada processos:reprocessar-etapas, que usa o mesmo serviço sem ação do usuário, continua fora da contagem. Classificação: a intenção primária é manter a solicitação e a decisão (EE, CPM Parte 1 §5.5.3). TD=2 (ação reprocessar, mensagem do resultado). AR=18 (Solicitação de viabilidade, Cadastro imobiliário da SEFAZ, Endereços geocodificados do OpenStreetMap, Camada geográfica, Zonas urbanísticas do GeoServer da SEDUR, Classificação viária dos logradouros do GeoServer da SEDUR, Lotes do endereçamento do GeoServer da SEDUR, Lotes por inscrição do SEMAP, Texto decisório, Decisão de viabilidade, Planilha de enquadramento, Permissão de uso por zona (Quadro 10), Condição de instalação por via (Quadro 11A), Regra territorial, Poligonais territoriais do GeoServer da SEDUR, Bloqueio de inscrição de escritório virtual, Trilha de auditoria, Chamada de integração). Registros automáticos contados como FTR (premissa P4): Trilha de auditoria (AuditService::log reprocesso) e Chamada de integração (listener síncrono das chamadas HTTP de saída). Recontagem 16/10/2026: nova (não constava da contagem de 01/10/2026). Incluída após o cruzamento com as HUs (HU-171): tem botão, permissão própria e HU específica.</t>
        </is>
      </c>
    </row>
    <row r="307" ht="12" customHeight="1" s="73">
      <c r="A307" s="14">
        <f>IF(H307="",IF(C307="",A306,A306+1),A306)</f>
        <v/>
      </c>
      <c r="B307" s="48">
        <f>IF(A307=A306,"",CONCATENATE("F",A307))</f>
        <v/>
      </c>
      <c r="C307" s="85" t="n"/>
      <c r="D307" s="142" t="n"/>
      <c r="E307" s="142" t="n"/>
      <c r="F307" s="142" t="n"/>
      <c r="G307" s="143" t="n"/>
      <c r="H307" s="56" t="n"/>
      <c r="I307" s="57" t="n"/>
      <c r="J307" s="56" t="n"/>
      <c r="K307" s="56" t="n"/>
      <c r="L307" s="50">
        <f>CONCATENATE(H307,M307)</f>
        <v/>
      </c>
      <c r="M307" s="51">
        <f>IF(OR(ISBLANK(J307),ISBLANK(K307)),IF(OR(H307="ALI",H307="AIE"),"L",IF(ISBLANK(H307),"","A")),IF(H307="EE",IF(K307&gt;=3,IF(J307&gt;=5,"H","A"),IF(K307&gt;=2,IF(J307&gt;=16,"H",IF(J307&lt;=4,"L","A")),IF(J307&lt;=15,"L","A"))),IF(OR(H307="SE",H307="CE"),IF(K307&gt;=4,IF(J307&gt;=6,"H","A"),IF(K307&gt;=2,IF(J307&gt;=20,"H",IF(J307&lt;=5,"L","A")),IF(J307&lt;=19,"L","A"))),IF(OR(H307="ALI",H307="AIE"),IF(K307&gt;=6,IF(J307&gt;=20,"H","A"),IF(K307&gt;=2,IF(J307&gt;=51,"H",IF(J307&lt;=19,"L","A")),IF(J307&lt;=50,"L","A")))))))</f>
        <v/>
      </c>
      <c r="N307" s="52">
        <f>IF(M307="L","Baixa",IF(M307="A","Média",IF(M307="","","Alta")))</f>
        <v/>
      </c>
      <c r="O307" s="53">
        <f>IF(ISBLANK(H307),"",IF(H307="ALI",IF(M307="L",7,IF(M307="A",10,15)),IF(H307="AIE",IF(M307="L",5,IF(M307="A",7,10)),IF(H307="SE",IF(M307="L",4,IF(M307="A",5,7)),IF(OR(H307="EE",H307="CE"),IF(M307="L",3,IF(M307="A",4,6)))))))</f>
        <v/>
      </c>
      <c r="P307" s="54">
        <f>IF(I307="I",O307*Contagem!$W$15,IF(I307="E",O307*Contagem!$W$17,IF(I307="A",O307*Contagem!$W$16,IF(I307="T",O307*Contagem!$W$18,""))))</f>
        <v/>
      </c>
      <c r="Q307" s="55" t="n"/>
    </row>
    <row r="308" ht="12" customHeight="1" s="73">
      <c r="A308" s="14">
        <f>IF(H308="",IF(C308="",A307,A307+1),A307)</f>
        <v/>
      </c>
      <c r="B308" s="48">
        <f>IF(A308=A307,"",CONCATENATE("F",A308))</f>
        <v/>
      </c>
      <c r="C308" s="85" t="inlineStr">
        <is>
          <t>Relatórios gerenciais</t>
        </is>
      </c>
      <c r="D308" s="142" t="n"/>
      <c r="E308" s="142" t="n"/>
      <c r="F308" s="142" t="n"/>
      <c r="G308" s="143" t="n"/>
      <c r="H308" s="56" t="n"/>
      <c r="I308" s="57" t="n"/>
      <c r="J308" s="56" t="n"/>
      <c r="K308" s="56" t="n"/>
      <c r="L308" s="50">
        <f>CONCATENATE(H308,M308)</f>
        <v/>
      </c>
      <c r="M308" s="51">
        <f>IF(OR(ISBLANK(J308),ISBLANK(K308)),IF(OR(H308="ALI",H308="AIE"),"L",IF(ISBLANK(H308),"","A")),IF(H308="EE",IF(K308&gt;=3,IF(J308&gt;=5,"H","A"),IF(K308&gt;=2,IF(J308&gt;=16,"H",IF(J308&lt;=4,"L","A")),IF(J308&lt;=15,"L","A"))),IF(OR(H308="SE",H308="CE"),IF(K308&gt;=4,IF(J308&gt;=6,"H","A"),IF(K308&gt;=2,IF(J308&gt;=20,"H",IF(J308&lt;=5,"L","A")),IF(J308&lt;=19,"L","A"))),IF(OR(H308="ALI",H308="AIE"),IF(K308&gt;=6,IF(J308&gt;=20,"H","A"),IF(K308&gt;=2,IF(J308&gt;=51,"H",IF(J308&lt;=19,"L","A")),IF(J308&lt;=50,"L","A")))))))</f>
        <v/>
      </c>
      <c r="N308" s="52">
        <f>IF(M308="L","Baixa",IF(M308="A","Média",IF(M308="","","Alta")))</f>
        <v/>
      </c>
      <c r="O308" s="53">
        <f>IF(ISBLANK(H308),"",IF(H308="ALI",IF(M308="L",7,IF(M308="A",10,15)),IF(H308="AIE",IF(M308="L",5,IF(M308="A",7,10)),IF(H308="SE",IF(M308="L",4,IF(M308="A",5,7)),IF(OR(H308="EE",H308="CE"),IF(M308="L",3,IF(M308="A",4,6)))))))</f>
        <v/>
      </c>
      <c r="P308" s="54">
        <f>IF(I308="I",O308*Contagem!$W$15,IF(I308="E",O308*Contagem!$W$17,IF(I308="A",O308*Contagem!$W$16,IF(I308="T",O308*Contagem!$W$18,""))))</f>
        <v/>
      </c>
      <c r="Q308" s="55" t="n"/>
    </row>
    <row r="309" ht="12" customHeight="1" s="73">
      <c r="A309" s="14">
        <f>IF(H309="",IF(C309="",A308,A308+1),A308)</f>
        <v/>
      </c>
      <c r="B309" s="48">
        <f>IF(A309=A308,"",CONCATENATE("F",A309))</f>
        <v/>
      </c>
      <c r="C309" s="85" t="inlineStr">
        <is>
          <t>Relatórios - consultar indicadores de viabilidade</t>
        </is>
      </c>
      <c r="D309" s="142" t="n"/>
      <c r="E309" s="142" t="n"/>
      <c r="F309" s="142" t="n"/>
      <c r="G309" s="143" t="n"/>
      <c r="H309" s="56" t="inlineStr">
        <is>
          <t>SE</t>
        </is>
      </c>
      <c r="I309" s="57" t="inlineStr">
        <is>
          <t>I</t>
        </is>
      </c>
      <c r="J309" s="56" t="n">
        <v>16</v>
      </c>
      <c r="K309" s="56" t="n">
        <v>5</v>
      </c>
      <c r="L309" s="50">
        <f>CONCATENATE(H309,M309)</f>
        <v/>
      </c>
      <c r="M309" s="51">
        <f>IF(OR(ISBLANK(J309),ISBLANK(K309)),IF(OR(H309="ALI",H309="AIE"),"L",IF(ISBLANK(H309),"","A")),IF(H309="EE",IF(K309&gt;=3,IF(J309&gt;=5,"H","A"),IF(K309&gt;=2,IF(J309&gt;=16,"H",IF(J309&lt;=4,"L","A")),IF(J309&lt;=15,"L","A"))),IF(OR(H309="SE",H309="CE"),IF(K309&gt;=4,IF(J309&gt;=6,"H","A"),IF(K309&gt;=2,IF(J309&gt;=20,"H",IF(J309&lt;=5,"L","A")),IF(J309&lt;=19,"L","A"))),IF(OR(H309="ALI",H309="AIE"),IF(K309&gt;=6,IF(J309&gt;=20,"H","A"),IF(K309&gt;=2,IF(J309&gt;=51,"H",IF(J309&lt;=19,"L","A")),IF(J309&lt;=50,"L","A")))))))</f>
        <v/>
      </c>
      <c r="N309" s="52">
        <f>IF(M309="L","Baixa",IF(M309="A","Média",IF(M309="","","Alta")))</f>
        <v/>
      </c>
      <c r="O309" s="53">
        <f>IF(ISBLANK(H309),"",IF(H309="ALI",IF(M309="L",7,IF(M309="A",10,15)),IF(H309="AIE",IF(M309="L",5,IF(M309="A",7,10)),IF(H309="SE",IF(M309="L",4,IF(M309="A",5,7)),IF(OR(H309="EE",H309="CE"),IF(M309="L",3,IF(M309="A",4,6)))))))</f>
        <v/>
      </c>
      <c r="P309" s="54">
        <f>IF(I309="I",O309*Contagem!$W$15,IF(I309="E",O309*Contagem!$W$17,IF(I309="A",O309*Contagem!$W$16,IF(I309="T",O309*Contagem!$W$18,""))))</f>
        <v/>
      </c>
      <c r="Q309" s="55" t="inlineStr">
        <is>
          <t>Prova: Rota GET /gestao/relatorios/indicadores (consultar-relatorios). Tela: gestao/relatorios/indicadores. IndicadoresViabilidadeService conta solicitações protocoladas por dia, bairro, CNAE e nível de risco (nível real da Classificação de risco municipal da versão vigente, com fallback na categoria derivada) e calcula as taxas de deferimento e indeferimento. Período invertido devolve aviso sem consultar. Teste: tests/Feature/Relatorios/RelatorioControllerTest.php::test_indicadores_renderiza_inertia_com_props_reais_auditado. Processo elementar independente: menor unidade com significado para o gestor da SEDUR; completa por si (filtros informados até o painel exibido); deixa o negócio consistente (só leitura do negócio, consulta auditada); lógica única (volume por período, bairro, CNAE e risco com taxas de decisão). Classificação: Entrega totais, taxas e séries calculadas: SE. A consulta grava o registro da própria consulta na Trilha de auditoria (AuditService::log), o que é manutenção de ALI pela transação; por isso a Trilha entra como FTR e a função não pode ser CE (CPM Parte 1 §5.5.3: CE não mantém ALI). TD=16 (data inicial, data final, bairro, CNAE, categoria, dia, total de solicitações, nível de risco, fonte da classificação, deferidas, indeferidas, total de decisões, taxa de deferimento, taxa de indeferimento, mensagem (período inválido ou sem dados), ação consultar). AR=5 (Solicitação de viabilidade, Decisão de viabilidade, CNAE, Classificação de risco municipal, Trilha de auditoria). Recontagem (catálogo): Versão de regras deixou de ser arquivo lógico próprio e é subgrupo de arquivo já listado no AR; AR ajustado. Recontagem 16/10/2026: alterada (linha 312 da contagem de 01/10/2026: "Relatórios - consultar indicadores de viabilidade", SE Alta 7 PF, TD 19, AR 5). Motivo: TD 19→16: a tela só filtra por período, bairro, CNAE e categoria (setor e analista não existem na tela); fluxo era o mesmo DER que categoria; o formato de exportação saiu porque a exportação desta tela entrega a lista de solicitações, que é outra função (Relatórios - exportar solicitações do recorte). AR 5→6: inclui Trilha de auditoria, gravada pela consulta. PF mantido (SE Alta). Catálogo: retirado Versão de regras (subgrupo de outro arquivo).</t>
        </is>
      </c>
    </row>
    <row r="310" ht="12" customHeight="1" s="73">
      <c r="A310" s="14">
        <f>IF(H310="",IF(C310="",A309,A309+1),A309)</f>
        <v/>
      </c>
      <c r="B310" s="48">
        <f>IF(A310=A309,"",CONCATENATE("F",A310))</f>
        <v/>
      </c>
      <c r="C310" s="85" t="inlineStr">
        <is>
          <t>Relatórios - consultar tempo de análise</t>
        </is>
      </c>
      <c r="D310" s="142" t="n"/>
      <c r="E310" s="142" t="n"/>
      <c r="F310" s="142" t="n"/>
      <c r="G310" s="143" t="n"/>
      <c r="H310" s="56" t="inlineStr">
        <is>
          <t>SE</t>
        </is>
      </c>
      <c r="I310" s="57" t="inlineStr">
        <is>
          <t>I</t>
        </is>
      </c>
      <c r="J310" s="56" t="n">
        <v>22</v>
      </c>
      <c r="K310" s="56" t="n">
        <v>4</v>
      </c>
      <c r="L310" s="50">
        <f>CONCATENATE(H310,M310)</f>
        <v/>
      </c>
      <c r="M310" s="51">
        <f>IF(OR(ISBLANK(J310),ISBLANK(K310)),IF(OR(H310="ALI",H310="AIE"),"L",IF(ISBLANK(H310),"","A")),IF(H310="EE",IF(K310&gt;=3,IF(J310&gt;=5,"H","A"),IF(K310&gt;=2,IF(J310&gt;=16,"H",IF(J310&lt;=4,"L","A")),IF(J310&lt;=15,"L","A"))),IF(OR(H310="SE",H310="CE"),IF(K310&gt;=4,IF(J310&gt;=6,"H","A"),IF(K310&gt;=2,IF(J310&gt;=20,"H",IF(J310&lt;=5,"L","A")),IF(J310&lt;=19,"L","A"))),IF(OR(H310="ALI",H310="AIE"),IF(K310&gt;=6,IF(J310&gt;=20,"H","A"),IF(K310&gt;=2,IF(J310&gt;=51,"H",IF(J310&lt;=19,"L","A")),IF(J310&lt;=50,"L","A")))))))</f>
        <v/>
      </c>
      <c r="N310" s="52">
        <f>IF(M310="L","Baixa",IF(M310="A","Média",IF(M310="","","Alta")))</f>
        <v/>
      </c>
      <c r="O310" s="53">
        <f>IF(ISBLANK(H310),"",IF(H310="ALI",IF(M310="L",7,IF(M310="A",10,15)),IF(H310="AIE",IF(M310="L",5,IF(M310="A",7,10)),IF(H310="SE",IF(M310="L",4,IF(M310="A",5,7)),IF(OR(H310="EE",H310="CE"),IF(M310="L",3,IF(M310="A",4,6)))))))</f>
        <v/>
      </c>
      <c r="P310" s="54">
        <f>IF(I310="I",O310*Contagem!$W$15,IF(I310="E",O310*Contagem!$W$17,IF(I310="A",O310*Contagem!$W$16,IF(I310="T",O310*Contagem!$W$18,""))))</f>
        <v/>
      </c>
      <c r="Q310" s="55" t="inlineStr">
        <is>
          <t>Prova: Rota GET /gestao/relatorios/tempo (consultar-relatorios). Tela: gestao/relatorios/tempo. O gestor informa o período. TempoAnaliseService calcula o tempo médio por etapa sobre as transições e o tempo médio de emissão; TempoViabilidadeService calcula os percentis das horas úteis gravadas na solicitação; GargalosService soma as horas úteis por faixa de situação e o percentual de cada uma. Teste: tests/Feature/Relatorios/TempoViabilidadeTelaTest.php::test_entrega_percentis_e_gargalos_para_o_gestor. Processo elementar independente: menor unidade com significado para o gestor da SEDUR; completa por si (filtros informados até o painel exibido); deixa o negócio consistente (só leitura do negócio, consulta auditada); lógica única (médias, percentis e participação das etapas no tempo). Classificação: Calcula médias, percentis e percentuais: SE. A consulta grava o registro da própria consulta na Trilha de auditoria (AuditService::log), o que é manutenção de ALI pela transação; por isso a Trilha entra como FTR e a função não pode ser CE (CPM Parte 1 §5.5.3: CE não mantém ALI). TD=22 (data inicial, data final, etapa, tempo médio da etapa, amostras, tempo médio de emissão da viabilidade, documentos emitidos, etapas com amostra, processos decididos, tempo médio de viabilidade, P50, P75, P90, P95, P99, tempo máximo, categoria de análise, faixa do gargalo, horas na faixa, percentual da faixa, mensagem (sem dados no período), ação consultar). AR=4 (Solicitação de viabilidade, Decisão de viabilidade, Feriado, Trilha de auditoria). Recontagem 16/10/2026: alterada (linha 313 da contagem de 01/10/2026: "Relatórios - consultar tempo de análise", SE Alta 7 PF, TD 16, AR 5). Motivo: Desde 03/10/2026 a tela ganhou a distribuição do tempo de viabilidade em horas úteis (média, P50 a P99 e máximo, geral e por categoria — TempoViabilidadeService) e os gargalos por faixa (GargalosService); a lista de sedes de escritório virtual saiu desta tela (agora é exportação do relatório de escritório virtual) e o detalhamento por processo exportado é outra função. TD 16→22. AR: sai Empresa, Setor e Usuário (eram da lista de sedes) e entram Feriado (horas úteis calculadas pelo BusinessDeadlineCalculator com o calendário de feriados) e Trilha de auditoria; 5→4. PF mantido (SE Alta).</t>
        </is>
      </c>
    </row>
    <row r="311" ht="12" customHeight="1" s="73">
      <c r="A311" s="14">
        <f>IF(H311="",IF(C311="",A310,A310+1),A310)</f>
        <v/>
      </c>
      <c r="B311" s="48">
        <f>IF(A311=A310,"",CONCATENATE("F",A311))</f>
        <v/>
      </c>
      <c r="C311" s="85" t="inlineStr">
        <is>
          <t>Relatórios - consultar produtividade</t>
        </is>
      </c>
      <c r="D311" s="142" t="n"/>
      <c r="E311" s="142" t="n"/>
      <c r="F311" s="142" t="n"/>
      <c r="G311" s="143" t="n"/>
      <c r="H311" s="56" t="inlineStr">
        <is>
          <t>SE</t>
        </is>
      </c>
      <c r="I311" s="57" t="inlineStr">
        <is>
          <t>I</t>
        </is>
      </c>
      <c r="J311" s="56" t="n">
        <v>12</v>
      </c>
      <c r="K311" s="56" t="n">
        <v>4</v>
      </c>
      <c r="L311" s="50">
        <f>CONCATENATE(H311,M311)</f>
        <v/>
      </c>
      <c r="M311" s="51">
        <f>IF(OR(ISBLANK(J311),ISBLANK(K311)),IF(OR(H311="ALI",H311="AIE"),"L",IF(ISBLANK(H311),"","A")),IF(H311="EE",IF(K311&gt;=3,IF(J311&gt;=5,"H","A"),IF(K311&gt;=2,IF(J311&gt;=16,"H",IF(J311&lt;=4,"L","A")),IF(J311&lt;=15,"L","A"))),IF(OR(H311="SE",H311="CE"),IF(K311&gt;=4,IF(J311&gt;=6,"H","A"),IF(K311&gt;=2,IF(J311&gt;=20,"H",IF(J311&lt;=5,"L","A")),IF(J311&lt;=19,"L","A"))),IF(OR(H311="ALI",H311="AIE"),IF(K311&gt;=6,IF(J311&gt;=20,"H","A"),IF(K311&gt;=2,IF(J311&gt;=51,"H",IF(J311&lt;=19,"L","A")),IF(J311&lt;=50,"L","A")))))))</f>
        <v/>
      </c>
      <c r="N311" s="52">
        <f>IF(M311="L","Baixa",IF(M311="A","Média",IF(M311="","","Alta")))</f>
        <v/>
      </c>
      <c r="O311" s="53">
        <f>IF(ISBLANK(H311),"",IF(H311="ALI",IF(M311="L",7,IF(M311="A",10,15)),IF(H311="AIE",IF(M311="L",5,IF(M311="A",7,10)),IF(H311="SE",IF(M311="L",4,IF(M311="A",5,7)),IF(OR(H311="EE",H311="CE"),IF(M311="L",3,IF(M311="A",4,6)))))))</f>
        <v/>
      </c>
      <c r="P311" s="54">
        <f>IF(I311="I",O311*Contagem!$W$15,IF(I311="E",O311*Contagem!$W$17,IF(I311="A",O311*Contagem!$W$16,IF(I311="T",O311*Contagem!$W$18,""))))</f>
        <v/>
      </c>
      <c r="Q311" s="55" t="inlineStr">
        <is>
          <t>Prova: Rota GET /gestao/relatorios/produtividade (consultar-relatorios). Tela: gestao/relatorios/produtividade. ProdutividadeAnalistaService conta atribuídas, decididas, deferidas e indeferidas por analista; o nome só sai com relatorios.produtividade.nominal, senão anonimiza e restringe ao próprio usuário. A exportação (?formato=csv|xlsx|pdf, ReportExporter) entrega o mesmo recorte e as mesmas colunas da lista da tela, com a mesma lógica de filtro: é a mesma função em outro meio (CPM Parte 1 §5.5.2.2, mesmo DER/FTR/lógica), não função nova; o DER formato de exportação entra aqui. Teste: tests/Feature/Relatorios/RelatorioControllerTest.php::test_produtividade_nominal_para_quem_tem_a_permissao_inclui_nome. Processo elementar independente: menor unidade com significado para o gestor da SEDUR; completa por si (filtros informados até o painel exibido); deixa o negócio consistente (só leitura do negócio, consulta auditada); lógica única (contagem por analista com regra de anonimização). Classificação: Entrega totais calculados por analista: SE. A consulta grava o registro da própria consulta na Trilha de auditoria (AuditService::log), o que é manutenção de ALI pela transação; por isso a Trilha entra como FTR e a função não pode ser CE (CPM Parte 1 §5.5.3: CE não mantém ALI). TD=12 (data inicial, data final, analista (nome ou rótulo anônimo), atribuídas, decididas, deferidas, indeferidas, analistas com decisão, total de decisões de análise técnica, formato de exportação, mensagem (sem decisões), ação consultar). AR=4 (Solicitação de viabilidade, Decisão de viabilidade, Usuário, Trilha de auditoria). Recontagem 16/10/2026: alterada (linha 314 da contagem de 01/10/2026: "Relatórios - consultar produtividade", SE Média 5 PF, TD 15, AR 3). Motivo: TD 15→12: a tela só filtra por período (setor, analista, bairro, CNAE e categoria não existem nela); entram os dois totais exibidos nos cartões. AR 3→4 com a Trilha de auditoria gravada pela consulta. SE Média→Alta (5→7 PF).</t>
        </is>
      </c>
    </row>
    <row r="312" ht="12" customHeight="1" s="73">
      <c r="A312" s="14">
        <f>IF(H312="",IF(C312="",A311,A311+1),A311)</f>
        <v/>
      </c>
      <c r="B312" s="48">
        <f>IF(A312=A311,"",CONCATENATE("F",A312))</f>
        <v/>
      </c>
      <c r="C312" s="85" t="inlineStr">
        <is>
          <t>Relatórios - consultar quedas do expresso</t>
        </is>
      </c>
      <c r="D312" s="142" t="n"/>
      <c r="E312" s="142" t="n"/>
      <c r="F312" s="142" t="n"/>
      <c r="G312" s="143" t="n"/>
      <c r="H312" s="56" t="inlineStr">
        <is>
          <t>SE</t>
        </is>
      </c>
      <c r="I312" s="57" t="inlineStr">
        <is>
          <t>I</t>
        </is>
      </c>
      <c r="J312" s="56" t="n">
        <v>11</v>
      </c>
      <c r="K312" s="56" t="n">
        <v>4</v>
      </c>
      <c r="L312" s="50">
        <f>CONCATENATE(H312,M312)</f>
        <v/>
      </c>
      <c r="M312" s="51">
        <f>IF(OR(ISBLANK(J312),ISBLANK(K312)),IF(OR(H312="ALI",H312="AIE"),"L",IF(ISBLANK(H312),"","A")),IF(H312="EE",IF(K312&gt;=3,IF(J312&gt;=5,"H","A"),IF(K312&gt;=2,IF(J312&gt;=16,"H",IF(J312&lt;=4,"L","A")),IF(J312&lt;=15,"L","A"))),IF(OR(H312="SE",H312="CE"),IF(K312&gt;=4,IF(J312&gt;=6,"H","A"),IF(K312&gt;=2,IF(J312&gt;=20,"H",IF(J312&lt;=5,"L","A")),IF(J312&lt;=19,"L","A"))),IF(OR(H312="ALI",H312="AIE"),IF(K312&gt;=6,IF(J312&gt;=20,"H","A"),IF(K312&gt;=2,IF(J312&gt;=51,"H",IF(J312&lt;=19,"L","A")),IF(J312&lt;=50,"L","A")))))))</f>
        <v/>
      </c>
      <c r="N312" s="52">
        <f>IF(M312="L","Baixa",IF(M312="A","Média",IF(M312="","","Alta")))</f>
        <v/>
      </c>
      <c r="O312" s="53">
        <f>IF(ISBLANK(H312),"",IF(H312="ALI",IF(M312="L",7,IF(M312="A",10,15)),IF(H312="AIE",IF(M312="L",5,IF(M312="A",7,10)),IF(H312="SE",IF(M312="L",4,IF(M312="A",5,7)),IF(OR(H312="EE",H312="CE"),IF(M312="L",3,IF(M312="A",4,6)))))))</f>
        <v/>
      </c>
      <c r="P312" s="54">
        <f>IF(I312="I",O312*Contagem!$W$15,IF(I312="E",O312*Contagem!$W$17,IF(I312="A",O312*Contagem!$W$16,IF(I312="T",O312*Contagem!$W$18,""))))</f>
        <v/>
      </c>
      <c r="Q312" s="55" t="inlineStr">
        <is>
          <t>Prova: Rota GET /gestao/relatorios/quedas (consultar-relatorios). Tela: gestao/relatorios/quedas. ExpressoQuedaService calcula a taxa de resposta expressa (respondidas ÷ elegíveis) contra a meta parametrizada (relatorios.expresso.meta_taxa), a série diária e o ranking de motivos. As quedas (expresso_quedas) são subgrupo da Solicitação. O link de drill-down só navega para a consulta de processos. Teste: tests/Feature/Relatorios/RelatorioControllerTest.php::test_quedas_renderiza_inertia_com_props_reais. Processo elementar independente: menor unidade com significado para o gestor da SEDUR; completa por si (filtros informados até o painel exibido); deixa o negócio consistente (só leitura do negócio, consulta auditada); lógica única (taxa do expresso frente à meta, série e ranking de motivos). Classificação: Calcula taxa, série e ranking: SE. A consulta grava o registro da própria consulta na Trilha de auditoria (AuditService::log), o que é manutenção de ALI pela transação; por isso a Trilha entra como FTR e a função não pode ser CE (CPM Parte 1 §5.5.3: CE não mantém ALI). TD=11 (data inicial, data final, taxa de resposta expressa, elegíveis, respondidas, meta da taxa, dia, motivo/gatilho, quedas por motivo, mensagem (sem quedas no período), ação consultar). AR=4 (Solicitação de viabilidade, Decisão de viabilidade, Parâmetro, Trilha de auditoria). Recontagem 16/10/2026: alterada (linha 315 da contagem de 01/10/2026: "Relatórios - consultar quedas do expresso", SE Média 5 PF, TD 18, AR 3). Motivo: TD 18→11: a tela só filtra por período; a exportação desta tela entrega a lista de quedas (outra função: Relatórios - exportar quedas do expresso), então formato sai daqui. AR 3→4 com a Trilha de auditoria. SE Média→Alta (5→7 PF).</t>
        </is>
      </c>
    </row>
    <row r="313" ht="12" customHeight="1" s="73">
      <c r="A313" s="14">
        <f>IF(H313="",IF(C313="",A312,A312+1),A312)</f>
        <v/>
      </c>
      <c r="B313" s="48">
        <f>IF(A313=A312,"",CONCATENATE("F",A313))</f>
        <v/>
      </c>
      <c r="C313" s="85" t="inlineStr">
        <is>
          <t>Relatórios - consultar painel por bairro</t>
        </is>
      </c>
      <c r="D313" s="142" t="n"/>
      <c r="E313" s="142" t="n"/>
      <c r="F313" s="142" t="n"/>
      <c r="G313" s="143" t="n"/>
      <c r="H313" s="56" t="inlineStr">
        <is>
          <t>SE</t>
        </is>
      </c>
      <c r="I313" s="57" t="inlineStr">
        <is>
          <t>I</t>
        </is>
      </c>
      <c r="J313" s="56" t="n">
        <v>16</v>
      </c>
      <c r="K313" s="56" t="n">
        <v>4</v>
      </c>
      <c r="L313" s="50">
        <f>CONCATENATE(H313,M313)</f>
        <v/>
      </c>
      <c r="M313" s="51">
        <f>IF(OR(ISBLANK(J313),ISBLANK(K313)),IF(OR(H313="ALI",H313="AIE"),"L",IF(ISBLANK(H313),"","A")),IF(H313="EE",IF(K313&gt;=3,IF(J313&gt;=5,"H","A"),IF(K313&gt;=2,IF(J313&gt;=16,"H",IF(J313&lt;=4,"L","A")),IF(J313&lt;=15,"L","A"))),IF(OR(H313="SE",H313="CE"),IF(K313&gt;=4,IF(J313&gt;=6,"H","A"),IF(K313&gt;=2,IF(J313&gt;=20,"H",IF(J313&lt;=5,"L","A")),IF(J313&lt;=19,"L","A"))),IF(OR(H313="ALI",H313="AIE"),IF(K313&gt;=6,IF(J313&gt;=20,"H","A"),IF(K313&gt;=2,IF(J313&gt;=51,"H",IF(J313&lt;=19,"L","A")),IF(J313&lt;=50,"L","A")))))))</f>
        <v/>
      </c>
      <c r="N313" s="52">
        <f>IF(M313="L","Baixa",IF(M313="A","Média",IF(M313="","","Alta")))</f>
        <v/>
      </c>
      <c r="O313" s="53">
        <f>IF(ISBLANK(H313),"",IF(H313="ALI",IF(M313="L",7,IF(M313="A",10,15)),IF(H313="AIE",IF(M313="L",5,IF(M313="A",7,10)),IF(H313="SE",IF(M313="L",4,IF(M313="A",5,7)),IF(OR(H313="EE",H313="CE"),IF(M313="L",3,IF(M313="A",4,6)))))))</f>
        <v/>
      </c>
      <c r="P313" s="54">
        <f>IF(I313="I",O313*Contagem!$W$15,IF(I313="E",O313*Contagem!$W$17,IF(I313="A",O313*Contagem!$W$16,IF(I313="T",O313*Contagem!$W$18,""))))</f>
        <v/>
      </c>
      <c r="Q313" s="55" t="inlineStr">
        <is>
          <t>Prova: Rota GET /gestao/relatorios/geo-bairro (consultar-relatorios). Tela: gestao/relatorios/geo-bairro. GeoBairroIndicadorService agrega solicitações pelo bairro oficial materializado (fallback no digitado) e pela zona gravada na identificação do imóvel, com deferidas, indeferidas e taxa. Teste: tests/Feature/Relatorios/GeoBairroControllerTest.php::test_geo_bairro_renderiza_inertia_com_agregacao_real_auditada. Processo elementar independente: menor unidade com significado para o gestor da SEDUR; completa por si (filtros informados até o painel exibido); deixa o negócio consistente (só leitura do negócio, consulta auditada); lógica única (distribuição territorial por bairro e zona com taxa de deferimento). Classificação: Entrega totais e taxas calculados: SE. A consulta grava o registro da própria consulta na Trilha de auditoria (AuditService::log), o que é manutenção de ALI pela transação; por isso a Trilha entra como FTR e a função não pode ser CE (CPM Parte 1 §5.5.3: CE não mantém ALI). TD=16 (data inicial, data final, bairro, CNAE, categoria, total de solicitações, bairros distintos, sem bairro, com zona, sem zona, zona, deferidas, indeferidas, taxa de deferimento, mensagem (sem dados), ação consultar). AR=4 (Solicitação de viabilidade, Decisão de viabilidade, CNAE, Trilha de auditoria). Recontagem 16/10/2026: alterada (linha 316 da contagem de 01/10/2026: "Relatórios - consultar painel por bairro", SE Média 5 PF, TD 17, AR 3). Motivo: TD 17→16: formato sai porque a exportação desta tela é a lista de solicitações (outra função). AR 3→4 com a Trilha de auditoria. SE Média→Alta (5→7 PF).</t>
        </is>
      </c>
    </row>
    <row r="314" ht="12" customHeight="1" s="73">
      <c r="A314" s="14">
        <f>IF(H314="",IF(C314="",A313,A313+1),A313)</f>
        <v/>
      </c>
      <c r="B314" s="48">
        <f>IF(A314=A313,"",CONCATENATE("F",A314))</f>
        <v/>
      </c>
      <c r="C314" s="85" t="inlineStr">
        <is>
          <t>Relatórios - consultar saturação locacional</t>
        </is>
      </c>
      <c r="D314" s="142" t="n"/>
      <c r="E314" s="142" t="n"/>
      <c r="F314" s="142" t="n"/>
      <c r="G314" s="143" t="n"/>
      <c r="H314" s="56" t="inlineStr">
        <is>
          <t>SE</t>
        </is>
      </c>
      <c r="I314" s="57" t="inlineStr">
        <is>
          <t>I</t>
        </is>
      </c>
      <c r="J314" s="56" t="n">
        <v>17</v>
      </c>
      <c r="K314" s="56" t="n">
        <v>5</v>
      </c>
      <c r="L314" s="50">
        <f>CONCATENATE(H314,M314)</f>
        <v/>
      </c>
      <c r="M314" s="51">
        <f>IF(OR(ISBLANK(J314),ISBLANK(K314)),IF(OR(H314="ALI",H314="AIE"),"L",IF(ISBLANK(H314),"","A")),IF(H314="EE",IF(K314&gt;=3,IF(J314&gt;=5,"H","A"),IF(K314&gt;=2,IF(J314&gt;=16,"H",IF(J314&lt;=4,"L","A")),IF(J314&lt;=15,"L","A"))),IF(OR(H314="SE",H314="CE"),IF(K314&gt;=4,IF(J314&gt;=6,"H","A"),IF(K314&gt;=2,IF(J314&gt;=20,"H",IF(J314&lt;=5,"L","A")),IF(J314&lt;=19,"L","A"))),IF(OR(H314="ALI",H314="AIE"),IF(K314&gt;=6,IF(J314&gt;=20,"H","A"),IF(K314&gt;=2,IF(J314&gt;=51,"H",IF(J314&lt;=19,"L","A")),IF(J314&lt;=50,"L","A")))))))</f>
        <v/>
      </c>
      <c r="N314" s="52">
        <f>IF(M314="L","Baixa",IF(M314="A","Média",IF(M314="","","Alta")))</f>
        <v/>
      </c>
      <c r="O314" s="53">
        <f>IF(ISBLANK(H314),"",IF(H314="ALI",IF(M314="L",7,IF(M314="A",10,15)),IF(H314="AIE",IF(M314="L",5,IF(M314="A",7,10)),IF(H314="SE",IF(M314="L",4,IF(M314="A",5,7)),IF(OR(H314="EE",H314="CE"),IF(M314="L",3,IF(M314="A",4,6)))))))</f>
        <v/>
      </c>
      <c r="P314" s="54">
        <f>IF(I314="I",O314*Contagem!$W$15,IF(I314="E",O314*Contagem!$W$17,IF(I314="A",O314*Contagem!$W$16,IF(I314="T",O314*Contagem!$W$18,""))))</f>
        <v/>
      </c>
      <c r="Q314" s="55" t="inlineStr">
        <is>
          <t>Prova: Rota GET /gestao/relatorios/saturacao (consultar-relatorios). Tela: gestao/relatorios/saturacao. SaturacaoService conta deferidos por bairro e CNAE, divide pela capacidade parametrizada e classifica ok, saturando, saturado ou sem capacidade pelos limiares relatorios.saturacao.*. Teste: tests/Feature/Relatorios/SaturacaoControllerTest.php::test_saturacao_renderiza_inertia_com_agregacao_real_auditada. Processo elementar independente: menor unidade com significado para o gestor da SEDUR; completa por si (filtros informados até o painel exibido); deixa o negócio consistente (só leitura do negócio, consulta auditada); lógica única (percentual de ocupação por bairro e CNAE classificado por limiar). Classificação: Calcula percentual e classifica por limiar: SE. A consulta grava o registro da própria consulta na Trilha de auditoria (AuditService::log), o que é manutenção de ALI pela transação; por isso a Trilha entra como FTR e a função não pode ser CE (CPM Parte 1 §5.5.3: CE não mantém ALI). TD=17 (data inicial, data final, bairro, CNAE, categoria, pares avaliados, saturados, saturando, sem capacidade, deferidos ativos, capacidade, percentual de saturação, situação, limiar de alerta, limiar de bloqueio, mensagem (sem dados), ação consultar). AR=5 (Solicitação de viabilidade, Decisão de viabilidade, CNAE, Parâmetro, Trilha de auditoria). Recontagem 16/10/2026: alterada (linha 317 da contagem de 01/10/2026: "Relatórios - consultar saturação locacional", SE Alta 7 PF, TD 18, AR 4). Motivo: TD 18→17: formato sai porque a exportação desta tela é a lista de solicitações (outra função). AR 4→5 com a Trilha de auditoria. PF mantido (SE Alta).</t>
        </is>
      </c>
    </row>
    <row r="315" ht="12" customHeight="1" s="73">
      <c r="A315" s="14">
        <f>IF(H315="",IF(C315="",A314,A314+1),A314)</f>
        <v/>
      </c>
      <c r="B315" s="48">
        <f>IF(A315=A314,"",CONCATENATE("F",A315))</f>
        <v/>
      </c>
      <c r="C315" s="85" t="inlineStr">
        <is>
          <t>Relatórios - consultar escritório virtual (sede e abrigados)</t>
        </is>
      </c>
      <c r="D315" s="142" t="n"/>
      <c r="E315" s="142" t="n"/>
      <c r="F315" s="142" t="n"/>
      <c r="G315" s="143" t="n"/>
      <c r="H315" s="56" t="inlineStr">
        <is>
          <t>SE</t>
        </is>
      </c>
      <c r="I315" s="57" t="inlineStr">
        <is>
          <t>I</t>
        </is>
      </c>
      <c r="J315" s="56" t="n">
        <v>9</v>
      </c>
      <c r="K315" s="56" t="n">
        <v>5</v>
      </c>
      <c r="L315" s="50">
        <f>CONCATENATE(H315,M315)</f>
        <v/>
      </c>
      <c r="M315" s="51">
        <f>IF(OR(ISBLANK(J315),ISBLANK(K315)),IF(OR(H315="ALI",H315="AIE"),"L",IF(ISBLANK(H315),"","A")),IF(H315="EE",IF(K315&gt;=3,IF(J315&gt;=5,"H","A"),IF(K315&gt;=2,IF(J315&gt;=16,"H",IF(J315&lt;=4,"L","A")),IF(J315&lt;=15,"L","A"))),IF(OR(H315="SE",H315="CE"),IF(K315&gt;=4,IF(J315&gt;=6,"H","A"),IF(K315&gt;=2,IF(J315&gt;=20,"H",IF(J315&lt;=5,"L","A")),IF(J315&lt;=19,"L","A"))),IF(OR(H315="ALI",H315="AIE"),IF(K315&gt;=6,IF(J315&gt;=20,"H","A"),IF(K315&gt;=2,IF(J315&gt;=51,"H",IF(J315&lt;=19,"L","A")),IF(J315&lt;=50,"L","A")))))))</f>
        <v/>
      </c>
      <c r="N315" s="52">
        <f>IF(M315="L","Baixa",IF(M315="A","Média",IF(M315="","","Alta")))</f>
        <v/>
      </c>
      <c r="O315" s="53">
        <f>IF(ISBLANK(H315),"",IF(H315="ALI",IF(M315="L",7,IF(M315="A",10,15)),IF(H315="AIE",IF(M315="L",5,IF(M315="A",7,10)),IF(H315="SE",IF(M315="L",4,IF(M315="A",5,7)),IF(OR(H315="EE",H315="CE"),IF(M315="L",3,IF(M315="A",4,6)))))))</f>
        <v/>
      </c>
      <c r="P315" s="54">
        <f>IF(I315="I",O315*Contagem!$W$15,IF(I315="E",O315*Contagem!$W$17,IF(I315="A",O315*Contagem!$W$16,IF(I315="T",O315*Contagem!$W$18,""))))</f>
        <v/>
      </c>
      <c r="Q315" s="55" t="inlineStr">
        <is>
          <t>Prova: Rota GET /gestao/relatorios/escritorio-virtual (consultar-relatorios). Tela: gestao/relatorios/escritorio-virtual. RelatorioSedeEscritorioVirtualService lista, por inscrição travada, a sede (lock ativo) e os abrigados, com nº da viabilidade, razão social, emissão e protocolo. A exportação (?formato=csv|xlsx|pdf, ReportExporter) entrega o mesmo recorte e as mesmas colunas da lista da tela, com a mesma lógica de filtro: é a mesma função em outro meio (CPM Parte 1 §5.5.2.2, mesmo DER/FTR/lógica), não função nova; o DER formato de exportação entra aqui. Teste: tests/Feature/EscritorioVirtual/RelatorioSedeEndpointTest.php::test_lista_inertia_com_sede_e_abrigados_mapeados_por_linha. Processo elementar independente: menor unidade com significado para o gestor da SEDUR; completa por si (filtros informados até o painel exibido); deixa o negócio consistente (só leitura do negócio, consulta auditada); lógica única (vínculo sede e abrigados pela inscrição travada). Classificação: Lista sem cálculo, mas grava a Trilha de auditoria. A consulta grava o registro da própria consulta na Trilha de auditoria (AuditService::log), o que é manutenção de ALI pela transação; por isso a Trilha entra como FTR e a função não pode ser CE (CPM Parte 1 §5.5.3: CE não mantém ALI). TD=9 (nº da viabilidade (filtro sede e coluna), inscrição imobiliária, tipo (sede ou abrigado), razão social, data de emissão, protocolo, formato de exportação, mensagem (sem registros), ação consultar). AR=5 (Solicitação de viabilidade, Decisão de viabilidade, Empresa, Bloqueio de inscrição de escritório virtual, Trilha de auditoria). Recontagem 16/10/2026: alterada (linha 318 da contagem de 01/10/2026: "Relatórios - consultar escritório virtual (sede e abrigados)", CE Alta 6 PF, TD 12, AR 4). Motivo: CE→SE: a consulta grava a Trilha de auditoria (mantém ALI). TD 12→9: o nº da viabilidade da sede (filtro) e o da linha são o mesmo DER; a coluna Vencimento e o filtro Exibir Expirados ficam sempre vazios/desabilitados (validade não modelada) e não contam; o recorte de sedes virou função própria de exportação. AR 4→5 com a Trilha. 6→7 PF.</t>
        </is>
      </c>
    </row>
    <row r="316" ht="12" customHeight="1" s="73">
      <c r="A316" s="14">
        <f>IF(H316="",IF(C316="",A315,A315+1),A315)</f>
        <v/>
      </c>
      <c r="B316" s="48">
        <f>IF(A316=A315,"",CONCATENATE("F",A316))</f>
        <v/>
      </c>
      <c r="C316" s="85" t="inlineStr">
        <is>
          <t>Relatórios - consultar tempo de emissão de TVL</t>
        </is>
      </c>
      <c r="D316" s="142" t="n"/>
      <c r="E316" s="142" t="n"/>
      <c r="F316" s="142" t="n"/>
      <c r="G316" s="143" t="n"/>
      <c r="H316" s="56" t="inlineStr">
        <is>
          <t>SE</t>
        </is>
      </c>
      <c r="I316" s="57" t="inlineStr">
        <is>
          <t>I</t>
        </is>
      </c>
      <c r="J316" s="56" t="n">
        <v>15</v>
      </c>
      <c r="K316" s="56" t="n">
        <v>5</v>
      </c>
      <c r="L316" s="50">
        <f>CONCATENATE(H316,M316)</f>
        <v/>
      </c>
      <c r="M316" s="51">
        <f>IF(OR(ISBLANK(J316),ISBLANK(K316)),IF(OR(H316="ALI",H316="AIE"),"L",IF(ISBLANK(H316),"","A")),IF(H316="EE",IF(K316&gt;=3,IF(J316&gt;=5,"H","A"),IF(K316&gt;=2,IF(J316&gt;=16,"H",IF(J316&lt;=4,"L","A")),IF(J316&lt;=15,"L","A"))),IF(OR(H316="SE",H316="CE"),IF(K316&gt;=4,IF(J316&gt;=6,"H","A"),IF(K316&gt;=2,IF(J316&gt;=20,"H",IF(J316&lt;=5,"L","A")),IF(J316&lt;=19,"L","A"))),IF(OR(H316="ALI",H316="AIE"),IF(K316&gt;=6,IF(J316&gt;=20,"H","A"),IF(K316&gt;=2,IF(J316&gt;=51,"H",IF(J316&lt;=19,"L","A")),IF(J316&lt;=50,"L","A")))))))</f>
        <v/>
      </c>
      <c r="N316" s="52">
        <f>IF(M316="L","Baixa",IF(M316="A","Média",IF(M316="","","Alta")))</f>
        <v/>
      </c>
      <c r="O316" s="53">
        <f>IF(ISBLANK(H316),"",IF(H316="ALI",IF(M316="L",7,IF(M316="A",10,15)),IF(H316="AIE",IF(M316="L",5,IF(M316="A",7,10)),IF(H316="SE",IF(M316="L",4,IF(M316="A",5,7)),IF(OR(H316="EE",H316="CE"),IF(M316="L",3,IF(M316="A",4,6)))))))</f>
        <v/>
      </c>
      <c r="P316" s="54">
        <f>IF(I316="I",O316*Contagem!$W$15,IF(I316="E",O316*Contagem!$W$17,IF(I316="A",O316*Contagem!$W$16,IF(I316="T",O316*Contagem!$W$18,""))))</f>
        <v/>
      </c>
      <c r="Q316" s="55" t="inlineStr">
        <is>
          <t>Prova: Rota GET /gestao/relatorios/tempo-emissao-tvl (consultar-relatorios). Tela: gestao/relatorios/tempo-emissao-tvl. RelatorioTempoEmissaoTvlService lista processos decididos no recorte e calcula a duração emissão menos abertura em minutos úteis; o filtro de serviço é lista de valores de dado de código, sem FTR (CPM §5.4.2 d). A exportação (?formato=csv|xlsx|pdf, ReportExporter) entrega o mesmo recorte e as mesmas colunas da lista da tela, com a mesma lógica de filtro: é a mesma função em outro meio (CPM Parte 1 §5.5.2.2, mesmo DER/FTR/lógica), não função nova; o DER formato de exportação entra aqui. Teste: tests/Feature/Relatorios/TempoEmissaoTvlTest.php::test_endpoint_renderiza_inertia_com_linhas_e_servicos. Processo elementar independente: menor unidade com significado para o gestor da SEDUR; completa por si (filtros informados até o painel exibido); deixa o negócio consistente (só leitura do negócio, consulta auditada); lógica única (duração útil por processo entre abertura e emissão). Classificação: Calcula a duração de cada processo: SE. A consulta grava o registro da própria consulta na Trilha de auditoria (AuditService::log), o que é manutenção de ALI pela transação; por isso a Trilha entra como FTR e a função não pode ser CE (CPM Parte 1 §5.5.3: CE não mantém ALI). TD=15 (data inicial, data final, serviço, resultado, CNAE, tipo (viabilidade ou revisão), processo, abertura, emissão, duração em minutos úteis, PDF disponível, nº da viabilidade, formato de exportação, mensagem (sem registros), ação consultar). AR=5 (Solicitação de viabilidade, Decisão de viabilidade, CNAE, Feriado, Trilha de auditoria). Recontagem 16/10/2026: alterada (linha 319 da contagem de 01/10/2026: "Relatórios - consultar tempo de emissão de TVL", SE Alta 7 PF, TD 17, AR 4). Motivo: TD 17→15: serviço e tipo da linha são os mesmos DER dos filtros; as colunas DAM ficam sempre nulas (não modeladas) e não contam. AR 4→5: sai o cadastro de serviços (dado de código, retirado do catálogo, premissa P2) e entram Feriado (duração em minutos úteis pelo BusinessDeadlineCalculator) e Trilha de auditoria. PF mantido (SE Alta).</t>
        </is>
      </c>
    </row>
    <row r="317" ht="12" customHeight="1" s="73">
      <c r="A317" s="14">
        <f>IF(H317="",IF(C317="",A316,A316+1),A316)</f>
        <v/>
      </c>
      <c r="B317" s="48">
        <f>IF(A317=A316,"",CONCATENATE("F",A317))</f>
        <v/>
      </c>
      <c r="C317" s="85" t="inlineStr">
        <is>
          <t>Relatórios - consultar SLA e vencimentos</t>
        </is>
      </c>
      <c r="D317" s="142" t="n"/>
      <c r="E317" s="142" t="n"/>
      <c r="F317" s="142" t="n"/>
      <c r="G317" s="143" t="n"/>
      <c r="H317" s="56" t="inlineStr">
        <is>
          <t>SE</t>
        </is>
      </c>
      <c r="I317" s="57" t="inlineStr">
        <is>
          <t>I</t>
        </is>
      </c>
      <c r="J317" s="56" t="n">
        <v>23</v>
      </c>
      <c r="K317" s="56" t="n">
        <v>6</v>
      </c>
      <c r="L317" s="50">
        <f>CONCATENATE(H317,M317)</f>
        <v/>
      </c>
      <c r="M317" s="51">
        <f>IF(OR(ISBLANK(J317),ISBLANK(K317)),IF(OR(H317="ALI",H317="AIE"),"L",IF(ISBLANK(H317),"","A")),IF(H317="EE",IF(K317&gt;=3,IF(J317&gt;=5,"H","A"),IF(K317&gt;=2,IF(J317&gt;=16,"H",IF(J317&lt;=4,"L","A")),IF(J317&lt;=15,"L","A"))),IF(OR(H317="SE",H317="CE"),IF(K317&gt;=4,IF(J317&gt;=6,"H","A"),IF(K317&gt;=2,IF(J317&gt;=20,"H",IF(J317&lt;=5,"L","A")),IF(J317&lt;=19,"L","A"))),IF(OR(H317="ALI",H317="AIE"),IF(K317&gt;=6,IF(J317&gt;=20,"H","A"),IF(K317&gt;=2,IF(J317&gt;=51,"H",IF(J317&lt;=19,"L","A")),IF(J317&lt;=50,"L","A")))))))</f>
        <v/>
      </c>
      <c r="N317" s="52">
        <f>IF(M317="L","Baixa",IF(M317="A","Média",IF(M317="","","Alta")))</f>
        <v/>
      </c>
      <c r="O317" s="53">
        <f>IF(ISBLANK(H317),"",IF(H317="ALI",IF(M317="L",7,IF(M317="A",10,15)),IF(H317="AIE",IF(M317="L",5,IF(M317="A",7,10)),IF(H317="SE",IF(M317="L",4,IF(M317="A",5,7)),IF(OR(H317="EE",H317="CE"),IF(M317="L",3,IF(M317="A",4,6)))))))</f>
        <v/>
      </c>
      <c r="P317" s="54">
        <f>IF(I317="I",O317*Contagem!$W$15,IF(I317="E",O317*Contagem!$W$17,IF(I317="A",O317*Contagem!$W$16,IF(I317="T",O317*Contagem!$W$18,""))))</f>
        <v/>
      </c>
      <c r="Q317" s="55" t="inlineStr">
        <is>
          <t>Prova: Rota GET /gestao/relatorios/sla (consultar-relatorios). Tela: gestao/relatorios/sla. SlaVencimentosService totaliza em andamento, vencidos e vencendo na janela parametrizada, faixas de aging, atrasados por etapa e taxa de cumprimento no período (janela relatorios.dashboard.janela_dias quando sem datas) e lista o prazo restante por processo. A exportação (?formato=csv|xlsx|pdf, ReportExporter) entrega o mesmo recorte e as mesmas colunas da lista da tela, com a mesma lógica de filtro: é a mesma função em outro meio (CPM Parte 1 §5.5.2.2, mesmo DER/FTR/lógica), não função nova; o DER formato de exportação entra aqui. Teste: tests/Feature/Relatorios/SlaVencimentosTest.php::test_endpoint_renderiza_inertia_com_resumo_e_linhas_auditado. Processo elementar independente: menor unidade com significado para o gestor da SEDUR; completa por si (filtros informados até o painel exibido); deixa o negócio consistente (só leitura do negócio, consulta auditada); lógica única (estoque de prazos, aging e cumprimento do SLA). Classificação: Calcula totais, faixas e taxa: SE. A consulta grava o registro da própria consulta na Trilha de auditoria (AuditService::log), o que é manutenção de ALI pela transação; por isso a Trilha entra como FTR e a função não pode ser CE (CPM Parte 1 §5.5.3: CE não mantém ALI). TD=23 (setor, analista, data inicial, data final, em andamento, vencidos, vencendo, janela de vencimento (dias), faixa de aging, total da faixa, atrasados na etapa, decisões dentro do SLA, decisões com prazo, taxa de cumprimento, processo, etapa, início da etapa, prazo-limite, situação (semáforo), tempo restante, formato de exportação, mensagem (sem processos), ação consultar). AR=6 (Solicitação de viabilidade, Decisão de viabilidade, Setor, Usuário, Parâmetro, Trilha de auditoria). Recontagem 16/10/2026: alterada (linha 320 da contagem de 01/10/2026: "Relatórios - consultar SLA e vencimentos", SE Alta 7 PF, TD 26, AR 5). Motivo: TD 26→23: vencendo com/sem analista e vencido mais antigo não são exibidos pela tela atual. AR 5→6 com a Trilha de auditoria. PF mantido (SE Alta).</t>
        </is>
      </c>
    </row>
    <row r="318" ht="12" customHeight="1" s="73">
      <c r="A318" s="14">
        <f>IF(H318="",IF(C318="",A317,A317+1),A317)</f>
        <v/>
      </c>
      <c r="B318" s="48">
        <f>IF(A318=A317,"",CONCATENATE("F",A318))</f>
        <v/>
      </c>
      <c r="C318" s="85" t="inlineStr">
        <is>
          <t>Relatórios - consultar pendências e exigências</t>
        </is>
      </c>
      <c r="D318" s="142" t="n"/>
      <c r="E318" s="142" t="n"/>
      <c r="F318" s="142" t="n"/>
      <c r="G318" s="143" t="n"/>
      <c r="H318" s="56" t="inlineStr">
        <is>
          <t>SE</t>
        </is>
      </c>
      <c r="I318" s="57" t="inlineStr">
        <is>
          <t>I</t>
        </is>
      </c>
      <c r="J318" s="56" t="n">
        <v>18</v>
      </c>
      <c r="K318" s="56" t="n">
        <v>4</v>
      </c>
      <c r="L318" s="50">
        <f>CONCATENATE(H318,M318)</f>
        <v/>
      </c>
      <c r="M318" s="51">
        <f>IF(OR(ISBLANK(J318),ISBLANK(K318)),IF(OR(H318="ALI",H318="AIE"),"L",IF(ISBLANK(H318),"","A")),IF(H318="EE",IF(K318&gt;=3,IF(J318&gt;=5,"H","A"),IF(K318&gt;=2,IF(J318&gt;=16,"H",IF(J318&lt;=4,"L","A")),IF(J318&lt;=15,"L","A"))),IF(OR(H318="SE",H318="CE"),IF(K318&gt;=4,IF(J318&gt;=6,"H","A"),IF(K318&gt;=2,IF(J318&gt;=20,"H",IF(J318&lt;=5,"L","A")),IF(J318&lt;=19,"L","A"))),IF(OR(H318="ALI",H318="AIE"),IF(K318&gt;=6,IF(J318&gt;=20,"H","A"),IF(K318&gt;=2,IF(J318&gt;=51,"H",IF(J318&lt;=19,"L","A")),IF(J318&lt;=50,"L","A")))))))</f>
        <v/>
      </c>
      <c r="N318" s="52">
        <f>IF(M318="L","Baixa",IF(M318="A","Média",IF(M318="","","Alta")))</f>
        <v/>
      </c>
      <c r="O318" s="53">
        <f>IF(ISBLANK(H318),"",IF(H318="ALI",IF(M318="L",7,IF(M318="A",10,15)),IF(H318="AIE",IF(M318="L",5,IF(M318="A",7,10)),IF(H318="SE",IF(M318="L",4,IF(M318="A",5,7)),IF(OR(H318="EE",H318="CE"),IF(M318="L",3,IF(M318="A",4,6)))))))</f>
        <v/>
      </c>
      <c r="P318" s="54">
        <f>IF(I318="I",O318*Contagem!$W$15,IF(I318="E",O318*Contagem!$W$17,IF(I318="A",O318*Contagem!$W$16,IF(I318="T",O318*Contagem!$W$18,""))))</f>
        <v/>
      </c>
      <c r="Q318" s="55" t="inlineStr">
        <is>
          <t>Prova: Rota GET /gestao/relatorios/pendencias (consultar-relatorios). Tela: gestao/relatorios/pendencias. PendenciasRelatorioService totaliza pendências abertas, vencidas, respondidas e expiradas, calcula o tempo médio de resposta do requerente e lista as pendências do recorte. A exportação (?formato=csv|xlsx|pdf, ReportExporter) entrega o mesmo recorte e as mesmas colunas da lista da tela, com a mesma lógica de filtro: é a mesma função em outro meio (CPM Parte 1 §5.5.2.2, mesmo DER/FTR/lógica), não função nova; o DER formato de exportação entra aqui. Teste: tests/Feature/Relatorios/PendenciasRelatorioTest.php::test_endpoint_renderiza_inertia_com_resumo_e_linhas_auditado. Processo elementar independente: menor unidade com significado para o gestor da SEDUR; completa por si (filtros informados até o painel exibido); deixa o negócio consistente (só leitura do negócio, consulta auditada); lógica única (totais e tempo médio de resposta das exigências). Classificação: Calcula totais e tempo médio: SE. A consulta grava o registro da própria consulta na Trilha de auditoria (AuditService::log), o que é manutenção de ALI pela transação; por isso a Trilha entra como FTR e a função não pode ser CE (CPM Parte 1 §5.5.3: CE não mantém ALI). TD=18 (data inicial, data final, situação da pendência (filtro e coluna), abertas, vencidas, respondidas, expiradas, tempo médio de resposta, processo, exigência, analista, aberta em, prazo-limite, respondida em, tempo de resposta, formato de exportação, mensagem (sem exigências), ação consultar). AR=4 (Pendência da análise, Solicitação de viabilidade, Usuário, Trilha de auditoria). Recontagem 16/10/2026: alterada (linha 321 da contagem de 01/10/2026: "Relatórios - consultar pendências e exigências", SE Média 5 PF, TD 19, AR 3). Motivo: TD 19→18: situação do filtro e da coluna é o mesmo DER. AR 3→4 com a Trilha de auditoria. SE Média→Alta (5→7 PF).</t>
        </is>
      </c>
    </row>
    <row r="319" ht="12" customHeight="1" s="73">
      <c r="A319" s="14">
        <f>IF(H319="",IF(C319="",A318,A318+1),A318)</f>
        <v/>
      </c>
      <c r="B319" s="48">
        <f>IF(A319=A318,"",CONCATENATE("F",A319))</f>
        <v/>
      </c>
      <c r="C319" s="85" t="inlineStr">
        <is>
          <t>Relatórios - consultar atendimentos em contingência</t>
        </is>
      </c>
      <c r="D319" s="142" t="n"/>
      <c r="E319" s="142" t="n"/>
      <c r="F319" s="142" t="n"/>
      <c r="G319" s="143" t="n"/>
      <c r="H319" s="56" t="inlineStr">
        <is>
          <t>SE</t>
        </is>
      </c>
      <c r="I319" s="57" t="inlineStr">
        <is>
          <t>I</t>
        </is>
      </c>
      <c r="J319" s="56" t="n">
        <v>14</v>
      </c>
      <c r="K319" s="56" t="n">
        <v>3</v>
      </c>
      <c r="L319" s="50">
        <f>CONCATENATE(H319,M319)</f>
        <v/>
      </c>
      <c r="M319" s="51">
        <f>IF(OR(ISBLANK(J319),ISBLANK(K319)),IF(OR(H319="ALI",H319="AIE"),"L",IF(ISBLANK(H319),"","A")),IF(H319="EE",IF(K319&gt;=3,IF(J319&gt;=5,"H","A"),IF(K319&gt;=2,IF(J319&gt;=16,"H",IF(J319&lt;=4,"L","A")),IF(J319&lt;=15,"L","A"))),IF(OR(H319="SE",H319="CE"),IF(K319&gt;=4,IF(J319&gt;=6,"H","A"),IF(K319&gt;=2,IF(J319&gt;=20,"H",IF(J319&lt;=5,"L","A")),IF(J319&lt;=19,"L","A"))),IF(OR(H319="ALI",H319="AIE"),IF(K319&gt;=6,IF(J319&gt;=20,"H","A"),IF(K319&gt;=2,IF(J319&gt;=51,"H",IF(J319&lt;=19,"L","A")),IF(J319&lt;=50,"L","A")))))))</f>
        <v/>
      </c>
      <c r="N319" s="52">
        <f>IF(M319="L","Baixa",IF(M319="A","Média",IF(M319="","","Alta")))</f>
        <v/>
      </c>
      <c r="O319" s="53">
        <f>IF(ISBLANK(H319),"",IF(H319="ALI",IF(M319="L",7,IF(M319="A",10,15)),IF(H319="AIE",IF(M319="L",5,IF(M319="A",7,10)),IF(H319="SE",IF(M319="L",4,IF(M319="A",5,7)),IF(OR(H319="EE",H319="CE"),IF(M319="L",3,IF(M319="A",4,6)))))))</f>
        <v/>
      </c>
      <c r="P319" s="54">
        <f>IF(I319="I",O319*Contagem!$W$15,IF(I319="E",O319*Contagem!$W$17,IF(I319="A",O319*Contagem!$W$16,IF(I319="T",O319*Contagem!$W$18,""))))</f>
        <v/>
      </c>
      <c r="Q319" s="55" t="inlineStr">
        <is>
          <t>Prova: Rota GET /gestao/relatorios/contingencia (consultar-relatorios). Tela: gestao/relatorios/contingencia. ContingenciaRelatorioService conta o volume aberto pelo operador, calcula a participação sobre o total protocolado e o ranking de motivos, e lista os processos com operador e motivo. A exportação (?formato=csv|xlsx|pdf, ReportExporter) entrega o mesmo recorte e as mesmas colunas da lista da tela, com a mesma lógica de filtro: é a mesma função em outro meio (CPM Parte 1 §5.5.2.2, mesmo DER/FTR/lógica), não função nova; o DER formato de exportação entra aqui. Teste: tests/Feature/Relatorios/ContingenciaRelatorioTest.php::test_endpoint_renderiza_inertia_com_resumo_e_linhas_auditado. Processo elementar independente: menor unidade com significado para o gestor da SEDUR; completa por si (filtros informados até o painel exibido); deixa o negócio consistente (só leitura do negócio, consulta auditada); lógica única (participação do canal de contingência e motivos). Classificação: Calcula participação e ranking: SE. A consulta grava o registro da própria consulta na Trilha de auditoria (AuditService::log), o que é manutenção de ALI pela transação; por isso a Trilha entra como FTR e a função não pode ser CE (CPM Parte 1 §5.5.3: CE não mantém ALI). TD=14 (data inicial, data final, total pela contingência, total protocoladas, participação, motivo, quantidade por motivo, processo, operador, situação, protocolado em, formato de exportação, mensagem (sem registros), ação consultar). AR=3 (Solicitação de viabilidade, Usuário, Trilha de auditoria). Recontagem 16/10/2026: alterada (linha 322 da contagem de 01/10/2026: "Relatórios - consultar atendimentos em contingência", SE Média 5 PF, TD 14, AR 2). Motivo: AR 2→3 com a Trilha de auditoria gravada pela consulta. TD e PF mantidos (SE Média).</t>
        </is>
      </c>
    </row>
    <row r="320" ht="12" customHeight="1" s="73">
      <c r="A320" s="14">
        <f>IF(H320="",IF(C320="",A319,A319+1),A319)</f>
        <v/>
      </c>
      <c r="B320" s="48">
        <f>IF(A320=A319,"",CONCATENATE("F",A320))</f>
        <v/>
      </c>
      <c r="C320" s="85" t="inlineStr">
        <is>
          <t>Relatórios - consultar falhas de comunicação</t>
        </is>
      </c>
      <c r="D320" s="142" t="n"/>
      <c r="E320" s="142" t="n"/>
      <c r="F320" s="142" t="n"/>
      <c r="G320" s="143" t="n"/>
      <c r="H320" s="56" t="inlineStr">
        <is>
          <t>SE</t>
        </is>
      </c>
      <c r="I320" s="57" t="inlineStr">
        <is>
          <t>I</t>
        </is>
      </c>
      <c r="J320" s="56" t="n">
        <v>15</v>
      </c>
      <c r="K320" s="56" t="n">
        <v>3</v>
      </c>
      <c r="L320" s="50">
        <f>CONCATENATE(H320,M320)</f>
        <v/>
      </c>
      <c r="M320" s="51">
        <f>IF(OR(ISBLANK(J320),ISBLANK(K320)),IF(OR(H320="ALI",H320="AIE"),"L",IF(ISBLANK(H320),"","A")),IF(H320="EE",IF(K320&gt;=3,IF(J320&gt;=5,"H","A"),IF(K320&gt;=2,IF(J320&gt;=16,"H",IF(J320&lt;=4,"L","A")),IF(J320&lt;=15,"L","A"))),IF(OR(H320="SE",H320="CE"),IF(K320&gt;=4,IF(J320&gt;=6,"H","A"),IF(K320&gt;=2,IF(J320&gt;=20,"H",IF(J320&lt;=5,"L","A")),IF(J320&lt;=19,"L","A"))),IF(OR(H320="ALI",H320="AIE"),IF(K320&gt;=6,IF(J320&gt;=20,"H","A"),IF(K320&gt;=2,IF(J320&gt;=51,"H",IF(J320&lt;=19,"L","A")),IF(J320&lt;=50,"L","A")))))))</f>
        <v/>
      </c>
      <c r="N320" s="52">
        <f>IF(M320="L","Baixa",IF(M320="A","Média",IF(M320="","","Alta")))</f>
        <v/>
      </c>
      <c r="O320" s="53">
        <f>IF(ISBLANK(H320),"",IF(H320="ALI",IF(M320="L",7,IF(M320="A",10,15)),IF(H320="AIE",IF(M320="L",5,IF(M320="A",7,10)),IF(H320="SE",IF(M320="L",4,IF(M320="A",5,7)),IF(OR(H320="EE",H320="CE"),IF(M320="L",3,IF(M320="A",4,6)))))))</f>
        <v/>
      </c>
      <c r="P320" s="54">
        <f>IF(I320="I",O320*Contagem!$W$15,IF(I320="E",O320*Contagem!$W$17,IF(I320="A",O320*Contagem!$W$16,IF(I320="T",O320*Contagem!$W$18,""))))</f>
        <v/>
      </c>
      <c r="Q320" s="55" t="inlineStr">
        <is>
          <t>Prova: Rota GET /gestao/relatorios/comunicacoes-falhas (consultar-relatorios). Tela: gestao/relatorios/comunicacoes-falhas. ComunicacoesFalhaService totaliza comunicações que falharam ou foram bloqueadas, com quebra por canal, e lista por processo sem dados do destinatário (LGPD). A exportação (?formato=csv|xlsx|pdf, ReportExporter) entrega o mesmo recorte e as mesmas colunas da lista da tela, com a mesma lógica de filtro: é a mesma função em outro meio (CPM Parte 1 §5.5.2.2, mesmo DER/FTR/lógica), não função nova; o DER formato de exportação entra aqui. Teste: tests/Feature/Relatorios/ComunicacoesFalhaTest.php::test_endpoint_renderiza_inertia_com_resumo_e_linhas_auditado. Processo elementar independente: menor unidade com significado para o gestor da SEDUR; completa por si (filtros informados até o painel exibido); deixa o negócio consistente (só leitura do negócio, consulta auditada); lógica única (falhas de notificação totalizadas por canal). Classificação: Calcula totais por canal: SE. A consulta grava o registro da própria consulta na Trilha de auditoria (AuditService::log), o que é manutenção de ALI pela transação; por isso a Trilha entra como FTR e a função não pode ser CE (CPM Parte 1 §5.5.3: CE não mantém ALI). TD=15 (data inicial, data final, canal (filtro e coluna), falharam, bloqueadas, total por canal, processo, tipo, título, situação, erro, data, formato de exportação, mensagem (sem falhas), ação consultar). AR=3 (Comunicação ao requerente, Solicitação de viabilidade, Trilha de auditoria). Recontagem 16/10/2026: alterada (linha 323 da contagem de 01/10/2026: "Relatórios - consultar falhas de comunicação", SE Média 5 PF, TD 15, AR 2). Motivo: AR 2→3 com a Trilha de auditoria gravada pela consulta; no TD sai o total geral (não exibido como campo próprio) e entra o formato de exportação, que exporta o mesmo recorte. PF mantido (SE Média).</t>
        </is>
      </c>
    </row>
    <row r="321" ht="12" customHeight="1" s="73">
      <c r="A321" s="14">
        <f>IF(H321="",IF(C321="",A320,A320+1),A320)</f>
        <v/>
      </c>
      <c r="B321" s="48">
        <f>IF(A321=A320,"",CONCATENATE("F",A321))</f>
        <v/>
      </c>
      <c r="C321" s="85" t="inlineStr">
        <is>
          <t>Relatórios - consultar trilha por processo</t>
        </is>
      </c>
      <c r="D321" s="142" t="n"/>
      <c r="E321" s="142" t="n"/>
      <c r="F321" s="142" t="n"/>
      <c r="G321" s="143" t="n"/>
      <c r="H321" s="56" t="inlineStr">
        <is>
          <t>SE</t>
        </is>
      </c>
      <c r="I321" s="57" t="inlineStr">
        <is>
          <t>I</t>
        </is>
      </c>
      <c r="J321" s="56" t="n">
        <v>10</v>
      </c>
      <c r="K321" s="56" t="n">
        <v>5</v>
      </c>
      <c r="L321" s="50">
        <f>CONCATENATE(H321,M321)</f>
        <v/>
      </c>
      <c r="M321" s="51">
        <f>IF(OR(ISBLANK(J321),ISBLANK(K321)),IF(OR(H321="ALI",H321="AIE"),"L",IF(ISBLANK(H321),"","A")),IF(H321="EE",IF(K321&gt;=3,IF(J321&gt;=5,"H","A"),IF(K321&gt;=2,IF(J321&gt;=16,"H",IF(J321&lt;=4,"L","A")),IF(J321&lt;=15,"L","A"))),IF(OR(H321="SE",H321="CE"),IF(K321&gt;=4,IF(J321&gt;=6,"H","A"),IF(K321&gt;=2,IF(J321&gt;=20,"H",IF(J321&lt;=5,"L","A")),IF(J321&lt;=19,"L","A"))),IF(OR(H321="ALI",H321="AIE"),IF(K321&gt;=6,IF(J321&gt;=20,"H","A"),IF(K321&gt;=2,IF(J321&gt;=51,"H",IF(J321&lt;=19,"L","A")),IF(J321&lt;=50,"L","A")))))))</f>
        <v/>
      </c>
      <c r="N321" s="52">
        <f>IF(M321="L","Baixa",IF(M321="A","Média",IF(M321="","","Alta")))</f>
        <v/>
      </c>
      <c r="O321" s="53">
        <f>IF(ISBLANK(H321),"",IF(H321="ALI",IF(M321="L",7,IF(M321="A",10,15)),IF(H321="AIE",IF(M321="L",5,IF(M321="A",7,10)),IF(H321="SE",IF(M321="L",4,IF(M321="A",5,7)),IF(OR(H321="EE",H321="CE"),IF(M321="L",3,IF(M321="A",4,6)))))))</f>
        <v/>
      </c>
      <c r="P321" s="54">
        <f>IF(I321="I",O321*Contagem!$W$15,IF(I321="E",O321*Contagem!$W$17,IF(I321="A",O321*Contagem!$W$16,IF(I321="T",O321*Contagem!$W$18,""))))</f>
        <v/>
      </c>
      <c r="Q321" s="55" t="inlineStr">
        <is>
          <t>Prova: Rota GET /gestao/relatorios/trilha (consultar-relatorios). Tela: gestao/relatorios/trilha. O gestor informa o protocolo; TrilhaProcessoService junta transições dos dois eixos, activity_log (inclusive o nome da analista na distribuição, desde 14/10/2026) e decisão em ordem cronológica, com o ator. Teste: tests/Feature/Relatorios/TrilhaProcessoTest.php::test_endpoint_renderiza_inertia_com_a_trilha_auditado. Processo elementar independente: menor unidade com significado para o gestor que presta contas; completa por si (protocolo até a linha do tempo exibida); deixa o negócio consistente (consulta auditada); lógica única (consolida as fontes de histórico de um processo). Classificação: Recupera e ordena eventos sem cálculo, mas grava a Trilha de auditoria. A consulta grava o registro da própria consulta na Trilha de auditoria (AuditService::log), o que é manutenção de ALI pela transação; por isso a Trilha entra como FTR e a função não pode ser CE (CPM Parte 1 §5.5.3: CE não mantém ALI). TD=10 (protocolo, situação, empresa, protocolado em, data do evento, eixo, descrição, usuário, mensagem (processo não encontrado), ação consultar). AR=5 (Solicitação de viabilidade, Empresa, Decisão de viabilidade, Trilha de auditoria, Usuário). Recontagem 16/10/2026: alterada (linha 324 da contagem de 01/10/2026: "Relatórios - consultar trilha por processo", CE Alta 6 PF, TD 10, AR 5). Motivo: CE→SE: com protocolo informado a consulta grava a Trilha de auditoria (mantém ALI), e CE não pode manter ALI. TD 10 mantido (protocolo de busca e protocolo exibido são um DER; entra a mensagem de processo não encontrado). 6→7 PF.</t>
        </is>
      </c>
    </row>
    <row r="322" ht="12" customHeight="1" s="73">
      <c r="A322" s="14">
        <f>IF(H322="",IF(C322="",A321,A321+1),A321)</f>
        <v/>
      </c>
      <c r="B322" s="48">
        <f>IF(A322=A321,"",CONCATENATE("F",A322))</f>
        <v/>
      </c>
      <c r="C322" s="85" t="inlineStr">
        <is>
          <t>Relatórios - imprimir trilha por processo</t>
        </is>
      </c>
      <c r="D322" s="142" t="n"/>
      <c r="E322" s="142" t="n"/>
      <c r="F322" s="142" t="n"/>
      <c r="G322" s="143" t="n"/>
      <c r="H322" s="56" t="inlineStr">
        <is>
          <t>SE</t>
        </is>
      </c>
      <c r="I322" s="57" t="inlineStr">
        <is>
          <t>I</t>
        </is>
      </c>
      <c r="J322" s="56" t="n">
        <v>12</v>
      </c>
      <c r="K322" s="56" t="n">
        <v>5</v>
      </c>
      <c r="L322" s="50">
        <f>CONCATENATE(H322,M322)</f>
        <v/>
      </c>
      <c r="M322" s="51">
        <f>IF(OR(ISBLANK(J322),ISBLANK(K322)),IF(OR(H322="ALI",H322="AIE"),"L",IF(ISBLANK(H322),"","A")),IF(H322="EE",IF(K322&gt;=3,IF(J322&gt;=5,"H","A"),IF(K322&gt;=2,IF(J322&gt;=16,"H",IF(J322&lt;=4,"L","A")),IF(J322&lt;=15,"L","A"))),IF(OR(H322="SE",H322="CE"),IF(K322&gt;=4,IF(J322&gt;=6,"H","A"),IF(K322&gt;=2,IF(J322&gt;=20,"H",IF(J322&lt;=5,"L","A")),IF(J322&lt;=19,"L","A"))),IF(OR(H322="ALI",H322="AIE"),IF(K322&gt;=6,IF(J322&gt;=20,"H","A"),IF(K322&gt;=2,IF(J322&gt;=51,"H",IF(J322&lt;=19,"L","A")),IF(J322&lt;=50,"L","A")))))))</f>
        <v/>
      </c>
      <c r="N322" s="52">
        <f>IF(M322="L","Baixa",IF(M322="A","Média",IF(M322="","","Alta")))</f>
        <v/>
      </c>
      <c r="O322" s="53">
        <f>IF(ISBLANK(H322),"",IF(H322="ALI",IF(M322="L",7,IF(M322="A",10,15)),IF(H322="AIE",IF(M322="L",5,IF(M322="A",7,10)),IF(H322="SE",IF(M322="L",4,IF(M322="A",5,7)),IF(OR(H322="EE",H322="CE"),IF(M322="L",3,IF(M322="A",4,6)))))))</f>
        <v/>
      </c>
      <c r="P322" s="54">
        <f>IF(I322="I",O322*Contagem!$W$15,IF(I322="E",O322*Contagem!$W$17,IF(I322="A",O322*Contagem!$W$16,IF(I322="T",O322*Contagem!$W$18,""))))</f>
        <v/>
      </c>
      <c r="Q322" s="55" t="inlineStr">
        <is>
          <t>Prova: Rota GET /gestao/relatorios/trilha/imprimir (consultar-relatorios). Sem tela própria: botão na tela da trilha. Gera PDF (DomPDF, view documentos.trilha-processo) com a trilha consolidada, emissor e data de emissão; protocolo inexistente devolve 404. Lê as mesmas fontes da trilha e audita a impressão. Teste: tests/Feature/Relatorios/TrilhaProcessoTest.php::test_impressao_pdf_da_trilha_e_real_e_auditada. Processo elementar independente: menor unidade com significado para o gestor que precisa do documento de prestação de contas; completa por si (protocolo até o PDF baixado); deixa o negócio consistente (impressão auditada); lógica única: não é só outro formato da consulta, porque o documento traz emissor e data de emissão que a consulta não mostra (DER diferentes, §5.5.2.2). Classificação: Gera documento e grava a Trilha de auditoria: SE. TD=12 (protocolo, situação, empresa, protocolado em, data do evento, eixo, descrição, usuário, emitido em, emitido por, mensagem (processo não encontrado), ação imprimir). AR=5 (Solicitação de viabilidade, Empresa, Decisão de viabilidade, Trilha de auditoria, Usuário). Recontagem 16/10/2026: mantida (linha 325 da contagem de 01/10/2026).</t>
        </is>
      </c>
    </row>
    <row r="323" ht="12" customHeight="1" s="73">
      <c r="A323" s="14">
        <f>IF(H323="",IF(C323="",A322,A322+1),A322)</f>
        <v/>
      </c>
      <c r="B323" s="48">
        <f>IF(A323=A322,"",CONCATENATE("F",A323))</f>
        <v/>
      </c>
      <c r="C323" s="85" t="n"/>
      <c r="D323" s="142" t="n"/>
      <c r="E323" s="142" t="n"/>
      <c r="F323" s="142" t="n"/>
      <c r="G323" s="143" t="n"/>
      <c r="H323" s="56" t="n"/>
      <c r="I323" s="57" t="n"/>
      <c r="J323" s="56" t="n"/>
      <c r="K323" s="56" t="n"/>
      <c r="L323" s="50">
        <f>CONCATENATE(H323,M323)</f>
        <v/>
      </c>
      <c r="M323" s="51">
        <f>IF(OR(ISBLANK(J323),ISBLANK(K323)),IF(OR(H323="ALI",H323="AIE"),"L",IF(ISBLANK(H323),"","A")),IF(H323="EE",IF(K323&gt;=3,IF(J323&gt;=5,"H","A"),IF(K323&gt;=2,IF(J323&gt;=16,"H",IF(J323&lt;=4,"L","A")),IF(J323&lt;=15,"L","A"))),IF(OR(H323="SE",H323="CE"),IF(K323&gt;=4,IF(J323&gt;=6,"H","A"),IF(K323&gt;=2,IF(J323&gt;=20,"H",IF(J323&lt;=5,"L","A")),IF(J323&lt;=19,"L","A"))),IF(OR(H323="ALI",H323="AIE"),IF(K323&gt;=6,IF(J323&gt;=20,"H","A"),IF(K323&gt;=2,IF(J323&gt;=51,"H",IF(J323&lt;=19,"L","A")),IF(J323&lt;=50,"L","A")))))))</f>
        <v/>
      </c>
      <c r="N323" s="52">
        <f>IF(M323="L","Baixa",IF(M323="A","Média",IF(M323="","","Alta")))</f>
        <v/>
      </c>
      <c r="O323" s="53">
        <f>IF(ISBLANK(H323),"",IF(H323="ALI",IF(M323="L",7,IF(M323="A",10,15)),IF(H323="AIE",IF(M323="L",5,IF(M323="A",7,10)),IF(H323="SE",IF(M323="L",4,IF(M323="A",5,7)),IF(OR(H323="EE",H323="CE"),IF(M323="L",3,IF(M323="A",4,6)))))))</f>
        <v/>
      </c>
      <c r="P323" s="54">
        <f>IF(I323="I",O323*Contagem!$W$15,IF(I323="E",O323*Contagem!$W$17,IF(I323="A",O323*Contagem!$W$16,IF(I323="T",O323*Contagem!$W$18,""))))</f>
        <v/>
      </c>
      <c r="Q323" s="55" t="n"/>
    </row>
    <row r="324" ht="12" customHeight="1" s="73">
      <c r="A324" s="14">
        <f>IF(H324="",IF(C324="",A323,A323+1),A323)</f>
        <v/>
      </c>
      <c r="B324" s="48">
        <f>IF(A324=A323,"",CONCATENATE("F",A324))</f>
        <v/>
      </c>
      <c r="C324" s="85" t="inlineStr">
        <is>
          <t>Exportação de relatórios</t>
        </is>
      </c>
      <c r="D324" s="142" t="n"/>
      <c r="E324" s="142" t="n"/>
      <c r="F324" s="142" t="n"/>
      <c r="G324" s="143" t="n"/>
      <c r="H324" s="56" t="n"/>
      <c r="I324" s="57" t="n"/>
      <c r="J324" s="56" t="n"/>
      <c r="K324" s="56" t="n"/>
      <c r="L324" s="50">
        <f>CONCATENATE(H324,M324)</f>
        <v/>
      </c>
      <c r="M324" s="51">
        <f>IF(OR(ISBLANK(J324),ISBLANK(K324)),IF(OR(H324="ALI",H324="AIE"),"L",IF(ISBLANK(H324),"","A")),IF(H324="EE",IF(K324&gt;=3,IF(J324&gt;=5,"H","A"),IF(K324&gt;=2,IF(J324&gt;=16,"H",IF(J324&lt;=4,"L","A")),IF(J324&lt;=15,"L","A"))),IF(OR(H324="SE",H324="CE"),IF(K324&gt;=4,IF(J324&gt;=6,"H","A"),IF(K324&gt;=2,IF(J324&gt;=20,"H",IF(J324&lt;=5,"L","A")),IF(J324&lt;=19,"L","A"))),IF(OR(H324="ALI",H324="AIE"),IF(K324&gt;=6,IF(J324&gt;=20,"H","A"),IF(K324&gt;=2,IF(J324&gt;=51,"H",IF(J324&lt;=19,"L","A")),IF(J324&lt;=50,"L","A")))))))</f>
        <v/>
      </c>
      <c r="N324" s="52">
        <f>IF(M324="L","Baixa",IF(M324="A","Média",IF(M324="","","Alta")))</f>
        <v/>
      </c>
      <c r="O324" s="53">
        <f>IF(ISBLANK(H324),"",IF(H324="ALI",IF(M324="L",7,IF(M324="A",10,15)),IF(H324="AIE",IF(M324="L",5,IF(M324="A",7,10)),IF(H324="SE",IF(M324="L",4,IF(M324="A",5,7)),IF(OR(H324="EE",H324="CE"),IF(M324="L",3,IF(M324="A",4,6)))))))</f>
        <v/>
      </c>
      <c r="P324" s="54">
        <f>IF(I324="I",O324*Contagem!$W$15,IF(I324="E",O324*Contagem!$W$17,IF(I324="A",O324*Contagem!$W$16,IF(I324="T",O324*Contagem!$W$18,""))))</f>
        <v/>
      </c>
      <c r="Q324" s="55" t="n"/>
    </row>
    <row r="325" ht="12" customHeight="1" s="73">
      <c r="A325" s="14">
        <f>IF(H325="",IF(C325="",A324,A324+1),A324)</f>
        <v/>
      </c>
      <c r="B325" s="48">
        <f>IF(A325=A324,"",CONCATENATE("F",A325))</f>
        <v/>
      </c>
      <c r="C325" s="85" t="inlineStr">
        <is>
          <t>Relatórios - exportar solicitações do recorte</t>
        </is>
      </c>
      <c r="D325" s="142" t="n"/>
      <c r="E325" s="142" t="n"/>
      <c r="F325" s="142" t="n"/>
      <c r="G325" s="143" t="n"/>
      <c r="H325" s="56" t="inlineStr">
        <is>
          <t>SE</t>
        </is>
      </c>
      <c r="I325" s="57" t="inlineStr">
        <is>
          <t>I</t>
        </is>
      </c>
      <c r="J325" s="56" t="n">
        <v>16</v>
      </c>
      <c r="K325" s="56" t="n">
        <v>6</v>
      </c>
      <c r="L325" s="50">
        <f>CONCATENATE(H325,M325)</f>
        <v/>
      </c>
      <c r="M325" s="51">
        <f>IF(OR(ISBLANK(J325),ISBLANK(K325)),IF(OR(H325="ALI",H325="AIE"),"L",IF(ISBLANK(H325),"","A")),IF(H325="EE",IF(K325&gt;=3,IF(J325&gt;=5,"H","A"),IF(K325&gt;=2,IF(J325&gt;=16,"H",IF(J325&lt;=4,"L","A")),IF(J325&lt;=15,"L","A"))),IF(OR(H325="SE",H325="CE"),IF(K325&gt;=4,IF(J325&gt;=6,"H","A"),IF(K325&gt;=2,IF(J325&gt;=20,"H",IF(J325&lt;=5,"L","A")),IF(J325&lt;=19,"L","A"))),IF(OR(H325="ALI",H325="AIE"),IF(K325&gt;=6,IF(J325&gt;=20,"H","A"),IF(K325&gt;=2,IF(J325&gt;=51,"H",IF(J325&lt;=19,"L","A")),IF(J325&lt;=50,"L","A")))))))</f>
        <v/>
      </c>
      <c r="N325" s="52">
        <f>IF(M325="L","Baixa",IF(M325="A","Média",IF(M325="","","Alta")))</f>
        <v/>
      </c>
      <c r="O325" s="53">
        <f>IF(ISBLANK(H325),"",IF(H325="ALI",IF(M325="L",7,IF(M325="A",10,15)),IF(H325="AIE",IF(M325="L",5,IF(M325="A",7,10)),IF(H325="SE",IF(M325="L",4,IF(M325="A",5,7)),IF(OR(H325="EE",H325="CE"),IF(M325="L",3,IF(M325="A",4,6)))))))</f>
        <v/>
      </c>
      <c r="P325" s="54">
        <f>IF(I325="I",O325*Contagem!$W$15,IF(I325="E",O325*Contagem!$W$17,IF(I325="A",O325*Contagem!$W$16,IF(I325="T",O325*Contagem!$W$18,""))))</f>
        <v/>
      </c>
      <c r="Q325" s="55" t="inlineStr">
        <is>
          <t>Prova: Rotas GET /gestao/relatorios/indicadores, /geo-bairro e /saturacao com ?formato=csv|xlsx|pdf (consultar-relatorios). Telas: botões Exportar indicadores/Exportar solicitações. Os três pontos de entrada usam a mesma fonte (SolicitacoesReportSource sobre ProcessoQueryService::filtered), as mesmas colunas e os mesmos filtros: é um processo elementar só (§5.5.2.2). O ReportExporter conta o volume, audita e gera o arquivo na hora; acima do limiar (relatorios.export.assincrono_limiar_linhas) o GerarExportacaoJob grava o arquivo e avisa o usuário, que baixa pelo link assinado (parte desta mesma função). O comando relatorios:exportar gera os mesmos arquivos como evidência técnica e não é função separada. Teste: tests/Feature/Relatorios/RelatorioControllerTest.php::test_indicadores_exporta_csv_pelo_contrato_unico_e_audita; tests/Feature/Relatorios/SolicitacoesReportSourceTest.php::map_row_devolve_as_colunas_na_ordem_da_definicao. Processo elementar independente: menor unidade com significado para o gestor; completa por si (recorte informado até o arquivo entregue, na hora ou pelo link do aviso de exportação pronta quando passa do limiar); deixa o negócio consistente (exportação auditada); lógica única (lista de solicitações do recorte com empresa, analista e decisão). Classificação: Lista sem cálculo, mas grava a Trilha de auditoria (exportação auditada, RN-008), logo SE e não CE (CPM Parte 1 §5.5.3). TD=16 (data inicial, data final, bairro, CNAE, categoria, processo, empresa, CNPJ, situação, analista, protocolado em, decidido em, resultado, formato de exportação, mensagem (formato indisponível ou exportação em processamento), ação exportar). AR=6 (Solicitação de viabilidade, Empresa, Usuário, Decisão de viabilidade, CNAE, Trilha de auditoria). Recontagem 16/10/2026: nova (não constava da contagem de 01/10/2026). Função nova na contagem: as telas de indicadores, painel por bairro e saturação exportam a lista de solicitações filtradas, que tem DER e lógica diferentes dos painéis agregados.</t>
        </is>
      </c>
    </row>
    <row r="326" ht="12" customHeight="1" s="73">
      <c r="A326" s="14">
        <f>IF(H326="",IF(C326="",A325,A325+1),A325)</f>
        <v/>
      </c>
      <c r="B326" s="48">
        <f>IF(A326=A325,"",CONCATENATE("F",A326))</f>
        <v/>
      </c>
      <c r="C326" s="85" t="inlineStr">
        <is>
          <t>Relatórios - exportar tempo por etapa por processo</t>
        </is>
      </c>
      <c r="D326" s="142" t="n"/>
      <c r="E326" s="142" t="n"/>
      <c r="F326" s="142" t="n"/>
      <c r="G326" s="143" t="n"/>
      <c r="H326" s="56" t="inlineStr">
        <is>
          <t>SE</t>
        </is>
      </c>
      <c r="I326" s="57" t="inlineStr">
        <is>
          <t>I</t>
        </is>
      </c>
      <c r="J326" s="56" t="n">
        <v>11</v>
      </c>
      <c r="K326" s="56" t="n">
        <v>3</v>
      </c>
      <c r="L326" s="50">
        <f>CONCATENATE(H326,M326)</f>
        <v/>
      </c>
      <c r="M326" s="51">
        <f>IF(OR(ISBLANK(J326),ISBLANK(K326)),IF(OR(H326="ALI",H326="AIE"),"L",IF(ISBLANK(H326),"","A")),IF(H326="EE",IF(K326&gt;=3,IF(J326&gt;=5,"H","A"),IF(K326&gt;=2,IF(J326&gt;=16,"H",IF(J326&lt;=4,"L","A")),IF(J326&lt;=15,"L","A"))),IF(OR(H326="SE",H326="CE"),IF(K326&gt;=4,IF(J326&gt;=6,"H","A"),IF(K326&gt;=2,IF(J326&gt;=20,"H",IF(J326&lt;=5,"L","A")),IF(J326&lt;=19,"L","A"))),IF(OR(H326="ALI",H326="AIE"),IF(K326&gt;=6,IF(J326&gt;=20,"H","A"),IF(K326&gt;=2,IF(J326&gt;=51,"H",IF(J326&lt;=19,"L","A")),IF(J326&lt;=50,"L","A")))))))</f>
        <v/>
      </c>
      <c r="N326" s="52">
        <f>IF(M326="L","Baixa",IF(M326="A","Média",IF(M326="","","Alta")))</f>
        <v/>
      </c>
      <c r="O326" s="53">
        <f>IF(ISBLANK(H326),"",IF(H326="ALI",IF(M326="L",7,IF(M326="A",10,15)),IF(H326="AIE",IF(M326="L",5,IF(M326="A",7,10)),IF(H326="SE",IF(M326="L",4,IF(M326="A",5,7)),IF(OR(H326="EE",H326="CE"),IF(M326="L",3,IF(M326="A",4,6)))))))</f>
        <v/>
      </c>
      <c r="P326" s="54">
        <f>IF(I326="I",O326*Contagem!$W$15,IF(I326="E",O326*Contagem!$W$17,IF(I326="A",O326*Contagem!$W$16,IF(I326="T",O326*Contagem!$W$18,""))))</f>
        <v/>
      </c>
      <c r="Q326" s="55" t="inlineStr">
        <is>
          <t>Prova: Rota GET /gestao/relatorios/tempo?formato=csv|xlsx|pdf (consultar-relatorios). Tela: gestao/relatorios/tempo, botão Exportar tempo por etapa. TempoAnaliseReportSource calcula, para cada processo protocolado no período, os minutos úteis em cada etapa a partir das transições e o total; ReportExporter audita e entrega na hora ou pelo job assíncrono com link assinado. Teste: tests/Feature/Relatorios/RelatorioControllerTest.php::test_tempo_exporta_detalhamento_por_padrao; tests/Feature/Relatorios/TempoAnaliseReportSourceTest.php::tempo_source_traz_so_o_periodo_e_detalha_minutos_uteis_por_etapa. Processo elementar independente: menor unidade com significado para o gestor; completa por si (recorte informado até o arquivo entregue, na hora ou pelo link do aviso de exportação pronta quando passa do limiar); deixa o negócio consistente (exportação auditada); lógica única (minutos úteis por etapa de cada processo, diferente da média por etapa da tela). Classificação: Calcula a duração útil por etapa e grava a Trilha de auditoria: SE. TD=11 (data inicial, data final, processo, minutos de preenchimento, minutos de espera, minutos de análise, minutos de convite, total em minutos úteis, formato de exportação, mensagem (formato indisponível ou exportação em processamento), ação exportar). AR=3 (Solicitação de viabilidade, Feriado, Trilha de auditoria). Recontagem 16/10/2026: nova (não constava da contagem de 01/10/2026). Função nova na contagem: a exportação da tela de tempo entrega o detalhamento por processo (minutos úteis por etapa), que a tela não exibe.</t>
        </is>
      </c>
    </row>
    <row r="327" ht="12" customHeight="1" s="73">
      <c r="A327" s="14">
        <f>IF(H327="",IF(C327="",A326,A326+1),A326)</f>
        <v/>
      </c>
      <c r="B327" s="48">
        <f>IF(A327=A326,"",CONCATENATE("F",A327))</f>
        <v/>
      </c>
      <c r="C327" s="85" t="inlineStr">
        <is>
          <t>Relatórios - exportar quedas do expresso</t>
        </is>
      </c>
      <c r="D327" s="142" t="n"/>
      <c r="E327" s="142" t="n"/>
      <c r="F327" s="142" t="n"/>
      <c r="G327" s="143" t="n"/>
      <c r="H327" s="56" t="inlineStr">
        <is>
          <t>SE</t>
        </is>
      </c>
      <c r="I327" s="57" t="inlineStr">
        <is>
          <t>I</t>
        </is>
      </c>
      <c r="J327" s="56" t="n">
        <v>11</v>
      </c>
      <c r="K327" s="56" t="n">
        <v>2</v>
      </c>
      <c r="L327" s="50">
        <f>CONCATENATE(H327,M327)</f>
        <v/>
      </c>
      <c r="M327" s="51">
        <f>IF(OR(ISBLANK(J327),ISBLANK(K327)),IF(OR(H327="ALI",H327="AIE"),"L",IF(ISBLANK(H327),"","A")),IF(H327="EE",IF(K327&gt;=3,IF(J327&gt;=5,"H","A"),IF(K327&gt;=2,IF(J327&gt;=16,"H",IF(J327&lt;=4,"L","A")),IF(J327&lt;=15,"L","A"))),IF(OR(H327="SE",H327="CE"),IF(K327&gt;=4,IF(J327&gt;=6,"H","A"),IF(K327&gt;=2,IF(J327&gt;=20,"H",IF(J327&lt;=5,"L","A")),IF(J327&lt;=19,"L","A"))),IF(OR(H327="ALI",H327="AIE"),IF(K327&gt;=6,IF(J327&gt;=20,"H","A"),IF(K327&gt;=2,IF(J327&gt;=51,"H",IF(J327&lt;=19,"L","A")),IF(J327&lt;=50,"L","A")))))))</f>
        <v/>
      </c>
      <c r="N327" s="52">
        <f>IF(M327="L","Baixa",IF(M327="A","Média",IF(M327="","","Alta")))</f>
        <v/>
      </c>
      <c r="O327" s="53">
        <f>IF(ISBLANK(H327),"",IF(H327="ALI",IF(M327="L",7,IF(M327="A",10,15)),IF(H327="AIE",IF(M327="L",5,IF(M327="A",7,10)),IF(H327="SE",IF(M327="L",4,IF(M327="A",5,7)),IF(OR(H327="EE",H327="CE"),IF(M327="L",3,IF(M327="A",4,6)))))))</f>
        <v/>
      </c>
      <c r="P327" s="54">
        <f>IF(I327="I",O327*Contagem!$W$15,IF(I327="E",O327*Contagem!$W$17,IF(I327="A",O327*Contagem!$W$16,IF(I327="T",O327*Contagem!$W$18,""))))</f>
        <v/>
      </c>
      <c r="Q327" s="55" t="inlineStr">
        <is>
          <t>Prova: Rota GET /gestao/relatorios/quedas?formato=csv|xlsx|pdf (consultar-relatorios). Tela: gestao/relatorios/quedas, botão Exportar quedas. ExpressoQuedaReportSource lista as quedas do período com o protocolo da solicitação (as quedas são subgrupo da Solicitação); ReportExporter audita e entrega na hora ou pelo job assíncrono com link assinado. Teste: tests/Feature/Relatorios/ExpressoQuedaServiceTest.php::report_source_exporta_as_quedas_filtradas_com_colunas_corretas. Processo elementar independente: menor unidade com significado para o gestor; completa por si (recorte informado até o arquivo entregue, na hora ou pelo link do aviso de exportação pronta quando passa do limiar); deixa o negócio consistente (exportação auditada); lógica única (lista das quedas do fluxo expresso no período). Classificação: Lista sem cálculo, mas grava a Trilha de auditoria (exportação auditada), logo SE e não CE (CPM Parte 1 §5.5.3). TD=11 (data inicial, data final, protocolo, CNAE, gatilho, dimensão, motivo, caiu em, formato de exportação, mensagem (formato indisponível ou exportação em processamento), ação exportar). AR=2 (Solicitação de viabilidade, Trilha de auditoria). Recontagem 16/10/2026: nova (não constava da contagem de 01/10/2026). Função nova na contagem: a exportação da tela de quedas entrega a lista das quedas (protocolo, CNAE, gatilho, dimensão, motivo), que a tela só mostra agregada.</t>
        </is>
      </c>
    </row>
    <row r="328" ht="12" customHeight="1" s="73">
      <c r="A328" s="14">
        <f>IF(H328="",IF(C328="",A327,A327+1),A327)</f>
        <v/>
      </c>
      <c r="B328" s="48">
        <f>IF(A328=A327,"",CONCATENATE("F",A328))</f>
        <v/>
      </c>
      <c r="C328" s="85" t="inlineStr">
        <is>
          <t>Relatórios - exportar sedes de escritório virtual</t>
        </is>
      </c>
      <c r="D328" s="142" t="n"/>
      <c r="E328" s="142" t="n"/>
      <c r="F328" s="142" t="n"/>
      <c r="G328" s="143" t="n"/>
      <c r="H328" s="56" t="inlineStr">
        <is>
          <t>SE</t>
        </is>
      </c>
      <c r="I328" s="57" t="inlineStr">
        <is>
          <t>I</t>
        </is>
      </c>
      <c r="J328" s="56" t="n">
        <v>12</v>
      </c>
      <c r="K328" s="56" t="n">
        <v>4</v>
      </c>
      <c r="L328" s="50">
        <f>CONCATENATE(H328,M328)</f>
        <v/>
      </c>
      <c r="M328" s="51">
        <f>IF(OR(ISBLANK(J328),ISBLANK(K328)),IF(OR(H328="ALI",H328="AIE"),"L",IF(ISBLANK(H328),"","A")),IF(H328="EE",IF(K328&gt;=3,IF(J328&gt;=5,"H","A"),IF(K328&gt;=2,IF(J328&gt;=16,"H",IF(J328&lt;=4,"L","A")),IF(J328&lt;=15,"L","A"))),IF(OR(H328="SE",H328="CE"),IF(K328&gt;=4,IF(J328&gt;=6,"H","A"),IF(K328&gt;=2,IF(J328&gt;=20,"H",IF(J328&lt;=5,"L","A")),IF(J328&lt;=19,"L","A"))),IF(OR(H328="ALI",H328="AIE"),IF(K328&gt;=6,IF(J328&gt;=20,"H","A"),IF(K328&gt;=2,IF(J328&gt;=51,"H",IF(J328&lt;=19,"L","A")),IF(J328&lt;=50,"L","A")))))))</f>
        <v/>
      </c>
      <c r="N328" s="52">
        <f>IF(M328="L","Baixa",IF(M328="A","Média",IF(M328="","","Alta")))</f>
        <v/>
      </c>
      <c r="O328" s="53">
        <f>IF(ISBLANK(H328),"",IF(H328="ALI",IF(M328="L",7,IF(M328="A",10,15)),IF(H328="AIE",IF(M328="L",5,IF(M328="A",7,10)),IF(H328="SE",IF(M328="L",4,IF(M328="A",5,7)),IF(OR(H328="EE",H328="CE"),IF(M328="L",3,IF(M328="A",4,6)))))))</f>
        <v/>
      </c>
      <c r="P328" s="54">
        <f>IF(I328="I",O328*Contagem!$W$15,IF(I328="E",O328*Contagem!$W$17,IF(I328="A",O328*Contagem!$W$16,IF(I328="T",O328*Contagem!$W$18,""))))</f>
        <v/>
      </c>
      <c r="Q328" s="55" t="inlineStr">
        <is>
          <t>Prova: Rota GET /gestao/relatorios/escritorio-virtual?formato=csv|xlsx|pdf&amp;recorte=sedes (consultar-relatorios). Tela: gestao/relatorios/tempo, botão Exportar sedes de escritório virtual. EscritorioVirtualReportSource (TempoAnaliseService::sedesEscritorioVirtual) lista as solicitações de sede de escritório virtual protocoladas no período com empresa, CNPJ, bairro e resultado; ReportExporter audita e entrega na hora ou pelo job assíncrono com link assinado. Teste: tests/Feature/EscritorioVirtual/RelatorioSedeEndpointTest.php::test_exporta_lista_de_sedes_pelo_recorte_sedes. Processo elementar independente: menor unidade com significado para o gestor; completa por si (recorte informado até o arquivo entregue, na hora ou pelo link do aviso de exportação pronta quando passa do limiar); deixa o negócio consistente (exportação auditada); lógica única (relação de sedes por período, diferente do agrupamento por inscrição travada). Classificação: Lista sem cálculo, mas grava a Trilha de auditoria (exportação auditada), logo SE e não CE (CPM Parte 1 §5.5.3). TD=12 (data inicial, data final, processo, empresa, CNPJ, bairro, protocolado em, decidido em, resultado, formato de exportação, mensagem (formato indisponível ou exportação em processamento), ação exportar). AR=4 (Solicitação de viabilidade, Empresa, Decisão de viabilidade, Trilha de auditoria). Recontagem 16/10/2026: nova (não constava da contagem de 01/10/2026). Função nova na contagem: lista plana das sedes de escritório virtual do período, com DER diferentes do relatório sede × abrigados.</t>
        </is>
      </c>
    </row>
    <row r="329" ht="12" customHeight="1" s="73">
      <c r="A329" s="14">
        <f>IF(H329="",IF(C329="",A328,A328+1),A328)</f>
        <v/>
      </c>
      <c r="B329" s="48">
        <f>IF(A329=A328,"",CONCATENATE("F",A329))</f>
        <v/>
      </c>
      <c r="C329" s="85" t="n"/>
      <c r="D329" s="142" t="n"/>
      <c r="E329" s="142" t="n"/>
      <c r="F329" s="142" t="n"/>
      <c r="G329" s="143" t="n"/>
      <c r="H329" s="56" t="n"/>
      <c r="I329" s="57" t="n"/>
      <c r="J329" s="56" t="n"/>
      <c r="K329" s="56" t="n"/>
      <c r="L329" s="50">
        <f>CONCATENATE(H329,M329)</f>
        <v/>
      </c>
      <c r="M329" s="51">
        <f>IF(OR(ISBLANK(J329),ISBLANK(K329)),IF(OR(H329="ALI",H329="AIE"),"L",IF(ISBLANK(H329),"","A")),IF(H329="EE",IF(K329&gt;=3,IF(J329&gt;=5,"H","A"),IF(K329&gt;=2,IF(J329&gt;=16,"H",IF(J329&lt;=4,"L","A")),IF(J329&lt;=15,"L","A"))),IF(OR(H329="SE",H329="CE"),IF(K329&gt;=4,IF(J329&gt;=6,"H","A"),IF(K329&gt;=2,IF(J329&gt;=20,"H",IF(J329&lt;=5,"L","A")),IF(J329&lt;=19,"L","A"))),IF(OR(H329="ALI",H329="AIE"),IF(K329&gt;=6,IF(J329&gt;=20,"H","A"),IF(K329&gt;=2,IF(J329&gt;=51,"H",IF(J329&lt;=19,"L","A")),IF(J329&lt;=50,"L","A")))))))</f>
        <v/>
      </c>
      <c r="N329" s="52">
        <f>IF(M329="L","Baixa",IF(M329="A","Média",IF(M329="","","Alta")))</f>
        <v/>
      </c>
      <c r="O329" s="53">
        <f>IF(ISBLANK(H329),"",IF(H329="ALI",IF(M329="L",7,IF(M329="A",10,15)),IF(H329="AIE",IF(M329="L",5,IF(M329="A",7,10)),IF(H329="SE",IF(M329="L",4,IF(M329="A",5,7)),IF(OR(H329="EE",H329="CE"),IF(M329="L",3,IF(M329="A",4,6)))))))</f>
        <v/>
      </c>
      <c r="P329" s="54">
        <f>IF(I329="I",O329*Contagem!$W$15,IF(I329="E",O329*Contagem!$W$17,IF(I329="A",O329*Contagem!$W$16,IF(I329="T",O329*Contagem!$W$18,""))))</f>
        <v/>
      </c>
      <c r="Q329" s="55" t="n"/>
    </row>
    <row r="330" ht="12" customHeight="1" s="73">
      <c r="A330" s="14">
        <f>IF(H330="",IF(C330="",A329,A329+1),A329)</f>
        <v/>
      </c>
      <c r="B330" s="48">
        <f>IF(A330=A329,"",CONCATENATE("F",A330))</f>
        <v/>
      </c>
      <c r="C330" s="85" t="inlineStr">
        <is>
          <t>Benchmark nacional e sala de controle</t>
        </is>
      </c>
      <c r="D330" s="142" t="n"/>
      <c r="E330" s="142" t="n"/>
      <c r="F330" s="142" t="n"/>
      <c r="G330" s="143" t="n"/>
      <c r="H330" s="56" t="n"/>
      <c r="I330" s="57" t="n"/>
      <c r="J330" s="56" t="n"/>
      <c r="K330" s="56" t="n"/>
      <c r="L330" s="50">
        <f>CONCATENATE(H330,M330)</f>
        <v/>
      </c>
      <c r="M330" s="51">
        <f>IF(OR(ISBLANK(J330),ISBLANK(K330)),IF(OR(H330="ALI",H330="AIE"),"L",IF(ISBLANK(H330),"","A")),IF(H330="EE",IF(K330&gt;=3,IF(J330&gt;=5,"H","A"),IF(K330&gt;=2,IF(J330&gt;=16,"H",IF(J330&lt;=4,"L","A")),IF(J330&lt;=15,"L","A"))),IF(OR(H330="SE",H330="CE"),IF(K330&gt;=4,IF(J330&gt;=6,"H","A"),IF(K330&gt;=2,IF(J330&gt;=20,"H",IF(J330&lt;=5,"L","A")),IF(J330&lt;=19,"L","A"))),IF(OR(H330="ALI",H330="AIE"),IF(K330&gt;=6,IF(J330&gt;=20,"H","A"),IF(K330&gt;=2,IF(J330&gt;=51,"H",IF(J330&lt;=19,"L","A")),IF(J330&lt;=50,"L","A")))))))</f>
        <v/>
      </c>
      <c r="N330" s="52">
        <f>IF(M330="L","Baixa",IF(M330="A","Média",IF(M330="","","Alta")))</f>
        <v/>
      </c>
      <c r="O330" s="53">
        <f>IF(ISBLANK(H330),"",IF(H330="ALI",IF(M330="L",7,IF(M330="A",10,15)),IF(H330="AIE",IF(M330="L",5,IF(M330="A",7,10)),IF(H330="SE",IF(M330="L",4,IF(M330="A",5,7)),IF(OR(H330="EE",H330="CE"),IF(M330="L",3,IF(M330="A",4,6)))))))</f>
        <v/>
      </c>
      <c r="P330" s="54">
        <f>IF(I330="I",O330*Contagem!$W$15,IF(I330="E",O330*Contagem!$W$17,IF(I330="A",O330*Contagem!$W$16,IF(I330="T",O330*Contagem!$W$18,""))))</f>
        <v/>
      </c>
      <c r="Q330" s="55" t="n"/>
    </row>
    <row r="331" ht="12" customHeight="1" s="73">
      <c r="A331" s="14">
        <f>IF(H331="",IF(C331="",A330,A330+1),A330)</f>
        <v/>
      </c>
      <c r="B331" s="48">
        <f>IF(A331=A330,"",CONCATENATE("F",A331))</f>
        <v/>
      </c>
      <c r="C331" s="85" t="inlineStr">
        <is>
          <t>Dados - Benchmark nacional de tempo de viabilidade</t>
        </is>
      </c>
      <c r="D331" s="142" t="n"/>
      <c r="E331" s="142" t="n"/>
      <c r="F331" s="142" t="n"/>
      <c r="G331" s="143" t="n"/>
      <c r="H331" s="56" t="inlineStr">
        <is>
          <t>ALI</t>
        </is>
      </c>
      <c r="I331" s="57" t="inlineStr">
        <is>
          <t>I</t>
        </is>
      </c>
      <c r="J331" s="56" t="n">
        <v>18</v>
      </c>
      <c r="K331" s="56" t="n">
        <v>3</v>
      </c>
      <c r="L331" s="50">
        <f>CONCATENATE(H331,M331)</f>
        <v/>
      </c>
      <c r="M331" s="51">
        <f>IF(OR(ISBLANK(J331),ISBLANK(K331)),IF(OR(H331="ALI",H331="AIE"),"L",IF(ISBLANK(H331),"","A")),IF(H331="EE",IF(K331&gt;=3,IF(J331&gt;=5,"H","A"),IF(K331&gt;=2,IF(J331&gt;=16,"H",IF(J331&lt;=4,"L","A")),IF(J331&lt;=15,"L","A"))),IF(OR(H331="SE",H331="CE"),IF(K331&gt;=4,IF(J331&gt;=6,"H","A"),IF(K331&gt;=2,IF(J331&gt;=20,"H",IF(J331&lt;=5,"L","A")),IF(J331&lt;=19,"L","A"))),IF(OR(H331="ALI",H331="AIE"),IF(K331&gt;=6,IF(J331&gt;=20,"H","A"),IF(K331&gt;=2,IF(J331&gt;=51,"H",IF(J331&lt;=19,"L","A")),IF(J331&lt;=50,"L","A")))))))</f>
        <v/>
      </c>
      <c r="N331" s="52">
        <f>IF(M331="L","Baixa",IF(M331="A","Média",IF(M331="","","Alta")))</f>
        <v/>
      </c>
      <c r="O331" s="53">
        <f>IF(ISBLANK(H331),"",IF(H331="ALI",IF(M331="L",7,IF(M331="A",10,15)),IF(H331="AIE",IF(M331="L",5,IF(M331="A",7,10)),IF(H331="SE",IF(M331="L",4,IF(M331="A",5,7)),IF(OR(H331="EE",H331="CE"),IF(M331="L",3,IF(M331="A",4,6)))))))</f>
        <v/>
      </c>
      <c r="P331" s="54">
        <f>IF(I331="I",O331*Contagem!$W$15,IF(I331="E",O331*Contagem!$W$17,IF(I331="A",O331*Contagem!$W$16,IF(I331="T",O331*Contagem!$W$18,""))))</f>
        <v/>
      </c>
      <c r="Q331" s="55" t="inlineStr">
        <is>
          <t>Prova: Models BenchmarkIngestion, BenchmarkMunicipalityMetric, BenchmarkActivityMetric; migrations 2026_10_03_200816_create_benchmark_ingestions_table, 2026_10_03_200921_create_benchmark_municipality_metrics_table e 2026_10_03_201027_create_benchmark_activity_metrics_table. Mantido por BenchmarkIngestionService, chamado pelo comando benchmark:importar-redesim (agendado mensalmente em routes/console.php), que importa e agrega os microdados da REDESIM por competência e UF (a importação é avaliada na área de integrações); lido pelo BenchmarkRankingService no relatório de benchmark e na sala de controle. Teste: tests/Feature/Benchmark/BenchmarkSchemaTest.php::test_guarda_a_metrica_agregada_de_um_municipio_na_competencia; tests/Feature/Benchmark/BenchmarkIngestionServiceTest.php::test_grava_o_agregado_por_cnae_de_salvador_e_do_brasil. Arquivo lógico: Grupo lógico reconhecido pelo gestor: a referência nacional do tempo de viabilidade por município e atividade em cada competência, com a cobertura das 27 UFs que libera a publicação do ranking. Os dados chegam por importação e passam a ser mantidos dentro da fronteira (dado importado é entrada, não AIE — CPM Parte 3). Não é dado de código: são medidas numéricas por competência usadas em cálculo de posição e distância. Os três registros só existem juntos por competência e formam um único arquivo lógico com subgrupos; URL, tamanho e hash do arquivo são evidência técnica e não contam. TD=18 (UF, município, ano da competência, mês da competência, situação da importação, linhas lidas, linhas descartadas, motivo da falha, quantidade de processos, tempo médio, P50, P75, P90, P95, P99, tempo máximo, escopo (Salvador ou Brasil), CNAE). TR=3 (competência importada por UF, métrica por município, métrica por atividade). Recontagem 16/10/2026: nova (não constava da contagem de 01/10/2026). ALI novo (esquema criado em 03/10/2026).</t>
        </is>
      </c>
    </row>
    <row r="332" ht="12" customHeight="1" s="73">
      <c r="A332" s="14">
        <f>IF(H332="",IF(C332="",A331,A331+1),A331)</f>
        <v/>
      </c>
      <c r="B332" s="48">
        <f>IF(A332=A331,"",CONCATENATE("F",A332))</f>
        <v/>
      </c>
      <c r="C332" s="85" t="inlineStr">
        <is>
          <t>Relatórios - consultar benchmark nacional</t>
        </is>
      </c>
      <c r="D332" s="142" t="n"/>
      <c r="E332" s="142" t="n"/>
      <c r="F332" s="142" t="n"/>
      <c r="G332" s="143" t="n"/>
      <c r="H332" s="56" t="inlineStr">
        <is>
          <t>SE</t>
        </is>
      </c>
      <c r="I332" s="57" t="inlineStr">
        <is>
          <t>I</t>
        </is>
      </c>
      <c r="J332" s="56" t="n">
        <v>11</v>
      </c>
      <c r="K332" s="56" t="n">
        <v>2</v>
      </c>
      <c r="L332" s="50">
        <f>CONCATENATE(H332,M332)</f>
        <v/>
      </c>
      <c r="M332" s="51">
        <f>IF(OR(ISBLANK(J332),ISBLANK(K332)),IF(OR(H332="ALI",H332="AIE"),"L",IF(ISBLANK(H332),"","A")),IF(H332="EE",IF(K332&gt;=3,IF(J332&gt;=5,"H","A"),IF(K332&gt;=2,IF(J332&gt;=16,"H",IF(J332&lt;=4,"L","A")),IF(J332&lt;=15,"L","A"))),IF(OR(H332="SE",H332="CE"),IF(K332&gt;=4,IF(J332&gt;=6,"H","A"),IF(K332&gt;=2,IF(J332&gt;=20,"H",IF(J332&lt;=5,"L","A")),IF(J332&lt;=19,"L","A"))),IF(OR(H332="ALI",H332="AIE"),IF(K332&gt;=6,IF(J332&gt;=20,"H","A"),IF(K332&gt;=2,IF(J332&gt;=51,"H",IF(J332&lt;=19,"L","A")),IF(J332&lt;=50,"L","A")))))))</f>
        <v/>
      </c>
      <c r="N332" s="52">
        <f>IF(M332="L","Baixa",IF(M332="A","Média",IF(M332="","","Alta")))</f>
        <v/>
      </c>
      <c r="O332" s="53">
        <f>IF(ISBLANK(H332),"",IF(H332="ALI",IF(M332="L",7,IF(M332="A",10,15)),IF(H332="AIE",IF(M332="L",5,IF(M332="A",7,10)),IF(H332="SE",IF(M332="L",4,IF(M332="A",5,7)),IF(OR(H332="EE",H332="CE"),IF(M332="L",3,IF(M332="A",4,6)))))))</f>
        <v/>
      </c>
      <c r="P332" s="54">
        <f>IF(I332="I",O332*Contagem!$W$15,IF(I332="E",O332*Contagem!$W$17,IF(I332="A",O332*Contagem!$W$16,IF(I332="T",O332*Contagem!$W$18,""))))</f>
        <v/>
      </c>
      <c r="Q332" s="55" t="inlineStr">
        <is>
          <t>Prova: Rota GET /gestao/relatorios/benchmark (consultar-relatorios). Tela: gestao/relatorios/benchmark. BenchmarkRankingService acha a última competência com as 27 UFs importadas, calcula a posição de Salvador entre os municípios e entre as capitais (contagem dos mais rápidos) e devolve a série histórica de Salvador; sem cobertura completa informa as UFs ausentes e não publica posição. Teste: tests/Feature/Benchmark/BenchmarkTelaTest.php::test_entrega_posicao_ranking_de_capitais_e_serie. Processo elementar independente: menor unidade com significado para o gestor; completa por si (abre e recebe posição, ranking e série); deixa o negócio consistente (consulta auditada); lógica única (posição de Salvador na referência nacional da REDESIM). Classificação: Calcula posição e ranking (dados derivados) e grava a Trilha de auditoria: SE. TD=11 (competência, posição nacional de Salvador, total de municípios com dado, tempo médio, UFs ausentes, posição entre as capitais, capital, P90, quantidade de solicitações, mensagem (cobertura incompleta ou sem série), ação consultar). AR=2 (Benchmark nacional de tempo de viabilidade, Trilha de auditoria). Recontagem 16/10/2026: nova (não constava da contagem de 01/10/2026). Função nova na contagem (tela criada em 03/10/2026).</t>
        </is>
      </c>
    </row>
    <row r="333" ht="12" customHeight="1" s="73">
      <c r="A333" s="14">
        <f>IF(H333="",IF(C333="",A332,A332+1),A332)</f>
        <v/>
      </c>
      <c r="B333" s="48">
        <f>IF(A333=A332,"",CONCATENATE("F",A333))</f>
        <v/>
      </c>
      <c r="C333" s="85" t="inlineStr">
        <is>
          <t>Sala de controle - consultar visão executiva</t>
        </is>
      </c>
      <c r="D333" s="142" t="n"/>
      <c r="E333" s="142" t="n"/>
      <c r="F333" s="142" t="n"/>
      <c r="G333" s="143" t="n"/>
      <c r="H333" s="56" t="inlineStr">
        <is>
          <t>SE</t>
        </is>
      </c>
      <c r="I333" s="57" t="inlineStr">
        <is>
          <t>I</t>
        </is>
      </c>
      <c r="J333" s="56" t="n">
        <v>19</v>
      </c>
      <c r="K333" s="56" t="n">
        <v>5</v>
      </c>
      <c r="L333" s="50">
        <f>CONCATENATE(H333,M333)</f>
        <v/>
      </c>
      <c r="M333" s="51">
        <f>IF(OR(ISBLANK(J333),ISBLANK(K333)),IF(OR(H333="ALI",H333="AIE"),"L",IF(ISBLANK(H333),"","A")),IF(H333="EE",IF(K333&gt;=3,IF(J333&gt;=5,"H","A"),IF(K333&gt;=2,IF(J333&gt;=16,"H",IF(J333&lt;=4,"L","A")),IF(J333&lt;=15,"L","A"))),IF(OR(H333="SE",H333="CE"),IF(K333&gt;=4,IF(J333&gt;=6,"H","A"),IF(K333&gt;=2,IF(J333&gt;=20,"H",IF(J333&lt;=5,"L","A")),IF(J333&lt;=19,"L","A"))),IF(OR(H333="ALI",H333="AIE"),IF(K333&gt;=6,IF(J333&gt;=20,"H","A"),IF(K333&gt;=2,IF(J333&gt;=51,"H",IF(J333&lt;=19,"L","A")),IF(J333&lt;=50,"L","A")))))))</f>
        <v/>
      </c>
      <c r="N333" s="52">
        <f>IF(M333="L","Baixa",IF(M333="A","Média",IF(M333="","","Alta")))</f>
        <v/>
      </c>
      <c r="O333" s="53">
        <f>IF(ISBLANK(H333),"",IF(H333="ALI",IF(M333="L",7,IF(M333="A",10,15)),IF(H333="AIE",IF(M333="L",5,IF(M333="A",7,10)),IF(H333="SE",IF(M333="L",4,IF(M333="A",5,7)),IF(OR(H333="EE",H333="CE"),IF(M333="L",3,IF(M333="A",4,6)))))))</f>
        <v/>
      </c>
      <c r="P333" s="54">
        <f>IF(I333="I",O333*Contagem!$W$15,IF(I333="E",O333*Contagem!$W$17,IF(I333="A",O333*Contagem!$W$16,IF(I333="T",O333*Contagem!$W$18,""))))</f>
        <v/>
      </c>
      <c r="Q333" s="55" t="inlineStr">
        <is>
          <t>Prova: Rota GET /gestao/sala-de-controle (consultar-relatorios). Tela: gestao/sala-de-controle. SalaDeControleService monta, para o período, os percentis do tempo de viabilidade, o volume decidido com a taxa de automação (expresso ÷ total), a distância entre o tempo do Viabiliza e a referência REDESIM de Salvador (DistanciaBenchmarkService: diferença em horas e percentual), a evolução de Salvador e os gargalos. Não duplica o painel inicial (DashboardController, que mostra protocolos, estoque, saldo e projeção pelo PainelOperacaoService) nem o relatório de tempo ou de benchmark: o conjunto de DER e a lógica de distância e automação só existem aqui. Teste: tests/Feature/Relatorios/SalaDeControleTelaTest.php::test_entrega_os_cinco_blocos_num_unico_carregamento. Processo elementar independente: menor unidade com significado para o gestor executivo; completa por si (período informado até a visão exibida); deixa o negócio consistente (consulta auditada); lógica única (compara a telemetria interna com a referência nacional e calcula a automação). Classificação: Calcula percentis, taxa, diferença e percentual e grava a Trilha de auditoria: SE. TD=19 (data inicial, data final, tempo médio, processos decididos, P90, taxa de automação, decididas pelo fluxo expresso, volume decidido no período, decididas pelo semiexpresso, referência nacional de Salvador, competência de referência, diferença em horas, diferença percentual, tempo médio por competência (evolução), faixa do gargalo, horas na faixa, percentual da faixa, mensagem (motivo da falta de comparação), ação consultar). AR=5 (Solicitação de viabilidade, Decisão de viabilidade, Feriado, Benchmark nacional de tempo de viabilidade, Trilha de auditoria). Recontagem 16/10/2026: nova (não constava da contagem de 01/10/2026). Função nova na contagem (tela criada em 03/10/2026).</t>
        </is>
      </c>
    </row>
    <row r="334" ht="12" customHeight="1" s="73">
      <c r="A334" s="14">
        <f>IF(H334="",IF(C334="",A333,A333+1),A333)</f>
        <v/>
      </c>
      <c r="B334" s="48">
        <f>IF(A334=A333,"",CONCATENATE("F",A334))</f>
        <v/>
      </c>
      <c r="C334" s="85" t="n"/>
      <c r="D334" s="142" t="n"/>
      <c r="E334" s="142" t="n"/>
      <c r="F334" s="142" t="n"/>
      <c r="G334" s="143" t="n"/>
      <c r="H334" s="56" t="n"/>
      <c r="I334" s="57" t="n"/>
      <c r="J334" s="56" t="n"/>
      <c r="K334" s="56" t="n"/>
      <c r="L334" s="50">
        <f>CONCATENATE(H334,M334)</f>
        <v/>
      </c>
      <c r="M334" s="51">
        <f>IF(OR(ISBLANK(J334),ISBLANK(K334)),IF(OR(H334="ALI",H334="AIE"),"L",IF(ISBLANK(H334),"","A")),IF(H334="EE",IF(K334&gt;=3,IF(J334&gt;=5,"H","A"),IF(K334&gt;=2,IF(J334&gt;=16,"H",IF(J334&lt;=4,"L","A")),IF(J334&lt;=15,"L","A"))),IF(OR(H334="SE",H334="CE"),IF(K334&gt;=4,IF(J334&gt;=6,"H","A"),IF(K334&gt;=2,IF(J334&gt;=20,"H",IF(J334&lt;=5,"L","A")),IF(J334&lt;=19,"L","A"))),IF(OR(H334="ALI",H334="AIE"),IF(K334&gt;=6,IF(J334&gt;=20,"H","A"),IF(K334&gt;=2,IF(J334&gt;=51,"H",IF(J334&lt;=19,"L","A")),IF(J334&lt;=50,"L","A")))))))</f>
        <v/>
      </c>
      <c r="N334" s="52">
        <f>IF(M334="L","Baixa",IF(M334="A","Média",IF(M334="","","Alta")))</f>
        <v/>
      </c>
      <c r="O334" s="53">
        <f>IF(ISBLANK(H334),"",IF(H334="ALI",IF(M334="L",7,IF(M334="A",10,15)),IF(H334="AIE",IF(M334="L",5,IF(M334="A",7,10)),IF(H334="SE",IF(M334="L",4,IF(M334="A",5,7)),IF(OR(H334="EE",H334="CE"),IF(M334="L",3,IF(M334="A",4,6)))))))</f>
        <v/>
      </c>
      <c r="P334" s="54">
        <f>IF(I334="I",O334*Contagem!$W$15,IF(I334="E",O334*Contagem!$W$17,IF(I334="A",O334*Contagem!$W$16,IF(I334="T",O334*Contagem!$W$18,""))))</f>
        <v/>
      </c>
      <c r="Q334" s="55" t="n"/>
    </row>
    <row r="335" ht="12" customHeight="1" s="73">
      <c r="A335" s="14">
        <f>IF(H335="",IF(C335="",A334,A334+1),A334)</f>
        <v/>
      </c>
      <c r="B335" s="48">
        <f>IF(A335=A334,"",CONCATENATE("F",A335))</f>
        <v/>
      </c>
      <c r="C335" s="85" t="inlineStr">
        <is>
          <t>Trilha de auditoria</t>
        </is>
      </c>
      <c r="D335" s="142" t="n"/>
      <c r="E335" s="142" t="n"/>
      <c r="F335" s="142" t="n"/>
      <c r="G335" s="143" t="n"/>
      <c r="H335" s="56" t="n"/>
      <c r="I335" s="57" t="n"/>
      <c r="J335" s="56" t="n"/>
      <c r="K335" s="56" t="n"/>
      <c r="L335" s="50">
        <f>CONCATENATE(H335,M335)</f>
        <v/>
      </c>
      <c r="M335" s="51">
        <f>IF(OR(ISBLANK(J335),ISBLANK(K335)),IF(OR(H335="ALI",H335="AIE"),"L",IF(ISBLANK(H335),"","A")),IF(H335="EE",IF(K335&gt;=3,IF(J335&gt;=5,"H","A"),IF(K335&gt;=2,IF(J335&gt;=16,"H",IF(J335&lt;=4,"L","A")),IF(J335&lt;=15,"L","A"))),IF(OR(H335="SE",H335="CE"),IF(K335&gt;=4,IF(J335&gt;=6,"H","A"),IF(K335&gt;=2,IF(J335&gt;=20,"H",IF(J335&lt;=5,"L","A")),IF(J335&lt;=19,"L","A"))),IF(OR(H335="ALI",H335="AIE"),IF(K335&gt;=6,IF(J335&gt;=20,"H","A"),IF(K335&gt;=2,IF(J335&gt;=51,"H",IF(J335&lt;=19,"L","A")),IF(J335&lt;=50,"L","A")))))))</f>
        <v/>
      </c>
      <c r="N335" s="52">
        <f>IF(M335="L","Baixa",IF(M335="A","Média",IF(M335="","","Alta")))</f>
        <v/>
      </c>
      <c r="O335" s="53">
        <f>IF(ISBLANK(H335),"",IF(H335="ALI",IF(M335="L",7,IF(M335="A",10,15)),IF(H335="AIE",IF(M335="L",5,IF(M335="A",7,10)),IF(H335="SE",IF(M335="L",4,IF(M335="A",5,7)),IF(OR(H335="EE",H335="CE"),IF(M335="L",3,IF(M335="A",4,6)))))))</f>
        <v/>
      </c>
      <c r="P335" s="54">
        <f>IF(I335="I",O335*Contagem!$W$15,IF(I335="E",O335*Contagem!$W$17,IF(I335="A",O335*Contagem!$W$16,IF(I335="T",O335*Contagem!$W$18,""))))</f>
        <v/>
      </c>
      <c r="Q335" s="55" t="n"/>
    </row>
    <row r="336" ht="12" customHeight="1" s="73">
      <c r="A336" s="14">
        <f>IF(H336="",IF(C336="",A335,A335+1),A335)</f>
        <v/>
      </c>
      <c r="B336" s="48">
        <f>IF(A336=A335,"",CONCATENATE("F",A336))</f>
        <v/>
      </c>
      <c r="C336" s="85" t="inlineStr">
        <is>
          <t>Dados - Trilha de auditoria</t>
        </is>
      </c>
      <c r="D336" s="142" t="n"/>
      <c r="E336" s="142" t="n"/>
      <c r="F336" s="142" t="n"/>
      <c r="G336" s="143" t="n"/>
      <c r="H336" s="56" t="inlineStr">
        <is>
          <t>ALI</t>
        </is>
      </c>
      <c r="I336" s="57" t="inlineStr">
        <is>
          <t>I</t>
        </is>
      </c>
      <c r="J336" s="56" t="n">
        <v>15</v>
      </c>
      <c r="K336" s="56" t="n">
        <v>1</v>
      </c>
      <c r="L336" s="50">
        <f>CONCATENATE(H336,M336)</f>
        <v/>
      </c>
      <c r="M336" s="51">
        <f>IF(OR(ISBLANK(J336),ISBLANK(K336)),IF(OR(H336="ALI",H336="AIE"),"L",IF(ISBLANK(H336),"","A")),IF(H336="EE",IF(K336&gt;=3,IF(J336&gt;=5,"H","A"),IF(K336&gt;=2,IF(J336&gt;=16,"H",IF(J336&lt;=4,"L","A")),IF(J336&lt;=15,"L","A"))),IF(OR(H336="SE",H336="CE"),IF(K336&gt;=4,IF(J336&gt;=6,"H","A"),IF(K336&gt;=2,IF(J336&gt;=20,"H",IF(J336&lt;=5,"L","A")),IF(J336&lt;=19,"L","A"))),IF(OR(H336="ALI",H336="AIE"),IF(K336&gt;=6,IF(J336&gt;=20,"H","A"),IF(K336&gt;=2,IF(J336&gt;=51,"H",IF(J336&lt;=19,"L","A")),IF(J336&lt;=50,"L","A")))))))</f>
        <v/>
      </c>
      <c r="N336" s="52">
        <f>IF(M336="L","Baixa",IF(M336="A","Média",IF(M336="","","Alta")))</f>
        <v/>
      </c>
      <c r="O336" s="53">
        <f>IF(ISBLANK(H336),"",IF(H336="ALI",IF(M336="L",7,IF(M336="A",10,15)),IF(H336="AIE",IF(M336="L",5,IF(M336="A",7,10)),IF(H336="SE",IF(M336="L",4,IF(M336="A",5,7)),IF(OR(H336="EE",H336="CE"),IF(M336="L",3,IF(M336="A",4,6)))))))</f>
        <v/>
      </c>
      <c r="P336" s="54">
        <f>IF(I336="I",O336*Contagem!$W$15,IF(I336="E",O336*Contagem!$W$17,IF(I336="A",O336*Contagem!$W$16,IF(I336="T",O336*Contagem!$W$18,""))))</f>
        <v/>
      </c>
      <c r="Q336" s="55" t="inlineStr">
        <is>
          <t>Prova: Model Activity (spatie/activitylog); migrations 2026_06_09_234627_create_activity_log_table e 2026_06_15_080934 (dado pessoal). Gravada pelo AuditService e pelo HasAuditoria em todos os processos (RN-002). Consultada na tela de auditoria. Teste: tests/Feature/Auditoria/AuditoriaConsultaTest.php::test_filtra_por_periodo_sobre_created_at. Arquivo lógico: Grupo lógico exigido pelo negócio (RN-002): a trilha de auditoria com autor, origem, resultado e versão de regras é consultada pelo auditor e pelo DPO. TD=15 (módulo, descrição, objeto, evento, autor, alterações, propriedades, IP, navegador, canal, em nome de, resultado, versão de regras, dado pessoal, data/hora). TR=1. Recontagem 16/10/2026: mantida (linha 511 da contagem de 01/10/2026).</t>
        </is>
      </c>
    </row>
    <row r="337" ht="12" customHeight="1" s="73">
      <c r="A337" s="14">
        <f>IF(H337="",IF(C337="",A336,A336+1),A336)</f>
        <v/>
      </c>
      <c r="B337" s="48">
        <f>IF(A337=A336,"",CONCATENATE("F",A337))</f>
        <v/>
      </c>
      <c r="C337" s="85" t="inlineStr">
        <is>
          <t>Auditoria - consultar trilha</t>
        </is>
      </c>
      <c r="D337" s="142" t="n"/>
      <c r="E337" s="142" t="n"/>
      <c r="F337" s="142" t="n"/>
      <c r="G337" s="143" t="n"/>
      <c r="H337" s="56" t="inlineStr">
        <is>
          <t>SE</t>
        </is>
      </c>
      <c r="I337" s="57" t="inlineStr">
        <is>
          <t>I</t>
        </is>
      </c>
      <c r="J337" s="56" t="n">
        <v>20</v>
      </c>
      <c r="K337" s="56" t="n">
        <v>3</v>
      </c>
      <c r="L337" s="50">
        <f>CONCATENATE(H337,M337)</f>
        <v/>
      </c>
      <c r="M337" s="51">
        <f>IF(OR(ISBLANK(J337),ISBLANK(K337)),IF(OR(H337="ALI",H337="AIE"),"L",IF(ISBLANK(H337),"","A")),IF(H337="EE",IF(K337&gt;=3,IF(J337&gt;=5,"H","A"),IF(K337&gt;=2,IF(J337&gt;=16,"H",IF(J337&lt;=4,"L","A")),IF(J337&lt;=15,"L","A"))),IF(OR(H337="SE",H337="CE"),IF(K337&gt;=4,IF(J337&gt;=6,"H","A"),IF(K337&gt;=2,IF(J337&gt;=20,"H",IF(J337&lt;=5,"L","A")),IF(J337&lt;=19,"L","A"))),IF(OR(H337="ALI",H337="AIE"),IF(K337&gt;=6,IF(J337&gt;=20,"H","A"),IF(K337&gt;=2,IF(J337&gt;=51,"H",IF(J337&lt;=19,"L","A")),IF(J337&lt;=50,"L","A")))))))</f>
        <v/>
      </c>
      <c r="N337" s="52">
        <f>IF(M337="L","Baixa",IF(M337="A","Média",IF(M337="","","Alta")))</f>
        <v/>
      </c>
      <c r="O337" s="53">
        <f>IF(ISBLANK(H337),"",IF(H337="ALI",IF(M337="L",7,IF(M337="A",10,15)),IF(H337="AIE",IF(M337="L",5,IF(M337="A",7,10)),IF(H337="SE",IF(M337="L",4,IF(M337="A",5,7)),IF(OR(H337="EE",H337="CE"),IF(M337="L",3,IF(M337="A",4,6)))))))</f>
        <v/>
      </c>
      <c r="P337" s="54">
        <f>IF(I337="I",O337*Contagem!$W$15,IF(I337="E",O337*Contagem!$W$17,IF(I337="A",O337*Contagem!$W$16,IF(I337="T",O337*Contagem!$W$18,""))))</f>
        <v/>
      </c>
      <c r="Q337" s="55" t="inlineStr">
        <is>
          <t>Prova: Rota GET /gestao/auditoria (permissão consultar-auditoria). Tela: gestao/auditoria/index. O auditor escolhe a fonte (atividades, alterações, acessos) e filtra. Lê Trilha de auditoria, Registro de acesso e Usuário; grava na Trilha o registro da própria consulta (dado pessoal). Teste: tests/Feature/Auditoria/AuditoriaExportTest.php::test_index_lista_atividades_e_audita_a_propria_consulta. Processo elementar independente: menor unidade com significado para o auditor; completa por si (filtro até a lista); deixa o negócio consistente (consulta auditada para LGPD); lógica única (três fontes de trilha com filtros comuns). TD=20 (data/hora, módulo (log), evento, descrição, usuário, em nome de, tipo da entidade, identificador da entidade, rótulo da entidade, resultado, versão de regras, IP, canal, dado pessoal, alterações (antes/depois), e-mail (acessos), fonte, data inicial, data final, ação de consultar). AR=3 (Trilha de auditoria, Registro de acesso, Usuário). Classificação: A consulta grava registro na Trilha de auditoria (mantém ALI); CE não pode manter arquivo, logo é SE. Recontagem 16/10/2026: mantida (linha 397 da contagem de 01/10/2026).</t>
        </is>
      </c>
    </row>
    <row r="338" ht="12" customHeight="1" s="73">
      <c r="A338" s="14">
        <f>IF(H338="",IF(C338="",A337,A337+1),A337)</f>
        <v/>
      </c>
      <c r="B338" s="48">
        <f>IF(A338=A337,"",CONCATENATE("F",A338))</f>
        <v/>
      </c>
      <c r="C338" s="85" t="inlineStr">
        <is>
          <t>Auditoria - exportar trilha</t>
        </is>
      </c>
      <c r="D338" s="142" t="n"/>
      <c r="E338" s="142" t="n"/>
      <c r="F338" s="142" t="n"/>
      <c r="G338" s="143" t="n"/>
      <c r="H338" s="56" t="inlineStr">
        <is>
          <t>SE</t>
        </is>
      </c>
      <c r="I338" s="57" t="inlineStr">
        <is>
          <t>I</t>
        </is>
      </c>
      <c r="J338" s="56" t="n">
        <v>17</v>
      </c>
      <c r="K338" s="56" t="n">
        <v>3</v>
      </c>
      <c r="L338" s="50">
        <f>CONCATENATE(H338,M338)</f>
        <v/>
      </c>
      <c r="M338" s="51">
        <f>IF(OR(ISBLANK(J338),ISBLANK(K338)),IF(OR(H338="ALI",H338="AIE"),"L",IF(ISBLANK(H338),"","A")),IF(H338="EE",IF(K338&gt;=3,IF(J338&gt;=5,"H","A"),IF(K338&gt;=2,IF(J338&gt;=16,"H",IF(J338&lt;=4,"L","A")),IF(J338&lt;=15,"L","A"))),IF(OR(H338="SE",H338="CE"),IF(K338&gt;=4,IF(J338&gt;=6,"H","A"),IF(K338&gt;=2,IF(J338&gt;=20,"H",IF(J338&lt;=5,"L","A")),IF(J338&lt;=19,"L","A"))),IF(OR(H338="ALI",H338="AIE"),IF(K338&gt;=6,IF(J338&gt;=20,"H","A"),IF(K338&gt;=2,IF(J338&gt;=51,"H",IF(J338&lt;=19,"L","A")),IF(J338&lt;=50,"L","A")))))))</f>
        <v/>
      </c>
      <c r="N338" s="52">
        <f>IF(M338="L","Baixa",IF(M338="A","Média",IF(M338="","","Alta")))</f>
        <v/>
      </c>
      <c r="O338" s="53">
        <f>IF(ISBLANK(H338),"",IF(H338="ALI",IF(M338="L",7,IF(M338="A",10,15)),IF(H338="AIE",IF(M338="L",5,IF(M338="A",7,10)),IF(H338="SE",IF(M338="L",4,IF(M338="A",5,7)),IF(OR(H338="EE",H338="CE"),IF(M338="L",3,IF(M338="A",4,6)))))))</f>
        <v/>
      </c>
      <c r="P338" s="54">
        <f>IF(I338="I",O338*Contagem!$W$15,IF(I338="E",O338*Contagem!$W$17,IF(I338="A",O338*Contagem!$W$16,IF(I338="T",O338*Contagem!$W$18,""))))</f>
        <v/>
      </c>
      <c r="Q338" s="55" t="inlineStr">
        <is>
          <t>Prova: Rota GET /gestao/auditoria/export (permissão consultar-auditoria). Tela: gestao/auditoria/index. O auditor exporta com os mesmos filtros. ReportExporter conta o volume, audita e gera CSV/XLSX/PDF na hora ou por GerarExportacaoJob (arquivo temporário da exportação, não é arquivo lógico) acima do limiar. Teste: tests/Feature/Auditoria/AuditoriaExportTest.php::test_export_csv_respeita_os_filtros_e_e_auditado. Classificação: exporta a trilha com colunas próprias (AtividadesReportSource/AcessosReportSource) e grava a Trilha de auditoria da exportação, logo SE. Processo elementar independente: menor unidade com significado para o auditor; completa por si (filtro até o arquivo gerado); deixa o negócio consistente (exportação auditada); lógica única (geração de documento filtrado com guarda de volume). TD=17 (data/hora, fonte (módulo), ação/evento, descrição, usuário, em nome de, entidade, identificador da entidade, resultado, versão de regras, IP, canal, e-mail (acessos), data inicial, data final, formato (CSV, XLSX, PDF), ação de exportar). AR=3 (Trilha de auditoria, Registro de acesso, Usuário). Recontagem 16/10/2026: mantida (linha 398 da contagem de 01/10/2026).</t>
        </is>
      </c>
    </row>
    <row r="339" ht="12" customHeight="1" s="73">
      <c r="A339" s="14">
        <f>IF(H339="",IF(C339="",A338,A338+1),A338)</f>
        <v/>
      </c>
      <c r="B339" s="48">
        <f>IF(A339=A338,"",CONCATENATE("F",A339))</f>
        <v/>
      </c>
      <c r="C339" s="85" t="n"/>
      <c r="D339" s="142" t="n"/>
      <c r="E339" s="142" t="n"/>
      <c r="F339" s="142" t="n"/>
      <c r="G339" s="143" t="n"/>
      <c r="H339" s="56" t="n"/>
      <c r="I339" s="57" t="n"/>
      <c r="J339" s="56" t="n"/>
      <c r="K339" s="56" t="n"/>
      <c r="L339" s="50">
        <f>CONCATENATE(H339,M339)</f>
        <v/>
      </c>
      <c r="M339" s="51">
        <f>IF(OR(ISBLANK(J339),ISBLANK(K339)),IF(OR(H339="ALI",H339="AIE"),"L",IF(ISBLANK(H339),"","A")),IF(H339="EE",IF(K339&gt;=3,IF(J339&gt;=5,"H","A"),IF(K339&gt;=2,IF(J339&gt;=16,"H",IF(J339&lt;=4,"L","A")),IF(J339&lt;=15,"L","A"))),IF(OR(H339="SE",H339="CE"),IF(K339&gt;=4,IF(J339&gt;=6,"H","A"),IF(K339&gt;=2,IF(J339&gt;=20,"H",IF(J339&lt;=5,"L","A")),IF(J339&lt;=19,"L","A"))),IF(OR(H339="ALI",H339="AIE"),IF(K339&gt;=6,IF(J339&gt;=20,"H","A"),IF(K339&gt;=2,IF(J339&gt;=51,"H",IF(J339&lt;=19,"L","A")),IF(J339&lt;=50,"L","A")))))))</f>
        <v/>
      </c>
      <c r="N339" s="52">
        <f>IF(M339="L","Baixa",IF(M339="A","Média",IF(M339="","","Alta")))</f>
        <v/>
      </c>
      <c r="O339" s="53">
        <f>IF(ISBLANK(H339),"",IF(H339="ALI",IF(M339="L",7,IF(M339="A",10,15)),IF(H339="AIE",IF(M339="L",5,IF(M339="A",7,10)),IF(H339="SE",IF(M339="L",4,IF(M339="A",5,7)),IF(OR(H339="EE",H339="CE"),IF(M339="L",3,IF(M339="A",4,6)))))))</f>
        <v/>
      </c>
      <c r="P339" s="54">
        <f>IF(I339="I",O339*Contagem!$W$15,IF(I339="E",O339*Contagem!$W$17,IF(I339="A",O339*Contagem!$W$16,IF(I339="T",O339*Contagem!$W$18,""))))</f>
        <v/>
      </c>
      <c r="Q339" s="55" t="n"/>
    </row>
    <row r="340" ht="12" customHeight="1" s="73">
      <c r="A340" s="14">
        <f>IF(H340="",IF(C340="",A339,A339+1),A339)</f>
        <v/>
      </c>
      <c r="B340" s="48">
        <f>IF(A340=A339,"",CONCATENATE("F",A340))</f>
        <v/>
      </c>
      <c r="C340" s="85" t="inlineStr">
        <is>
          <t>Log de integrações</t>
        </is>
      </c>
      <c r="D340" s="142" t="n"/>
      <c r="E340" s="142" t="n"/>
      <c r="F340" s="142" t="n"/>
      <c r="G340" s="143" t="n"/>
      <c r="H340" s="56" t="n"/>
      <c r="I340" s="57" t="n"/>
      <c r="J340" s="56" t="n"/>
      <c r="K340" s="56" t="n"/>
      <c r="L340" s="50">
        <f>CONCATENATE(H340,M340)</f>
        <v/>
      </c>
      <c r="M340" s="51">
        <f>IF(OR(ISBLANK(J340),ISBLANK(K340)),IF(OR(H340="ALI",H340="AIE"),"L",IF(ISBLANK(H340),"","A")),IF(H340="EE",IF(K340&gt;=3,IF(J340&gt;=5,"H","A"),IF(K340&gt;=2,IF(J340&gt;=16,"H",IF(J340&lt;=4,"L","A")),IF(J340&lt;=15,"L","A"))),IF(OR(H340="SE",H340="CE"),IF(K340&gt;=4,IF(J340&gt;=6,"H","A"),IF(K340&gt;=2,IF(J340&gt;=20,"H",IF(J340&lt;=5,"L","A")),IF(J340&lt;=19,"L","A"))),IF(OR(H340="ALI",H340="AIE"),IF(K340&gt;=6,IF(J340&gt;=20,"H","A"),IF(K340&gt;=2,IF(J340&gt;=51,"H",IF(J340&lt;=19,"L","A")),IF(J340&lt;=50,"L","A")))))))</f>
        <v/>
      </c>
      <c r="N340" s="52">
        <f>IF(M340="L","Baixa",IF(M340="A","Média",IF(M340="","","Alta")))</f>
        <v/>
      </c>
      <c r="O340" s="53">
        <f>IF(ISBLANK(H340),"",IF(H340="ALI",IF(M340="L",7,IF(M340="A",10,15)),IF(H340="AIE",IF(M340="L",5,IF(M340="A",7,10)),IF(H340="SE",IF(M340="L",4,IF(M340="A",5,7)),IF(OR(H340="EE",H340="CE"),IF(M340="L",3,IF(M340="A",4,6)))))))</f>
        <v/>
      </c>
      <c r="P340" s="54">
        <f>IF(I340="I",O340*Contagem!$W$15,IF(I340="E",O340*Contagem!$W$17,IF(I340="A",O340*Contagem!$W$16,IF(I340="T",O340*Contagem!$W$18,""))))</f>
        <v/>
      </c>
      <c r="Q340" s="55" t="n"/>
    </row>
    <row r="341" ht="12" customHeight="1" s="73">
      <c r="A341" s="14">
        <f>IF(H341="",IF(C341="",A340,A340+1),A340)</f>
        <v/>
      </c>
      <c r="B341" s="48">
        <f>IF(A341=A340,"",CONCATENATE("F",A341))</f>
        <v/>
      </c>
      <c r="C341" s="85" t="inlineStr">
        <is>
          <t>Dados - Chamada de integração</t>
        </is>
      </c>
      <c r="D341" s="142" t="n"/>
      <c r="E341" s="142" t="n"/>
      <c r="F341" s="142" t="n"/>
      <c r="G341" s="143" t="n"/>
      <c r="H341" s="56" t="inlineStr">
        <is>
          <t>ALI</t>
        </is>
      </c>
      <c r="I341" s="57" t="inlineStr">
        <is>
          <t>I</t>
        </is>
      </c>
      <c r="J341" s="56" t="n">
        <v>16</v>
      </c>
      <c r="K341" s="56" t="n">
        <v>1</v>
      </c>
      <c r="L341" s="50">
        <f>CONCATENATE(H341,M341)</f>
        <v/>
      </c>
      <c r="M341" s="51">
        <f>IF(OR(ISBLANK(J341),ISBLANK(K341)),IF(OR(H341="ALI",H341="AIE"),"L",IF(ISBLANK(H341),"","A")),IF(H341="EE",IF(K341&gt;=3,IF(J341&gt;=5,"H","A"),IF(K341&gt;=2,IF(J341&gt;=16,"H",IF(J341&lt;=4,"L","A")),IF(J341&lt;=15,"L","A"))),IF(OR(H341="SE",H341="CE"),IF(K341&gt;=4,IF(J341&gt;=6,"H","A"),IF(K341&gt;=2,IF(J341&gt;=20,"H",IF(J341&lt;=5,"L","A")),IF(J341&lt;=19,"L","A"))),IF(OR(H341="ALI",H341="AIE"),IF(K341&gt;=6,IF(J341&gt;=20,"H","A"),IF(K341&gt;=2,IF(J341&gt;=51,"H",IF(J341&lt;=19,"L","A")),IF(J341&lt;=50,"L","A")))))))</f>
        <v/>
      </c>
      <c r="N341" s="52">
        <f>IF(M341="L","Baixa",IF(M341="A","Média",IF(M341="","","Alta")))</f>
        <v/>
      </c>
      <c r="O341" s="53">
        <f>IF(ISBLANK(H341),"",IF(H341="ALI",IF(M341="L",7,IF(M341="A",10,15)),IF(H341="AIE",IF(M341="L",5,IF(M341="A",7,10)),IF(H341="SE",IF(M341="L",4,IF(M341="A",5,7)),IF(OR(H341="EE",H341="CE"),IF(M341="L",3,IF(M341="A",4,6)))))))</f>
        <v/>
      </c>
      <c r="P341" s="54">
        <f>IF(I341="I",O341*Contagem!$W$15,IF(I341="E",O341*Contagem!$W$17,IF(I341="A",O341*Contagem!$W$16,IF(I341="T",O341*Contagem!$W$18,""))))</f>
        <v/>
      </c>
      <c r="Q341" s="55" t="inlineStr">
        <is>
          <t>Prova: Model app/Models/IntegrationCall.php; migration database/migrations/2026_10_01_170000_create_integration_calls_table.php. Mantido pelo IntegrationCallRecorder dentro das chamadas de saída e das entradas do REGIN; lido pelas consultas do log em Auditoria. Teste: tests/Feature/Integracao/IntegrationCallLogTest.php::test_chamada_de_saida_grava_pedido_resposta_e_esconde_segredo. Arquivo lógico: Grupo lógico reconhecido pela auditoria: evidência de cada chamada com sistema externo (pedido, resposta, resultado), exigida para comprovar a integração real. TD=16 (direção, integração, método, URL, status HTTP, resultado, duração, cabeçalhos do pedido, corpo do pedido, cabeçalhos da resposta, corpo da resposta, mensagem de erro, truncado, correlação, IP, agente). TR=1 (Chamada de integração). Recontagem 16/10/2026: mantida (linha 467 da contagem de 01/10/2026).</t>
        </is>
      </c>
    </row>
    <row r="342" ht="12" customHeight="1" s="73">
      <c r="A342" s="14">
        <f>IF(H342="",IF(C342="",A341,A341+1),A341)</f>
        <v/>
      </c>
      <c r="B342" s="48">
        <f>IF(A342=A341,"",CONCATENATE("F",A342))</f>
        <v/>
      </c>
      <c r="C342" s="85" t="inlineStr">
        <is>
          <t>Integrações - consultar chamadas</t>
        </is>
      </c>
      <c r="D342" s="142" t="n"/>
      <c r="E342" s="142" t="n"/>
      <c r="F342" s="142" t="n"/>
      <c r="G342" s="143" t="n"/>
      <c r="H342" s="56" t="inlineStr">
        <is>
          <t>SE</t>
        </is>
      </c>
      <c r="I342" s="57" t="inlineStr">
        <is>
          <t>I</t>
        </is>
      </c>
      <c r="J342" s="56" t="n">
        <v>10</v>
      </c>
      <c r="K342" s="56" t="n">
        <v>2</v>
      </c>
      <c r="L342" s="50">
        <f>CONCATENATE(H342,M342)</f>
        <v/>
      </c>
      <c r="M342" s="51">
        <f>IF(OR(ISBLANK(J342),ISBLANK(K342)),IF(OR(H342="ALI",H342="AIE"),"L",IF(ISBLANK(H342),"","A")),IF(H342="EE",IF(K342&gt;=3,IF(J342&gt;=5,"H","A"),IF(K342&gt;=2,IF(J342&gt;=16,"H",IF(J342&lt;=4,"L","A")),IF(J342&lt;=15,"L","A"))),IF(OR(H342="SE",H342="CE"),IF(K342&gt;=4,IF(J342&gt;=6,"H","A"),IF(K342&gt;=2,IF(J342&gt;=20,"H",IF(J342&lt;=5,"L","A")),IF(J342&lt;=19,"L","A"))),IF(OR(H342="ALI",H342="AIE"),IF(K342&gt;=6,IF(J342&gt;=20,"H","A"),IF(K342&gt;=2,IF(J342&gt;=51,"H",IF(J342&lt;=19,"L","A")),IF(J342&lt;=50,"L","A")))))))</f>
        <v/>
      </c>
      <c r="N342" s="52">
        <f>IF(M342="L","Baixa",IF(M342="A","Média",IF(M342="","","Alta")))</f>
        <v/>
      </c>
      <c r="O342" s="53">
        <f>IF(ISBLANK(H342),"",IF(H342="ALI",IF(M342="L",7,IF(M342="A",10,15)),IF(H342="AIE",IF(M342="L",5,IF(M342="A",7,10)),IF(H342="SE",IF(M342="L",4,IF(M342="A",5,7)),IF(OR(H342="EE",H342="CE"),IF(M342="L",3,IF(M342="A",4,6)))))))</f>
        <v/>
      </c>
      <c r="P342" s="54">
        <f>IF(I342="I",O342*Contagem!$W$15,IF(I342="E",O342*Contagem!$W$17,IF(I342="A",O342*Contagem!$W$16,IF(I342="T",O342*Contagem!$W$18,""))))</f>
        <v/>
      </c>
      <c r="Q342" s="55" t="inlineStr">
        <is>
          <t>Prova: Rota GET /gestao/auditoria/integracoes (consultar-auditoria). Tela: gestao/auditoria/integracoes/index. O auditor filtra por direção, resultado e integração (os filtros são os mesmos DER das colunas). Lê Chamada de integração e audita a consulta. Resultado: lista paginada das chamadas. Teste: tests/Feature/Integracao/IntegrationCallLogTest.php::test_consulta_exige_permissao_e_mostra_a_chamada. Processo elementar independente: menor unidade com significado para o auditor; completa por si (filtra e recebe a lista); deixa o negócio consistente (consulta auditada); lógica única (filtros por direção, resultado e integração). Classificação: Lista sem cálculo, mas grava a Trilha de auditoria. A consulta grava o registro da própria consulta na Trilha de auditoria (AuditService::log), o que é manutenção de ALI pela transação; por isso a Trilha entra como FTR e a função não pode ser CE (CPM Parte 1 §5.5.3: CE não mantém ALI). TD=10 (data/hora, direção, integração, método, URL, status HTTP, resultado, duração, erro, ação filtrar). AR=2 (Chamada de integração, Trilha de auditoria). Recontagem 16/10/2026: alterada (linha 468 da contagem de 01/10/2026: "Integrações - consultar chamadas", CE Baixa 3 PF, TD 10, AR 1). Motivo: CE→SE e AR 1→2: o IntegrationCallController@index grava a consulta na Trilha de auditoria (consulta-integracoes, dado pessoal), o que mantém ALI. 3→5 PF.</t>
        </is>
      </c>
    </row>
    <row r="343" ht="12" customHeight="1" s="73">
      <c r="A343" s="14">
        <f>IF(H343="",IF(C343="",A342,A342+1),A342)</f>
        <v/>
      </c>
      <c r="B343" s="48">
        <f>IF(A343=A342,"",CONCATENATE("F",A343))</f>
        <v/>
      </c>
      <c r="C343" s="85" t="inlineStr">
        <is>
          <t>Integrações - consultar detalhe da chamada</t>
        </is>
      </c>
      <c r="D343" s="142" t="n"/>
      <c r="E343" s="142" t="n"/>
      <c r="F343" s="142" t="n"/>
      <c r="G343" s="143" t="n"/>
      <c r="H343" s="56" t="inlineStr">
        <is>
          <t>SE</t>
        </is>
      </c>
      <c r="I343" s="57" t="inlineStr">
        <is>
          <t>I</t>
        </is>
      </c>
      <c r="J343" s="56" t="n">
        <v>18</v>
      </c>
      <c r="K343" s="56" t="n">
        <v>2</v>
      </c>
      <c r="L343" s="50">
        <f>CONCATENATE(H343,M343)</f>
        <v/>
      </c>
      <c r="M343" s="51">
        <f>IF(OR(ISBLANK(J343),ISBLANK(K343)),IF(OR(H343="ALI",H343="AIE"),"L",IF(ISBLANK(H343),"","A")),IF(H343="EE",IF(K343&gt;=3,IF(J343&gt;=5,"H","A"),IF(K343&gt;=2,IF(J343&gt;=16,"H",IF(J343&lt;=4,"L","A")),IF(J343&lt;=15,"L","A"))),IF(OR(H343="SE",H343="CE"),IF(K343&gt;=4,IF(J343&gt;=6,"H","A"),IF(K343&gt;=2,IF(J343&gt;=20,"H",IF(J343&lt;=5,"L","A")),IF(J343&lt;=19,"L","A"))),IF(OR(H343="ALI",H343="AIE"),IF(K343&gt;=6,IF(J343&gt;=20,"H","A"),IF(K343&gt;=2,IF(J343&gt;=51,"H",IF(J343&lt;=19,"L","A")),IF(J343&lt;=50,"L","A")))))))</f>
        <v/>
      </c>
      <c r="N343" s="52">
        <f>IF(M343="L","Baixa",IF(M343="A","Média",IF(M343="","","Alta")))</f>
        <v/>
      </c>
      <c r="O343" s="53">
        <f>IF(ISBLANK(H343),"",IF(H343="ALI",IF(M343="L",7,IF(M343="A",10,15)),IF(H343="AIE",IF(M343="L",5,IF(M343="A",7,10)),IF(H343="SE",IF(M343="L",4,IF(M343="A",5,7)),IF(OR(H343="EE",H343="CE"),IF(M343="L",3,IF(M343="A",4,6)))))))</f>
        <v/>
      </c>
      <c r="P343" s="54">
        <f>IF(I343="I",O343*Contagem!$W$15,IF(I343="E",O343*Contagem!$W$17,IF(I343="A",O343*Contagem!$W$16,IF(I343="T",O343*Contagem!$W$18,""))))</f>
        <v/>
      </c>
      <c r="Q343" s="55" t="inlineStr">
        <is>
          <t>Prova: Rota GET /gestao/auditoria/integracoes/{integrationCall} (consultar-auditoria). Tela: gestao/auditoria/integracoes/show. O auditor abre uma chamada. Lê Chamada de integração com pedido e resposta completos e audita a consulta. Resultado: evidência detalhada da chamada. Teste: tests/Feature/Integracao/IntegrationCallLogTest.php::test_consulta_exige_permissao_e_mostra_a_chamada. Processo elementar independente: menor unidade com significado para o auditor; completa por si (escolhe a chamada e recebe o detalhe); deixa o negócio consistente (consulta auditada); lógica única (exibe cabeçalhos e corpos, ausentes na lista). Classificação: Recupera sem cálculo, mas grava a Trilha de auditoria. A consulta grava o registro da própria consulta na Trilha de auditoria (AuditService::log), o que é manutenção de ALI pela transação; por isso a Trilha entra como FTR e a função não pode ser CE (CPM Parte 1 §5.5.3: CE não mantém ALI). TD=18 (data/hora, direção, integração, método, URL, status HTTP, resultado, duração, erro, truncado, correlação, IP, agente, cabeçalhos do pedido, corpo do pedido, cabeçalhos da resposta, corpo da resposta, ação abrir detalhe). AR=2 (Chamada de integração, Trilha de auditoria). Recontagem 16/10/2026: alterada (linha 469 da contagem de 01/10/2026: "Integrações - consultar detalhe da chamada", CE Baixa 3 PF, TD 18, AR 1). Motivo: CE→SE e AR 1→2: o IntegrationCallController@show grava a consulta na Trilha de auditoria (consulta-integracao, dado pessoal). 3→5 PF.</t>
        </is>
      </c>
    </row>
    <row r="344" ht="12" customHeight="1" s="73">
      <c r="A344" s="14">
        <f>IF(H344="",IF(C344="",A343,A343+1),A343)</f>
        <v/>
      </c>
      <c r="B344" s="48">
        <f>IF(A344=A343,"",CONCATENATE("F",A344))</f>
        <v/>
      </c>
      <c r="C344" s="85" t="n"/>
      <c r="D344" s="142" t="n"/>
      <c r="E344" s="142" t="n"/>
      <c r="F344" s="142" t="n"/>
      <c r="G344" s="143" t="n"/>
      <c r="H344" s="56" t="n"/>
      <c r="I344" s="57" t="n"/>
      <c r="J344" s="56" t="n"/>
      <c r="K344" s="56" t="n"/>
      <c r="L344" s="50">
        <f>CONCATENATE(H344,M344)</f>
        <v/>
      </c>
      <c r="M344" s="51">
        <f>IF(OR(ISBLANK(J344),ISBLANK(K344)),IF(OR(H344="ALI",H344="AIE"),"L",IF(ISBLANK(H344),"","A")),IF(H344="EE",IF(K344&gt;=3,IF(J344&gt;=5,"H","A"),IF(K344&gt;=2,IF(J344&gt;=16,"H",IF(J344&lt;=4,"L","A")),IF(J344&lt;=15,"L","A"))),IF(OR(H344="SE",H344="CE"),IF(K344&gt;=4,IF(J344&gt;=6,"H","A"),IF(K344&gt;=2,IF(J344&gt;=20,"H",IF(J344&lt;=5,"L","A")),IF(J344&lt;=19,"L","A"))),IF(OR(H344="ALI",H344="AIE"),IF(K344&gt;=6,IF(J344&gt;=20,"H","A"),IF(K344&gt;=2,IF(J344&gt;=51,"H",IF(J344&lt;=19,"L","A")),IF(J344&lt;=50,"L","A")))))))</f>
        <v/>
      </c>
      <c r="N344" s="52">
        <f>IF(M344="L","Baixa",IF(M344="A","Média",IF(M344="","","Alta")))</f>
        <v/>
      </c>
      <c r="O344" s="53">
        <f>IF(ISBLANK(H344),"",IF(H344="ALI",IF(M344="L",7,IF(M344="A",10,15)),IF(H344="AIE",IF(M344="L",5,IF(M344="A",7,10)),IF(H344="SE",IF(M344="L",4,IF(M344="A",5,7)),IF(OR(H344="EE",H344="CE"),IF(M344="L",3,IF(M344="A",4,6)))))))</f>
        <v/>
      </c>
      <c r="P344" s="54">
        <f>IF(I344="I",O344*Contagem!$W$15,IF(I344="E",O344*Contagem!$W$17,IF(I344="A",O344*Contagem!$W$16,IF(I344="T",O344*Contagem!$W$18,""))))</f>
        <v/>
      </c>
      <c r="Q344" s="55" t="n"/>
    </row>
    <row r="345" ht="12" customHeight="1" s="73">
      <c r="A345" s="14">
        <f>IF(H345="",IF(C345="",A344,A344+1),A344)</f>
        <v/>
      </c>
      <c r="B345" s="48">
        <f>IF(A345=A344,"",CONCATENATE("F",A345))</f>
        <v/>
      </c>
      <c r="C345" s="85" t="inlineStr">
        <is>
          <t>Monitoramento de e-mails</t>
        </is>
      </c>
      <c r="D345" s="142" t="n"/>
      <c r="E345" s="142" t="n"/>
      <c r="F345" s="142" t="n"/>
      <c r="G345" s="143" t="n"/>
      <c r="H345" s="56" t="n"/>
      <c r="I345" s="57" t="n"/>
      <c r="J345" s="56" t="n"/>
      <c r="K345" s="56" t="n"/>
      <c r="L345" s="50">
        <f>CONCATENATE(H345,M345)</f>
        <v/>
      </c>
      <c r="M345" s="51">
        <f>IF(OR(ISBLANK(J345),ISBLANK(K345)),IF(OR(H345="ALI",H345="AIE"),"L",IF(ISBLANK(H345),"","A")),IF(H345="EE",IF(K345&gt;=3,IF(J345&gt;=5,"H","A"),IF(K345&gt;=2,IF(J345&gt;=16,"H",IF(J345&lt;=4,"L","A")),IF(J345&lt;=15,"L","A"))),IF(OR(H345="SE",H345="CE"),IF(K345&gt;=4,IF(J345&gt;=6,"H","A"),IF(K345&gt;=2,IF(J345&gt;=20,"H",IF(J345&lt;=5,"L","A")),IF(J345&lt;=19,"L","A"))),IF(OR(H345="ALI",H345="AIE"),IF(K345&gt;=6,IF(J345&gt;=20,"H","A"),IF(K345&gt;=2,IF(J345&gt;=51,"H",IF(J345&lt;=19,"L","A")),IF(J345&lt;=50,"L","A")))))))</f>
        <v/>
      </c>
      <c r="N345" s="52">
        <f>IF(M345="L","Baixa",IF(M345="A","Média",IF(M345="","","Alta")))</f>
        <v/>
      </c>
      <c r="O345" s="53">
        <f>IF(ISBLANK(H345),"",IF(H345="ALI",IF(M345="L",7,IF(M345="A",10,15)),IF(H345="AIE",IF(M345="L",5,IF(M345="A",7,10)),IF(H345="SE",IF(M345="L",4,IF(M345="A",5,7)),IF(OR(H345="EE",H345="CE"),IF(M345="L",3,IF(M345="A",4,6)))))))</f>
        <v/>
      </c>
      <c r="P345" s="54">
        <f>IF(I345="I",O345*Contagem!$W$15,IF(I345="E",O345*Contagem!$W$17,IF(I345="A",O345*Contagem!$W$16,IF(I345="T",O345*Contagem!$W$18,""))))</f>
        <v/>
      </c>
      <c r="Q345" s="55" t="n"/>
    </row>
    <row r="346" ht="12" customHeight="1" s="73">
      <c r="A346" s="14">
        <f>IF(H346="",IF(C346="",A345,A345+1),A345)</f>
        <v/>
      </c>
      <c r="B346" s="48">
        <f>IF(A346=A345,"",CONCATENATE("F",A346))</f>
        <v/>
      </c>
      <c r="C346" s="85" t="inlineStr">
        <is>
          <t>Dados - Registro de envio de e-mail</t>
        </is>
      </c>
      <c r="D346" s="142" t="n"/>
      <c r="E346" s="142" t="n"/>
      <c r="F346" s="142" t="n"/>
      <c r="G346" s="143" t="n"/>
      <c r="H346" s="56" t="inlineStr">
        <is>
          <t>ALI</t>
        </is>
      </c>
      <c r="I346" s="57" t="inlineStr">
        <is>
          <t>I</t>
        </is>
      </c>
      <c r="J346" s="56" t="n">
        <v>8</v>
      </c>
      <c r="K346" s="56" t="n">
        <v>1</v>
      </c>
      <c r="L346" s="50">
        <f>CONCATENATE(H346,M346)</f>
        <v/>
      </c>
      <c r="M346" s="51">
        <f>IF(OR(ISBLANK(J346),ISBLANK(K346)),IF(OR(H346="ALI",H346="AIE"),"L",IF(ISBLANK(H346),"","A")),IF(H346="EE",IF(K346&gt;=3,IF(J346&gt;=5,"H","A"),IF(K346&gt;=2,IF(J346&gt;=16,"H",IF(J346&lt;=4,"L","A")),IF(J346&lt;=15,"L","A"))),IF(OR(H346="SE",H346="CE"),IF(K346&gt;=4,IF(J346&gt;=6,"H","A"),IF(K346&gt;=2,IF(J346&gt;=20,"H",IF(J346&lt;=5,"L","A")),IF(J346&lt;=19,"L","A"))),IF(OR(H346="ALI",H346="AIE"),IF(K346&gt;=6,IF(J346&gt;=20,"H","A"),IF(K346&gt;=2,IF(J346&gt;=51,"H",IF(J346&lt;=19,"L","A")),IF(J346&lt;=50,"L","A")))))))</f>
        <v/>
      </c>
      <c r="N346" s="52">
        <f>IF(M346="L","Baixa",IF(M346="A","Média",IF(M346="","","Alta")))</f>
        <v/>
      </c>
      <c r="O346" s="53">
        <f>IF(ISBLANK(H346),"",IF(H346="ALI",IF(M346="L",7,IF(M346="A",10,15)),IF(H346="AIE",IF(M346="L",5,IF(M346="A",7,10)),IF(H346="SE",IF(M346="L",4,IF(M346="A",5,7)),IF(OR(H346="EE",H346="CE"),IF(M346="L",3,IF(M346="A",4,6)))))))</f>
        <v/>
      </c>
      <c r="P346" s="54">
        <f>IF(I346="I",O346*Contagem!$W$15,IF(I346="E",O346*Contagem!$W$17,IF(I346="A",O346*Contagem!$W$16,IF(I346="T",O346*Contagem!$W$18,""))))</f>
        <v/>
      </c>
      <c r="Q346" s="55" t="inlineStr">
        <is>
          <t>Prova: Model EmailLog; migration 2026_06_12_135955_create_email_logs_table. Gravado a cada e-mail enviado pelo sistema (User::routeNotificationForMail e eventos de envio) e consultado na tela Monitoramento de e-mails (GET /gestao/emails). Teste: tests/Feature/Emails/EmailLogIndexTest.php::test_administrador_consulta_log_de_emails_com_contadores. Arquivo lógico: Grupo lógico reconhecido pelo gestor: o registro de cada e-mail enviado, com situação e falha, consultado e filtrado no monitoramento de e-mails. TD=8 (destinatário, nome do destinatário, tipo de mensagem, situação, erro, data na fila, data de envio, data de falha). TR=1. Recontagem 16/10/2026: mantida (linha 520 da contagem de 01/10/2026).</t>
        </is>
      </c>
    </row>
    <row r="347" ht="12" customHeight="1" s="73">
      <c r="A347" s="14">
        <f>IF(H347="",IF(C347="",A346,A346+1),A346)</f>
        <v/>
      </c>
      <c r="B347" s="48">
        <f>IF(A347=A346,"",CONCATENATE("F",A347))</f>
        <v/>
      </c>
      <c r="C347" s="85" t="inlineStr">
        <is>
          <t>E-mails - consultar envios</t>
        </is>
      </c>
      <c r="D347" s="142" t="n"/>
      <c r="E347" s="142" t="n"/>
      <c r="F347" s="142" t="n"/>
      <c r="G347" s="143" t="n"/>
      <c r="H347" s="56" t="inlineStr">
        <is>
          <t>SE</t>
        </is>
      </c>
      <c r="I347" s="57" t="inlineStr">
        <is>
          <t>I</t>
        </is>
      </c>
      <c r="J347" s="56" t="n">
        <v>13</v>
      </c>
      <c r="K347" s="56" t="n">
        <v>1</v>
      </c>
      <c r="L347" s="50">
        <f>CONCATENATE(H347,M347)</f>
        <v/>
      </c>
      <c r="M347" s="51">
        <f>IF(OR(ISBLANK(J347),ISBLANK(K347)),IF(OR(H347="ALI",H347="AIE"),"L",IF(ISBLANK(H347),"","A")),IF(H347="EE",IF(K347&gt;=3,IF(J347&gt;=5,"H","A"),IF(K347&gt;=2,IF(J347&gt;=16,"H",IF(J347&lt;=4,"L","A")),IF(J347&lt;=15,"L","A"))),IF(OR(H347="SE",H347="CE"),IF(K347&gt;=4,IF(J347&gt;=6,"H","A"),IF(K347&gt;=2,IF(J347&gt;=20,"H",IF(J347&lt;=5,"L","A")),IF(J347&lt;=19,"L","A"))),IF(OR(H347="ALI",H347="AIE"),IF(K347&gt;=6,IF(J347&gt;=20,"H","A"),IF(K347&gt;=2,IF(J347&gt;=51,"H",IF(J347&lt;=19,"L","A")),IF(J347&lt;=50,"L","A")))))))</f>
        <v/>
      </c>
      <c r="N347" s="52">
        <f>IF(M347="L","Baixa",IF(M347="A","Média",IF(M347="","","Alta")))</f>
        <v/>
      </c>
      <c r="O347" s="53">
        <f>IF(ISBLANK(H347),"",IF(H347="ALI",IF(M347="L",7,IF(M347="A",10,15)),IF(H347="AIE",IF(M347="L",5,IF(M347="A",7,10)),IF(H347="SE",IF(M347="L",4,IF(M347="A",5,7)),IF(OR(H347="EE",H347="CE"),IF(M347="L",3,IF(M347="A",4,6)))))))</f>
        <v/>
      </c>
      <c r="P347" s="54">
        <f>IF(I347="I",O347*Contagem!$W$15,IF(I347="E",O347*Contagem!$W$17,IF(I347="A",O347*Contagem!$W$16,IF(I347="T",O347*Contagem!$W$18,""))))</f>
        <v/>
      </c>
      <c r="Q347" s="55" t="inlineStr">
        <is>
          <t>Prova: Rota GET /gestao/emails (permissão monitorar-emails). Tela: gestao/emails/index. O gestor filtra por situação. Lê EmailLog (gravado no envio das notificações e atualizado por LogNotificationSent/falha); não grava. Resultado: lista e contadores na fila/enviados/falhou. Teste: tests/Feature/Emails/EmailLogIndexTest.php::test_administrador_consulta_log_de_emails_com_contadores. Processo elementar independente: menor unidade com significado para o gestor; completa por si (filtro até lista e contadores); deixa o negócio consistente (nada muda); lógica única (monitoramento de envios com totais por situação). TD=13 (e-mail do destinatário, nome do destinatário, tipo de e-mail, situação, mensagem de erro, enfileirado em, enviado em, falhou em, criado em, total na fila, total enviados, total com falha, ação de consultar). AR=1 (Registro de envio de e-mail). Classificação: Exibe totais por situação (contagens calculadas): SE, não CE. O EmailLogController não grava auditoria da consulta. Recontagem 16/10/2026: mantida (linha 267 da contagem de 01/10/2026).</t>
        </is>
      </c>
    </row>
    <row r="348" ht="12" customHeight="1" s="73">
      <c r="A348" s="14">
        <f>IF(H348="",IF(C348="",A347,A347+1),A347)</f>
        <v/>
      </c>
      <c r="B348" s="48">
        <f>IF(A348=A347,"",CONCATENATE("F",A348))</f>
        <v/>
      </c>
      <c r="C348" s="85" t="n"/>
      <c r="D348" s="142" t="n"/>
      <c r="E348" s="142" t="n"/>
      <c r="F348" s="142" t="n"/>
      <c r="G348" s="143" t="n"/>
      <c r="H348" s="56" t="n"/>
      <c r="I348" s="57" t="n"/>
      <c r="J348" s="56" t="n"/>
      <c r="K348" s="56" t="n"/>
      <c r="L348" s="50">
        <f>CONCATENATE(H348,M348)</f>
        <v/>
      </c>
      <c r="M348" s="51">
        <f>IF(OR(ISBLANK(J348),ISBLANK(K348)),IF(OR(H348="ALI",H348="AIE"),"L",IF(ISBLANK(H348),"","A")),IF(H348="EE",IF(K348&gt;=3,IF(J348&gt;=5,"H","A"),IF(K348&gt;=2,IF(J348&gt;=16,"H",IF(J348&lt;=4,"L","A")),IF(J348&lt;=15,"L","A"))),IF(OR(H348="SE",H348="CE"),IF(K348&gt;=4,IF(J348&gt;=6,"H","A"),IF(K348&gt;=2,IF(J348&gt;=20,"H",IF(J348&lt;=5,"L","A")),IF(J348&lt;=19,"L","A"))),IF(OR(H348="ALI",H348="AIE"),IF(K348&gt;=6,IF(J348&gt;=20,"H","A"),IF(K348&gt;=2,IF(J348&gt;=51,"H",IF(J348&lt;=19,"L","A")),IF(J348&lt;=50,"L","A")))))))</f>
        <v/>
      </c>
      <c r="N348" s="52">
        <f>IF(M348="L","Baixa",IF(M348="A","Média",IF(M348="","","Alta")))</f>
        <v/>
      </c>
      <c r="O348" s="53">
        <f>IF(ISBLANK(H348),"",IF(H348="ALI",IF(M348="L",7,IF(M348="A",10,15)),IF(H348="AIE",IF(M348="L",5,IF(M348="A",7,10)),IF(H348="SE",IF(M348="L",4,IF(M348="A",5,7)),IF(OR(H348="EE",H348="CE"),IF(M348="L",3,IF(M348="A",4,6)))))))</f>
        <v/>
      </c>
      <c r="P348" s="54">
        <f>IF(I348="I",O348*Contagem!$W$15,IF(I348="E",O348*Contagem!$W$17,IF(I348="A",O348*Contagem!$W$16,IF(I348="T",O348*Contagem!$W$18,""))))</f>
        <v/>
      </c>
      <c r="Q348" s="55" t="n"/>
    </row>
    <row r="349" ht="12" customHeight="1" s="73">
      <c r="A349" s="14">
        <f>IF(H349="",IF(C349="",A348,A348+1),A348)</f>
        <v/>
      </c>
      <c r="B349" s="48">
        <f>IF(A349=A348,"",CONCATENATE("F",A349))</f>
        <v/>
      </c>
      <c r="C349" s="85" t="inlineStr">
        <is>
          <t>Monitoramento LGPD</t>
        </is>
      </c>
      <c r="D349" s="142" t="n"/>
      <c r="E349" s="142" t="n"/>
      <c r="F349" s="142" t="n"/>
      <c r="G349" s="143" t="n"/>
      <c r="H349" s="56" t="n"/>
      <c r="I349" s="57" t="n"/>
      <c r="J349" s="56" t="n"/>
      <c r="K349" s="56" t="n"/>
      <c r="L349" s="50">
        <f>CONCATENATE(H349,M349)</f>
        <v/>
      </c>
      <c r="M349" s="51">
        <f>IF(OR(ISBLANK(J349),ISBLANK(K349)),IF(OR(H349="ALI",H349="AIE"),"L",IF(ISBLANK(H349),"","A")),IF(H349="EE",IF(K349&gt;=3,IF(J349&gt;=5,"H","A"),IF(K349&gt;=2,IF(J349&gt;=16,"H",IF(J349&lt;=4,"L","A")),IF(J349&lt;=15,"L","A"))),IF(OR(H349="SE",H349="CE"),IF(K349&gt;=4,IF(J349&gt;=6,"H","A"),IF(K349&gt;=2,IF(J349&gt;=20,"H",IF(J349&lt;=5,"L","A")),IF(J349&lt;=19,"L","A"))),IF(OR(H349="ALI",H349="AIE"),IF(K349&gt;=6,IF(J349&gt;=20,"H","A"),IF(K349&gt;=2,IF(J349&gt;=51,"H",IF(J349&lt;=19,"L","A")),IF(J349&lt;=50,"L","A")))))))</f>
        <v/>
      </c>
      <c r="N349" s="52">
        <f>IF(M349="L","Baixa",IF(M349="A","Média",IF(M349="","","Alta")))</f>
        <v/>
      </c>
      <c r="O349" s="53">
        <f>IF(ISBLANK(H349),"",IF(H349="ALI",IF(M349="L",7,IF(M349="A",10,15)),IF(H349="AIE",IF(M349="L",5,IF(M349="A",7,10)),IF(H349="SE",IF(M349="L",4,IF(M349="A",5,7)),IF(OR(H349="EE",H349="CE"),IF(M349="L",3,IF(M349="A",4,6)))))))</f>
        <v/>
      </c>
      <c r="P349" s="54">
        <f>IF(I349="I",O349*Contagem!$W$15,IF(I349="E",O349*Contagem!$W$17,IF(I349="A",O349*Contagem!$W$16,IF(I349="T",O349*Contagem!$W$18,""))))</f>
        <v/>
      </c>
      <c r="Q349" s="55" t="n"/>
    </row>
    <row r="350" ht="12" customHeight="1" s="73">
      <c r="A350" s="14">
        <f>IF(H350="",IF(C350="",A349,A349+1),A349)</f>
        <v/>
      </c>
      <c r="B350" s="48">
        <f>IF(A350=A349,"",CONCATENATE("F",A350))</f>
        <v/>
      </c>
      <c r="C350" s="85" t="inlineStr">
        <is>
          <t>LGPD - consultar painel de monitoramento</t>
        </is>
      </c>
      <c r="D350" s="142" t="n"/>
      <c r="E350" s="142" t="n"/>
      <c r="F350" s="142" t="n"/>
      <c r="G350" s="143" t="n"/>
      <c r="H350" s="56" t="inlineStr">
        <is>
          <t>SE</t>
        </is>
      </c>
      <c r="I350" s="57" t="inlineStr">
        <is>
          <t>I</t>
        </is>
      </c>
      <c r="J350" s="56" t="n">
        <v>17</v>
      </c>
      <c r="K350" s="56" t="n">
        <v>4</v>
      </c>
      <c r="L350" s="50">
        <f>CONCATENATE(H350,M350)</f>
        <v/>
      </c>
      <c r="M350" s="51">
        <f>IF(OR(ISBLANK(J350),ISBLANK(K350)),IF(OR(H350="ALI",H350="AIE"),"L",IF(ISBLANK(H350),"","A")),IF(H350="EE",IF(K350&gt;=3,IF(J350&gt;=5,"H","A"),IF(K350&gt;=2,IF(J350&gt;=16,"H",IF(J350&lt;=4,"L","A")),IF(J350&lt;=15,"L","A"))),IF(OR(H350="SE",H350="CE"),IF(K350&gt;=4,IF(J350&gt;=6,"H","A"),IF(K350&gt;=2,IF(J350&gt;=20,"H",IF(J350&lt;=5,"L","A")),IF(J350&lt;=19,"L","A"))),IF(OR(H350="ALI",H350="AIE"),IF(K350&gt;=6,IF(J350&gt;=20,"H","A"),IF(K350&gt;=2,IF(J350&gt;=51,"H",IF(J350&lt;=19,"L","A")),IF(J350&lt;=50,"L","A")))))))</f>
        <v/>
      </c>
      <c r="N350" s="52">
        <f>IF(M350="L","Baixa",IF(M350="A","Média",IF(M350="","","Alta")))</f>
        <v/>
      </c>
      <c r="O350" s="53">
        <f>IF(ISBLANK(H350),"",IF(H350="ALI",IF(M350="L",7,IF(M350="A",10,15)),IF(H350="AIE",IF(M350="L",5,IF(M350="A",7,10)),IF(H350="SE",IF(M350="L",4,IF(M350="A",5,7)),IF(OR(H350="EE",H350="CE"),IF(M350="L",3,IF(M350="A",4,6)))))))</f>
        <v/>
      </c>
      <c r="P350" s="54">
        <f>IF(I350="I",O350*Contagem!$W$15,IF(I350="E",O350*Contagem!$W$17,IF(I350="A",O350*Contagem!$W$16,IF(I350="T",O350*Contagem!$W$18,""))))</f>
        <v/>
      </c>
      <c r="Q350" s="55" t="inlineStr">
        <is>
          <t>Prova: Rota GET /gestao/lgpd (monitorar-lgpd). Tela: gestao/lgpd/index. O encarregado consulta consentimentos, retenção e acessos a dado pessoal. LgpdMonitorService calcula totais e percentuais; o controller grava a consulta na Trilha de auditoria (dado pessoal). Teste: tests/Feature/Lgpd/LgpdMonitorTest.php::test_painel_renderiza_e_audita_para_quem_tem_permissao. Processo elementar independente: menor unidade com significado para o encarregado LGPD; completa por si (abre e recebe o painel); deixa o negócio consistente (consulta auditada); lógica única (indicadores de consentimento, retenção e acesso a dado pessoal). TD=17 (versão vigente do termo, publicado em, total de usuários, aceitaram a versão vigente, pendentes de reaceite, percentual de aceite, dias de retenção dos logs, último expurgo, registros removidos, decisões fora do expurgo, janela de acessos, desde, total de acessos a dado pessoal, acessos por evento (log, evento, total), situação dos direitos do titular, ação consultar). AR=4 (Termo legal, Usuário (inclui o aceite do termo como subgrupo), Trilha de auditoria, Parâmetro). Classificação: Exibe totais, percentuais e contagens por evento (dados derivados), portanto SE e não CE. Recontagem 16/10/2026: alterada (linha 401 da contagem de 01/10/2026: "LGPD - consultar painel de monitoramento", SE Alta 7 PF, TD 17, AR 5). Motivo: AR 5→4: o aceite do termo passou a subgrupo de Usuário na revisão do catálogo (premissa P3), e Usuário já era FTR. PF mantido (SE Alta).</t>
        </is>
      </c>
    </row>
    <row r="351" ht="12" customHeight="1" s="73">
      <c r="A351" s="14">
        <f>IF(H351="",IF(C351="",A350,A350+1),A350)</f>
        <v/>
      </c>
      <c r="B351" s="48">
        <f>IF(A351=A350,"",CONCATENATE("F",A351))</f>
        <v/>
      </c>
      <c r="C351" s="85" t="n"/>
      <c r="D351" s="142" t="n"/>
      <c r="E351" s="142" t="n"/>
      <c r="F351" s="142" t="n"/>
      <c r="G351" s="143" t="n"/>
      <c r="H351" s="56" t="n"/>
      <c r="I351" s="57" t="n"/>
      <c r="J351" s="56" t="n"/>
      <c r="K351" s="56" t="n"/>
      <c r="L351" s="50">
        <f>CONCATENATE(H351,M351)</f>
        <v/>
      </c>
      <c r="M351" s="51">
        <f>IF(OR(ISBLANK(J351),ISBLANK(K351)),IF(OR(H351="ALI",H351="AIE"),"L",IF(ISBLANK(H351),"","A")),IF(H351="EE",IF(K351&gt;=3,IF(J351&gt;=5,"H","A"),IF(K351&gt;=2,IF(J351&gt;=16,"H",IF(J351&lt;=4,"L","A")),IF(J351&lt;=15,"L","A"))),IF(OR(H351="SE",H351="CE"),IF(K351&gt;=4,IF(J351&gt;=6,"H","A"),IF(K351&gt;=2,IF(J351&gt;=20,"H",IF(J351&lt;=5,"L","A")),IF(J351&lt;=19,"L","A"))),IF(OR(H351="ALI",H351="AIE"),IF(K351&gt;=6,IF(J351&gt;=20,"H","A"),IF(K351&gt;=2,IF(J351&gt;=51,"H",IF(J351&lt;=19,"L","A")),IF(J351&lt;=50,"L","A")))))))</f>
        <v/>
      </c>
      <c r="N351" s="52">
        <f>IF(M351="L","Baixa",IF(M351="A","Média",IF(M351="","","Alta")))</f>
        <v/>
      </c>
      <c r="O351" s="53">
        <f>IF(ISBLANK(H351),"",IF(H351="ALI",IF(M351="L",7,IF(M351="A",10,15)),IF(H351="AIE",IF(M351="L",5,IF(M351="A",7,10)),IF(H351="SE",IF(M351="L",4,IF(M351="A",5,7)),IF(OR(H351="EE",H351="CE"),IF(M351="L",3,IF(M351="A",4,6)))))))</f>
        <v/>
      </c>
      <c r="P351" s="54">
        <f>IF(I351="I",O351*Contagem!$W$15,IF(I351="E",O351*Contagem!$W$17,IF(I351="A",O351*Contagem!$W$16,IF(I351="T",O351*Contagem!$W$18,""))))</f>
        <v/>
      </c>
      <c r="Q351" s="55" t="n"/>
    </row>
    <row r="352" ht="12" customHeight="1" s="73">
      <c r="A352" s="14">
        <f>IF(H352="",IF(C352="",A351,A351+1),A351)</f>
        <v/>
      </c>
      <c r="B352" s="48">
        <f>IF(A352=A351,"",CONCATENATE("F",A352))</f>
        <v/>
      </c>
      <c r="C352" s="85" t="inlineStr">
        <is>
          <t>Alertas de abuso</t>
        </is>
      </c>
      <c r="D352" s="142" t="n"/>
      <c r="E352" s="142" t="n"/>
      <c r="F352" s="142" t="n"/>
      <c r="G352" s="143" t="n"/>
      <c r="H352" s="56" t="n"/>
      <c r="I352" s="57" t="n"/>
      <c r="J352" s="56" t="n"/>
      <c r="K352" s="56" t="n"/>
      <c r="L352" s="50">
        <f>CONCATENATE(H352,M352)</f>
        <v/>
      </c>
      <c r="M352" s="51">
        <f>IF(OR(ISBLANK(J352),ISBLANK(K352)),IF(OR(H352="ALI",H352="AIE"),"L",IF(ISBLANK(H352),"","A")),IF(H352="EE",IF(K352&gt;=3,IF(J352&gt;=5,"H","A"),IF(K352&gt;=2,IF(J352&gt;=16,"H",IF(J352&lt;=4,"L","A")),IF(J352&lt;=15,"L","A"))),IF(OR(H352="SE",H352="CE"),IF(K352&gt;=4,IF(J352&gt;=6,"H","A"),IF(K352&gt;=2,IF(J352&gt;=20,"H",IF(J352&lt;=5,"L","A")),IF(J352&lt;=19,"L","A"))),IF(OR(H352="ALI",H352="AIE"),IF(K352&gt;=6,IF(J352&gt;=20,"H","A"),IF(K352&gt;=2,IF(J352&gt;=51,"H",IF(J352&lt;=19,"L","A")),IF(J352&lt;=50,"L","A")))))))</f>
        <v/>
      </c>
      <c r="N352" s="52">
        <f>IF(M352="L","Baixa",IF(M352="A","Média",IF(M352="","","Alta")))</f>
        <v/>
      </c>
      <c r="O352" s="53">
        <f>IF(ISBLANK(H352),"",IF(H352="ALI",IF(M352="L",7,IF(M352="A",10,15)),IF(H352="AIE",IF(M352="L",5,IF(M352="A",7,10)),IF(H352="SE",IF(M352="L",4,IF(M352="A",5,7)),IF(OR(H352="EE",H352="CE"),IF(M352="L",3,IF(M352="A",4,6)))))))</f>
        <v/>
      </c>
      <c r="P352" s="54">
        <f>IF(I352="I",O352*Contagem!$W$15,IF(I352="E",O352*Contagem!$W$17,IF(I352="A",O352*Contagem!$W$16,IF(I352="T",O352*Contagem!$W$18,""))))</f>
        <v/>
      </c>
      <c r="Q352" s="55" t="n"/>
    </row>
    <row r="353" ht="12" customHeight="1" s="73">
      <c r="A353" s="14">
        <f>IF(H353="",IF(C353="",A352,A352+1),A352)</f>
        <v/>
      </c>
      <c r="B353" s="48">
        <f>IF(A353=A352,"",CONCATENATE("F",A353))</f>
        <v/>
      </c>
      <c r="C353" s="85" t="inlineStr">
        <is>
          <t>Dados - Alerta de abuso</t>
        </is>
      </c>
      <c r="D353" s="142" t="n"/>
      <c r="E353" s="142" t="n"/>
      <c r="F353" s="142" t="n"/>
      <c r="G353" s="143" t="n"/>
      <c r="H353" s="56" t="inlineStr">
        <is>
          <t>ALI</t>
        </is>
      </c>
      <c r="I353" s="57" t="inlineStr">
        <is>
          <t>I</t>
        </is>
      </c>
      <c r="J353" s="56" t="n">
        <v>13</v>
      </c>
      <c r="K353" s="56" t="n">
        <v>1</v>
      </c>
      <c r="L353" s="50">
        <f>CONCATENATE(H353,M353)</f>
        <v/>
      </c>
      <c r="M353" s="51">
        <f>IF(OR(ISBLANK(J353),ISBLANK(K353)),IF(OR(H353="ALI",H353="AIE"),"L",IF(ISBLANK(H353),"","A")),IF(H353="EE",IF(K353&gt;=3,IF(J353&gt;=5,"H","A"),IF(K353&gt;=2,IF(J353&gt;=16,"H",IF(J353&lt;=4,"L","A")),IF(J353&lt;=15,"L","A"))),IF(OR(H353="SE",H353="CE"),IF(K353&gt;=4,IF(J353&gt;=6,"H","A"),IF(K353&gt;=2,IF(J353&gt;=20,"H",IF(J353&lt;=5,"L","A")),IF(J353&lt;=19,"L","A"))),IF(OR(H353="ALI",H353="AIE"),IF(K353&gt;=6,IF(J353&gt;=20,"H","A"),IF(K353&gt;=2,IF(J353&gt;=51,"H",IF(J353&lt;=19,"L","A")),IF(J353&lt;=50,"L","A")))))))</f>
        <v/>
      </c>
      <c r="N353" s="52">
        <f>IF(M353="L","Baixa",IF(M353="A","Média",IF(M353="","","Alta")))</f>
        <v/>
      </c>
      <c r="O353" s="53">
        <f>IF(ISBLANK(H353),"",IF(H353="ALI",IF(M353="L",7,IF(M353="A",10,15)),IF(H353="AIE",IF(M353="L",5,IF(M353="A",7,10)),IF(H353="SE",IF(M353="L",4,IF(M353="A",5,7)),IF(OR(H353="EE",H353="CE"),IF(M353="L",3,IF(M353="A",4,6)))))))</f>
        <v/>
      </c>
      <c r="P353" s="54">
        <f>IF(I353="I",O353*Contagem!$W$15,IF(I353="E",O353*Contagem!$W$17,IF(I353="A",O353*Contagem!$W$16,IF(I353="T",O353*Contagem!$W$18,""))))</f>
        <v/>
      </c>
      <c r="Q353" s="55" t="inlineStr">
        <is>
          <t>Prova: Model AbuseAlert, migration 2026_06_15_081545_create_abuse_alerts_table. Criado pela rotina AbusoDetectarCommand (AbuseDetectionService::create) e resolvido na tela gestao/abuso (AbusoController@confirmar/descartar). Teste: tests/Feature/Abuso/AbuseDetectionServiceTest.php::test_toggle_on_cria_alerta_e_segunda_execucao_e_idempotente. Arquivo lógico: Grupo lógico reconhecido pelo auditor: cada alerta de abuso tem regra, evidência e ciclo aberto/confirmado/descartado próprio. TD=13 (regra, severidade, situação, evidências, solicitação, objeto, início da janela, fim da janela, detectado em, resolvido por, resolvido em, justificativa, encaminhamento à malha fina). TR=1. Para demonstrar: features.deteccao_abuso ligado. Recontagem 16/10/2026: mantida (linha 504 da contagem de 01/10/2026).</t>
        </is>
      </c>
    </row>
    <row r="354" ht="12" customHeight="1" s="73">
      <c r="A354" s="14">
        <f>IF(H354="",IF(C354="",A353,A353+1),A353)</f>
        <v/>
      </c>
      <c r="B354" s="48">
        <f>IF(A354=A353,"",CONCATENATE("F",A354))</f>
        <v/>
      </c>
      <c r="C354" s="85" t="inlineStr">
        <is>
          <t>Alertas de abuso - consultar</t>
        </is>
      </c>
      <c r="D354" s="142" t="n"/>
      <c r="E354" s="142" t="n"/>
      <c r="F354" s="142" t="n"/>
      <c r="G354" s="143" t="n"/>
      <c r="H354" s="56" t="inlineStr">
        <is>
          <t>SE</t>
        </is>
      </c>
      <c r="I354" s="57" t="inlineStr">
        <is>
          <t>I</t>
        </is>
      </c>
      <c r="J354" s="56" t="n">
        <v>20</v>
      </c>
      <c r="K354" s="56" t="n">
        <v>4</v>
      </c>
      <c r="L354" s="50">
        <f>CONCATENATE(H354,M354)</f>
        <v/>
      </c>
      <c r="M354" s="51">
        <f>IF(OR(ISBLANK(J354),ISBLANK(K354)),IF(OR(H354="ALI",H354="AIE"),"L",IF(ISBLANK(H354),"","A")),IF(H354="EE",IF(K354&gt;=3,IF(J354&gt;=5,"H","A"),IF(K354&gt;=2,IF(J354&gt;=16,"H",IF(J354&lt;=4,"L","A")),IF(J354&lt;=15,"L","A"))),IF(OR(H354="SE",H354="CE"),IF(K354&gt;=4,IF(J354&gt;=6,"H","A"),IF(K354&gt;=2,IF(J354&gt;=20,"H",IF(J354&lt;=5,"L","A")),IF(J354&lt;=19,"L","A"))),IF(OR(H354="ALI",H354="AIE"),IF(K354&gt;=6,IF(J354&gt;=20,"H","A"),IF(K354&gt;=2,IF(J354&gt;=51,"H",IF(J354&lt;=19,"L","A")),IF(J354&lt;=50,"L","A")))))))</f>
        <v/>
      </c>
      <c r="N354" s="52">
        <f>IF(M354="L","Baixa",IF(M354="A","Média",IF(M354="","","Alta")))</f>
        <v/>
      </c>
      <c r="O354" s="53">
        <f>IF(ISBLANK(H354),"",IF(H354="ALI",IF(M354="L",7,IF(M354="A",10,15)),IF(H354="AIE",IF(M354="L",5,IF(M354="A",7,10)),IF(H354="SE",IF(M354="L",4,IF(M354="A",5,7)),IF(OR(H354="EE",H354="CE"),IF(M354="L",3,IF(M354="A",4,6)))))))</f>
        <v/>
      </c>
      <c r="P354" s="54">
        <f>IF(I354="I",O354*Contagem!$W$15,IF(I354="E",O354*Contagem!$W$17,IF(I354="A",O354*Contagem!$W$16,IF(I354="T",O354*Contagem!$W$18,""))))</f>
        <v/>
      </c>
      <c r="Q354" s="55" t="inlineStr">
        <is>
          <t>Prova: Rota GET /gestao/abuso (permissão gerenciar-alertas-abuso). Tela: gestao/abuso/index. O gestor filtra por regra, severidade, situação e período. Lê Alerta de abuso, Solicitação e Usuário; grava Trilha de auditoria da consulta. Resultado: lista e efetividade (taxa confirmados/gerados, geral e por regra). Teste: tests/Feature/Abuso/AbusoPainelTest.php::test_efetividade_calcula_confirmados_sobre_gerados_geral_e_por_regra. Processo elementar independente: menor unidade com significado para o gestor; completa por si (filtro até painel e efetividade); deixa o negócio consistente (consulta auditada); lógica única (taxa de efetividade por regra calculada). TD=20 (regra, severidade, situação, detectado em, início da janela, fim da janela, evidência, protocolo, encaminhado à malha fina, resolvido por, resolvido em, justificativa, total gerados, total confirmados, total descartados, total abertos, taxa de confirmação, data inicial, data final, ação de consultar). AR=4 (Alerta de abuso, Solicitação de viabilidade, Usuário, Trilha de auditoria). Classificação: Calcula totais e taxa de efetividade e grava auditoria da consulta: SE, não CE. Para demonstrar: features.deteccao_abuso ligado para gerar novos alertas. Recontagem 16/10/2026: mantida (linha 205 da contagem de 01/10/2026).</t>
        </is>
      </c>
    </row>
    <row r="355" ht="12" customHeight="1" s="73">
      <c r="A355" s="14">
        <f>IF(H355="",IF(C355="",A354,A354+1),A354)</f>
        <v/>
      </c>
      <c r="B355" s="48">
        <f>IF(A355=A354,"",CONCATENATE("F",A355))</f>
        <v/>
      </c>
      <c r="C355" s="85" t="inlineStr">
        <is>
          <t>Alertas de abuso - confirmar alerta</t>
        </is>
      </c>
      <c r="D355" s="142" t="n"/>
      <c r="E355" s="142" t="n"/>
      <c r="F355" s="142" t="n"/>
      <c r="G355" s="143" t="n"/>
      <c r="H355" s="56" t="inlineStr">
        <is>
          <t>EE</t>
        </is>
      </c>
      <c r="I355" s="57" t="inlineStr">
        <is>
          <t>I</t>
        </is>
      </c>
      <c r="J355" s="56" t="n">
        <v>5</v>
      </c>
      <c r="K355" s="56" t="n">
        <v>2</v>
      </c>
      <c r="L355" s="50">
        <f>CONCATENATE(H355,M355)</f>
        <v/>
      </c>
      <c r="M355" s="51">
        <f>IF(OR(ISBLANK(J355),ISBLANK(K355)),IF(OR(H355="ALI",H355="AIE"),"L",IF(ISBLANK(H355),"","A")),IF(H355="EE",IF(K355&gt;=3,IF(J355&gt;=5,"H","A"),IF(K355&gt;=2,IF(J355&gt;=16,"H",IF(J355&lt;=4,"L","A")),IF(J355&lt;=15,"L","A"))),IF(OR(H355="SE",H355="CE"),IF(K355&gt;=4,IF(J355&gt;=6,"H","A"),IF(K355&gt;=2,IF(J355&gt;=20,"H",IF(J355&lt;=5,"L","A")),IF(J355&lt;=19,"L","A"))),IF(OR(H355="ALI",H355="AIE"),IF(K355&gt;=6,IF(J355&gt;=20,"H","A"),IF(K355&gt;=2,IF(J355&gt;=51,"H",IF(J355&lt;=19,"L","A")),IF(J355&lt;=50,"L","A")))))))</f>
        <v/>
      </c>
      <c r="N355" s="52">
        <f>IF(M355="L","Baixa",IF(M355="A","Média",IF(M355="","","Alta")))</f>
        <v/>
      </c>
      <c r="O355" s="53">
        <f>IF(ISBLANK(H355),"",IF(H355="ALI",IF(M355="L",7,IF(M355="A",10,15)),IF(H355="AIE",IF(M355="L",5,IF(M355="A",7,10)),IF(H355="SE",IF(M355="L",4,IF(M355="A",5,7)),IF(OR(H355="EE",H355="CE"),IF(M355="L",3,IF(M355="A",4,6)))))))</f>
        <v/>
      </c>
      <c r="P355" s="54">
        <f>IF(I355="I",O355*Contagem!$W$15,IF(I355="E",O355*Contagem!$W$17,IF(I355="A",O355*Contagem!$W$16,IF(I355="T",O355*Contagem!$W$18,""))))</f>
        <v/>
      </c>
      <c r="Q355" s="55" t="inlineStr">
        <is>
          <t>Prova: Rotas POST /gestao/abuso/{abuseAlert}/confirmar e /descartar (permissão gerenciar-alertas-abuso). Tela: gestao/abuso/index. O gestor resolve o alerta com justificativa obrigatória. Grava Alerta de abuso (situação, responsável, data, justificativa) e Trilha de auditoria; não mexe no processo. Resultado: alerta sai da fila. Teste: tests/Feature/Abuso/AbusoPainelTest.php::test_confirmar_grava_resolucao_e_audita. Confirmar e descartar usam o mesmo AbusoController::resolver com os mesmos DER e FTR e só mudam o valor da situação gravada: um processo elementar só (CPM Parte 1 §5.5.2.2). Processo elementar independente: menor unidade com significado para o gestor; completa por si (justificativa até o alerta resolvido); deixa o negócio consistente (resolução auditada); lógica única (resolução de alerta com justificativa). TD=5 (alerta (identificação), decisão (confirmar ou descartar), justificativa, mensagem de sucesso/erro, ação de resolver). AR=2 (Alerta de abuso, Trilha de auditoria). Recontagem 16/10/2026: mantida (linha 206 da contagem de 01/10/2026).</t>
        </is>
      </c>
    </row>
    <row r="356" ht="12" customHeight="1" s="73">
      <c r="A356" s="14">
        <f>IF(H356="",IF(C356="",A355,A355+1),A355)</f>
        <v/>
      </c>
      <c r="B356" s="48">
        <f>IF(A356=A355,"",CONCATENATE("F",A356))</f>
        <v/>
      </c>
      <c r="C356" s="85" t="n"/>
      <c r="D356" s="142" t="n"/>
      <c r="E356" s="142" t="n"/>
      <c r="F356" s="142" t="n"/>
      <c r="G356" s="143" t="n"/>
      <c r="H356" s="56" t="n"/>
      <c r="I356" s="57" t="n"/>
      <c r="J356" s="56" t="n"/>
      <c r="K356" s="56" t="n"/>
      <c r="L356" s="50">
        <f>CONCATENATE(H356,M356)</f>
        <v/>
      </c>
      <c r="M356" s="51">
        <f>IF(OR(ISBLANK(J356),ISBLANK(K356)),IF(OR(H356="ALI",H356="AIE"),"L",IF(ISBLANK(H356),"","A")),IF(H356="EE",IF(K356&gt;=3,IF(J356&gt;=5,"H","A"),IF(K356&gt;=2,IF(J356&gt;=16,"H",IF(J356&lt;=4,"L","A")),IF(J356&lt;=15,"L","A"))),IF(OR(H356="SE",H356="CE"),IF(K356&gt;=4,IF(J356&gt;=6,"H","A"),IF(K356&gt;=2,IF(J356&gt;=20,"H",IF(J356&lt;=5,"L","A")),IF(J356&lt;=19,"L","A"))),IF(OR(H356="ALI",H356="AIE"),IF(K356&gt;=6,IF(J356&gt;=20,"H","A"),IF(K356&gt;=2,IF(J356&gt;=51,"H",IF(J356&lt;=19,"L","A")),IF(J356&lt;=50,"L","A")))))))</f>
        <v/>
      </c>
      <c r="N356" s="52">
        <f>IF(M356="L","Baixa",IF(M356="A","Média",IF(M356="","","Alta")))</f>
        <v/>
      </c>
      <c r="O356" s="53">
        <f>IF(ISBLANK(H356),"",IF(H356="ALI",IF(M356="L",7,IF(M356="A",10,15)),IF(H356="AIE",IF(M356="L",5,IF(M356="A",7,10)),IF(H356="SE",IF(M356="L",4,IF(M356="A",5,7)),IF(OR(H356="EE",H356="CE"),IF(M356="L",3,IF(M356="A",4,6)))))))</f>
        <v/>
      </c>
      <c r="P356" s="54">
        <f>IF(I356="I",O356*Contagem!$W$15,IF(I356="E",O356*Contagem!$W$17,IF(I356="A",O356*Contagem!$W$16,IF(I356="T",O356*Contagem!$W$18,""))))</f>
        <v/>
      </c>
      <c r="Q356" s="55" t="n"/>
    </row>
    <row r="357" ht="12" customHeight="1" s="73">
      <c r="A357" s="14">
        <f>IF(H357="",IF(C357="",A356,A356+1),A356)</f>
        <v/>
      </c>
      <c r="B357" s="48">
        <f>IF(A357=A356,"",CONCATENATE("F",A357))</f>
        <v/>
      </c>
      <c r="C357" s="85" t="inlineStr">
        <is>
          <t>Auditoria preditiva</t>
        </is>
      </c>
      <c r="D357" s="142" t="n"/>
      <c r="E357" s="142" t="n"/>
      <c r="F357" s="142" t="n"/>
      <c r="G357" s="143" t="n"/>
      <c r="H357" s="56" t="n"/>
      <c r="I357" s="57" t="n"/>
      <c r="J357" s="56" t="n"/>
      <c r="K357" s="56" t="n"/>
      <c r="L357" s="50">
        <f>CONCATENATE(H357,M357)</f>
        <v/>
      </c>
      <c r="M357" s="51">
        <f>IF(OR(ISBLANK(J357),ISBLANK(K357)),IF(OR(H357="ALI",H357="AIE"),"L",IF(ISBLANK(H357),"","A")),IF(H357="EE",IF(K357&gt;=3,IF(J357&gt;=5,"H","A"),IF(K357&gt;=2,IF(J357&gt;=16,"H",IF(J357&lt;=4,"L","A")),IF(J357&lt;=15,"L","A"))),IF(OR(H357="SE",H357="CE"),IF(K357&gt;=4,IF(J357&gt;=6,"H","A"),IF(K357&gt;=2,IF(J357&gt;=20,"H",IF(J357&lt;=5,"L","A")),IF(J357&lt;=19,"L","A"))),IF(OR(H357="ALI",H357="AIE"),IF(K357&gt;=6,IF(J357&gt;=20,"H","A"),IF(K357&gt;=2,IF(J357&gt;=51,"H",IF(J357&lt;=19,"L","A")),IF(J357&lt;=50,"L","A")))))))</f>
        <v/>
      </c>
      <c r="N357" s="52">
        <f>IF(M357="L","Baixa",IF(M357="A","Média",IF(M357="","","Alta")))</f>
        <v/>
      </c>
      <c r="O357" s="53">
        <f>IF(ISBLANK(H357),"",IF(H357="ALI",IF(M357="L",7,IF(M357="A",10,15)),IF(H357="AIE",IF(M357="L",5,IF(M357="A",7,10)),IF(H357="SE",IF(M357="L",4,IF(M357="A",5,7)),IF(OR(H357="EE",H357="CE"),IF(M357="L",3,IF(M357="A",4,6)))))))</f>
        <v/>
      </c>
      <c r="P357" s="54">
        <f>IF(I357="I",O357*Contagem!$W$15,IF(I357="E",O357*Contagem!$W$17,IF(I357="A",O357*Contagem!$W$16,IF(I357="T",O357*Contagem!$W$18,""))))</f>
        <v/>
      </c>
      <c r="Q357" s="55" t="n"/>
    </row>
    <row r="358" ht="12" customHeight="1" s="73">
      <c r="A358" s="14">
        <f>IF(H358="",IF(C358="",A357,A357+1),A357)</f>
        <v/>
      </c>
      <c r="B358" s="48">
        <f>IF(A358=A357,"",CONCATENATE("F",A358))</f>
        <v/>
      </c>
      <c r="C358" s="85" t="inlineStr">
        <is>
          <t>Dados - Anomalia preditiva</t>
        </is>
      </c>
      <c r="D358" s="142" t="n"/>
      <c r="E358" s="142" t="n"/>
      <c r="F358" s="142" t="n"/>
      <c r="G358" s="143" t="n"/>
      <c r="H358" s="56" t="inlineStr">
        <is>
          <t>ALI</t>
        </is>
      </c>
      <c r="I358" s="57" t="inlineStr">
        <is>
          <t>I</t>
        </is>
      </c>
      <c r="J358" s="56" t="n">
        <v>12</v>
      </c>
      <c r="K358" s="56" t="n">
        <v>1</v>
      </c>
      <c r="L358" s="50">
        <f>CONCATENATE(H358,M358)</f>
        <v/>
      </c>
      <c r="M358" s="51">
        <f>IF(OR(ISBLANK(J358),ISBLANK(K358)),IF(OR(H358="ALI",H358="AIE"),"L",IF(ISBLANK(H358),"","A")),IF(H358="EE",IF(K358&gt;=3,IF(J358&gt;=5,"H","A"),IF(K358&gt;=2,IF(J358&gt;=16,"H",IF(J358&lt;=4,"L","A")),IF(J358&lt;=15,"L","A"))),IF(OR(H358="SE",H358="CE"),IF(K358&gt;=4,IF(J358&gt;=6,"H","A"),IF(K358&gt;=2,IF(J358&gt;=20,"H",IF(J358&lt;=5,"L","A")),IF(J358&lt;=19,"L","A"))),IF(OR(H358="ALI",H358="AIE"),IF(K358&gt;=6,IF(J358&gt;=20,"H","A"),IF(K358&gt;=2,IF(J358&gt;=51,"H",IF(J358&lt;=19,"L","A")),IF(J358&lt;=50,"L","A")))))))</f>
        <v/>
      </c>
      <c r="N358" s="52">
        <f>IF(M358="L","Baixa",IF(M358="A","Média",IF(M358="","","Alta")))</f>
        <v/>
      </c>
      <c r="O358" s="53">
        <f>IF(ISBLANK(H358),"",IF(H358="ALI",IF(M358="L",7,IF(M358="A",10,15)),IF(H358="AIE",IF(M358="L",5,IF(M358="A",7,10)),IF(H358="SE",IF(M358="L",4,IF(M358="A",5,7)),IF(OR(H358="EE",H358="CE"),IF(M358="L",3,IF(M358="A",4,6)))))))</f>
        <v/>
      </c>
      <c r="P358" s="54">
        <f>IF(I358="I",O358*Contagem!$W$15,IF(I358="E",O358*Contagem!$W$17,IF(I358="A",O358*Contagem!$W$16,IF(I358="T",O358*Contagem!$W$18,""))))</f>
        <v/>
      </c>
      <c r="Q358" s="55" t="inlineStr">
        <is>
          <t>Prova: Model PredictiveAnomaly, migration 2026_06_23_223000_create_predictive_anomalies_table. Criada pela rotina AuditoriaPreditivaCommand (PredictiveAuditService::create) e resolvida na tela gestao/auditoria-preditiva (AuditoriaPreditivaController@confirmar/descartar). Teste: tests/Feature/Ia/AuditoriaPreditivaControllerTest.php::test_confirmar_muda_status_da_anomalia_sem_punir_o_processo. Arquivo lógico: Grupo lógico reconhecido pelo auditor: cada anomalia tem pontuação, fatores e ciclo aberto/confirmado/descartado próprio. TD=12 (solicitação, pontuação, severidade, situação, fatores, início da janela, fim da janela, detectada em, resolvida por, resolvida em, justificativa, encaminhamento à malha fina). TR=1. Para demonstrar: features.ia_auditoria_preditiva ligado. Recontagem 16/10/2026: mantida (linha 501 da contagem de 01/10/2026).</t>
        </is>
      </c>
    </row>
    <row r="359" ht="12" customHeight="1" s="73">
      <c r="A359" s="14">
        <f>IF(H359="",IF(C359="",A358,A358+1),A358)</f>
        <v/>
      </c>
      <c r="B359" s="48">
        <f>IF(A359=A358,"",CONCATENATE("F",A359))</f>
        <v/>
      </c>
      <c r="C359" s="85" t="inlineStr">
        <is>
          <t>Auditoria preditiva - consultar anomalias</t>
        </is>
      </c>
      <c r="D359" s="142" t="n"/>
      <c r="E359" s="142" t="n"/>
      <c r="F359" s="142" t="n"/>
      <c r="G359" s="143" t="n"/>
      <c r="H359" s="56" t="inlineStr">
        <is>
          <t>SE</t>
        </is>
      </c>
      <c r="I359" s="57" t="inlineStr">
        <is>
          <t>I</t>
        </is>
      </c>
      <c r="J359" s="56" t="n">
        <v>19</v>
      </c>
      <c r="K359" s="56" t="n">
        <v>4</v>
      </c>
      <c r="L359" s="50">
        <f>CONCATENATE(H359,M359)</f>
        <v/>
      </c>
      <c r="M359" s="51">
        <f>IF(OR(ISBLANK(J359),ISBLANK(K359)),IF(OR(H359="ALI",H359="AIE"),"L",IF(ISBLANK(H359),"","A")),IF(H359="EE",IF(K359&gt;=3,IF(J359&gt;=5,"H","A"),IF(K359&gt;=2,IF(J359&gt;=16,"H",IF(J359&lt;=4,"L","A")),IF(J359&lt;=15,"L","A"))),IF(OR(H359="SE",H359="CE"),IF(K359&gt;=4,IF(J359&gt;=6,"H","A"),IF(K359&gt;=2,IF(J359&gt;=20,"H",IF(J359&lt;=5,"L","A")),IF(J359&lt;=19,"L","A"))),IF(OR(H359="ALI",H359="AIE"),IF(K359&gt;=6,IF(J359&gt;=20,"H","A"),IF(K359&gt;=2,IF(J359&gt;=51,"H",IF(J359&lt;=19,"L","A")),IF(J359&lt;=50,"L","A")))))))</f>
        <v/>
      </c>
      <c r="N359" s="52">
        <f>IF(M359="L","Baixa",IF(M359="A","Média",IF(M359="","","Alta")))</f>
        <v/>
      </c>
      <c r="O359" s="53">
        <f>IF(ISBLANK(H359),"",IF(H359="ALI",IF(M359="L",7,IF(M359="A",10,15)),IF(H359="AIE",IF(M359="L",5,IF(M359="A",7,10)),IF(H359="SE",IF(M359="L",4,IF(M359="A",5,7)),IF(OR(H359="EE",H359="CE"),IF(M359="L",3,IF(M359="A",4,6)))))))</f>
        <v/>
      </c>
      <c r="P359" s="54">
        <f>IF(I359="I",O359*Contagem!$W$15,IF(I359="E",O359*Contagem!$W$17,IF(I359="A",O359*Contagem!$W$16,IF(I359="T",O359*Contagem!$W$18,""))))</f>
        <v/>
      </c>
      <c r="Q359" s="55" t="inlineStr">
        <is>
          <t>Prova: Rota GET /gestao/auditoria-preditiva (permissão gerenciar-alertas-abuso). Tela: gestao/auditoria-preditiva/index. O gestor filtra por severidade, situação e período. Lê Anomalia preditiva, Solicitação e Usuário; grava Trilha de auditoria da consulta. Resultado: anomalias por pontuação e efetividade com taxa. Teste: tests/Feature/Ia/AuditoriaPreditivaControllerTest.php::test_index_renderiza_anomalias_e_efetividade_auditado. Processo elementar independente: menor unidade com significado para o gestor; completa por si (filtro até painel e efetividade); deixa o negócio consistente (consulta auditada); lógica única (taxa de efetividade das anomalias calculada). TD=19 (pontuação, severidade, situação, fatores, protocolo, encaminhado à malha fina, detectado em, resolvido por, resolvido em, justificativa, total gerados, total confirmados, total descartados, total abertos, taxa de confirmação, indicador de interruptor ligado, data inicial, data final, ação de consultar). AR=4 (Anomalia preditiva, Solicitação de viabilidade, Usuário, Trilha de auditoria). Classificação: Calcula totais e taxa de efetividade e grava auditoria da consulta: SE, não CE. Para demonstrar: features.ia_auditoria_preditiva ligado para gerar novas anomalias. Recontagem 16/10/2026: mantida (linha 308 da contagem de 01/10/2026).</t>
        </is>
      </c>
    </row>
    <row r="360" ht="12" customHeight="1" s="73">
      <c r="A360" s="14">
        <f>IF(H360="",IF(C360="",A359,A359+1),A359)</f>
        <v/>
      </c>
      <c r="B360" s="48">
        <f>IF(A360=A359,"",CONCATENATE("F",A360))</f>
        <v/>
      </c>
      <c r="C360" s="85" t="inlineStr">
        <is>
          <t>Auditoria preditiva - confirmar anomalia</t>
        </is>
      </c>
      <c r="D360" s="142" t="n"/>
      <c r="E360" s="142" t="n"/>
      <c r="F360" s="142" t="n"/>
      <c r="G360" s="143" t="n"/>
      <c r="H360" s="56" t="inlineStr">
        <is>
          <t>EE</t>
        </is>
      </c>
      <c r="I360" s="57" t="inlineStr">
        <is>
          <t>I</t>
        </is>
      </c>
      <c r="J360" s="56" t="n">
        <v>5</v>
      </c>
      <c r="K360" s="56" t="n">
        <v>2</v>
      </c>
      <c r="L360" s="50">
        <f>CONCATENATE(H360,M360)</f>
        <v/>
      </c>
      <c r="M360" s="51">
        <f>IF(OR(ISBLANK(J360),ISBLANK(K360)),IF(OR(H360="ALI",H360="AIE"),"L",IF(ISBLANK(H360),"","A")),IF(H360="EE",IF(K360&gt;=3,IF(J360&gt;=5,"H","A"),IF(K360&gt;=2,IF(J360&gt;=16,"H",IF(J360&lt;=4,"L","A")),IF(J360&lt;=15,"L","A"))),IF(OR(H360="SE",H360="CE"),IF(K360&gt;=4,IF(J360&gt;=6,"H","A"),IF(K360&gt;=2,IF(J360&gt;=20,"H",IF(J360&lt;=5,"L","A")),IF(J360&lt;=19,"L","A"))),IF(OR(H360="ALI",H360="AIE"),IF(K360&gt;=6,IF(J360&gt;=20,"H","A"),IF(K360&gt;=2,IF(J360&gt;=51,"H",IF(J360&lt;=19,"L","A")),IF(J360&lt;=50,"L","A")))))))</f>
        <v/>
      </c>
      <c r="N360" s="52">
        <f>IF(M360="L","Baixa",IF(M360="A","Média",IF(M360="","","Alta")))</f>
        <v/>
      </c>
      <c r="O360" s="53">
        <f>IF(ISBLANK(H360),"",IF(H360="ALI",IF(M360="L",7,IF(M360="A",10,15)),IF(H360="AIE",IF(M360="L",5,IF(M360="A",7,10)),IF(H360="SE",IF(M360="L",4,IF(M360="A",5,7)),IF(OR(H360="EE",H360="CE"),IF(M360="L",3,IF(M360="A",4,6)))))))</f>
        <v/>
      </c>
      <c r="P360" s="54">
        <f>IF(I360="I",O360*Contagem!$W$15,IF(I360="E",O360*Contagem!$W$17,IF(I360="A",O360*Contagem!$W$16,IF(I360="T",O360*Contagem!$W$18,""))))</f>
        <v/>
      </c>
      <c r="Q360" s="55" t="inlineStr">
        <is>
          <t>Prova: Rotas POST /gestao/auditoria-preditiva/{predictiveAnomaly}/confirmar e /descartar (permissão gerenciar-alertas-abuso). Tela: gestao/auditoria-preditiva/index. O gestor resolve a anomalia com justificativa. Grava Anomalia preditiva e Trilha de auditoria; não pune o processo. Teste: tests/Feature/Ia/AuditoriaPreditivaControllerTest.php::test_confirmar_muda_status_da_anomalia_sem_punir_o_processo. Confirmar e descartar usam o mesmo AuditoriaPreditivaController::resolver com os mesmos DER e FTR e só mudam o valor da situação gravada: um processo elementar só (CPM Parte 1 §5.5.2.2). Processo elementar independente: menor unidade com significado para o gestor; completa por si (justificativa até a anomalia resolvida); deixa o negócio consistente (resolução auditada); lógica única (resolução de anomalia com justificativa). TD=5 (anomalia (identificação), decisão (confirmar ou descartar), justificativa, mensagem de sucesso/erro, ação de resolver). AR=2 (Anomalia preditiva, Trilha de auditoria). Recontagem 16/10/2026: mantida (linha 309 da contagem de 01/10/2026).</t>
        </is>
      </c>
    </row>
    <row r="361" ht="12" customHeight="1" s="73">
      <c r="A361" s="14">
        <f>IF(H361="",IF(C361="",A360,A360+1),A360)</f>
        <v/>
      </c>
      <c r="B361" s="48">
        <f>IF(A361=A360,"",CONCATENATE("F",A361))</f>
        <v/>
      </c>
      <c r="C361" s="85" t="n"/>
      <c r="D361" s="142" t="n"/>
      <c r="E361" s="142" t="n"/>
      <c r="F361" s="142" t="n"/>
      <c r="G361" s="143" t="n"/>
      <c r="H361" s="56" t="n"/>
      <c r="I361" s="57" t="n"/>
      <c r="J361" s="56" t="n"/>
      <c r="K361" s="56" t="n"/>
      <c r="L361" s="50">
        <f>CONCATENATE(H361,M361)</f>
        <v/>
      </c>
      <c r="M361" s="51">
        <f>IF(OR(ISBLANK(J361),ISBLANK(K361)),IF(OR(H361="ALI",H361="AIE"),"L",IF(ISBLANK(H361),"","A")),IF(H361="EE",IF(K361&gt;=3,IF(J361&gt;=5,"H","A"),IF(K361&gt;=2,IF(J361&gt;=16,"H",IF(J361&lt;=4,"L","A")),IF(J361&lt;=15,"L","A"))),IF(OR(H361="SE",H361="CE"),IF(K361&gt;=4,IF(J361&gt;=6,"H","A"),IF(K361&gt;=2,IF(J361&gt;=20,"H",IF(J361&lt;=5,"L","A")),IF(J361&lt;=19,"L","A"))),IF(OR(H361="ALI",H361="AIE"),IF(K361&gt;=6,IF(J361&gt;=20,"H","A"),IF(K361&gt;=2,IF(J361&gt;=51,"H",IF(J361&lt;=19,"L","A")),IF(J361&lt;=50,"L","A")))))))</f>
        <v/>
      </c>
      <c r="N361" s="52">
        <f>IF(M361="L","Baixa",IF(M361="A","Média",IF(M361="","","Alta")))</f>
        <v/>
      </c>
      <c r="O361" s="53">
        <f>IF(ISBLANK(H361),"",IF(H361="ALI",IF(M361="L",7,IF(M361="A",10,15)),IF(H361="AIE",IF(M361="L",5,IF(M361="A",7,10)),IF(H361="SE",IF(M361="L",4,IF(M361="A",5,7)),IF(OR(H361="EE",H361="CE"),IF(M361="L",3,IF(M361="A",4,6)))))))</f>
        <v/>
      </c>
      <c r="P361" s="54">
        <f>IF(I361="I",O361*Contagem!$W$15,IF(I361="E",O361*Contagem!$W$17,IF(I361="A",O361*Contagem!$W$16,IF(I361="T",O361*Contagem!$W$18,""))))</f>
        <v/>
      </c>
      <c r="Q361" s="55" t="n"/>
    </row>
    <row r="362" ht="12" customHeight="1" s="73">
      <c r="A362" s="14">
        <f>IF(H362="",IF(C362="",A361,A361+1),A361)</f>
        <v/>
      </c>
      <c r="B362" s="48">
        <f>IF(A362=A361,"",CONCATENATE("F",A362))</f>
        <v/>
      </c>
      <c r="C362" s="85" t="inlineStr">
        <is>
          <t>Conta do cidadão no portal</t>
        </is>
      </c>
      <c r="D362" s="142" t="n"/>
      <c r="E362" s="142" t="n"/>
      <c r="F362" s="142" t="n"/>
      <c r="G362" s="143" t="n"/>
      <c r="H362" s="56" t="n"/>
      <c r="I362" s="57" t="n"/>
      <c r="J362" s="56" t="n"/>
      <c r="K362" s="56" t="n"/>
      <c r="L362" s="50">
        <f>CONCATENATE(H362,M362)</f>
        <v/>
      </c>
      <c r="M362" s="51">
        <f>IF(OR(ISBLANK(J362),ISBLANK(K362)),IF(OR(H362="ALI",H362="AIE"),"L",IF(ISBLANK(H362),"","A")),IF(H362="EE",IF(K362&gt;=3,IF(J362&gt;=5,"H","A"),IF(K362&gt;=2,IF(J362&gt;=16,"H",IF(J362&lt;=4,"L","A")),IF(J362&lt;=15,"L","A"))),IF(OR(H362="SE",H362="CE"),IF(K362&gt;=4,IF(J362&gt;=6,"H","A"),IF(K362&gt;=2,IF(J362&gt;=20,"H",IF(J362&lt;=5,"L","A")),IF(J362&lt;=19,"L","A"))),IF(OR(H362="ALI",H362="AIE"),IF(K362&gt;=6,IF(J362&gt;=20,"H","A"),IF(K362&gt;=2,IF(J362&gt;=51,"H",IF(J362&lt;=19,"L","A")),IF(J362&lt;=50,"L","A")))))))</f>
        <v/>
      </c>
      <c r="N362" s="52">
        <f>IF(M362="L","Baixa",IF(M362="A","Média",IF(M362="","","Alta")))</f>
        <v/>
      </c>
      <c r="O362" s="53">
        <f>IF(ISBLANK(H362),"",IF(H362="ALI",IF(M362="L",7,IF(M362="A",10,15)),IF(H362="AIE",IF(M362="L",5,IF(M362="A",7,10)),IF(H362="SE",IF(M362="L",4,IF(M362="A",5,7)),IF(OR(H362="EE",H362="CE"),IF(M362="L",3,IF(M362="A",4,6)))))))</f>
        <v/>
      </c>
      <c r="P362" s="54">
        <f>IF(I362="I",O362*Contagem!$W$15,IF(I362="E",O362*Contagem!$W$17,IF(I362="A",O362*Contagem!$W$16,IF(I362="T",O362*Contagem!$W$18,""))))</f>
        <v/>
      </c>
      <c r="Q362" s="55" t="n"/>
    </row>
    <row r="363" ht="12" customHeight="1" s="73">
      <c r="A363" s="14">
        <f>IF(H363="",IF(C363="",A362,A362+1),A362)</f>
        <v/>
      </c>
      <c r="B363" s="48">
        <f>IF(A363=A362,"",CONCATENATE("F",A363))</f>
        <v/>
      </c>
      <c r="C363" s="85" t="inlineStr">
        <is>
          <t>Cadastro do cidadão - criar conta</t>
        </is>
      </c>
      <c r="D363" s="142" t="n"/>
      <c r="E363" s="142" t="n"/>
      <c r="F363" s="142" t="n"/>
      <c r="G363" s="143" t="n"/>
      <c r="H363" s="56" t="inlineStr">
        <is>
          <t>EE</t>
        </is>
      </c>
      <c r="I363" s="57" t="inlineStr">
        <is>
          <t>I</t>
        </is>
      </c>
      <c r="J363" s="56" t="n">
        <v>8</v>
      </c>
      <c r="K363" s="56" t="n">
        <v>6</v>
      </c>
      <c r="L363" s="50">
        <f>CONCATENATE(H363,M363)</f>
        <v/>
      </c>
      <c r="M363" s="51">
        <f>IF(OR(ISBLANK(J363),ISBLANK(K363)),IF(OR(H363="ALI",H363="AIE"),"L",IF(ISBLANK(H363),"","A")),IF(H363="EE",IF(K363&gt;=3,IF(J363&gt;=5,"H","A"),IF(K363&gt;=2,IF(J363&gt;=16,"H",IF(J363&lt;=4,"L","A")),IF(J363&lt;=15,"L","A"))),IF(OR(H363="SE",H363="CE"),IF(K363&gt;=4,IF(J363&gt;=6,"H","A"),IF(K363&gt;=2,IF(J363&gt;=20,"H",IF(J363&lt;=5,"L","A")),IF(J363&lt;=19,"L","A"))),IF(OR(H363="ALI",H363="AIE"),IF(K363&gt;=6,IF(J363&gt;=20,"H","A"),IF(K363&gt;=2,IF(J363&gt;=51,"H",IF(J363&lt;=19,"L","A")),IF(J363&lt;=50,"L","A")))))))</f>
        <v/>
      </c>
      <c r="N363" s="52">
        <f>IF(M363="L","Baixa",IF(M363="A","Média",IF(M363="","","Alta")))</f>
        <v/>
      </c>
      <c r="O363" s="53">
        <f>IF(ISBLANK(H363),"",IF(H363="ALI",IF(M363="L",7,IF(M363="A",10,15)),IF(H363="AIE",IF(M363="L",5,IF(M363="A",7,10)),IF(H363="SE",IF(M363="L",4,IF(M363="A",5,7)),IF(OR(H363="EE",H363="CE"),IF(M363="L",3,IF(M363="A",4,6)))))))</f>
        <v/>
      </c>
      <c r="P363" s="54">
        <f>IF(I363="I",O363*Contagem!$W$15,IF(I363="E",O363*Contagem!$W$17,IF(I363="A",O363*Contagem!$W$16,IF(I363="T",O363*Contagem!$W$18,""))))</f>
        <v/>
      </c>
      <c r="Q363" s="55" t="inlineStr">
        <is>
          <t>Prova: Rota POST /portal/register (Fortify, sem login). Tela: auth/register. O cidadão informa nome, CPF, telefone, e-mail e senha; App\Actions\Fortify\CreateNewUser valida CPF (dígitos verificadores, único), e-mail único, telefone com DDD e a política de senha, grava o Usuário e atribui o Perfil de acesso definido no parâmetro portal.perfil_cidadao (App\Support\PerfilCidadao). User::sendEmailVerificationNotification grava no mesmo request o Registro de envio de e-mail (situação na fila) do link de confirmação. O listener RecordRegistrationActivity grava o evento 'cadastro' na trilha; em seguida o Fortify autentica a conta e o RecordSuccessfulLogin grava o Registro de acesso. Teste: tests/Feature/Auth/RegistrationTest.php::test_usuario_se_cadastra_com_sucesso (também test_cadastro_usa_o_perfil_definido_no_parametro e test_cadastro_gera_auditoria). Processo elementar independente: menor unidade com significado para o cidadão; completa por si (do formulário à conta criada); deixa o negócio consistente (CPF e e-mail únicos, perfil de cidadão atribuído); lógica própria, diferente de qualquer cadastro da gestão (autocadastro com perfil parametrizado). Não estava na contagem anterior. Classificação: intenção primária é manter Usuário: EE (§5.5.3). TD=8 (nome, CPF, telefone, e-mail, senha, confirmação da senha, mensagem de erro/sucesso, ação cadastrar). AR=6 (Usuário, Parâmetro, Perfil de acesso, Trilha de auditoria, Registro de acesso, Registro de envio de e-mail). Recontagem 16/10/2026: nova (não constava da contagem de 01/10/2026).</t>
        </is>
      </c>
    </row>
    <row r="364" ht="12" customHeight="1" s="73">
      <c r="A364" s="14">
        <f>IF(H364="",IF(C364="",A363,A363+1),A363)</f>
        <v/>
      </c>
      <c r="B364" s="48">
        <f>IF(A364=A363,"",CONCATENATE("F",A364))</f>
        <v/>
      </c>
      <c r="C364" s="85" t="inlineStr">
        <is>
          <t>Portal - entrar no sistema</t>
        </is>
      </c>
      <c r="D364" s="142" t="n"/>
      <c r="E364" s="142" t="n"/>
      <c r="F364" s="142" t="n"/>
      <c r="G364" s="143" t="n"/>
      <c r="H364" s="56" t="inlineStr">
        <is>
          <t>EE</t>
        </is>
      </c>
      <c r="I364" s="57" t="inlineStr">
        <is>
          <t>I</t>
        </is>
      </c>
      <c r="J364" s="56" t="n">
        <v>5</v>
      </c>
      <c r="K364" s="56" t="n">
        <v>2</v>
      </c>
      <c r="L364" s="50">
        <f>CONCATENATE(H364,M364)</f>
        <v/>
      </c>
      <c r="M364" s="51">
        <f>IF(OR(ISBLANK(J364),ISBLANK(K364)),IF(OR(H364="ALI",H364="AIE"),"L",IF(ISBLANK(H364),"","A")),IF(H364="EE",IF(K364&gt;=3,IF(J364&gt;=5,"H","A"),IF(K364&gt;=2,IF(J364&gt;=16,"H",IF(J364&lt;=4,"L","A")),IF(J364&lt;=15,"L","A"))),IF(OR(H364="SE",H364="CE"),IF(K364&gt;=4,IF(J364&gt;=6,"H","A"),IF(K364&gt;=2,IF(J364&gt;=20,"H",IF(J364&lt;=5,"L","A")),IF(J364&lt;=19,"L","A"))),IF(OR(H364="ALI",H364="AIE"),IF(K364&gt;=6,IF(J364&gt;=20,"H","A"),IF(K364&gt;=2,IF(J364&gt;=51,"H",IF(J364&lt;=19,"L","A")),IF(J364&lt;=50,"L","A")))))))</f>
        <v/>
      </c>
      <c r="N364" s="52">
        <f>IF(M364="L","Baixa",IF(M364="A","Média",IF(M364="","","Alta")))</f>
        <v/>
      </c>
      <c r="O364" s="53">
        <f>IF(ISBLANK(H364),"",IF(H364="ALI",IF(M364="L",7,IF(M364="A",10,15)),IF(H364="AIE",IF(M364="L",5,IF(M364="A",7,10)),IF(H364="SE",IF(M364="L",4,IF(M364="A",5,7)),IF(OR(H364="EE",H364="CE"),IF(M364="L",3,IF(M364="A",4,6)))))))</f>
        <v/>
      </c>
      <c r="P364" s="54">
        <f>IF(I364="I",O364*Contagem!$W$15,IF(I364="E",O364*Contagem!$W$17,IF(I364="A",O364*Contagem!$W$16,IF(I364="T",O364*Contagem!$W$18,""))))</f>
        <v/>
      </c>
      <c r="Q364" s="55" t="inlineStr">
        <is>
          <t>Prova: Rota POST /portal/login (Fortify, sem login). Tela: auth/login. O cidadão entra com CPF (normalizado para dígitos) e senha; Fortify::authenticateUsing em app/Providers/FortifyServiceProvider.php confere a senha, recusa conta inativada gravando o Registro de acesso 'inativada', e os listeners RecordSuccessfulLogin, RecordFailedLogin e RecordLockout gravam sucesso, falha e bloqueio temporário (limite de tentativas parametrizado). Anti-oráculo: CPF inexistente e senha errada têm a mesma mensagem. Teste: tests/Feature/Auth/AuthenticationTest.php::test_cidadao_autentica_com_cpf_e_vai_para_o_portal (também test_login_gera_registro_no_historico_de_acessos e test_bloqueio_temporario_apos_tentativas_excedidas). Processo elementar independente: menor unidade com significado para o cidadão; completa por si (credencial até a sessão aberta ou recusada); deixa o negócio consistente (acesso registrado); distinta do login da gestão (outro DER: CPF em vez de e-mail/usuário AD; outros FTR: sem Setor e sem Trilha; outra lógica: sem AD e sem provisionamento), logo não é o mesmo processo (§5.5.2.2). Não estava na contagem anterior. Classificação: não é só validação (Parte 4, logon): grava o Registro de acesso exigido pela HU-010, o que impede CE (CE não atualiza ALI, §5.5.3); a intenção primária é controle que altera o comportamento do sistema (libera o portal): EE. TD=5 (CPF, senha, lembrar-me, mensagem de erro (credencial, inativa, bloqueio), ação entrar). AR=2 (Usuário, Registro de acesso). O limite de tentativas é parâmetro técnico de segurança e não entra como FTR. Recontagem 16/10/2026: nova (não constava da contagem de 01/10/2026).</t>
        </is>
      </c>
    </row>
    <row r="365" ht="12" customHeight="1" s="73">
      <c r="A365" s="14">
        <f>IF(H365="",IF(C365="",A364,A364+1),A364)</f>
        <v/>
      </c>
      <c r="B365" s="48">
        <f>IF(A365=A364,"",CONCATENATE("F",A365))</f>
        <v/>
      </c>
      <c r="C365" s="85" t="inlineStr">
        <is>
          <t>Confirmação de e-mail - confirmar e-mail</t>
        </is>
      </c>
      <c r="D365" s="142" t="n"/>
      <c r="E365" s="142" t="n"/>
      <c r="F365" s="142" t="n"/>
      <c r="G365" s="143" t="n"/>
      <c r="H365" s="56" t="inlineStr">
        <is>
          <t>EE</t>
        </is>
      </c>
      <c r="I365" s="57" t="inlineStr">
        <is>
          <t>I</t>
        </is>
      </c>
      <c r="J365" s="56" t="n">
        <v>3</v>
      </c>
      <c r="K365" s="56" t="n">
        <v>2</v>
      </c>
      <c r="L365" s="50">
        <f>CONCATENATE(H365,M365)</f>
        <v/>
      </c>
      <c r="M365" s="51">
        <f>IF(OR(ISBLANK(J365),ISBLANK(K365)),IF(OR(H365="ALI",H365="AIE"),"L",IF(ISBLANK(H365),"","A")),IF(H365="EE",IF(K365&gt;=3,IF(J365&gt;=5,"H","A"),IF(K365&gt;=2,IF(J365&gt;=16,"H",IF(J365&lt;=4,"L","A")),IF(J365&lt;=15,"L","A"))),IF(OR(H365="SE",H365="CE"),IF(K365&gt;=4,IF(J365&gt;=6,"H","A"),IF(K365&gt;=2,IF(J365&gt;=20,"H",IF(J365&lt;=5,"L","A")),IF(J365&lt;=19,"L","A"))),IF(OR(H365="ALI",H365="AIE"),IF(K365&gt;=6,IF(J365&gt;=20,"H","A"),IF(K365&gt;=2,IF(J365&gt;=51,"H",IF(J365&lt;=19,"L","A")),IF(J365&lt;=50,"L","A")))))))</f>
        <v/>
      </c>
      <c r="N365" s="52">
        <f>IF(M365="L","Baixa",IF(M365="A","Média",IF(M365="","","Alta")))</f>
        <v/>
      </c>
      <c r="O365" s="53">
        <f>IF(ISBLANK(H365),"",IF(H365="ALI",IF(M365="L",7,IF(M365="A",10,15)),IF(H365="AIE",IF(M365="L",5,IF(M365="A",7,10)),IF(H365="SE",IF(M365="L",4,IF(M365="A",5,7)),IF(OR(H365="EE",H365="CE"),IF(M365="L",3,IF(M365="A",4,6)))))))</f>
        <v/>
      </c>
      <c r="P365" s="54">
        <f>IF(I365="I",O365*Contagem!$W$15,IF(I365="E",O365*Contagem!$W$17,IF(I365="A",O365*Contagem!$W$16,IF(I365="T",O365*Contagem!$W$18,""))))</f>
        <v/>
      </c>
      <c r="Q365" s="55" t="inlineStr">
        <is>
          <t>Prova: Rota GET /portal/email/verify/{id}/{hash} (Fortify, auth:web, link assinado com validade). Tela: auth/verify-email. O cidadão abre o link recebido; o Fortify marca email_verified_at no Usuário e dispara Verified; o listener RecordEmailVerifiedActivity grava 'email-confirmado' na trilha. Link expirado ou hash inválido não confirmam. Teste: tests/Feature/Auth/EmailVerificationTest.php::test_email_e_verificado_com_link_assinado (também test_verificacao_gera_auditoria e test_hash_invalido_nao_verifica). Processo elementar independente: menor unidade com significado para o cidadão; completa por si (do link ao e-mail confirmado); deixa o negócio consistente (só conta confirmada usa o portal e a gestão); lógica única. O reenvio do link (POST /portal/email/verification-notification) repete o e-mail já previsto no cadastro, sem manter dado: reprocessamento de entrega, não conta à parte. Não estava na contagem anterior. Classificação: mantém Usuário (data de confirmação): EE. TD=3 (link de confirmação (conta e e-mail), mensagem de resultado (confirmado, expirado, inválido), ação abrir o link). AR=2 (Usuário, Trilha de auditoria). Recontagem 16/10/2026: nova (não constava da contagem de 01/10/2026).</t>
        </is>
      </c>
    </row>
    <row r="366" ht="12" customHeight="1" s="73">
      <c r="A366" s="14">
        <f>IF(H366="",IF(C366="",A365,A365+1),A365)</f>
        <v/>
      </c>
      <c r="B366" s="48">
        <f>IF(A366=A365,"",CONCATENATE("F",A366))</f>
        <v/>
      </c>
      <c r="C366" s="85" t="n"/>
      <c r="D366" s="142" t="n"/>
      <c r="E366" s="142" t="n"/>
      <c r="F366" s="142" t="n"/>
      <c r="G366" s="143" t="n"/>
      <c r="H366" s="56" t="n"/>
      <c r="I366" s="57" t="n"/>
      <c r="J366" s="56" t="n"/>
      <c r="K366" s="56" t="n"/>
      <c r="L366" s="50">
        <f>CONCATENATE(H366,M366)</f>
        <v/>
      </c>
      <c r="M366" s="51">
        <f>IF(OR(ISBLANK(J366),ISBLANK(K366)),IF(OR(H366="ALI",H366="AIE"),"L",IF(ISBLANK(H366),"","A")),IF(H366="EE",IF(K366&gt;=3,IF(J366&gt;=5,"H","A"),IF(K366&gt;=2,IF(J366&gt;=16,"H",IF(J366&lt;=4,"L","A")),IF(J366&lt;=15,"L","A"))),IF(OR(H366="SE",H366="CE"),IF(K366&gt;=4,IF(J366&gt;=6,"H","A"),IF(K366&gt;=2,IF(J366&gt;=20,"H",IF(J366&lt;=5,"L","A")),IF(J366&lt;=19,"L","A"))),IF(OR(H366="ALI",H366="AIE"),IF(K366&gt;=6,IF(J366&gt;=20,"H","A"),IF(K366&gt;=2,IF(J366&gt;=51,"H",IF(J366&lt;=19,"L","A")),IF(J366&lt;=50,"L","A")))))))</f>
        <v/>
      </c>
      <c r="N366" s="52">
        <f>IF(M366="L","Baixa",IF(M366="A","Média",IF(M366="","","Alta")))</f>
        <v/>
      </c>
      <c r="O366" s="53">
        <f>IF(ISBLANK(H366),"",IF(H366="ALI",IF(M366="L",7,IF(M366="A",10,15)),IF(H366="AIE",IF(M366="L",5,IF(M366="A",7,10)),IF(H366="SE",IF(M366="L",4,IF(M366="A",5,7)),IF(OR(H366="EE",H366="CE"),IF(M366="L",3,IF(M366="A",4,6)))))))</f>
        <v/>
      </c>
      <c r="P366" s="54">
        <f>IF(I366="I",O366*Contagem!$W$15,IF(I366="E",O366*Contagem!$W$17,IF(I366="A",O366*Contagem!$W$16,IF(I366="T",O366*Contagem!$W$18,""))))</f>
        <v/>
      </c>
      <c r="Q366" s="55" t="n"/>
    </row>
    <row r="367" ht="12" customHeight="1" s="73">
      <c r="A367" s="14">
        <f>IF(H367="",IF(C367="",A366,A366+1),A366)</f>
        <v/>
      </c>
      <c r="B367" s="48">
        <f>IF(A367=A366,"",CONCATENATE("F",A367))</f>
        <v/>
      </c>
      <c r="C367" s="85" t="inlineStr">
        <is>
          <t>Recuperação e redefinição de senha</t>
        </is>
      </c>
      <c r="D367" s="142" t="n"/>
      <c r="E367" s="142" t="n"/>
      <c r="F367" s="142" t="n"/>
      <c r="G367" s="143" t="n"/>
      <c r="H367" s="56" t="n"/>
      <c r="I367" s="57" t="n"/>
      <c r="J367" s="56" t="n"/>
      <c r="K367" s="56" t="n"/>
      <c r="L367" s="50">
        <f>CONCATENATE(H367,M367)</f>
        <v/>
      </c>
      <c r="M367" s="51">
        <f>IF(OR(ISBLANK(J367),ISBLANK(K367)),IF(OR(H367="ALI",H367="AIE"),"L",IF(ISBLANK(H367),"","A")),IF(H367="EE",IF(K367&gt;=3,IF(J367&gt;=5,"H","A"),IF(K367&gt;=2,IF(J367&gt;=16,"H",IF(J367&lt;=4,"L","A")),IF(J367&lt;=15,"L","A"))),IF(OR(H367="SE",H367="CE"),IF(K367&gt;=4,IF(J367&gt;=6,"H","A"),IF(K367&gt;=2,IF(J367&gt;=20,"H",IF(J367&lt;=5,"L","A")),IF(J367&lt;=19,"L","A"))),IF(OR(H367="ALI",H367="AIE"),IF(K367&gt;=6,IF(J367&gt;=20,"H","A"),IF(K367&gt;=2,IF(J367&gt;=51,"H",IF(J367&lt;=19,"L","A")),IF(J367&lt;=50,"L","A")))))))</f>
        <v/>
      </c>
      <c r="N367" s="52">
        <f>IF(M367="L","Baixa",IF(M367="A","Média",IF(M367="","","Alta")))</f>
        <v/>
      </c>
      <c r="O367" s="53">
        <f>IF(ISBLANK(H367),"",IF(H367="ALI",IF(M367="L",7,IF(M367="A",10,15)),IF(H367="AIE",IF(M367="L",5,IF(M367="A",7,10)),IF(H367="SE",IF(M367="L",4,IF(M367="A",5,7)),IF(OR(H367="EE",H367="CE"),IF(M367="L",3,IF(M367="A",4,6)))))))</f>
        <v/>
      </c>
      <c r="P367" s="54">
        <f>IF(I367="I",O367*Contagem!$W$15,IF(I367="E",O367*Contagem!$W$17,IF(I367="A",O367*Contagem!$W$16,IF(I367="T",O367*Contagem!$W$18,""))))</f>
        <v/>
      </c>
      <c r="Q367" s="55" t="n"/>
    </row>
    <row r="368" ht="12" customHeight="1" s="73">
      <c r="A368" s="14">
        <f>IF(H368="",IF(C368="",A367,A367+1),A367)</f>
        <v/>
      </c>
      <c r="B368" s="48">
        <f>IF(A368=A367,"",CONCATENATE("F",A368))</f>
        <v/>
      </c>
      <c r="C368" s="85" t="inlineStr">
        <is>
          <t>Recuperação de senha - solicitar</t>
        </is>
      </c>
      <c r="D368" s="142" t="n"/>
      <c r="E368" s="142" t="n"/>
      <c r="F368" s="142" t="n"/>
      <c r="G368" s="143" t="n"/>
      <c r="H368" s="56" t="inlineStr">
        <is>
          <t>EE</t>
        </is>
      </c>
      <c r="I368" s="57" t="inlineStr">
        <is>
          <t>I</t>
        </is>
      </c>
      <c r="J368" s="56" t="n">
        <v>3</v>
      </c>
      <c r="K368" s="56" t="n">
        <v>3</v>
      </c>
      <c r="L368" s="50">
        <f>CONCATENATE(H368,M368)</f>
        <v/>
      </c>
      <c r="M368" s="51">
        <f>IF(OR(ISBLANK(J368),ISBLANK(K368)),IF(OR(H368="ALI",H368="AIE"),"L",IF(ISBLANK(H368),"","A")),IF(H368="EE",IF(K368&gt;=3,IF(J368&gt;=5,"H","A"),IF(K368&gt;=2,IF(J368&gt;=16,"H",IF(J368&lt;=4,"L","A")),IF(J368&lt;=15,"L","A"))),IF(OR(H368="SE",H368="CE"),IF(K368&gt;=4,IF(J368&gt;=6,"H","A"),IF(K368&gt;=2,IF(J368&gt;=20,"H",IF(J368&lt;=5,"L","A")),IF(J368&lt;=19,"L","A"))),IF(OR(H368="ALI",H368="AIE"),IF(K368&gt;=6,IF(J368&gt;=20,"H","A"),IF(K368&gt;=2,IF(J368&gt;=51,"H",IF(J368&lt;=19,"L","A")),IF(J368&lt;=50,"L","A")))))))</f>
        <v/>
      </c>
      <c r="N368" s="52">
        <f>IF(M368="L","Baixa",IF(M368="A","Média",IF(M368="","","Alta")))</f>
        <v/>
      </c>
      <c r="O368" s="53">
        <f>IF(ISBLANK(H368),"",IF(H368="ALI",IF(M368="L",7,IF(M368="A",10,15)),IF(H368="AIE",IF(M368="L",5,IF(M368="A",7,10)),IF(H368="SE",IF(M368="L",4,IF(M368="A",5,7)),IF(OR(H368="EE",H368="CE"),IF(M368="L",3,IF(M368="A",4,6)))))))</f>
        <v/>
      </c>
      <c r="P368" s="54">
        <f>IF(I368="I",O368*Contagem!$W$15,IF(I368="E",O368*Contagem!$W$17,IF(I368="A",O368*Contagem!$W$16,IF(I368="T",O368*Contagem!$W$18,""))))</f>
        <v/>
      </c>
      <c r="Q368" s="55" t="inlineStr">
        <is>
          <t>Prova: Rotas POST /gestao/forgot-password (Gestao\ForgotPasswordController@store, sem login) e POST /portal/forgot-password (Fortify, sem login). Telas: auth/gestao-forgot-password e auth/forgot-password. O usuário informa o e-mail; o sistema lê o Usuário, gera o token, grava o Registro de envio de e-mail (situação na fila) e enfileira o link. Resposta sempre igual (anti-oráculo; no portal via App\Http\Responses\RespostaRecuperacaoSenhaSemRevelarConta). Na gestão só conta ativa, local e com a permissão acessar-gestao (Perfil de acesso) recebe o link. Teste: tests/Feature/Auth/GestaoPasswordResetTest.php::test_link_de_recuperacao_do_console_aponta_para_gestao e tests/Feature/Auth/PasswordResetTest.php::test_link_de_recuperacao_e_enviado. Processo elementar independente: menor unidade com significado para o usuário; completa por si (do e-mail ao link enviado); deixa o negócio consistente (só conta elegível recebe o link). Portal e gestão têm os mesmos DER e FTR; o filtro de elegibilidade da gestão é variação da mesma lógica (CPM Parte 2, Cap. 7, nota de unicidade): uma só função. O envio do e-mail é efeito do próprio processo. Classificação: entrada de controle que habilita a redefinição: EE. TD=3 (e-mail, mensagem, ação enviar). AR=3 (Usuário, Perfil de acesso, Registro de envio de e-mail). Recontagem 16/10/2026: alterada (linha 150 da contagem de 01/10/2026: "Recuperação de senha - solicitar", EE Baixa 3 PF, TD 3, AR 1). Motivo: AR 1→3: o disparo grava no mesmo request o Registro de envio de e-mail (User::sendPasswordResetNotification e sendGestaoPasswordResetNotification) e, na gestão, a elegibilidade lê a permissão do Perfil de acesso; passa a cobrir também a rota do portal (mesma função).</t>
        </is>
      </c>
    </row>
    <row r="369" ht="12" customHeight="1" s="73">
      <c r="A369" s="14">
        <f>IF(H369="",IF(C369="",A368,A368+1),A368)</f>
        <v/>
      </c>
      <c r="B369" s="48">
        <f>IF(A369=A368,"",CONCATENATE("F",A369))</f>
        <v/>
      </c>
      <c r="C369" s="85" t="inlineStr">
        <is>
          <t>Redefinição de senha - redefinir</t>
        </is>
      </c>
      <c r="D369" s="142" t="n"/>
      <c r="E369" s="142" t="n"/>
      <c r="F369" s="142" t="n"/>
      <c r="G369" s="143" t="n"/>
      <c r="H369" s="56" t="inlineStr">
        <is>
          <t>EE</t>
        </is>
      </c>
      <c r="I369" s="57" t="inlineStr">
        <is>
          <t>I</t>
        </is>
      </c>
      <c r="J369" s="56" t="n">
        <v>5</v>
      </c>
      <c r="K369" s="56" t="n">
        <v>2</v>
      </c>
      <c r="L369" s="50">
        <f>CONCATENATE(H369,M369)</f>
        <v/>
      </c>
      <c r="M369" s="51">
        <f>IF(OR(ISBLANK(J369),ISBLANK(K369)),IF(OR(H369="ALI",H369="AIE"),"L",IF(ISBLANK(H369),"","A")),IF(H369="EE",IF(K369&gt;=3,IF(J369&gt;=5,"H","A"),IF(K369&gt;=2,IF(J369&gt;=16,"H",IF(J369&lt;=4,"L","A")),IF(J369&lt;=15,"L","A"))),IF(OR(H369="SE",H369="CE"),IF(K369&gt;=4,IF(J369&gt;=6,"H","A"),IF(K369&gt;=2,IF(J369&gt;=20,"H",IF(J369&lt;=5,"L","A")),IF(J369&lt;=19,"L","A"))),IF(OR(H369="ALI",H369="AIE"),IF(K369&gt;=6,IF(J369&gt;=20,"H","A"),IF(K369&gt;=2,IF(J369&gt;=51,"H",IF(J369&lt;=19,"L","A")),IF(J369&lt;=50,"L","A")))))))</f>
        <v/>
      </c>
      <c r="N369" s="52">
        <f>IF(M369="L","Baixa",IF(M369="A","Média",IF(M369="","","Alta")))</f>
        <v/>
      </c>
      <c r="O369" s="53">
        <f>IF(ISBLANK(H369),"",IF(H369="ALI",IF(M369="L",7,IF(M369="A",10,15)),IF(H369="AIE",IF(M369="L",5,IF(M369="A",7,10)),IF(H369="SE",IF(M369="L",4,IF(M369="A",5,7)),IF(OR(H369="EE",H369="CE"),IF(M369="L",3,IF(M369="A",4,6)))))))</f>
        <v/>
      </c>
      <c r="P369" s="54">
        <f>IF(I369="I",O369*Contagem!$W$15,IF(I369="E",O369*Contagem!$W$17,IF(I369="A",O369*Contagem!$W$16,IF(I369="T",O369*Contagem!$W$18,""))))</f>
        <v/>
      </c>
      <c r="Q369" s="55" t="inlineStr">
        <is>
          <t>Prova: Rotas POST /gestao/reset-password (Gestao\ResetPasswordController@store) e POST /portal/reset-password (Fortify, ResetUserPassword). Telas: auth/gestao-reset-password e auth/reset-password. O usuário informa e-mail, nova senha e confirmação; o broker valida o token, aplica a política de senha e grava a nova senha no Usuário; na gestão conta AD é recusada. O evento PasswordReset é registrado na trilha pelo listener RecordPasswordResetActivity. Teste: tests/Feature/Auth/GestaoPasswordResetTest.php::test_senha_do_console_e_redefinida_com_token_valido e tests/Feature/Auth/PasswordResetTest.php::test_redefinicao_gera_auditoria. Processo elementar independente: menor unidade com significado para o usuário; completa por si (da nova senha à conta atualizada); deixa o negócio consistente (token de uso único, política aplicada). Portal e gestão: mesmos DER e FTR, a recusa de conta AD é variação da mesma lógica: uma só função (§5.5.2.2). Classificação: mantém Usuário: EE. TD=5 (e-mail, nova senha, confirmação da senha, mensagem, ação redefinir). AR=2 (Usuário, Trilha de auditoria). Recontagem 16/10/2026: alterada (linha 256 da contagem de 01/10/2026: "Redefinição de senha - redefinir", EE Baixa 3 PF, TD 5, AR 1). Motivo: AR 1→2: o evento PasswordReset grava 'senha-redefinida' na trilha (RecordPasswordResetActivity), verificado em teste; passa a cobrir também a rota do portal (mesma função).</t>
        </is>
      </c>
    </row>
    <row r="370" ht="12" customHeight="1" s="73">
      <c r="A370" s="14">
        <f>IF(H370="",IF(C370="",A369,A369+1),A369)</f>
        <v/>
      </c>
      <c r="B370" s="48">
        <f>IF(A370=A369,"",CONCATENATE("F",A370))</f>
        <v/>
      </c>
      <c r="C370" s="85" t="n"/>
      <c r="D370" s="142" t="n"/>
      <c r="E370" s="142" t="n"/>
      <c r="F370" s="142" t="n"/>
      <c r="G370" s="143" t="n"/>
      <c r="H370" s="56" t="n"/>
      <c r="I370" s="57" t="n"/>
      <c r="J370" s="56" t="n"/>
      <c r="K370" s="56" t="n"/>
      <c r="L370" s="50">
        <f>CONCATENATE(H370,M370)</f>
        <v/>
      </c>
      <c r="M370" s="51">
        <f>IF(OR(ISBLANK(J370),ISBLANK(K370)),IF(OR(H370="ALI",H370="AIE"),"L",IF(ISBLANK(H370),"","A")),IF(H370="EE",IF(K370&gt;=3,IF(J370&gt;=5,"H","A"),IF(K370&gt;=2,IF(J370&gt;=16,"H",IF(J370&lt;=4,"L","A")),IF(J370&lt;=15,"L","A"))),IF(OR(H370="SE",H370="CE"),IF(K370&gt;=4,IF(J370&gt;=6,"H","A"),IF(K370&gt;=2,IF(J370&gt;=20,"H",IF(J370&lt;=5,"L","A")),IF(J370&lt;=19,"L","A"))),IF(OR(H370="ALI",H370="AIE"),IF(K370&gt;=6,IF(J370&gt;=20,"H","A"),IF(K370&gt;=2,IF(J370&gt;=51,"H",IF(J370&lt;=19,"L","A")),IF(J370&lt;=50,"L","A")))))))</f>
        <v/>
      </c>
      <c r="N370" s="52">
        <f>IF(M370="L","Baixa",IF(M370="A","Média",IF(M370="","","Alta")))</f>
        <v/>
      </c>
      <c r="O370" s="53">
        <f>IF(ISBLANK(H370),"",IF(H370="ALI",IF(M370="L",7,IF(M370="A",10,15)),IF(H370="AIE",IF(M370="L",5,IF(M370="A",7,10)),IF(H370="SE",IF(M370="L",4,IF(M370="A",5,7)),IF(OR(H370="EE",H370="CE"),IF(M370="L",3,IF(M370="A",4,6)))))))</f>
        <v/>
      </c>
      <c r="P370" s="54">
        <f>IF(I370="I",O370*Contagem!$W$15,IF(I370="E",O370*Contagem!$W$17,IF(I370="A",O370*Contagem!$W$16,IF(I370="T",O370*Contagem!$W$18,""))))</f>
        <v/>
      </c>
      <c r="Q370" s="55" t="n"/>
    </row>
    <row r="371" ht="12" customHeight="1" s="73">
      <c r="A371" s="14">
        <f>IF(H371="",IF(C371="",A370,A370+1),A370)</f>
        <v/>
      </c>
      <c r="B371" s="48">
        <f>IF(A371=A370,"",CONCATENATE("F",A371))</f>
        <v/>
      </c>
      <c r="C371" s="85" t="inlineStr">
        <is>
          <t>Acesso à gestão</t>
        </is>
      </c>
      <c r="D371" s="142" t="n"/>
      <c r="E371" s="142" t="n"/>
      <c r="F371" s="142" t="n"/>
      <c r="G371" s="143" t="n"/>
      <c r="H371" s="56" t="n"/>
      <c r="I371" s="57" t="n"/>
      <c r="J371" s="56" t="n"/>
      <c r="K371" s="56" t="n"/>
      <c r="L371" s="50">
        <f>CONCATENATE(H371,M371)</f>
        <v/>
      </c>
      <c r="M371" s="51">
        <f>IF(OR(ISBLANK(J371),ISBLANK(K371)),IF(OR(H371="ALI",H371="AIE"),"L",IF(ISBLANK(H371),"","A")),IF(H371="EE",IF(K371&gt;=3,IF(J371&gt;=5,"H","A"),IF(K371&gt;=2,IF(J371&gt;=16,"H",IF(J371&lt;=4,"L","A")),IF(J371&lt;=15,"L","A"))),IF(OR(H371="SE",H371="CE"),IF(K371&gt;=4,IF(J371&gt;=6,"H","A"),IF(K371&gt;=2,IF(J371&gt;=20,"H",IF(J371&lt;=5,"L","A")),IF(J371&lt;=19,"L","A"))),IF(OR(H371="ALI",H371="AIE"),IF(K371&gt;=6,IF(J371&gt;=20,"H","A"),IF(K371&gt;=2,IF(J371&gt;=51,"H",IF(J371&lt;=19,"L","A")),IF(J371&lt;=50,"L","A")))))))</f>
        <v/>
      </c>
      <c r="N371" s="52">
        <f>IF(M371="L","Baixa",IF(M371="A","Média",IF(M371="","","Alta")))</f>
        <v/>
      </c>
      <c r="O371" s="53">
        <f>IF(ISBLANK(H371),"",IF(H371="ALI",IF(M371="L",7,IF(M371="A",10,15)),IF(H371="AIE",IF(M371="L",5,IF(M371="A",7,10)),IF(H371="SE",IF(M371="L",4,IF(M371="A",5,7)),IF(OR(H371="EE",H371="CE"),IF(M371="L",3,IF(M371="A",4,6)))))))</f>
        <v/>
      </c>
      <c r="P371" s="54">
        <f>IF(I371="I",O371*Contagem!$W$15,IF(I371="E",O371*Contagem!$W$17,IF(I371="A",O371*Contagem!$W$16,IF(I371="T",O371*Contagem!$W$18,""))))</f>
        <v/>
      </c>
      <c r="Q371" s="55" t="n"/>
    </row>
    <row r="372" ht="12" customHeight="1" s="73">
      <c r="A372" s="14">
        <f>IF(H372="",IF(C372="",A371,A371+1),A371)</f>
        <v/>
      </c>
      <c r="B372" s="48">
        <f>IF(A372=A371,"",CONCATENATE("F",A372))</f>
        <v/>
      </c>
      <c r="C372" s="85" t="inlineStr">
        <is>
          <t>Gestão - entrar no sistema</t>
        </is>
      </c>
      <c r="D372" s="142" t="n"/>
      <c r="E372" s="142" t="n"/>
      <c r="F372" s="142" t="n"/>
      <c r="G372" s="143" t="n"/>
      <c r="H372" s="56" t="inlineStr">
        <is>
          <t>EE</t>
        </is>
      </c>
      <c r="I372" s="57" t="inlineStr">
        <is>
          <t>I</t>
        </is>
      </c>
      <c r="J372" s="56" t="n">
        <v>5</v>
      </c>
      <c r="K372" s="56" t="n">
        <v>7</v>
      </c>
      <c r="L372" s="50">
        <f>CONCATENATE(H372,M372)</f>
        <v/>
      </c>
      <c r="M372" s="51">
        <f>IF(OR(ISBLANK(J372),ISBLANK(K372)),IF(OR(H372="ALI",H372="AIE"),"L",IF(ISBLANK(H372),"","A")),IF(H372="EE",IF(K372&gt;=3,IF(J372&gt;=5,"H","A"),IF(K372&gt;=2,IF(J372&gt;=16,"H",IF(J372&lt;=4,"L","A")),IF(J372&lt;=15,"L","A"))),IF(OR(H372="SE",H372="CE"),IF(K372&gt;=4,IF(J372&gt;=6,"H","A"),IF(K372&gt;=2,IF(J372&gt;=20,"H",IF(J372&lt;=5,"L","A")),IF(J372&lt;=19,"L","A"))),IF(OR(H372="ALI",H372="AIE"),IF(K372&gt;=6,IF(J372&gt;=20,"H","A"),IF(K372&gt;=2,IF(J372&gt;=51,"H",IF(J372&lt;=19,"L","A")),IF(J372&lt;=50,"L","A")))))))</f>
        <v/>
      </c>
      <c r="N372" s="52">
        <f>IF(M372="L","Baixa",IF(M372="A","Média",IF(M372="","","Alta")))</f>
        <v/>
      </c>
      <c r="O372" s="53">
        <f>IF(ISBLANK(H372),"",IF(H372="ALI",IF(M372="L",7,IF(M372="A",10,15)),IF(H372="AIE",IF(M372="L",5,IF(M372="A",7,10)),IF(H372="SE",IF(M372="L",4,IF(M372="A",5,7)),IF(OR(H372="EE",H372="CE"),IF(M372="L",3,IF(M372="A",4,6)))))))</f>
        <v/>
      </c>
      <c r="P372" s="54">
        <f>IF(I372="I",O372*Contagem!$W$15,IF(I372="E",O372*Contagem!$W$17,IF(I372="A",O372*Contagem!$W$16,IF(I372="T",O372*Contagem!$W$18,""))))</f>
        <v/>
      </c>
      <c r="Q372" s="55" t="inlineStr">
        <is>
          <t>Prova: Rota POST /gestao/login (Gestao\LoginController@store, sem login). Tela: gestao/login. O servidor entra com e-mail (conta local) ou usuário de rede (conta AD validada na API institucional da SEDUR). No primeiro acesso AD a conta é criada com os dados da API e recebe a permissão acessar-gestao (fica na equipe SEDUR, sem perfil até o administrador decidir a solicitação de acesso); a lotação é sincronizada em Setor (UserSectorAssignmentSync, auditada). A conta só entra se tiver a permissão acessar-gestao (Perfil de acesso). Cada chamada à API do AD grava Chamada de integração. Grava Registro de acesso (sucesso, falha, inativa, bloqueio, AD indisponível, falha de sincronização) e grava na trilha a tentativa sem permissão e o bloqueio por integração desligada. Mudança de 14/10/2026: o servidor sem perfil passa a pedir acesso no painel (função contada na área de gestão de usuários); o processo de entrada não mudou (commits 23ee97e1 e 73c9c405 só alteram o painel e o texto de auditoria). Teste: tests/Feature/Auth/GestaoLoginTest.php::test_credencial_invalida_nao_loga_e_registra_falha e tests/Feature/Auth/GestaoLoginAdTest.php::test_primeiro_acesso_ad_registra_o_usuario_com_os_dados_da_api. Processo elementar independente: menor unidade com significado para o servidor; completa por si (credencial até a sessão aberta ou recusada); deixa o negócio consistente (acesso registrado, conta e lotação sincronizadas); lógica única (guard gestão, AD híbrido, anti-oráculo). Classificação: mantém Usuário e Setor no primeiro acesso AD e grava o Registro de acesso: intenção real de manter ALI e liberar o console: EE. TD=5 (identificador (e-mail ou usuário AD), senha, lembrar-me, mensagem de erro (credencial, inativa, sem acesso, e-mail não verificado, AD indisponível), ação entrar). AR=7 (Usuário, Perfil de acesso, Setor, Servidores e lotação do diretório da SEDUR, Registro de acesso, Trilha de auditoria, Chamada de integração). Para demonstrar: primeiro acesso por AD só com features.ad_login ligado e integrations.sedur_auth configurado; conta local funciona sem dependência. Recontagem 16/10/2026: alterada (linha 184 da contagem de 01/10/2026: "Gestão - entrar no sistema", EE Alta 6 PF, TD 5, AR 4). Motivo: AR 4→7 (PF inalterado): passa a listar o AIE Servidores e lotação do diretório da SEDUR (API de autenticação, discovery e pessoaView), o Perfil de acesso (o acesso depende da permissão acessar-gestao) e a Chamada de integração gravada a cada chamada à API do AD (listener RegistrarChamadaIntegracao).</t>
        </is>
      </c>
    </row>
    <row r="373" ht="12" customHeight="1" s="73">
      <c r="A373" s="14">
        <f>IF(H373="",IF(C373="",A372,A372+1),A372)</f>
        <v/>
      </c>
      <c r="B373" s="48">
        <f>IF(A373=A372,"",CONCATENATE("F",A373))</f>
        <v/>
      </c>
      <c r="C373" s="85" t="n"/>
      <c r="D373" s="142" t="n"/>
      <c r="E373" s="142" t="n"/>
      <c r="F373" s="142" t="n"/>
      <c r="G373" s="143" t="n"/>
      <c r="H373" s="56" t="n"/>
      <c r="I373" s="57" t="n"/>
      <c r="J373" s="56" t="n"/>
      <c r="K373" s="56" t="n"/>
      <c r="L373" s="50">
        <f>CONCATENATE(H373,M373)</f>
        <v/>
      </c>
      <c r="M373" s="51">
        <f>IF(OR(ISBLANK(J373),ISBLANK(K373)),IF(OR(H373="ALI",H373="AIE"),"L",IF(ISBLANK(H373),"","A")),IF(H373="EE",IF(K373&gt;=3,IF(J373&gt;=5,"H","A"),IF(K373&gt;=2,IF(J373&gt;=16,"H",IF(J373&lt;=4,"L","A")),IF(J373&lt;=15,"L","A"))),IF(OR(H373="SE",H373="CE"),IF(K373&gt;=4,IF(J373&gt;=6,"H","A"),IF(K373&gt;=2,IF(J373&gt;=20,"H",IF(J373&lt;=5,"L","A")),IF(J373&lt;=19,"L","A"))),IF(OR(H373="ALI",H373="AIE"),IF(K373&gt;=6,IF(J373&gt;=20,"H","A"),IF(K373&gt;=2,IF(J373&gt;=51,"H",IF(J373&lt;=19,"L","A")),IF(J373&lt;=50,"L","A")))))))</f>
        <v/>
      </c>
      <c r="N373" s="52">
        <f>IF(M373="L","Baixa",IF(M373="A","Média",IF(M373="","","Alta")))</f>
        <v/>
      </c>
      <c r="O373" s="53">
        <f>IF(ISBLANK(H373),"",IF(H373="ALI",IF(M373="L",7,IF(M373="A",10,15)),IF(H373="AIE",IF(M373="L",5,IF(M373="A",7,10)),IF(H373="SE",IF(M373="L",4,IF(M373="A",5,7)),IF(OR(H373="EE",H373="CE"),IF(M373="L",3,IF(M373="A",4,6)))))))</f>
        <v/>
      </c>
      <c r="P373" s="54">
        <f>IF(I373="I",O373*Contagem!$W$15,IF(I373="E",O373*Contagem!$W$17,IF(I373="A",O373*Contagem!$W$16,IF(I373="T",O373*Contagem!$W$18,""))))</f>
        <v/>
      </c>
      <c r="Q373" s="55" t="n"/>
    </row>
    <row r="374" ht="12" customHeight="1" s="73">
      <c r="A374" s="14">
        <f>IF(H374="",IF(C374="",A373,A373+1),A373)</f>
        <v/>
      </c>
      <c r="B374" s="48">
        <f>IF(A374=A373,"",CONCATENATE("F",A374))</f>
        <v/>
      </c>
      <c r="C374" s="85" t="inlineStr">
        <is>
          <t>Perfil e senha do usuário</t>
        </is>
      </c>
      <c r="D374" s="142" t="n"/>
      <c r="E374" s="142" t="n"/>
      <c r="F374" s="142" t="n"/>
      <c r="G374" s="143" t="n"/>
      <c r="H374" s="56" t="n"/>
      <c r="I374" s="57" t="n"/>
      <c r="J374" s="56" t="n"/>
      <c r="K374" s="56" t="n"/>
      <c r="L374" s="50">
        <f>CONCATENATE(H374,M374)</f>
        <v/>
      </c>
      <c r="M374" s="51">
        <f>IF(OR(ISBLANK(J374),ISBLANK(K374)),IF(OR(H374="ALI",H374="AIE"),"L",IF(ISBLANK(H374),"","A")),IF(H374="EE",IF(K374&gt;=3,IF(J374&gt;=5,"H","A"),IF(K374&gt;=2,IF(J374&gt;=16,"H",IF(J374&lt;=4,"L","A")),IF(J374&lt;=15,"L","A"))),IF(OR(H374="SE",H374="CE"),IF(K374&gt;=4,IF(J374&gt;=6,"H","A"),IF(K374&gt;=2,IF(J374&gt;=20,"H",IF(J374&lt;=5,"L","A")),IF(J374&lt;=19,"L","A"))),IF(OR(H374="ALI",H374="AIE"),IF(K374&gt;=6,IF(J374&gt;=20,"H","A"),IF(K374&gt;=2,IF(J374&gt;=51,"H",IF(J374&lt;=19,"L","A")),IF(J374&lt;=50,"L","A")))))))</f>
        <v/>
      </c>
      <c r="N374" s="52">
        <f>IF(M374="L","Baixa",IF(M374="A","Média",IF(M374="","","Alta")))</f>
        <v/>
      </c>
      <c r="O374" s="53">
        <f>IF(ISBLANK(H374),"",IF(H374="ALI",IF(M374="L",7,IF(M374="A",10,15)),IF(H374="AIE",IF(M374="L",5,IF(M374="A",7,10)),IF(H374="SE",IF(M374="L",4,IF(M374="A",5,7)),IF(OR(H374="EE",H374="CE"),IF(M374="L",3,IF(M374="A",4,6)))))))</f>
        <v/>
      </c>
      <c r="P374" s="54">
        <f>IF(I374="I",O374*Contagem!$W$15,IF(I374="E",O374*Contagem!$W$17,IF(I374="A",O374*Contagem!$W$16,IF(I374="T",O374*Contagem!$W$18,""))))</f>
        <v/>
      </c>
      <c r="Q374" s="55" t="n"/>
    </row>
    <row r="375" ht="12" customHeight="1" s="73">
      <c r="A375" s="14">
        <f>IF(H375="",IF(C375="",A374,A374+1),A374)</f>
        <v/>
      </c>
      <c r="B375" s="48">
        <f>IF(A375=A374,"",CONCATENATE("F",A375))</f>
        <v/>
      </c>
      <c r="C375" s="85" t="inlineStr">
        <is>
          <t>Perfil do usuário - consultar dados pessoais</t>
        </is>
      </c>
      <c r="D375" s="142" t="n"/>
      <c r="E375" s="142" t="n"/>
      <c r="F375" s="142" t="n"/>
      <c r="G375" s="143" t="n"/>
      <c r="H375" s="56" t="inlineStr">
        <is>
          <t>CE</t>
        </is>
      </c>
      <c r="I375" s="57" t="inlineStr">
        <is>
          <t>I</t>
        </is>
      </c>
      <c r="J375" s="56" t="n">
        <v>5</v>
      </c>
      <c r="K375" s="56" t="n">
        <v>1</v>
      </c>
      <c r="L375" s="50">
        <f>CONCATENATE(H375,M375)</f>
        <v/>
      </c>
      <c r="M375" s="51">
        <f>IF(OR(ISBLANK(J375),ISBLANK(K375)),IF(OR(H375="ALI",H375="AIE"),"L",IF(ISBLANK(H375),"","A")),IF(H375="EE",IF(K375&gt;=3,IF(J375&gt;=5,"H","A"),IF(K375&gt;=2,IF(J375&gt;=16,"H",IF(J375&lt;=4,"L","A")),IF(J375&lt;=15,"L","A"))),IF(OR(H375="SE",H375="CE"),IF(K375&gt;=4,IF(J375&gt;=6,"H","A"),IF(K375&gt;=2,IF(J375&gt;=20,"H",IF(J375&lt;=5,"L","A")),IF(J375&lt;=19,"L","A"))),IF(OR(H375="ALI",H375="AIE"),IF(K375&gt;=6,IF(J375&gt;=20,"H","A"),IF(K375&gt;=2,IF(J375&gt;=51,"H",IF(J375&lt;=19,"L","A")),IF(J375&lt;=50,"L","A")))))))</f>
        <v/>
      </c>
      <c r="N375" s="52">
        <f>IF(M375="L","Baixa",IF(M375="A","Média",IF(M375="","","Alta")))</f>
        <v/>
      </c>
      <c r="O375" s="53">
        <f>IF(ISBLANK(H375),"",IF(H375="ALI",IF(M375="L",7,IF(M375="A",10,15)),IF(H375="AIE",IF(M375="L",5,IF(M375="A",7,10)),IF(H375="SE",IF(M375="L",4,IF(M375="A",5,7)),IF(OR(H375="EE",H375="CE"),IF(M375="L",3,IF(M375="A",4,6)))))))</f>
        <v/>
      </c>
      <c r="P375" s="54">
        <f>IF(I375="I",O375*Contagem!$W$15,IF(I375="E",O375*Contagem!$W$17,IF(I375="A",O375*Contagem!$W$16,IF(I375="T",O375*Contagem!$W$18,""))))</f>
        <v/>
      </c>
      <c r="Q375" s="55" t="inlineStr">
        <is>
          <t>Prova: Rotas GET /portal/conta/perfil (Settings\ProfileController@edit, auth:web) e GET /gestao/conta/perfil (Gestao\Conta\ProfileController@edit, acessar-gestao), mesma lógica contada uma vez. Telas: settings/profile e gestao/conta/perfil. O usuário abre os próprios dados; lê o Usuário autenticado e não grava. Teste: tests/Feature/Settings/ProfileTest.php::test_pagina_de_perfil_renderiza_com_dados. Processo elementar independente: menor unidade com significado para o usuário; completa por si (abrir e ver os próprios dados, inclusive o CPF, que não é editável); deixa o negócio consistente (nada muda); lógica única (só a conta autenticada). Classificação: só recupera e mostra: CE. TD=5 (nome, e-mail, CPF, telefone, ação abrir). AR=1 (Usuário). Recontagem 16/10/2026: mantida (linha 31 da contagem de 01/10/2026).</t>
        </is>
      </c>
    </row>
    <row r="376" ht="12" customHeight="1" s="73">
      <c r="A376" s="14">
        <f>IF(H376="",IF(C376="",A375,A375+1),A375)</f>
        <v/>
      </c>
      <c r="B376" s="48">
        <f>IF(A376=A375,"",CONCATENATE("F",A376))</f>
        <v/>
      </c>
      <c r="C376" s="85" t="inlineStr">
        <is>
          <t>Perfil do usuário - alterar dados pessoais</t>
        </is>
      </c>
      <c r="D376" s="142" t="n"/>
      <c r="E376" s="142" t="n"/>
      <c r="F376" s="142" t="n"/>
      <c r="G376" s="143" t="n"/>
      <c r="H376" s="56" t="inlineStr">
        <is>
          <t>EE</t>
        </is>
      </c>
      <c r="I376" s="57" t="inlineStr">
        <is>
          <t>I</t>
        </is>
      </c>
      <c r="J376" s="56" t="n">
        <v>5</v>
      </c>
      <c r="K376" s="56" t="n">
        <v>3</v>
      </c>
      <c r="L376" s="50">
        <f>CONCATENATE(H376,M376)</f>
        <v/>
      </c>
      <c r="M376" s="51">
        <f>IF(OR(ISBLANK(J376),ISBLANK(K376)),IF(OR(H376="ALI",H376="AIE"),"L",IF(ISBLANK(H376),"","A")),IF(H376="EE",IF(K376&gt;=3,IF(J376&gt;=5,"H","A"),IF(K376&gt;=2,IF(J376&gt;=16,"H",IF(J376&lt;=4,"L","A")),IF(J376&lt;=15,"L","A"))),IF(OR(H376="SE",H376="CE"),IF(K376&gt;=4,IF(J376&gt;=6,"H","A"),IF(K376&gt;=2,IF(J376&gt;=20,"H",IF(J376&lt;=5,"L","A")),IF(J376&lt;=19,"L","A"))),IF(OR(H376="ALI",H376="AIE"),IF(K376&gt;=6,IF(J376&gt;=20,"H","A"),IF(K376&gt;=2,IF(J376&gt;=51,"H",IF(J376&lt;=19,"L","A")),IF(J376&lt;=50,"L","A")))))))</f>
        <v/>
      </c>
      <c r="N376" s="52">
        <f>IF(M376="L","Baixa",IF(M376="A","Média",IF(M376="","","Alta")))</f>
        <v/>
      </c>
      <c r="O376" s="53">
        <f>IF(ISBLANK(H376),"",IF(H376="ALI",IF(M376="L",7,IF(M376="A",10,15)),IF(H376="AIE",IF(M376="L",5,IF(M376="A",7,10)),IF(H376="SE",IF(M376="L",4,IF(M376="A",5,7)),IF(OR(H376="EE",H376="CE"),IF(M376="L",3,IF(M376="A",4,6)))))))</f>
        <v/>
      </c>
      <c r="P376" s="54">
        <f>IF(I376="I",O376*Contagem!$W$15,IF(I376="E",O376*Contagem!$W$17,IF(I376="A",O376*Contagem!$W$16,IF(I376="T",O376*Contagem!$W$18,""))))</f>
        <v/>
      </c>
      <c r="Q376" s="55" t="inlineStr">
        <is>
          <t>Prova: Rotas PATCH /portal/conta/perfil (Settings\ProfileController@update) e PATCH /gestao/conta/perfil (Gestao\Conta\ProfileController@update), mesma lógica contada uma vez. Telas: settings/profile e gestao/conta/perfil. O usuário altera nome, e-mail e telefone (App\Http\Requests\ProfileUpdateRequest: e-mail único, telefone com DDD); e-mail novo zera a confirmação e reenvia o link, gravando o Registro de envio de e-mail; a alteração é auditada sem campos sensíveis (HasAuditoria). Teste: tests/Feature/Settings/ProfileTest.php::test_atualiza_nome_e_telefone (também test_atualizacao_gera_auditoria_sem_campos_sensiveis e test_alterar_email_reexige_verificacao). Processo elementar independente: menor unidade com significado para o usuário; completa por si (do formulário aos dados salvos); deixa o negócio consistente (e-mail único e confirmado de novo); lógica única (CPF imutável). Classificação: mantém Usuário: EE. TD=5 (nome, e-mail, telefone, mensagem, ação salvar). AR=3 (Usuário, Trilha de auditoria, Registro de envio de e-mail). Recontagem 16/10/2026: alterada (linha 30 da contagem de 01/10/2026: "Perfil do usuário - alterar dados pessoais", EE Média 4 PF, TD 5, AR 2). Motivo: AR 2→3: com e-mail novo, User::sendEmailVerificationNotification grava no mesmo request o Registro de envio de e-mail.</t>
        </is>
      </c>
    </row>
    <row r="377" ht="12" customHeight="1" s="73">
      <c r="A377" s="14">
        <f>IF(H377="",IF(C377="",A376,A376+1),A376)</f>
        <v/>
      </c>
      <c r="B377" s="48">
        <f>IF(A377=A376,"",CONCATENATE("F",A377))</f>
        <v/>
      </c>
      <c r="C377" s="85" t="inlineStr">
        <is>
          <t>Senha - alterar senha</t>
        </is>
      </c>
      <c r="D377" s="142" t="n"/>
      <c r="E377" s="142" t="n"/>
      <c r="F377" s="142" t="n"/>
      <c r="G377" s="143" t="n"/>
      <c r="H377" s="56" t="inlineStr">
        <is>
          <t>EE</t>
        </is>
      </c>
      <c r="I377" s="57" t="inlineStr">
        <is>
          <t>I</t>
        </is>
      </c>
      <c r="J377" s="56" t="n">
        <v>5</v>
      </c>
      <c r="K377" s="56" t="n">
        <v>2</v>
      </c>
      <c r="L377" s="50">
        <f>CONCATENATE(H377,M377)</f>
        <v/>
      </c>
      <c r="M377" s="51">
        <f>IF(OR(ISBLANK(J377),ISBLANK(K377)),IF(OR(H377="ALI",H377="AIE"),"L",IF(ISBLANK(H377),"","A")),IF(H377="EE",IF(K377&gt;=3,IF(J377&gt;=5,"H","A"),IF(K377&gt;=2,IF(J377&gt;=16,"H",IF(J377&lt;=4,"L","A")),IF(J377&lt;=15,"L","A"))),IF(OR(H377="SE",H377="CE"),IF(K377&gt;=4,IF(J377&gt;=6,"H","A"),IF(K377&gt;=2,IF(J377&gt;=20,"H",IF(J377&lt;=5,"L","A")),IF(J377&lt;=19,"L","A"))),IF(OR(H377="ALI",H377="AIE"),IF(K377&gt;=6,IF(J377&gt;=20,"H","A"),IF(K377&gt;=2,IF(J377&gt;=51,"H",IF(J377&lt;=19,"L","A")),IF(J377&lt;=50,"L","A")))))))</f>
        <v/>
      </c>
      <c r="N377" s="52">
        <f>IF(M377="L","Baixa",IF(M377="A","Média",IF(M377="","","Alta")))</f>
        <v/>
      </c>
      <c r="O377" s="53">
        <f>IF(ISBLANK(H377),"",IF(H377="ALI",IF(M377="L",7,IF(M377="A",10,15)),IF(H377="AIE",IF(M377="L",5,IF(M377="A",7,10)),IF(H377="SE",IF(M377="L",4,IF(M377="A",5,7)),IF(OR(H377="EE",H377="CE"),IF(M377="L",3,IF(M377="A",4,6)))))))</f>
        <v/>
      </c>
      <c r="P377" s="54">
        <f>IF(I377="I",O377*Contagem!$W$15,IF(I377="E",O377*Contagem!$W$17,IF(I377="A",O377*Contagem!$W$16,IF(I377="T",O377*Contagem!$W$18,""))))</f>
        <v/>
      </c>
      <c r="Q377" s="55" t="inlineStr">
        <is>
          <t>Prova: Rotas PUT /portal/conta/senha (Settings\PasswordController@update), PUT /portal/user/password (Fortify) e PUT /gestao/conta/senha (Gestao\Conta\PasswordController@update), todas com App\Actions\Fortify\UpdateUserPassword, contadas uma vez. Telas: settings/password e gestao/conta/senha. O usuário informa a senha atual e a nova; o sistema confere a senha atual, aplica a política, grava no Usuário e registra 'senha-alterada' na trilha; na gestão conta AD é recusada (variação da mesma lógica). Teste: tests/Feature/Settings/PasswordUpdateTest.php::test_senha_e_alterada_com_dados_validos (também test_alteracao_gera_auditoria e test_senha_atual_incorreta_bloqueia). Processo elementar independente: menor unidade com significado para o usuário; completa por si (informa as senhas e recebe o resultado); deixa o negócio consistente (credencial conforme a política); lógica única. Classificação: mantém Usuário: EE. TD=5 (senha atual, nova senha, confirmação da senha, mensagem, ação salvar). AR=2 (Usuário, Trilha de auditoria). Recontagem 16/10/2026: alterada (linha 34 da contagem de 01/10/2026: "Senha - alterar senha", EE Baixa 3 PF, TD 5, AR 1). Motivo: AR 1→2: UpdateUserPassword grava o evento 'senha-alterada' na trilha (AuditService), verificado em teste; a contagem anterior não o considerou.</t>
        </is>
      </c>
    </row>
    <row r="378" ht="12" customHeight="1" s="73">
      <c r="A378" s="14">
        <f>IF(H378="",IF(C378="",A377,A377+1),A377)</f>
        <v/>
      </c>
      <c r="B378" s="48">
        <f>IF(A378=A377,"",CONCATENATE("F",A378))</f>
        <v/>
      </c>
      <c r="C378" s="85" t="n"/>
      <c r="D378" s="142" t="n"/>
      <c r="E378" s="142" t="n"/>
      <c r="F378" s="142" t="n"/>
      <c r="G378" s="143" t="n"/>
      <c r="H378" s="56" t="n"/>
      <c r="I378" s="57" t="n"/>
      <c r="J378" s="56" t="n"/>
      <c r="K378" s="56" t="n"/>
      <c r="L378" s="50">
        <f>CONCATENATE(H378,M378)</f>
        <v/>
      </c>
      <c r="M378" s="51">
        <f>IF(OR(ISBLANK(J378),ISBLANK(K378)),IF(OR(H378="ALI",H378="AIE"),"L",IF(ISBLANK(H378),"","A")),IF(H378="EE",IF(K378&gt;=3,IF(J378&gt;=5,"H","A"),IF(K378&gt;=2,IF(J378&gt;=16,"H",IF(J378&lt;=4,"L","A")),IF(J378&lt;=15,"L","A"))),IF(OR(H378="SE",H378="CE"),IF(K378&gt;=4,IF(J378&gt;=6,"H","A"),IF(K378&gt;=2,IF(J378&gt;=20,"H",IF(J378&lt;=5,"L","A")),IF(J378&lt;=19,"L","A"))),IF(OR(H378="ALI",H378="AIE"),IF(K378&gt;=6,IF(J378&gt;=20,"H","A"),IF(K378&gt;=2,IF(J378&gt;=51,"H",IF(J378&lt;=19,"L","A")),IF(J378&lt;=50,"L","A")))))))</f>
        <v/>
      </c>
      <c r="N378" s="52">
        <f>IF(M378="L","Baixa",IF(M378="A","Média",IF(M378="","","Alta")))</f>
        <v/>
      </c>
      <c r="O378" s="53">
        <f>IF(ISBLANK(H378),"",IF(H378="ALI",IF(M378="L",7,IF(M378="A",10,15)),IF(H378="AIE",IF(M378="L",5,IF(M378="A",7,10)),IF(H378="SE",IF(M378="L",4,IF(M378="A",5,7)),IF(OR(H378="EE",H378="CE"),IF(M378="L",3,IF(M378="A",4,6)))))))</f>
        <v/>
      </c>
      <c r="P378" s="54">
        <f>IF(I378="I",O378*Contagem!$W$15,IF(I378="E",O378*Contagem!$W$17,IF(I378="A",O378*Contagem!$W$16,IF(I378="T",O378*Contagem!$W$18,""))))</f>
        <v/>
      </c>
      <c r="Q378" s="55" t="n"/>
    </row>
    <row r="379" ht="12" customHeight="1" s="73">
      <c r="A379" s="14">
        <f>IF(H379="",IF(C379="",A378,A378+1),A378)</f>
        <v/>
      </c>
      <c r="B379" s="48">
        <f>IF(A379=A378,"",CONCATENATE("F",A379))</f>
        <v/>
      </c>
      <c r="C379" s="85" t="inlineStr">
        <is>
          <t>Termo de consentimento LGPD</t>
        </is>
      </c>
      <c r="D379" s="142" t="n"/>
      <c r="E379" s="142" t="n"/>
      <c r="F379" s="142" t="n"/>
      <c r="G379" s="143" t="n"/>
      <c r="H379" s="56" t="n"/>
      <c r="I379" s="57" t="n"/>
      <c r="J379" s="56" t="n"/>
      <c r="K379" s="56" t="n"/>
      <c r="L379" s="50">
        <f>CONCATENATE(H379,M379)</f>
        <v/>
      </c>
      <c r="M379" s="51">
        <f>IF(OR(ISBLANK(J379),ISBLANK(K379)),IF(OR(H379="ALI",H379="AIE"),"L",IF(ISBLANK(H379),"","A")),IF(H379="EE",IF(K379&gt;=3,IF(J379&gt;=5,"H","A"),IF(K379&gt;=2,IF(J379&gt;=16,"H",IF(J379&lt;=4,"L","A")),IF(J379&lt;=15,"L","A"))),IF(OR(H379="SE",H379="CE"),IF(K379&gt;=4,IF(J379&gt;=6,"H","A"),IF(K379&gt;=2,IF(J379&gt;=20,"H",IF(J379&lt;=5,"L","A")),IF(J379&lt;=19,"L","A"))),IF(OR(H379="ALI",H379="AIE"),IF(K379&gt;=6,IF(J379&gt;=20,"H","A"),IF(K379&gt;=2,IF(J379&gt;=51,"H",IF(J379&lt;=19,"L","A")),IF(J379&lt;=50,"L","A")))))))</f>
        <v/>
      </c>
      <c r="N379" s="52">
        <f>IF(M379="L","Baixa",IF(M379="A","Média",IF(M379="","","Alta")))</f>
        <v/>
      </c>
      <c r="O379" s="53">
        <f>IF(ISBLANK(H379),"",IF(H379="ALI",IF(M379="L",7,IF(M379="A",10,15)),IF(H379="AIE",IF(M379="L",5,IF(M379="A",7,10)),IF(H379="SE",IF(M379="L",4,IF(M379="A",5,7)),IF(OR(H379="EE",H379="CE"),IF(M379="L",3,IF(M379="A",4,6)))))))</f>
        <v/>
      </c>
      <c r="P379" s="54">
        <f>IF(I379="I",O379*Contagem!$W$15,IF(I379="E",O379*Contagem!$W$17,IF(I379="A",O379*Contagem!$W$16,IF(I379="T",O379*Contagem!$W$18,""))))</f>
        <v/>
      </c>
      <c r="Q379" s="55" t="n"/>
    </row>
    <row r="380" ht="12" customHeight="1" s="73">
      <c r="A380" s="14">
        <f>IF(H380="",IF(C380="",A379,A379+1),A379)</f>
        <v/>
      </c>
      <c r="B380" s="48">
        <f>IF(A380=A379,"",CONCATENATE("F",A380))</f>
        <v/>
      </c>
      <c r="C380" s="85" t="inlineStr">
        <is>
          <t>Termo LGPD - consultar termo vigente</t>
        </is>
      </c>
      <c r="D380" s="142" t="n"/>
      <c r="E380" s="142" t="n"/>
      <c r="F380" s="142" t="n"/>
      <c r="G380" s="143" t="n"/>
      <c r="H380" s="56" t="inlineStr">
        <is>
          <t>CE</t>
        </is>
      </c>
      <c r="I380" s="57" t="inlineStr">
        <is>
          <t>I</t>
        </is>
      </c>
      <c r="J380" s="56" t="n">
        <v>4</v>
      </c>
      <c r="K380" s="56" t="n">
        <v>2</v>
      </c>
      <c r="L380" s="50">
        <f>CONCATENATE(H380,M380)</f>
        <v/>
      </c>
      <c r="M380" s="51">
        <f>IF(OR(ISBLANK(J380),ISBLANK(K380)),IF(OR(H380="ALI",H380="AIE"),"L",IF(ISBLANK(H380),"","A")),IF(H380="EE",IF(K380&gt;=3,IF(J380&gt;=5,"H","A"),IF(K380&gt;=2,IF(J380&gt;=16,"H",IF(J380&lt;=4,"L","A")),IF(J380&lt;=15,"L","A"))),IF(OR(H380="SE",H380="CE"),IF(K380&gt;=4,IF(J380&gt;=6,"H","A"),IF(K380&gt;=2,IF(J380&gt;=20,"H",IF(J380&lt;=5,"L","A")),IF(J380&lt;=19,"L","A"))),IF(OR(H380="ALI",H380="AIE"),IF(K380&gt;=6,IF(J380&gt;=20,"H","A"),IF(K380&gt;=2,IF(J380&gt;=51,"H",IF(J380&lt;=19,"L","A")),IF(J380&lt;=50,"L","A")))))))</f>
        <v/>
      </c>
      <c r="N380" s="52">
        <f>IF(M380="L","Baixa",IF(M380="A","Média",IF(M380="","","Alta")))</f>
        <v/>
      </c>
      <c r="O380" s="53">
        <f>IF(ISBLANK(H380),"",IF(H380="ALI",IF(M380="L",7,IF(M380="A",10,15)),IF(H380="AIE",IF(M380="L",5,IF(M380="A",7,10)),IF(H380="SE",IF(M380="L",4,IF(M380="A",5,7)),IF(OR(H380="EE",H380="CE"),IF(M380="L",3,IF(M380="A",4,6)))))))</f>
        <v/>
      </c>
      <c r="P380" s="54">
        <f>IF(I380="I",O380*Contagem!$W$15,IF(I380="E",O380*Contagem!$W$17,IF(I380="A",O380*Contagem!$W$16,IF(I380="T",O380*Contagem!$W$18,""))))</f>
        <v/>
      </c>
      <c r="Q380" s="55" t="inlineStr">
        <is>
          <t>Prova: Rotas GET /portal/termo-lgpd (Portal\LgpdTermController@show, auth:web) e GET /gestao/termo-lgpd (Gestao\TermoLgpdController@show, auth:gestao), mesma lógica contada uma vez. Telas: portal/termo-lgpd e gestao/termo-lgpd. Mostra a versão vigente do termo a quem ainda não aceitou; quem já aceitou volta ao painel. Lê Termo legal e os aceites do Usuário (subgrupo aceite de termo). Teste: tests/Feature/Lgpd/TermAcceptanceTest.php::test_pagina_do_termo_renderiza_conteudo_vigente e tests/Feature/Lgpd/TermoLgpdPorAmbienteTest.php::test_servidor_sem_aceite_vai_para_o_termo_do_console. Processo elementar independente: menor unidade com significado para o usuário; completa por si (abre e recebe o termo vigente); deixa o negócio consistente (nada é gravado); portal e gestão têm os mesmos DER, FTR e lógica (só muda o guard e o destino do redirecionamento): um só processo (§5.5.2.2). Classificação: só recupera e mostra: CE. TD=4 (versão, título, conteúdo, ação abrir). AR=2 (Termo legal, Usuário). Recontagem 16/10/2026: alterada (linha 86 da contagem de 01/10/2026: "Termo LGPD - consultar no portal", CE Baixa 3 PF, TD 4, AR 2). Motivo: Nome: deixa de ser 'no portal' porque passa a representar também a rota da gestão (linha 404 removida por duplicidade). AR: Aceite de termo legal substituído por Usuário (aceite virou subgrupo do Usuário no catálogo). TD, AR e PF iguais.</t>
        </is>
      </c>
    </row>
    <row r="381" ht="12" customHeight="1" s="73">
      <c r="A381" s="14">
        <f>IF(H381="",IF(C381="",A380,A380+1),A380)</f>
        <v/>
      </c>
      <c r="B381" s="48">
        <f>IF(A381=A380,"",CONCATENATE("F",A381))</f>
        <v/>
      </c>
      <c r="C381" s="85" t="inlineStr">
        <is>
          <t>Termo LGPD - aceitar termo vigente</t>
        </is>
      </c>
      <c r="D381" s="142" t="n"/>
      <c r="E381" s="142" t="n"/>
      <c r="F381" s="142" t="n"/>
      <c r="G381" s="143" t="n"/>
      <c r="H381" s="56" t="inlineStr">
        <is>
          <t>EE</t>
        </is>
      </c>
      <c r="I381" s="57" t="inlineStr">
        <is>
          <t>I</t>
        </is>
      </c>
      <c r="J381" s="56" t="n">
        <v>3</v>
      </c>
      <c r="K381" s="56" t="n">
        <v>3</v>
      </c>
      <c r="L381" s="50">
        <f>CONCATENATE(H381,M381)</f>
        <v/>
      </c>
      <c r="M381" s="51">
        <f>IF(OR(ISBLANK(J381),ISBLANK(K381)),IF(OR(H381="ALI",H381="AIE"),"L",IF(ISBLANK(H381),"","A")),IF(H381="EE",IF(K381&gt;=3,IF(J381&gt;=5,"H","A"),IF(K381&gt;=2,IF(J381&gt;=16,"H",IF(J381&lt;=4,"L","A")),IF(J381&lt;=15,"L","A"))),IF(OR(H381="SE",H381="CE"),IF(K381&gt;=4,IF(J381&gt;=6,"H","A"),IF(K381&gt;=2,IF(J381&gt;=20,"H",IF(J381&lt;=5,"L","A")),IF(J381&lt;=19,"L","A"))),IF(OR(H381="ALI",H381="AIE"),IF(K381&gt;=6,IF(J381&gt;=20,"H","A"),IF(K381&gt;=2,IF(J381&gt;=51,"H",IF(J381&lt;=19,"L","A")),IF(J381&lt;=50,"L","A")))))))</f>
        <v/>
      </c>
      <c r="N381" s="52">
        <f>IF(M381="L","Baixa",IF(M381="A","Média",IF(M381="","","Alta")))</f>
        <v/>
      </c>
      <c r="O381" s="53">
        <f>IF(ISBLANK(H381),"",IF(H381="ALI",IF(M381="L",7,IF(M381="A",10,15)),IF(H381="AIE",IF(M381="L",5,IF(M381="A",7,10)),IF(H381="SE",IF(M381="L",4,IF(M381="A",5,7)),IF(OR(H381="EE",H381="CE"),IF(M381="L",3,IF(M381="A",4,6)))))))</f>
        <v/>
      </c>
      <c r="P381" s="54">
        <f>IF(I381="I",O381*Contagem!$W$15,IF(I381="E",O381*Contagem!$W$17,IF(I381="A",O381*Contagem!$W$16,IF(I381="T",O381*Contagem!$W$18,""))))</f>
        <v/>
      </c>
      <c r="Q381" s="55" t="inlineStr">
        <is>
          <t>Prova: Rotas POST /portal/termo-lgpd (Portal\LgpdTermController@accept) e POST /gestao/termo-lgpd (Gestao\TermoLgpdController@accept), mesma lógica contada uma vez. O usuário marca o aceite; o sistema grava o aceite da versão vigente (subgrupo aceite de termo do Usuário) com IP, navegador e data (firstOrCreate, sem duplicar) e a auditoria do registro. Teste: tests/Feature/Lgpd/TermAcceptanceTest.php::test_aceite_grava_versao_ip_e_audita e tests/Feature/Lgpd/TermoLgpdPorAmbienteTest.php::test_servidor_aceita_o_termo_no_console. Processo elementar independente: menor unidade com significado para o usuário; completa por si (aceita e é liberado); deixa o negócio consistente (consentimento por versão registrado); portal e gestão com os mesmos DER, FTR e lógica: um só processo (§5.5.2.2). Classificação: mantém Usuário (aceite de termo): EE. TD=3 (aceite, mensagem, ação aceitar). AR=3 (Usuário, Termo legal, Trilha de auditoria). Recontagem 16/10/2026: alterada (linha 87 da contagem de 01/10/2026: "Termo LGPD - aceitar no portal", EE Baixa 3 PF, TD 3, AR 2). Motivo: Nome passa a cobrir também a gestão (linha 405 removida por duplicidade); Aceite de termo legal substituído por Usuário (subgrupo); AR 2→3: o aceite é auditado (HasAuditoria em LegalTermAcceptance), verificado em teste.</t>
        </is>
      </c>
    </row>
    <row r="382" ht="12" customHeight="1" s="73">
      <c r="A382" s="14">
        <f>IF(H382="",IF(C382="",A381,A381+1),A381)</f>
        <v/>
      </c>
      <c r="B382" s="48">
        <f>IF(A382=A381,"",CONCATENATE("F",A382))</f>
        <v/>
      </c>
      <c r="C382" s="85" t="n"/>
      <c r="D382" s="142" t="n"/>
      <c r="E382" s="142" t="n"/>
      <c r="F382" s="142" t="n"/>
      <c r="G382" s="143" t="n"/>
      <c r="H382" s="56" t="n"/>
      <c r="I382" s="57" t="n"/>
      <c r="J382" s="56" t="n"/>
      <c r="K382" s="56" t="n"/>
      <c r="L382" s="50">
        <f>CONCATENATE(H382,M382)</f>
        <v/>
      </c>
      <c r="M382" s="51">
        <f>IF(OR(ISBLANK(J382),ISBLANK(K382)),IF(OR(H382="ALI",H382="AIE"),"L",IF(ISBLANK(H382),"","A")),IF(H382="EE",IF(K382&gt;=3,IF(J382&gt;=5,"H","A"),IF(K382&gt;=2,IF(J382&gt;=16,"H",IF(J382&lt;=4,"L","A")),IF(J382&lt;=15,"L","A"))),IF(OR(H382="SE",H382="CE"),IF(K382&gt;=4,IF(J382&gt;=6,"H","A"),IF(K382&gt;=2,IF(J382&gt;=20,"H",IF(J382&lt;=5,"L","A")),IF(J382&lt;=19,"L","A"))),IF(OR(H382="ALI",H382="AIE"),IF(K382&gt;=6,IF(J382&gt;=20,"H","A"),IF(K382&gt;=2,IF(J382&gt;=51,"H",IF(J382&lt;=19,"L","A")),IF(J382&lt;=50,"L","A")))))))</f>
        <v/>
      </c>
      <c r="N382" s="52">
        <f>IF(M382="L","Baixa",IF(M382="A","Média",IF(M382="","","Alta")))</f>
        <v/>
      </c>
      <c r="O382" s="53">
        <f>IF(ISBLANK(H382),"",IF(H382="ALI",IF(M382="L",7,IF(M382="A",10,15)),IF(H382="AIE",IF(M382="L",5,IF(M382="A",7,10)),IF(H382="SE",IF(M382="L",4,IF(M382="A",5,7)),IF(OR(H382="EE",H382="CE"),IF(M382="L",3,IF(M382="A",4,6)))))))</f>
        <v/>
      </c>
      <c r="P382" s="54">
        <f>IF(I382="I",O382*Contagem!$W$15,IF(I382="E",O382*Contagem!$W$17,IF(I382="A",O382*Contagem!$W$16,IF(I382="T",O382*Contagem!$W$18,""))))</f>
        <v/>
      </c>
      <c r="Q382" s="55" t="n"/>
    </row>
    <row r="383" ht="12" customHeight="1" s="73">
      <c r="A383" s="14">
        <f>IF(H383="",IF(C383="",A382,A382+1),A382)</f>
        <v/>
      </c>
      <c r="B383" s="48">
        <f>IF(A383=A382,"",CONCATENATE("F",A383))</f>
        <v/>
      </c>
      <c r="C383" s="85" t="inlineStr">
        <is>
          <t>Histórico de acessos</t>
        </is>
      </c>
      <c r="D383" s="142" t="n"/>
      <c r="E383" s="142" t="n"/>
      <c r="F383" s="142" t="n"/>
      <c r="G383" s="143" t="n"/>
      <c r="H383" s="56" t="n"/>
      <c r="I383" s="57" t="n"/>
      <c r="J383" s="56" t="n"/>
      <c r="K383" s="56" t="n"/>
      <c r="L383" s="50">
        <f>CONCATENATE(H383,M383)</f>
        <v/>
      </c>
      <c r="M383" s="51">
        <f>IF(OR(ISBLANK(J383),ISBLANK(K383)),IF(OR(H383="ALI",H383="AIE"),"L",IF(ISBLANK(H383),"","A")),IF(H383="EE",IF(K383&gt;=3,IF(J383&gt;=5,"H","A"),IF(K383&gt;=2,IF(J383&gt;=16,"H",IF(J383&lt;=4,"L","A")),IF(J383&lt;=15,"L","A"))),IF(OR(H383="SE",H383="CE"),IF(K383&gt;=4,IF(J383&gt;=6,"H","A"),IF(K383&gt;=2,IF(J383&gt;=20,"H",IF(J383&lt;=5,"L","A")),IF(J383&lt;=19,"L","A"))),IF(OR(H383="ALI",H383="AIE"),IF(K383&gt;=6,IF(J383&gt;=20,"H","A"),IF(K383&gt;=2,IF(J383&gt;=51,"H",IF(J383&lt;=19,"L","A")),IF(J383&lt;=50,"L","A")))))))</f>
        <v/>
      </c>
      <c r="N383" s="52">
        <f>IF(M383="L","Baixa",IF(M383="A","Média",IF(M383="","","Alta")))</f>
        <v/>
      </c>
      <c r="O383" s="53">
        <f>IF(ISBLANK(H383),"",IF(H383="ALI",IF(M383="L",7,IF(M383="A",10,15)),IF(H383="AIE",IF(M383="L",5,IF(M383="A",7,10)),IF(H383="SE",IF(M383="L",4,IF(M383="A",5,7)),IF(OR(H383="EE",H383="CE"),IF(M383="L",3,IF(M383="A",4,6)))))))</f>
        <v/>
      </c>
      <c r="P383" s="54">
        <f>IF(I383="I",O383*Contagem!$W$15,IF(I383="E",O383*Contagem!$W$17,IF(I383="A",O383*Contagem!$W$16,IF(I383="T",O383*Contagem!$W$18,""))))</f>
        <v/>
      </c>
      <c r="Q383" s="55" t="n"/>
    </row>
    <row r="384" ht="12" customHeight="1" s="73">
      <c r="A384" s="14">
        <f>IF(H384="",IF(C384="",A383,A383+1),A383)</f>
        <v/>
      </c>
      <c r="B384" s="48">
        <f>IF(A384=A383,"",CONCATENATE("F",A384))</f>
        <v/>
      </c>
      <c r="C384" s="85" t="inlineStr">
        <is>
          <t>Dados - Registro de acesso</t>
        </is>
      </c>
      <c r="D384" s="142" t="n"/>
      <c r="E384" s="142" t="n"/>
      <c r="F384" s="142" t="n"/>
      <c r="G384" s="143" t="n"/>
      <c r="H384" s="56" t="inlineStr">
        <is>
          <t>ALI</t>
        </is>
      </c>
      <c r="I384" s="57" t="inlineStr">
        <is>
          <t>I</t>
        </is>
      </c>
      <c r="J384" s="56" t="n">
        <v>8</v>
      </c>
      <c r="K384" s="56" t="n">
        <v>1</v>
      </c>
      <c r="L384" s="50">
        <f>CONCATENATE(H384,M384)</f>
        <v/>
      </c>
      <c r="M384" s="51">
        <f>IF(OR(ISBLANK(J384),ISBLANK(K384)),IF(OR(H384="ALI",H384="AIE"),"L",IF(ISBLANK(H384),"","A")),IF(H384="EE",IF(K384&gt;=3,IF(J384&gt;=5,"H","A"),IF(K384&gt;=2,IF(J384&gt;=16,"H",IF(J384&lt;=4,"L","A")),IF(J384&lt;=15,"L","A"))),IF(OR(H384="SE",H384="CE"),IF(K384&gt;=4,IF(J384&gt;=6,"H","A"),IF(K384&gt;=2,IF(J384&gt;=20,"H",IF(J384&lt;=5,"L","A")),IF(J384&lt;=19,"L","A"))),IF(OR(H384="ALI",H384="AIE"),IF(K384&gt;=6,IF(J384&gt;=20,"H","A"),IF(K384&gt;=2,IF(J384&gt;=51,"H",IF(J384&lt;=19,"L","A")),IF(J384&lt;=50,"L","A")))))))</f>
        <v/>
      </c>
      <c r="N384" s="52">
        <f>IF(M384="L","Baixa",IF(M384="A","Média",IF(M384="","","Alta")))</f>
        <v/>
      </c>
      <c r="O384" s="53">
        <f>IF(ISBLANK(H384),"",IF(H384="ALI",IF(M384="L",7,IF(M384="A",10,15)),IF(H384="AIE",IF(M384="L",5,IF(M384="A",7,10)),IF(H384="SE",IF(M384="L",4,IF(M384="A",5,7)),IF(OR(H384="EE",H384="CE"),IF(M384="L",3,IF(M384="A",4,6)))))))</f>
        <v/>
      </c>
      <c r="P384" s="54">
        <f>IF(I384="I",O384*Contagem!$W$15,IF(I384="E",O384*Contagem!$W$17,IF(I384="A",O384*Contagem!$W$16,IF(I384="T",O384*Contagem!$W$18,""))))</f>
        <v/>
      </c>
      <c r="Q384" s="55" t="inlineStr">
        <is>
          <t>Prova: Model AccessLog; migrations 2026_06_10_014429_create_access_logs_table e 2026_09_24_184500 (origem). Gravado nos eventos de login, falha, bloqueio e logout (listeners Record*, LoginController, GovBrAuthService). Consultado no histórico de acessos e na auditoria. Teste: tests/Feature/Audit/AccessLogRecordingTest.php::test_login_bem_sucedido_registra_acesso. Arquivo lógico: Grupo lógico reconhecido pelo usuário e pelo auditor: o registro de cada acesso (entrada, falha, saída), consultado no histórico de acessos. TD=8 (usuário, e-mail, evento, IP, navegador, canal, origem, data/hora). TR=1. Recontagem 16/10/2026: mantida (linha 519 da contagem de 01/10/2026).</t>
        </is>
      </c>
    </row>
    <row r="385" ht="12" customHeight="1" s="73">
      <c r="A385" s="14">
        <f>IF(H385="",IF(C385="",A384,A384+1),A384)</f>
        <v/>
      </c>
      <c r="B385" s="48">
        <f>IF(A385=A384,"",CONCATENATE("F",A385))</f>
        <v/>
      </c>
      <c r="C385" s="85" t="inlineStr">
        <is>
          <t>Histórico de acessos - consultar acessos de um usuário</t>
        </is>
      </c>
      <c r="D385" s="142" t="n"/>
      <c r="E385" s="142" t="n"/>
      <c r="F385" s="142" t="n"/>
      <c r="G385" s="143" t="n"/>
      <c r="H385" s="56" t="inlineStr">
        <is>
          <t>SE</t>
        </is>
      </c>
      <c r="I385" s="57" t="inlineStr">
        <is>
          <t>I</t>
        </is>
      </c>
      <c r="J385" s="56" t="n">
        <v>7</v>
      </c>
      <c r="K385" s="56" t="n">
        <v>3</v>
      </c>
      <c r="L385" s="50">
        <f>CONCATENATE(H385,M385)</f>
        <v/>
      </c>
      <c r="M385" s="51">
        <f>IF(OR(ISBLANK(J385),ISBLANK(K385)),IF(OR(H385="ALI",H385="AIE"),"L",IF(ISBLANK(H385),"","A")),IF(H385="EE",IF(K385&gt;=3,IF(J385&gt;=5,"H","A"),IF(K385&gt;=2,IF(J385&gt;=16,"H",IF(J385&lt;=4,"L","A")),IF(J385&lt;=15,"L","A"))),IF(OR(H385="SE",H385="CE"),IF(K385&gt;=4,IF(J385&gt;=6,"H","A"),IF(K385&gt;=2,IF(J385&gt;=20,"H",IF(J385&lt;=5,"L","A")),IF(J385&lt;=19,"L","A"))),IF(OR(H385="ALI",H385="AIE"),IF(K385&gt;=6,IF(J385&gt;=20,"H","A"),IF(K385&gt;=2,IF(J385&gt;=51,"H",IF(J385&lt;=19,"L","A")),IF(J385&lt;=50,"L","A")))))))</f>
        <v/>
      </c>
      <c r="N385" s="52">
        <f>IF(M385="L","Baixa",IF(M385="A","Média",IF(M385="","","Alta")))</f>
        <v/>
      </c>
      <c r="O385" s="53">
        <f>IF(ISBLANK(H385),"",IF(H385="ALI",IF(M385="L",7,IF(M385="A",10,15)),IF(H385="AIE",IF(M385="L",5,IF(M385="A",7,10)),IF(H385="SE",IF(M385="L",4,IF(M385="A",5,7)),IF(OR(H385="EE",H385="CE"),IF(M385="L",3,IF(M385="A",4,6)))))))</f>
        <v/>
      </c>
      <c r="P385" s="54">
        <f>IF(I385="I",O385*Contagem!$W$15,IF(I385="E",O385*Contagem!$W$17,IF(I385="A",O385*Contagem!$W$16,IF(I385="T",O385*Contagem!$W$18,""))))</f>
        <v/>
      </c>
      <c r="Q385" s="55" t="inlineStr">
        <is>
          <t>Prova: Rota GET /gestao/acessos/{user} (Gestao\AccessHistoryController, permissão consultar-acessos-de-qualquer-conta). Tela: gestao/acessos. O administrador abre o histórico de outra conta; o sistema lê o Usuário-alvo e o Registro de acesso (por usuário ou pelo e-mail, incluindo falhas e bloqueios sem usuário) e grava na trilha a consulta como acesso a dado pessoal de terceiro. Teste: tests/Feature/AccessHistory/AccessHistoryTest.php::test_consulta_administrativa_e_auditada (também test_admin_consulta_acessos_de_qualquer_conta). Processo elementar independente: menor unidade com significado para o administrador; completa por si (escolhe a conta e recebe o histórico); deixa o negócio consistente (consulta de terceiro auditada); lógica única. A exportação pelo parâmetro ?formato= usa o exportador de relatórios e pertence à função de exportação. Classificação: apresenta informação e atualiza Trilha de auditoria e Chamada de integração: SE (§5.5.3). TD=7 (nome do usuário-alvo, e-mail do usuário-alvo, evento, IP, canal, data/hora, ação consultar). AR=3 (Registro de acesso, Usuário, Trilha de auditoria). Recontagem 16/10/2026: alterada (linha 59 da contagem de 01/10/2026: "Histórico de acessos - consultar", SE Média 5 PF, TD 7, AR 3). Motivo: Nome e escopo: passa a representar só a consulta administrativa da gestão; a consulta do próprio usuário no portal tem FTR e lógica diferentes e foi contada à parte. TD, AR e tipo iguais.</t>
        </is>
      </c>
    </row>
    <row r="386" ht="12" customHeight="1" s="73">
      <c r="A386" s="14">
        <f>IF(H386="",IF(C386="",A385,A385+1),A385)</f>
        <v/>
      </c>
      <c r="B386" s="48">
        <f>IF(A386=A385,"",CONCATENATE("F",A386))</f>
        <v/>
      </c>
      <c r="C386" s="85" t="inlineStr">
        <is>
          <t>Histórico de acessos - consultar os próprios acessos</t>
        </is>
      </c>
      <c r="D386" s="142" t="n"/>
      <c r="E386" s="142" t="n"/>
      <c r="F386" s="142" t="n"/>
      <c r="G386" s="143" t="n"/>
      <c r="H386" s="56" t="inlineStr">
        <is>
          <t>CE</t>
        </is>
      </c>
      <c r="I386" s="57" t="inlineStr">
        <is>
          <t>I</t>
        </is>
      </c>
      <c r="J386" s="56" t="n">
        <v>5</v>
      </c>
      <c r="K386" s="56" t="n">
        <v>1</v>
      </c>
      <c r="L386" s="50">
        <f>CONCATENATE(H386,M386)</f>
        <v/>
      </c>
      <c r="M386" s="51">
        <f>IF(OR(ISBLANK(J386),ISBLANK(K386)),IF(OR(H386="ALI",H386="AIE"),"L",IF(ISBLANK(H386),"","A")),IF(H386="EE",IF(K386&gt;=3,IF(J386&gt;=5,"H","A"),IF(K386&gt;=2,IF(J386&gt;=16,"H",IF(J386&lt;=4,"L","A")),IF(J386&lt;=15,"L","A"))),IF(OR(H386="SE",H386="CE"),IF(K386&gt;=4,IF(J386&gt;=6,"H","A"),IF(K386&gt;=2,IF(J386&gt;=20,"H",IF(J386&lt;=5,"L","A")),IF(J386&lt;=19,"L","A"))),IF(OR(H386="ALI",H386="AIE"),IF(K386&gt;=6,IF(J386&gt;=20,"H","A"),IF(K386&gt;=2,IF(J386&gt;=51,"H",IF(J386&lt;=19,"L","A")),IF(J386&lt;=50,"L","A")))))))</f>
        <v/>
      </c>
      <c r="N386" s="52">
        <f>IF(M386="L","Baixa",IF(M386="A","Média",IF(M386="","","Alta")))</f>
        <v/>
      </c>
      <c r="O386" s="53">
        <f>IF(ISBLANK(H386),"",IF(H386="ALI",IF(M386="L",7,IF(M386="A",10,15)),IF(H386="AIE",IF(M386="L",5,IF(M386="A",7,10)),IF(H386="SE",IF(M386="L",4,IF(M386="A",5,7)),IF(OR(H386="EE",H386="CE"),IF(M386="L",3,IF(M386="A",4,6)))))))</f>
        <v/>
      </c>
      <c r="P386" s="54">
        <f>IF(I386="I",O386*Contagem!$W$15,IF(I386="E",O386*Contagem!$W$17,IF(I386="A",O386*Contagem!$W$16,IF(I386="T",O386*Contagem!$W$18,""))))</f>
        <v/>
      </c>
      <c r="Q386" s="55" t="inlineStr">
        <is>
          <t>Prova: Rota GET /portal/acessos (Portal\AccessHistoryController, auth:web). Tela: portal/acessos. O cidadão vê os próprios acessos; o sistema lê o Registro de acesso por usuário ou pelo e-mail (inclui falhas e bloqueios antes do login), paginado; não grava. Teste: tests/Feature/AccessHistory/AccessHistoryTest.php::test_usuario_ve_somente_os_proprios_acessos (também test_acessos_exibem_evento_data_e_ip). Processo elementar independente: menor unidade com significado para o cidadão; completa por si (abre e recebe a lista); deixa o negócio consistente (nada muda). A contagem anterior a juntou à consulta administrativa, mas os processos diferem em DER (sem nome e e-mail da conta-alvo), em FTR (não lê outra conta nem grava trilha) e em lógica (escopo fixo na própria conta): são processos distintos (§5.5.2.2). Classificação: só recupera e mostra: CE. TD=5 (evento, IP, canal, data/hora, ação abrir). AR=1 (Registro de acesso). Recontagem 16/10/2026: nova (não constava da contagem de 01/10/2026).</t>
        </is>
      </c>
    </row>
    <row r="387" ht="12" customHeight="1" s="73">
      <c r="A387" s="14">
        <f>IF(H387="",IF(C387="",A386,A386+1),A386)</f>
        <v/>
      </c>
      <c r="B387" s="48">
        <f>IF(A387=A386,"",CONCATENATE("F",A387))</f>
        <v/>
      </c>
      <c r="C387" s="85" t="n"/>
      <c r="D387" s="142" t="n"/>
      <c r="E387" s="142" t="n"/>
      <c r="F387" s="142" t="n"/>
      <c r="G387" s="143" t="n"/>
      <c r="H387" s="56" t="n"/>
      <c r="I387" s="57" t="n"/>
      <c r="J387" s="56" t="n"/>
      <c r="K387" s="56" t="n"/>
      <c r="L387" s="50">
        <f>CONCATENATE(H387,M387)</f>
        <v/>
      </c>
      <c r="M387" s="51">
        <f>IF(OR(ISBLANK(J387),ISBLANK(K387)),IF(OR(H387="ALI",H387="AIE"),"L",IF(ISBLANK(H387),"","A")),IF(H387="EE",IF(K387&gt;=3,IF(J387&gt;=5,"H","A"),IF(K387&gt;=2,IF(J387&gt;=16,"H",IF(J387&lt;=4,"L","A")),IF(J387&lt;=15,"L","A"))),IF(OR(H387="SE",H387="CE"),IF(K387&gt;=4,IF(J387&gt;=6,"H","A"),IF(K387&gt;=2,IF(J387&gt;=20,"H",IF(J387&lt;=5,"L","A")),IF(J387&lt;=19,"L","A"))),IF(OR(H387="ALI",H387="AIE"),IF(K387&gt;=6,IF(J387&gt;=20,"H","A"),IF(K387&gt;=2,IF(J387&gt;=51,"H",IF(J387&lt;=19,"L","A")),IF(J387&lt;=50,"L","A")))))))</f>
        <v/>
      </c>
      <c r="N387" s="52">
        <f>IF(M387="L","Baixa",IF(M387="A","Média",IF(M387="","","Alta")))</f>
        <v/>
      </c>
      <c r="O387" s="53">
        <f>IF(ISBLANK(H387),"",IF(H387="ALI",IF(M387="L",7,IF(M387="A",10,15)),IF(H387="AIE",IF(M387="L",5,IF(M387="A",7,10)),IF(H387="SE",IF(M387="L",4,IF(M387="A",5,7)),IF(OR(H387="EE",H387="CE"),IF(M387="L",3,IF(M387="A",4,6)))))))</f>
        <v/>
      </c>
      <c r="P387" s="54">
        <f>IF(I387="I",O387*Contagem!$W$15,IF(I387="E",O387*Contagem!$W$17,IF(I387="A",O387*Contagem!$W$16,IF(I387="T",O387*Contagem!$W$18,""))))</f>
        <v/>
      </c>
      <c r="Q387" s="55" t="n"/>
    </row>
    <row r="388" ht="12" customHeight="1" s="73">
      <c r="A388" s="14">
        <f>IF(H388="",IF(C388="",A387,A387+1),A387)</f>
        <v/>
      </c>
      <c r="B388" s="48">
        <f>IF(A388=A387,"",CONCATENATE("F",A388))</f>
        <v/>
      </c>
      <c r="C388" s="85" t="inlineStr">
        <is>
          <t>Painel do cidadão</t>
        </is>
      </c>
      <c r="D388" s="142" t="n"/>
      <c r="E388" s="142" t="n"/>
      <c r="F388" s="142" t="n"/>
      <c r="G388" s="143" t="n"/>
      <c r="H388" s="56" t="n"/>
      <c r="I388" s="57" t="n"/>
      <c r="J388" s="56" t="n"/>
      <c r="K388" s="56" t="n"/>
      <c r="L388" s="50">
        <f>CONCATENATE(H388,M388)</f>
        <v/>
      </c>
      <c r="M388" s="51">
        <f>IF(OR(ISBLANK(J388),ISBLANK(K388)),IF(OR(H388="ALI",H388="AIE"),"L",IF(ISBLANK(H388),"","A")),IF(H388="EE",IF(K388&gt;=3,IF(J388&gt;=5,"H","A"),IF(K388&gt;=2,IF(J388&gt;=16,"H",IF(J388&lt;=4,"L","A")),IF(J388&lt;=15,"L","A"))),IF(OR(H388="SE",H388="CE"),IF(K388&gt;=4,IF(J388&gt;=6,"H","A"),IF(K388&gt;=2,IF(J388&gt;=20,"H",IF(J388&lt;=5,"L","A")),IF(J388&lt;=19,"L","A"))),IF(OR(H388="ALI",H388="AIE"),IF(K388&gt;=6,IF(J388&gt;=20,"H","A"),IF(K388&gt;=2,IF(J388&gt;=51,"H",IF(J388&lt;=19,"L","A")),IF(J388&lt;=50,"L","A")))))))</f>
        <v/>
      </c>
      <c r="N388" s="52">
        <f>IF(M388="L","Baixa",IF(M388="A","Média",IF(M388="","","Alta")))</f>
        <v/>
      </c>
      <c r="O388" s="53">
        <f>IF(ISBLANK(H388),"",IF(H388="ALI",IF(M388="L",7,IF(M388="A",10,15)),IF(H388="AIE",IF(M388="L",5,IF(M388="A",7,10)),IF(H388="SE",IF(M388="L",4,IF(M388="A",5,7)),IF(OR(H388="EE",H388="CE"),IF(M388="L",3,IF(M388="A",4,6)))))))</f>
        <v/>
      </c>
      <c r="P388" s="54">
        <f>IF(I388="I",O388*Contagem!$W$15,IF(I388="E",O388*Contagem!$W$17,IF(I388="A",O388*Contagem!$W$16,IF(I388="T",O388*Contagem!$W$18,""))))</f>
        <v/>
      </c>
      <c r="Q388" s="55" t="n"/>
    </row>
    <row r="389" ht="12" customHeight="1" s="73">
      <c r="A389" s="14">
        <f>IF(H389="",IF(C389="",A388,A388+1),A388)</f>
        <v/>
      </c>
      <c r="B389" s="48">
        <f>IF(A389=A388,"",CONCATENATE("F",A389))</f>
        <v/>
      </c>
      <c r="C389" s="85" t="inlineStr">
        <is>
          <t>Painel do cidadão - consultar</t>
        </is>
      </c>
      <c r="D389" s="142" t="n"/>
      <c r="E389" s="142" t="n"/>
      <c r="F389" s="142" t="n"/>
      <c r="G389" s="143" t="n"/>
      <c r="H389" s="56" t="inlineStr">
        <is>
          <t>SE</t>
        </is>
      </c>
      <c r="I389" s="57" t="inlineStr">
        <is>
          <t>I</t>
        </is>
      </c>
      <c r="J389" s="56" t="n">
        <v>11</v>
      </c>
      <c r="K389" s="56" t="n">
        <v>3</v>
      </c>
      <c r="L389" s="50">
        <f>CONCATENATE(H389,M389)</f>
        <v/>
      </c>
      <c r="M389" s="51">
        <f>IF(OR(ISBLANK(J389),ISBLANK(K389)),IF(OR(H389="ALI",H389="AIE"),"L",IF(ISBLANK(H389),"","A")),IF(H389="EE",IF(K389&gt;=3,IF(J389&gt;=5,"H","A"),IF(K389&gt;=2,IF(J389&gt;=16,"H",IF(J389&lt;=4,"L","A")),IF(J389&lt;=15,"L","A"))),IF(OR(H389="SE",H389="CE"),IF(K389&gt;=4,IF(J389&gt;=6,"H","A"),IF(K389&gt;=2,IF(J389&gt;=20,"H",IF(J389&lt;=5,"L","A")),IF(J389&lt;=19,"L","A"))),IF(OR(H389="ALI",H389="AIE"),IF(K389&gt;=6,IF(J389&gt;=20,"H","A"),IF(K389&gt;=2,IF(J389&gt;=51,"H",IF(J389&lt;=19,"L","A")),IF(J389&lt;=50,"L","A")))))))</f>
        <v/>
      </c>
      <c r="N389" s="52">
        <f>IF(M389="L","Baixa",IF(M389="A","Média",IF(M389="","","Alta")))</f>
        <v/>
      </c>
      <c r="O389" s="53">
        <f>IF(ISBLANK(H389),"",IF(H389="ALI",IF(M389="L",7,IF(M389="A",10,15)),IF(H389="AIE",IF(M389="L",5,IF(M389="A",7,10)),IF(H389="SE",IF(M389="L",4,IF(M389="A",5,7)),IF(OR(H389="EE",H389="CE"),IF(M389="L",3,IF(M389="A",4,6)))))))</f>
        <v/>
      </c>
      <c r="P389" s="54">
        <f>IF(I389="I",O389*Contagem!$W$15,IF(I389="E",O389*Contagem!$W$17,IF(I389="A",O389*Contagem!$W$16,IF(I389="T",O389*Contagem!$W$18,""))))</f>
        <v/>
      </c>
      <c r="Q389" s="55" t="inlineStr">
        <is>
          <t>Prova: Rota GET /portal/painel (Portal\DashboardController, auth:web). Tela: portal/dashboard. App\Services\Painel\PainelCidadaoService monta, para o usuário efetivo (o representado quando há representação): indicadores calculados por contagem agrupada por situação (em análise, total de processos, em convite/pendência), a lista do que pede ação (pendências abertas com prazo e rascunhos a protocolar) e as últimas solicitações. Lê Solicitação de viabilidade, Pendência da análise e Empresa; o nome do tipo de serviço é dado de código e não conta como FTR; não grava. Os atalhos de serviços são menu estático e não contam. Teste: tests/Feature/Portal/PainelCidadaoTest.php::test_painel_exibe_indicadores_reais (também test_painel_atencao_traz_pendencias_abertas_e_rascunhos_do_efetivo e test_painel_em_representacao_mostra_do_representado_sem_vazar). Processo elementar independente: menor unidade com significado para o cidadão; completa por si (abre o painel e recebe indicadores e listas); deixa o negócio consistente (nada muda); lógica própria (totais por situação e itens que pedem ação), diferente da lista de solicitações. Não estava na contagem anterior. Classificação: os indicadores são contagens calculadas: SE (§5.5.3). TD=11 (quantidade em análise, total de processos, quantidade em convite, protocolo, situação, tipo de serviço, razão social da empresa, data de criação, descrição da pendência, prazo da pendência, ação abrir). AR=3 (Solicitação de viabilidade, Pendência da análise, Empresa). Recontagem 16/10/2026: nova (não constava da contagem de 01/10/2026).</t>
        </is>
      </c>
    </row>
    <row r="390" ht="12" customHeight="1" s="73">
      <c r="A390" s="14">
        <f>IF(H390="",IF(C390="",A389,A389+1),A389)</f>
        <v/>
      </c>
      <c r="B390" s="48">
        <f>IF(A390=A389,"",CONCATENATE("F",A390))</f>
        <v/>
      </c>
      <c r="C390" s="85" t="n"/>
      <c r="D390" s="142" t="n"/>
      <c r="E390" s="142" t="n"/>
      <c r="F390" s="142" t="n"/>
      <c r="G390" s="143" t="n"/>
      <c r="H390" s="56" t="n"/>
      <c r="I390" s="57" t="n"/>
      <c r="J390" s="56" t="n"/>
      <c r="K390" s="56" t="n"/>
      <c r="L390" s="50">
        <f>CONCATENATE(H390,M390)</f>
        <v/>
      </c>
      <c r="M390" s="51">
        <f>IF(OR(ISBLANK(J390),ISBLANK(K390)),IF(OR(H390="ALI",H390="AIE"),"L",IF(ISBLANK(H390),"","A")),IF(H390="EE",IF(K390&gt;=3,IF(J390&gt;=5,"H","A"),IF(K390&gt;=2,IF(J390&gt;=16,"H",IF(J390&lt;=4,"L","A")),IF(J390&lt;=15,"L","A"))),IF(OR(H390="SE",H390="CE"),IF(K390&gt;=4,IF(J390&gt;=6,"H","A"),IF(K390&gt;=2,IF(J390&gt;=20,"H",IF(J390&lt;=5,"L","A")),IF(J390&lt;=19,"L","A"))),IF(OR(H390="ALI",H390="AIE"),IF(K390&gt;=6,IF(J390&gt;=20,"H","A"),IF(K390&gt;=2,IF(J390&gt;=51,"H",IF(J390&lt;=19,"L","A")),IF(J390&lt;=50,"L","A")))))))</f>
        <v/>
      </c>
      <c r="N390" s="52">
        <f>IF(M390="L","Baixa",IF(M390="A","Média",IF(M390="","","Alta")))</f>
        <v/>
      </c>
      <c r="O390" s="53">
        <f>IF(ISBLANK(H390),"",IF(H390="ALI",IF(M390="L",7,IF(M390="A",10,15)),IF(H390="AIE",IF(M390="L",5,IF(M390="A",7,10)),IF(H390="SE",IF(M390="L",4,IF(M390="A",5,7)),IF(OR(H390="EE",H390="CE"),IF(M390="L",3,IF(M390="A",4,6)))))))</f>
        <v/>
      </c>
      <c r="P390" s="54">
        <f>IF(I390="I",O390*Contagem!$W$15,IF(I390="E",O390*Contagem!$W$17,IF(I390="A",O390*Contagem!$W$16,IF(I390="T",O390*Contagem!$W$18,""))))</f>
        <v/>
      </c>
      <c r="Q390" s="55" t="n"/>
    </row>
    <row r="391" ht="12" customHeight="1" s="73">
      <c r="A391" s="14">
        <f>IF(H391="",IF(C391="",A390,A390+1),A390)</f>
        <v/>
      </c>
      <c r="B391" s="48">
        <f>IF(A391=A390,"",CONCATENATE("F",A391))</f>
        <v/>
      </c>
      <c r="C391" s="85" t="inlineStr">
        <is>
          <t>Central de notificações</t>
        </is>
      </c>
      <c r="D391" s="142" t="n"/>
      <c r="E391" s="142" t="n"/>
      <c r="F391" s="142" t="n"/>
      <c r="G391" s="143" t="n"/>
      <c r="H391" s="56" t="n"/>
      <c r="I391" s="57" t="n"/>
      <c r="J391" s="56" t="n"/>
      <c r="K391" s="56" t="n"/>
      <c r="L391" s="50">
        <f>CONCATENATE(H391,M391)</f>
        <v/>
      </c>
      <c r="M391" s="51">
        <f>IF(OR(ISBLANK(J391),ISBLANK(K391)),IF(OR(H391="ALI",H391="AIE"),"L",IF(ISBLANK(H391),"","A")),IF(H391="EE",IF(K391&gt;=3,IF(J391&gt;=5,"H","A"),IF(K391&gt;=2,IF(J391&gt;=16,"H",IF(J391&lt;=4,"L","A")),IF(J391&lt;=15,"L","A"))),IF(OR(H391="SE",H391="CE"),IF(K391&gt;=4,IF(J391&gt;=6,"H","A"),IF(K391&gt;=2,IF(J391&gt;=20,"H",IF(J391&lt;=5,"L","A")),IF(J391&lt;=19,"L","A"))),IF(OR(H391="ALI",H391="AIE"),IF(K391&gt;=6,IF(J391&gt;=20,"H","A"),IF(K391&gt;=2,IF(J391&gt;=51,"H",IF(J391&lt;=19,"L","A")),IF(J391&lt;=50,"L","A")))))))</f>
        <v/>
      </c>
      <c r="N391" s="52">
        <f>IF(M391="L","Baixa",IF(M391="A","Média",IF(M391="","","Alta")))</f>
        <v/>
      </c>
      <c r="O391" s="53">
        <f>IF(ISBLANK(H391),"",IF(H391="ALI",IF(M391="L",7,IF(M391="A",10,15)),IF(H391="AIE",IF(M391="L",5,IF(M391="A",7,10)),IF(H391="SE",IF(M391="L",4,IF(M391="A",5,7)),IF(OR(H391="EE",H391="CE"),IF(M391="L",3,IF(M391="A",4,6)))))))</f>
        <v/>
      </c>
      <c r="P391" s="54">
        <f>IF(I391="I",O391*Contagem!$W$15,IF(I391="E",O391*Contagem!$W$17,IF(I391="A",O391*Contagem!$W$16,IF(I391="T",O391*Contagem!$W$18,""))))</f>
        <v/>
      </c>
      <c r="Q391" s="55" t="n"/>
    </row>
    <row r="392" ht="12" customHeight="1" s="73">
      <c r="A392" s="14">
        <f>IF(H392="",IF(C392="",A391,A391+1),A391)</f>
        <v/>
      </c>
      <c r="B392" s="48">
        <f>IF(A392=A391,"",CONCATENATE("F",A392))</f>
        <v/>
      </c>
      <c r="C392" s="85" t="inlineStr">
        <is>
          <t>Dados - Notificação ao usuário</t>
        </is>
      </c>
      <c r="D392" s="142" t="n"/>
      <c r="E392" s="142" t="n"/>
      <c r="F392" s="142" t="n"/>
      <c r="G392" s="143" t="n"/>
      <c r="H392" s="56" t="inlineStr">
        <is>
          <t>ALI</t>
        </is>
      </c>
      <c r="I392" s="57" t="inlineStr">
        <is>
          <t>I</t>
        </is>
      </c>
      <c r="J392" s="56" t="n">
        <v>8</v>
      </c>
      <c r="K392" s="56" t="n">
        <v>1</v>
      </c>
      <c r="L392" s="50">
        <f>CONCATENATE(H392,M392)</f>
        <v/>
      </c>
      <c r="M392" s="51">
        <f>IF(OR(ISBLANK(J392),ISBLANK(K392)),IF(OR(H392="ALI",H392="AIE"),"L",IF(ISBLANK(H392),"","A")),IF(H392="EE",IF(K392&gt;=3,IF(J392&gt;=5,"H","A"),IF(K392&gt;=2,IF(J392&gt;=16,"H",IF(J392&lt;=4,"L","A")),IF(J392&lt;=15,"L","A"))),IF(OR(H392="SE",H392="CE"),IF(K392&gt;=4,IF(J392&gt;=6,"H","A"),IF(K392&gt;=2,IF(J392&gt;=20,"H",IF(J392&lt;=5,"L","A")),IF(J392&lt;=19,"L","A"))),IF(OR(H392="ALI",H392="AIE"),IF(K392&gt;=6,IF(J392&gt;=20,"H","A"),IF(K392&gt;=2,IF(J392&gt;=51,"H",IF(J392&lt;=19,"L","A")),IF(J392&lt;=50,"L","A")))))))</f>
        <v/>
      </c>
      <c r="N392" s="52">
        <f>IF(M392="L","Baixa",IF(M392="A","Média",IF(M392="","","Alta")))</f>
        <v/>
      </c>
      <c r="O392" s="53">
        <f>IF(ISBLANK(H392),"",IF(H392="ALI",IF(M392="L",7,IF(M392="A",10,15)),IF(H392="AIE",IF(M392="L",5,IF(M392="A",7,10)),IF(H392="SE",IF(M392="L",4,IF(M392="A",5,7)),IF(OR(H392="EE",H392="CE"),IF(M392="L",3,IF(M392="A",4,6)))))))</f>
        <v/>
      </c>
      <c r="P392" s="54">
        <f>IF(I392="I",O392*Contagem!$W$15,IF(I392="E",O392*Contagem!$W$17,IF(I392="A",O392*Contagem!$W$16,IF(I392="T",O392*Contagem!$W$18,""))))</f>
        <v/>
      </c>
      <c r="Q392" s="55" t="inlineStr">
        <is>
          <t>Prova: Tabela notifications (canal database do Laravel), migration database/migrations/2026_06_15_034848_create_notifications_table.php. Gravada pelo NotificationDispatcher e pelas notificações em app/Notifications; marcada como lida na central (NotificationCenterController@markAsRead). Teste: tests/Feature/Comunicacao/NotificationCenterTest.php::test_portal_marca_uma_notificacao_como_lida. Arquivo lógico: grupo lógico reconhecido pelo usuário: os avisos do sininho, com conteúdo e situação de leitura próprios; cada aviso tem vida própria (lido ou não) e não é atributo do usuário; não é dado de código. TD=8 (tipo, destinatário, título, mensagem, protocolo, link, lida em, data). TR=1 (Notificação ao usuário). Para demonstrar: features.notificacao_in_app ligado. Recontagem 16/10/2026: mantida (linha 518 da contagem de 01/10/2026).</t>
        </is>
      </c>
    </row>
    <row r="393" ht="12" customHeight="1" s="73">
      <c r="A393" s="14">
        <f>IF(H393="",IF(C393="",A392,A392+1),A392)</f>
        <v/>
      </c>
      <c r="B393" s="48">
        <f>IF(A393=A392,"",CONCATENATE("F",A393))</f>
        <v/>
      </c>
      <c r="C393" s="85" t="inlineStr">
        <is>
          <t>Notificações - consultar</t>
        </is>
      </c>
      <c r="D393" s="142" t="n"/>
      <c r="E393" s="142" t="n"/>
      <c r="F393" s="142" t="n"/>
      <c r="G393" s="143" t="n"/>
      <c r="H393" s="56" t="inlineStr">
        <is>
          <t>SE</t>
        </is>
      </c>
      <c r="I393" s="57" t="inlineStr">
        <is>
          <t>I</t>
        </is>
      </c>
      <c r="J393" s="56" t="n">
        <v>7</v>
      </c>
      <c r="K393" s="56" t="n">
        <v>2</v>
      </c>
      <c r="L393" s="50">
        <f>CONCATENATE(H393,M393)</f>
        <v/>
      </c>
      <c r="M393" s="51">
        <f>IF(OR(ISBLANK(J393),ISBLANK(K393)),IF(OR(H393="ALI",H393="AIE"),"L",IF(ISBLANK(H393),"","A")),IF(H393="EE",IF(K393&gt;=3,IF(J393&gt;=5,"H","A"),IF(K393&gt;=2,IF(J393&gt;=16,"H",IF(J393&lt;=4,"L","A")),IF(J393&lt;=15,"L","A"))),IF(OR(H393="SE",H393="CE"),IF(K393&gt;=4,IF(J393&gt;=6,"H","A"),IF(K393&gt;=2,IF(J393&gt;=20,"H",IF(J393&lt;=5,"L","A")),IF(J393&lt;=19,"L","A"))),IF(OR(H393="ALI",H393="AIE"),IF(K393&gt;=6,IF(J393&gt;=20,"H","A"),IF(K393&gt;=2,IF(J393&gt;=51,"H",IF(J393&lt;=19,"L","A")),IF(J393&lt;=50,"L","A")))))))</f>
        <v/>
      </c>
      <c r="N393" s="52">
        <f>IF(M393="L","Baixa",IF(M393="A","Média",IF(M393="","","Alta")))</f>
        <v/>
      </c>
      <c r="O393" s="53">
        <f>IF(ISBLANK(H393),"",IF(H393="ALI",IF(M393="L",7,IF(M393="A",10,15)),IF(H393="AIE",IF(M393="L",5,IF(M393="A",7,10)),IF(H393="SE",IF(M393="L",4,IF(M393="A",5,7)),IF(OR(H393="EE",H393="CE"),IF(M393="L",3,IF(M393="A",4,6)))))))</f>
        <v/>
      </c>
      <c r="P393" s="54">
        <f>IF(I393="I",O393*Contagem!$W$15,IF(I393="E",O393*Contagem!$W$17,IF(I393="A",O393*Contagem!$W$16,IF(I393="T",O393*Contagem!$W$18,""))))</f>
        <v/>
      </c>
      <c r="Q393" s="55" t="inlineStr">
        <is>
          <t>Prova: Rotas GET /portal/notificacoes e GET /gestao/notificacoes (NotificationCenterController@index), mesma lógica contada uma vez. Telas: portal/notificacoes/index e gestao/notificacoes/index (componente notificacoes/notification-center). O usuário vê as próprias notificações, separadas em não lidas e lidas, com a quantidade de não lidas (contagem de unreadNotifications); o NotificationResource normaliza título e resumo e anula o link de processo inexistente (lê Solicitação de viabilidade). Não grava. Teste: tests/Feature/Comunicacao/NotificationCenterTest.php::test_portal_lista_notificacoes_e_expoe_badge_de_nao_lidas (também test_gestao_lista_marca_e_expoe_badge). Processo elementar independente: menor unidade com significado para o usuário; completa por si (abre a central e recebe a lista); deixa o negócio consistente (nada é gravado); lógica única (escopo do próprio usuário). Classificação: apresenta informação com contagem calculada: SE (§5.5.3). TD=7 (título, mensagem, recebida em, link do processo, situação de leitura, quantidade de não lidas, ação abrir). AR=2 (Notificação ao usuário, Solicitação de viabilidade). Recontagem 16/10/2026: alterada (linha 22 da contagem de 01/10/2026: "Notificações - consultar", CE Média 4 PF, TD 8, AR 2). Motivo: Tipo CE→SE e TD 8→7: a tela não mostra tipo nem data de leitura; mostra a quantidade de não lidas, contagem calculada no servidor (badge do sininho), o que torna a função SE.</t>
        </is>
      </c>
    </row>
    <row r="394" ht="12" customHeight="1" s="73">
      <c r="A394" s="14">
        <f>IF(H394="",IF(C394="",A393,A393+1),A393)</f>
        <v/>
      </c>
      <c r="B394" s="48">
        <f>IF(A394=A393,"",CONCATENATE("F",A394))</f>
        <v/>
      </c>
      <c r="C394" s="85" t="inlineStr">
        <is>
          <t>Notificações - marcar como lida</t>
        </is>
      </c>
      <c r="D394" s="142" t="n"/>
      <c r="E394" s="142" t="n"/>
      <c r="F394" s="142" t="n"/>
      <c r="G394" s="143" t="n"/>
      <c r="H394" s="56" t="inlineStr">
        <is>
          <t>EE</t>
        </is>
      </c>
      <c r="I394" s="57" t="inlineStr">
        <is>
          <t>I</t>
        </is>
      </c>
      <c r="J394" s="56" t="n">
        <v>2</v>
      </c>
      <c r="K394" s="56" t="n">
        <v>1</v>
      </c>
      <c r="L394" s="50">
        <f>CONCATENATE(H394,M394)</f>
        <v/>
      </c>
      <c r="M394" s="51">
        <f>IF(OR(ISBLANK(J394),ISBLANK(K394)),IF(OR(H394="ALI",H394="AIE"),"L",IF(ISBLANK(H394),"","A")),IF(H394="EE",IF(K394&gt;=3,IF(J394&gt;=5,"H","A"),IF(K394&gt;=2,IF(J394&gt;=16,"H",IF(J394&lt;=4,"L","A")),IF(J394&lt;=15,"L","A"))),IF(OR(H394="SE",H394="CE"),IF(K394&gt;=4,IF(J394&gt;=6,"H","A"),IF(K394&gt;=2,IF(J394&gt;=20,"H",IF(J394&lt;=5,"L","A")),IF(J394&lt;=19,"L","A"))),IF(OR(H394="ALI",H394="AIE"),IF(K394&gt;=6,IF(J394&gt;=20,"H","A"),IF(K394&gt;=2,IF(J394&gt;=51,"H",IF(J394&lt;=19,"L","A")),IF(J394&lt;=50,"L","A")))))))</f>
        <v/>
      </c>
      <c r="N394" s="52">
        <f>IF(M394="L","Baixa",IF(M394="A","Média",IF(M394="","","Alta")))</f>
        <v/>
      </c>
      <c r="O394" s="53">
        <f>IF(ISBLANK(H394),"",IF(H394="ALI",IF(M394="L",7,IF(M394="A",10,15)),IF(H394="AIE",IF(M394="L",5,IF(M394="A",7,10)),IF(H394="SE",IF(M394="L",4,IF(M394="A",5,7)),IF(OR(H394="EE",H394="CE"),IF(M394="L",3,IF(M394="A",4,6)))))))</f>
        <v/>
      </c>
      <c r="P394" s="54">
        <f>IF(I394="I",O394*Contagem!$W$15,IF(I394="E",O394*Contagem!$W$17,IF(I394="A",O394*Contagem!$W$16,IF(I394="T",O394*Contagem!$W$18,""))))</f>
        <v/>
      </c>
      <c r="Q394" s="55" t="inlineStr">
        <is>
          <t>Prova: Rotas POST /portal/notificacoes/{notification}/ler e POST /gestao/notificacoes/{notification}/ler (NotificationCenterController@markAsRead), mesma lógica contada uma vez. O usuário marca uma notificação; o sistema grava read_at na Notificação ao usuário, só do próprio dono (404 fora do escopo). A marcação de todas (POST .../ler-todas) é variação em lote deste processo e está incluída aqui. Teste: tests/Feature/Comunicacao/NotificationCenterTest.php::test_portal_marca_uma_notificacao_como_lida (também test_portal_marca_todas_as_notificacoes_como_lidas e test_usuario_nao_marca_notificacao_de_outro_anti_idor). Processo elementar independente: menor unidade com significado para o usuário; completa por si (clica e a notificação fica lida); deixa o negócio consistente (contador atualizado); lógica única (marcação de leitura com escopo do dono). Classificação: mantém Notificação ao usuário: EE. TD=2 (notificação selecionada, ação marcar como lida). AR=1 (Notificação ao usuário). Recontagem 16/10/2026: mantida (linha 23 da contagem de 01/10/2026).</t>
        </is>
      </c>
    </row>
    <row r="395" ht="12" customHeight="1" s="73">
      <c r="A395" s="14">
        <f>IF(H395="",IF(C395="",A394,A394+1),A394)</f>
        <v/>
      </c>
      <c r="B395" s="48">
        <f>IF(A395=A394,"",CONCATENATE("F",A395))</f>
        <v/>
      </c>
      <c r="C395" s="85" t="n"/>
      <c r="D395" s="142" t="n"/>
      <c r="E395" s="142" t="n"/>
      <c r="F395" s="142" t="n"/>
      <c r="G395" s="143" t="n"/>
      <c r="H395" s="56" t="n"/>
      <c r="I395" s="57" t="n"/>
      <c r="J395" s="56" t="n"/>
      <c r="K395" s="56" t="n"/>
      <c r="L395" s="50">
        <f>CONCATENATE(H395,M395)</f>
        <v/>
      </c>
      <c r="M395" s="51">
        <f>IF(OR(ISBLANK(J395),ISBLANK(K395)),IF(OR(H395="ALI",H395="AIE"),"L",IF(ISBLANK(H395),"","A")),IF(H395="EE",IF(K395&gt;=3,IF(J395&gt;=5,"H","A"),IF(K395&gt;=2,IF(J395&gt;=16,"H",IF(J395&lt;=4,"L","A")),IF(J395&lt;=15,"L","A"))),IF(OR(H395="SE",H395="CE"),IF(K395&gt;=4,IF(J395&gt;=6,"H","A"),IF(K395&gt;=2,IF(J395&gt;=20,"H",IF(J395&lt;=5,"L","A")),IF(J395&lt;=19,"L","A"))),IF(OR(H395="ALI",H395="AIE"),IF(K395&gt;=6,IF(J395&gt;=20,"H","A"),IF(K395&gt;=2,IF(J395&gt;=51,"H",IF(J395&lt;=19,"L","A")),IF(J395&lt;=50,"L","A")))))))</f>
        <v/>
      </c>
      <c r="N395" s="52">
        <f>IF(M395="L","Baixa",IF(M395="A","Média",IF(M395="","","Alta")))</f>
        <v/>
      </c>
      <c r="O395" s="53">
        <f>IF(ISBLANK(H395),"",IF(H395="ALI",IF(M395="L",7,IF(M395="A",10,15)),IF(H395="AIE",IF(M395="L",5,IF(M395="A",7,10)),IF(H395="SE",IF(M395="L",4,IF(M395="A",5,7)),IF(OR(H395="EE",H395="CE"),IF(M395="L",3,IF(M395="A",4,6)))))))</f>
        <v/>
      </c>
      <c r="P395" s="54">
        <f>IF(I395="I",O395*Contagem!$W$15,IF(I395="E",O395*Contagem!$W$17,IF(I395="A",O395*Contagem!$W$16,IF(I395="T",O395*Contagem!$W$18,""))))</f>
        <v/>
      </c>
      <c r="Q395" s="55" t="n"/>
    </row>
    <row r="396" ht="12" customHeight="1" s="73">
      <c r="A396" s="14">
        <f>IF(H396="",IF(C396="",A395,A395+1),A395)</f>
        <v/>
      </c>
      <c r="B396" s="48">
        <f>IF(A396=A395,"",CONCATENATE("F",A396))</f>
        <v/>
      </c>
      <c r="C396" s="85" t="inlineStr">
        <is>
          <t>Histórico de comunicações do processo</t>
        </is>
      </c>
      <c r="D396" s="142" t="n"/>
      <c r="E396" s="142" t="n"/>
      <c r="F396" s="142" t="n"/>
      <c r="G396" s="143" t="n"/>
      <c r="H396" s="56" t="n"/>
      <c r="I396" s="57" t="n"/>
      <c r="J396" s="56" t="n"/>
      <c r="K396" s="56" t="n"/>
      <c r="L396" s="50">
        <f>CONCATENATE(H396,M396)</f>
        <v/>
      </c>
      <c r="M396" s="51">
        <f>IF(OR(ISBLANK(J396),ISBLANK(K396)),IF(OR(H396="ALI",H396="AIE"),"L",IF(ISBLANK(H396),"","A")),IF(H396="EE",IF(K396&gt;=3,IF(J396&gt;=5,"H","A"),IF(K396&gt;=2,IF(J396&gt;=16,"H",IF(J396&lt;=4,"L","A")),IF(J396&lt;=15,"L","A"))),IF(OR(H396="SE",H396="CE"),IF(K396&gt;=4,IF(J396&gt;=6,"H","A"),IF(K396&gt;=2,IF(J396&gt;=20,"H",IF(J396&lt;=5,"L","A")),IF(J396&lt;=19,"L","A"))),IF(OR(H396="ALI",H396="AIE"),IF(K396&gt;=6,IF(J396&gt;=20,"H","A"),IF(K396&gt;=2,IF(J396&gt;=51,"H",IF(J396&lt;=19,"L","A")),IF(J396&lt;=50,"L","A")))))))</f>
        <v/>
      </c>
      <c r="N396" s="52">
        <f>IF(M396="L","Baixa",IF(M396="A","Média",IF(M396="","","Alta")))</f>
        <v/>
      </c>
      <c r="O396" s="53">
        <f>IF(ISBLANK(H396),"",IF(H396="ALI",IF(M396="L",7,IF(M396="A",10,15)),IF(H396="AIE",IF(M396="L",5,IF(M396="A",7,10)),IF(H396="SE",IF(M396="L",4,IF(M396="A",5,7)),IF(OR(H396="EE",H396="CE"),IF(M396="L",3,IF(M396="A",4,6)))))))</f>
        <v/>
      </c>
      <c r="P396" s="54">
        <f>IF(I396="I",O396*Contagem!$W$15,IF(I396="E",O396*Contagem!$W$17,IF(I396="A",O396*Contagem!$W$16,IF(I396="T",O396*Contagem!$W$18,""))))</f>
        <v/>
      </c>
      <c r="Q396" s="55" t="n"/>
    </row>
    <row r="397" ht="12" customHeight="1" s="73">
      <c r="A397" s="14">
        <f>IF(H397="",IF(C397="",A396,A396+1),A396)</f>
        <v/>
      </c>
      <c r="B397" s="48">
        <f>IF(A397=A396,"",CONCATENATE("F",A397))</f>
        <v/>
      </c>
      <c r="C397" s="85" t="inlineStr">
        <is>
          <t>Dados - Comunicação ao requerente</t>
        </is>
      </c>
      <c r="D397" s="142" t="n"/>
      <c r="E397" s="142" t="n"/>
      <c r="F397" s="142" t="n"/>
      <c r="G397" s="143" t="n"/>
      <c r="H397" s="56" t="inlineStr">
        <is>
          <t>ALI</t>
        </is>
      </c>
      <c r="I397" s="57" t="inlineStr">
        <is>
          <t>I</t>
        </is>
      </c>
      <c r="J397" s="56" t="n">
        <v>11</v>
      </c>
      <c r="K397" s="56" t="n">
        <v>1</v>
      </c>
      <c r="L397" s="50">
        <f>CONCATENATE(H397,M397)</f>
        <v/>
      </c>
      <c r="M397" s="51">
        <f>IF(OR(ISBLANK(J397),ISBLANK(K397)),IF(OR(H397="ALI",H397="AIE"),"L",IF(ISBLANK(H397),"","A")),IF(H397="EE",IF(K397&gt;=3,IF(J397&gt;=5,"H","A"),IF(K397&gt;=2,IF(J397&gt;=16,"H",IF(J397&lt;=4,"L","A")),IF(J397&lt;=15,"L","A"))),IF(OR(H397="SE",H397="CE"),IF(K397&gt;=4,IF(J397&gt;=6,"H","A"),IF(K397&gt;=2,IF(J397&gt;=20,"H",IF(J397&lt;=5,"L","A")),IF(J397&lt;=19,"L","A"))),IF(OR(H397="ALI",H397="AIE"),IF(K397&gt;=6,IF(J397&gt;=20,"H","A"),IF(K397&gt;=2,IF(J397&gt;=51,"H",IF(J397&lt;=19,"L","A")),IF(J397&lt;=50,"L","A")))))))</f>
        <v/>
      </c>
      <c r="N397" s="52">
        <f>IF(M397="L","Baixa",IF(M397="A","Média",IF(M397="","","Alta")))</f>
        <v/>
      </c>
      <c r="O397" s="53">
        <f>IF(ISBLANK(H397),"",IF(H397="ALI",IF(M397="L",7,IF(M397="A",10,15)),IF(H397="AIE",IF(M397="L",5,IF(M397="A",7,10)),IF(H397="SE",IF(M397="L",4,IF(M397="A",5,7)),IF(OR(H397="EE",H397="CE"),IF(M397="L",3,IF(M397="A",4,6)))))))</f>
        <v/>
      </c>
      <c r="P397" s="54">
        <f>IF(I397="I",O397*Contagem!$W$15,IF(I397="E",O397*Contagem!$W$17,IF(I397="A",O397*Contagem!$W$16,IF(I397="T",O397*Contagem!$W$18,""))))</f>
        <v/>
      </c>
      <c r="Q397" s="55" t="inlineStr">
        <is>
          <t>Prova: Model app/Models/Communication.php; migration database/migrations/2026_06_15_035133_create_communications_table.php. Gravada pelo NotificationDispatcher em cada envio (pendência, resultado, prazo, escalonamento) e atualizada na entrega ou na falha (listener RegistrarEnvioComunicacao). Lida no histórico de comunicações e no relatório de falhas. Teste: tests/Feature/Comunicacao/ComunicacaoHistoricoTest.php::test_gestao_lista_historico_unificado_por_processo_ordenado_e_audita. Arquivo lógico: grupo lógico reconhecido pelo gestor e pelo requerente: cada comunicação tem canal, situação de entrega e datas próprias, consultadas por processo; não é dado de código. TD=11 (solicitação, destinatário, canal, tipo, situação, título, resumo, mensagem de erro, enfileirada em, enviada em, falhou em). TR=1 (Comunicação ao requerente). Para demonstrar: canais conforme features.notificacao_email, features.notificacao_in_app e features.notificacao_whatsapp. Recontagem 16/10/2026: mantida (linha 509 da contagem de 01/10/2026).</t>
        </is>
      </c>
    </row>
    <row r="398" ht="12" customHeight="1" s="73">
      <c r="A398" s="14">
        <f>IF(H398="",IF(C398="",A397,A397+1),A397)</f>
        <v/>
      </c>
      <c r="B398" s="48">
        <f>IF(A398=A397,"",CONCATENATE("F",A398))</f>
        <v/>
      </c>
      <c r="C398" s="85" t="inlineStr">
        <is>
          <t>Comunicações - consultar histórico do processo</t>
        </is>
      </c>
      <c r="D398" s="142" t="n"/>
      <c r="E398" s="142" t="n"/>
      <c r="F398" s="142" t="n"/>
      <c r="G398" s="143" t="n"/>
      <c r="H398" s="56" t="inlineStr">
        <is>
          <t>SE</t>
        </is>
      </c>
      <c r="I398" s="57" t="inlineStr">
        <is>
          <t>I</t>
        </is>
      </c>
      <c r="J398" s="56" t="n">
        <v>10</v>
      </c>
      <c r="K398" s="56" t="n">
        <v>4</v>
      </c>
      <c r="L398" s="50">
        <f>CONCATENATE(H398,M398)</f>
        <v/>
      </c>
      <c r="M398" s="51">
        <f>IF(OR(ISBLANK(J398),ISBLANK(K398)),IF(OR(H398="ALI",H398="AIE"),"L",IF(ISBLANK(H398),"","A")),IF(H398="EE",IF(K398&gt;=3,IF(J398&gt;=5,"H","A"),IF(K398&gt;=2,IF(J398&gt;=16,"H",IF(J398&lt;=4,"L","A")),IF(J398&lt;=15,"L","A"))),IF(OR(H398="SE",H398="CE"),IF(K398&gt;=4,IF(J398&gt;=6,"H","A"),IF(K398&gt;=2,IF(J398&gt;=20,"H",IF(J398&lt;=5,"L","A")),IF(J398&lt;=19,"L","A"))),IF(OR(H398="ALI",H398="AIE"),IF(K398&gt;=6,IF(J398&gt;=20,"H","A"),IF(K398&gt;=2,IF(J398&gt;=51,"H",IF(J398&lt;=19,"L","A")),IF(J398&lt;=50,"L","A")))))))</f>
        <v/>
      </c>
      <c r="N398" s="52">
        <f>IF(M398="L","Baixa",IF(M398="A","Média",IF(M398="","","Alta")))</f>
        <v/>
      </c>
      <c r="O398" s="53">
        <f>IF(ISBLANK(H398),"",IF(H398="ALI",IF(M398="L",7,IF(M398="A",10,15)),IF(H398="AIE",IF(M398="L",5,IF(M398="A",7,10)),IF(H398="SE",IF(M398="L",4,IF(M398="A",5,7)),IF(OR(H398="EE",H398="CE"),IF(M398="L",3,IF(M398="A",4,6)))))))</f>
        <v/>
      </c>
      <c r="P398" s="54">
        <f>IF(I398="I",O398*Contagem!$W$15,IF(I398="E",O398*Contagem!$W$17,IF(I398="A",O398*Contagem!$W$16,IF(I398="T",O398*Contagem!$W$18,""))))</f>
        <v/>
      </c>
      <c r="Q398" s="55" t="inlineStr">
        <is>
          <t>Prova: Rotas GET /gestao/processos/{viabilityRequest}/comunicacoes (ComunicacaoHistoricoController@gestao, consultar-solicitacoes) e GET /portal/solicitacoes/{solicitacao}/comunicacoes (ComunicacaoHistoricoController@portal, dono ou representado), mesma lógica (método render) contada uma vez. Telas: gestao/processos/comunicacoes e portal/solicitacoes/comunicacoes (componente comunicacoes/HistoricoComunicacoes). O usuário abre a linha do tempo das comunicações do processo; o sistema lê Comunicação ao requerente, Solicitação de viabilidade e o nome do destinatário (Usuário) e grava a consulta na trilha. O diagnóstico de erro só aparece na gestão (pequena variação de DER, mesma lógica). Teste: tests/Feature/Comunicacao/ComunicacaoHistoricoTest.php::test_portal_dono_lista_historico_e_audita (também test_gestao_lista_historico_unificado_por_processo_ordenado_e_audita e test_error_message_visivel_na_gestao_e_oculto_no_portal_lgpd). Processo elementar independente: menor unidade com significado para o requerente e o analista; completa por si (abre o histórico); deixa o negócio consistente (consulta registrada); lógica única de histórico unificado por processo. Classificação: apresenta informação e atualiza a Trilha de auditoria: SE (§5.5.3). TD=10 (protocolo, tipo, canal, situação, título, resumo, destinatário, data do evento, diagnóstico de erro, ação abrir). AR=4 (Comunicação ao requerente, Solicitação de viabilidade, Usuário, Trilha de auditoria). Recontagem 16/10/2026: alterada (linha 27 da contagem de 01/10/2026: "Comunicações - consultar histórico na gestão", CE Média 4 PF, TD 13, AR 3). Motivo: Tipo CE→SE, TD 13→10, AR 3→4 e nome: a consulta grava a trilha 'historico-consultado' (atualiza ALI, logo não pode ser CE); a tela mostra uma única data do evento, não as quatro; a rota do portal é a mesma função.</t>
        </is>
      </c>
    </row>
    <row r="399" ht="12" customHeight="1" s="73">
      <c r="A399" s="14">
        <f>IF(H399="",IF(C399="",A398,A398+1),A398)</f>
        <v/>
      </c>
      <c r="B399" s="48">
        <f>IF(A399=A398,"",CONCATENATE("F",A399))</f>
        <v/>
      </c>
      <c r="C399" s="85" t="n"/>
      <c r="D399" s="142" t="n"/>
      <c r="E399" s="142" t="n"/>
      <c r="F399" s="142" t="n"/>
      <c r="G399" s="143" t="n"/>
      <c r="H399" s="56" t="n"/>
      <c r="I399" s="57" t="n"/>
      <c r="J399" s="56" t="n"/>
      <c r="K399" s="56" t="n"/>
      <c r="L399" s="50">
        <f>CONCATENATE(H399,M399)</f>
        <v/>
      </c>
      <c r="M399" s="51">
        <f>IF(OR(ISBLANK(J399),ISBLANK(K399)),IF(OR(H399="ALI",H399="AIE"),"L",IF(ISBLANK(H399),"","A")),IF(H399="EE",IF(K399&gt;=3,IF(J399&gt;=5,"H","A"),IF(K399&gt;=2,IF(J399&gt;=16,"H",IF(J399&lt;=4,"L","A")),IF(J399&lt;=15,"L","A"))),IF(OR(H399="SE",H399="CE"),IF(K399&gt;=4,IF(J399&gt;=6,"H","A"),IF(K399&gt;=2,IF(J399&gt;=20,"H",IF(J399&lt;=5,"L","A")),IF(J399&lt;=19,"L","A"))),IF(OR(H399="ALI",H399="AIE"),IF(K399&gt;=6,IF(J399&gt;=20,"H","A"),IF(K399&gt;=2,IF(J399&gt;=51,"H",IF(J399&lt;=19,"L","A")),IF(J399&lt;=50,"L","A")))))))</f>
        <v/>
      </c>
      <c r="N399" s="52">
        <f>IF(M399="L","Baixa",IF(M399="A","Média",IF(M399="","","Alta")))</f>
        <v/>
      </c>
      <c r="O399" s="53">
        <f>IF(ISBLANK(H399),"",IF(H399="ALI",IF(M399="L",7,IF(M399="A",10,15)),IF(H399="AIE",IF(M399="L",5,IF(M399="A",7,10)),IF(H399="SE",IF(M399="L",4,IF(M399="A",5,7)),IF(OR(H399="EE",H399="CE"),IF(M399="L",3,IF(M399="A",4,6)))))))</f>
        <v/>
      </c>
      <c r="P399" s="54">
        <f>IF(I399="I",O399*Contagem!$W$15,IF(I399="E",O399*Contagem!$W$17,IF(I399="A",O399*Contagem!$W$16,IF(I399="T",O399*Contagem!$W$18,""))))</f>
        <v/>
      </c>
      <c r="Q399" s="55" t="n"/>
    </row>
    <row r="400" ht="12" customHeight="1" s="73">
      <c r="A400" s="14">
        <f>IF(H400="",IF(C400="",A399,A399+1),A399)</f>
        <v/>
      </c>
      <c r="B400" s="48">
        <f>IF(A400=A399,"",CONCATENATE("F",A400))</f>
        <v/>
      </c>
      <c r="C400" s="85" t="inlineStr">
        <is>
          <t>Empresas do cidadão</t>
        </is>
      </c>
      <c r="D400" s="142" t="n"/>
      <c r="E400" s="142" t="n"/>
      <c r="F400" s="142" t="n"/>
      <c r="G400" s="143" t="n"/>
      <c r="H400" s="56" t="n"/>
      <c r="I400" s="57" t="n"/>
      <c r="J400" s="56" t="n"/>
      <c r="K400" s="56" t="n"/>
      <c r="L400" s="50">
        <f>CONCATENATE(H400,M400)</f>
        <v/>
      </c>
      <c r="M400" s="51">
        <f>IF(OR(ISBLANK(J400),ISBLANK(K400)),IF(OR(H400="ALI",H400="AIE"),"L",IF(ISBLANK(H400),"","A")),IF(H400="EE",IF(K400&gt;=3,IF(J400&gt;=5,"H","A"),IF(K400&gt;=2,IF(J400&gt;=16,"H",IF(J400&lt;=4,"L","A")),IF(J400&lt;=15,"L","A"))),IF(OR(H400="SE",H400="CE"),IF(K400&gt;=4,IF(J400&gt;=6,"H","A"),IF(K400&gt;=2,IF(J400&gt;=20,"H",IF(J400&lt;=5,"L","A")),IF(J400&lt;=19,"L","A"))),IF(OR(H400="ALI",H400="AIE"),IF(K400&gt;=6,IF(J400&gt;=20,"H","A"),IF(K400&gt;=2,IF(J400&gt;=51,"H",IF(J400&lt;=19,"L","A")),IF(J400&lt;=50,"L","A")))))))</f>
        <v/>
      </c>
      <c r="N400" s="52">
        <f>IF(M400="L","Baixa",IF(M400="A","Média",IF(M400="","","Alta")))</f>
        <v/>
      </c>
      <c r="O400" s="53">
        <f>IF(ISBLANK(H400),"",IF(H400="ALI",IF(M400="L",7,IF(M400="A",10,15)),IF(H400="AIE",IF(M400="L",5,IF(M400="A",7,10)),IF(H400="SE",IF(M400="L",4,IF(M400="A",5,7)),IF(OR(H400="EE",H400="CE"),IF(M400="L",3,IF(M400="A",4,6)))))))</f>
        <v/>
      </c>
      <c r="P400" s="54">
        <f>IF(I400="I",O400*Contagem!$W$15,IF(I400="E",O400*Contagem!$W$17,IF(I400="A",O400*Contagem!$W$16,IF(I400="T",O400*Contagem!$W$18,""))))</f>
        <v/>
      </c>
      <c r="Q400" s="55" t="n"/>
    </row>
    <row r="401" ht="12" customHeight="1" s="73">
      <c r="A401" s="14">
        <f>IF(H401="",IF(C401="",A400,A400+1),A400)</f>
        <v/>
      </c>
      <c r="B401" s="48">
        <f>IF(A401=A400,"",CONCATENATE("F",A401))</f>
        <v/>
      </c>
      <c r="C401" s="85" t="inlineStr">
        <is>
          <t>Dados - Empresa</t>
        </is>
      </c>
      <c r="D401" s="142" t="n"/>
      <c r="E401" s="142" t="n"/>
      <c r="F401" s="142" t="n"/>
      <c r="G401" s="143" t="n"/>
      <c r="H401" s="56" t="inlineStr">
        <is>
          <t>ALI</t>
        </is>
      </c>
      <c r="I401" s="57" t="inlineStr">
        <is>
          <t>I</t>
        </is>
      </c>
      <c r="J401" s="56" t="n">
        <v>21</v>
      </c>
      <c r="K401" s="56" t="n">
        <v>2</v>
      </c>
      <c r="L401" s="50">
        <f>CONCATENATE(H401,M401)</f>
        <v/>
      </c>
      <c r="M401" s="51">
        <f>IF(OR(ISBLANK(J401),ISBLANK(K401)),IF(OR(H401="ALI",H401="AIE"),"L",IF(ISBLANK(H401),"","A")),IF(H401="EE",IF(K401&gt;=3,IF(J401&gt;=5,"H","A"),IF(K401&gt;=2,IF(J401&gt;=16,"H",IF(J401&lt;=4,"L","A")),IF(J401&lt;=15,"L","A"))),IF(OR(H401="SE",H401="CE"),IF(K401&gt;=4,IF(J401&gt;=6,"H","A"),IF(K401&gt;=2,IF(J401&gt;=20,"H",IF(J401&lt;=5,"L","A")),IF(J401&lt;=19,"L","A"))),IF(OR(H401="ALI",H401="AIE"),IF(K401&gt;=6,IF(J401&gt;=20,"H","A"),IF(K401&gt;=2,IF(J401&gt;=51,"H",IF(J401&lt;=19,"L","A")),IF(J401&lt;=50,"L","A")))))))</f>
        <v/>
      </c>
      <c r="N401" s="52">
        <f>IF(M401="L","Baixa",IF(M401="A","Média",IF(M401="","","Alta")))</f>
        <v/>
      </c>
      <c r="O401" s="53">
        <f>IF(ISBLANK(H401),"",IF(H401="ALI",IF(M401="L",7,IF(M401="A",10,15)),IF(H401="AIE",IF(M401="L",5,IF(M401="A",7,10)),IF(H401="SE",IF(M401="L",4,IF(M401="A",5,7)),IF(OR(H401="EE",H401="CE"),IF(M401="L",3,IF(M401="A",4,6)))))))</f>
        <v/>
      </c>
      <c r="P401" s="54">
        <f>IF(I401="I",O401*Contagem!$W$15,IF(I401="E",O401*Contagem!$W$17,IF(I401="A",O401*Contagem!$W$16,IF(I401="T",O401*Contagem!$W$18,""))))</f>
        <v/>
      </c>
      <c r="Q401" s="55" t="inlineStr">
        <is>
          <t>Prova: Model app/Models/Company.php; migrations database/migrations/2026_06_12_035745_create_companies_table.php, 2026_06_12_035746_create_company_cnae_table.php e 2026_10_03_142733_add_origem_declarada_to_viability_requests_and_nullable_cnpj_on_companies.php (CNPJ opcional para empresa recebida do REGIN). Mantido pelo cadastro e alteração no portal (Portal\CompanyController), pela definição de CNAEs (CompanyCnaeService) e pelo recebimento do REGIN. Teste: tests/Feature/Companies/CompanyRegistrationTest.php::test_cadastro_cria_empresa_e_vinculo_responsavel_ativo. Arquivo lógico: grupo lógico reconhecido pelo requerente e pela SEDUR: a empresa que pede viabilidade, com suas atividades (CNAE da empresa, com indicador de principal) como subgrupo; não é dado de código. TD=21 (CNPJ, razão social, nome fantasia, código da natureza jurídica, natureza jurídica, código do porte, porte, logradouro, número, complemento, bairro, cidade, UF, CEP, e-mail, telefone, origem, protocolo REDESIM, sincronizada em, CNAE da empresa, indicador de CNAE principal). TR=2 (Empresa, CNAE da empresa). Recontagem 16/10/2026: mantida (linha 52 da contagem de 01/10/2026).</t>
        </is>
      </c>
    </row>
    <row r="402" ht="12" customHeight="1" s="73">
      <c r="A402" s="14">
        <f>IF(H402="",IF(C402="",A401,A401+1),A401)</f>
        <v/>
      </c>
      <c r="B402" s="48">
        <f>IF(A402=A401,"",CONCATENATE("F",A402))</f>
        <v/>
      </c>
      <c r="C402" s="85" t="inlineStr">
        <is>
          <t>Dados - Vínculo de usuário com empresa</t>
        </is>
      </c>
      <c r="D402" s="142" t="n"/>
      <c r="E402" s="142" t="n"/>
      <c r="F402" s="142" t="n"/>
      <c r="G402" s="143" t="n"/>
      <c r="H402" s="56" t="inlineStr">
        <is>
          <t>ALI</t>
        </is>
      </c>
      <c r="I402" s="57" t="inlineStr">
        <is>
          <t>I</t>
        </is>
      </c>
      <c r="J402" s="56" t="n">
        <v>6</v>
      </c>
      <c r="K402" s="56" t="n">
        <v>1</v>
      </c>
      <c r="L402" s="50">
        <f>CONCATENATE(H402,M402)</f>
        <v/>
      </c>
      <c r="M402" s="51">
        <f>IF(OR(ISBLANK(J402),ISBLANK(K402)),IF(OR(H402="ALI",H402="AIE"),"L",IF(ISBLANK(H402),"","A")),IF(H402="EE",IF(K402&gt;=3,IF(J402&gt;=5,"H","A"),IF(K402&gt;=2,IF(J402&gt;=16,"H",IF(J402&lt;=4,"L","A")),IF(J402&lt;=15,"L","A"))),IF(OR(H402="SE",H402="CE"),IF(K402&gt;=4,IF(J402&gt;=6,"H","A"),IF(K402&gt;=2,IF(J402&gt;=20,"H",IF(J402&lt;=5,"L","A")),IF(J402&lt;=19,"L","A"))),IF(OR(H402="ALI",H402="AIE"),IF(K402&gt;=6,IF(J402&gt;=20,"H","A"),IF(K402&gt;=2,IF(J402&gt;=51,"H",IF(J402&lt;=19,"L","A")),IF(J402&lt;=50,"L","A")))))))</f>
        <v/>
      </c>
      <c r="N402" s="52">
        <f>IF(M402="L","Baixa",IF(M402="A","Média",IF(M402="","","Alta")))</f>
        <v/>
      </c>
      <c r="O402" s="53">
        <f>IF(ISBLANK(H402),"",IF(H402="ALI",IF(M402="L",7,IF(M402="A",10,15)),IF(H402="AIE",IF(M402="L",5,IF(M402="A",7,10)),IF(H402="SE",IF(M402="L",4,IF(M402="A",5,7)),IF(OR(H402="EE",H402="CE"),IF(M402="L",3,IF(M402="A",4,6)))))))</f>
        <v/>
      </c>
      <c r="P402" s="54">
        <f>IF(I402="I",O402*Contagem!$W$15,IF(I402="E",O402*Contagem!$W$17,IF(I402="A",O402*Contagem!$W$16,IF(I402="T",O402*Contagem!$W$18,""))))</f>
        <v/>
      </c>
      <c r="Q402" s="55" t="inlineStr">
        <is>
          <t>Prova: Model app/Models/CompanyUser.php; migration database/migrations/2026_06_12_035746_create_company_user_table.php. Criado no cadastro da empresa (Portal\CompanyController@store) e encerrado em Portal\CompanyLinkController@destroy (data e motivo, sem exclusão); lido pela CompanyPolicy e nas listas. Teste: tests/Feature/Companies/EndCompanyLinkTest.php::test_usuario_encerra_o_proprio_vinculo_com_motivo. Arquivo lógico: entidade associativa com atributos próprios (papel, início, encerramento, motivo) que a regra de negócio exige reter mesmo depois de encerrada (histórico de vínculos visível no detalhe da empresa): CPM Parte 3, Cap. 2, entidade associativa, situação 3. O requerente a reconhece como o seu vínculo com a empresa. TD=6 (empresa, usuário, papel no vínculo, início, encerramento, motivo do encerramento). TR=1 (Vínculo de usuário com empresa). Recontagem 16/10/2026: mantida (linha 500 da contagem de 01/10/2026).</t>
        </is>
      </c>
    </row>
    <row r="403" ht="12" customHeight="1" s="73">
      <c r="A403" s="14">
        <f>IF(H403="",IF(C403="",A402,A402+1),A402)</f>
        <v/>
      </c>
      <c r="B403" s="48">
        <f>IF(A403=A402,"",CONCATENATE("F",A403))</f>
        <v/>
      </c>
      <c r="C403" s="85" t="inlineStr">
        <is>
          <t>Empresas - consultar</t>
        </is>
      </c>
      <c r="D403" s="142" t="n"/>
      <c r="E403" s="142" t="n"/>
      <c r="F403" s="142" t="n"/>
      <c r="G403" s="143" t="n"/>
      <c r="H403" s="56" t="inlineStr">
        <is>
          <t>CE</t>
        </is>
      </c>
      <c r="I403" s="57" t="inlineStr">
        <is>
          <t>I</t>
        </is>
      </c>
      <c r="J403" s="56" t="n">
        <v>10</v>
      </c>
      <c r="K403" s="56" t="n">
        <v>3</v>
      </c>
      <c r="L403" s="50">
        <f>CONCATENATE(H403,M403)</f>
        <v/>
      </c>
      <c r="M403" s="51">
        <f>IF(OR(ISBLANK(J403),ISBLANK(K403)),IF(OR(H403="ALI",H403="AIE"),"L",IF(ISBLANK(H403),"","A")),IF(H403="EE",IF(K403&gt;=3,IF(J403&gt;=5,"H","A"),IF(K403&gt;=2,IF(J403&gt;=16,"H",IF(J403&lt;=4,"L","A")),IF(J403&lt;=15,"L","A"))),IF(OR(H403="SE",H403="CE"),IF(K403&gt;=4,IF(J403&gt;=6,"H","A"),IF(K403&gt;=2,IF(J403&gt;=20,"H",IF(J403&lt;=5,"L","A")),IF(J403&lt;=19,"L","A"))),IF(OR(H403="ALI",H403="AIE"),IF(K403&gt;=6,IF(J403&gt;=20,"H","A"),IF(K403&gt;=2,IF(J403&gt;=51,"H",IF(J403&lt;=19,"L","A")),IF(J403&lt;=50,"L","A")))))))</f>
        <v/>
      </c>
      <c r="N403" s="52">
        <f>IF(M403="L","Baixa",IF(M403="A","Média",IF(M403="","","Alta")))</f>
        <v/>
      </c>
      <c r="O403" s="53">
        <f>IF(ISBLANK(H403),"",IF(H403="ALI",IF(M403="L",7,IF(M403="A",10,15)),IF(H403="AIE",IF(M403="L",5,IF(M403="A",7,10)),IF(H403="SE",IF(M403="L",4,IF(M403="A",5,7)),IF(OR(H403="EE",H403="CE"),IF(M403="L",3,IF(M403="A",4,6)))))))</f>
        <v/>
      </c>
      <c r="P403" s="54">
        <f>IF(I403="I",O403*Contagem!$W$15,IF(I403="E",O403*Contagem!$W$17,IF(I403="A",O403*Contagem!$W$16,IF(I403="T",O403*Contagem!$W$18,""))))</f>
        <v/>
      </c>
      <c r="Q403" s="55" t="inlineStr">
        <is>
          <t>Prova: Rota GET /portal/empresas (Portal\CompanyController@index, auth:web). Tela: portal/empresas/index. Lista as empresas com vínculo (ativo ou encerrado) do usuário efetivo, com CNAE principal, origem e situação do vínculo; busca por razão social, nome fantasia ou início do CNPJ. Lê Empresa, Vínculo de usuário com empresa e CNAE; não grava. Teste: tests/Feature/Companies/MyCompaniesTest.php::test_item_traz_cnae_principal_e_situacao_do_vinculo. Processo elementar independente: menor unidade com significado para o requerente; completa por si (abre a lista); deixa o negócio consistente (nada muda); lógica única de listagem das empresas vinculadas. Classificação: só recupera e mostra: CE. TD=10 (razão social, CNPJ, nome fantasia, código do CNAE principal, descrição do CNAE principal, origem do cadastro, situação do vínculo, papel no vínculo, busca, ação abrir). AR=3 (Empresa, Vínculo de usuário com empresa, CNAE). Para demonstrar: features.portal_servicos ligado (parâmetro que liga os serviços do portal, desligado por padrão; commit df19754c de 16/10/2026). Recontagem 16/10/2026: alterada (linha 53 da contagem de 01/10/2026: "Empresas - consultar", CE Média 4 PF, TD 12, AR 3). Motivo: TD 12→10: a tela não mostra situação cadastral, município nem total de empresas; mostra origem do cadastro, que não estava listada.</t>
        </is>
      </c>
    </row>
    <row r="404" ht="12" customHeight="1" s="73">
      <c r="A404" s="14">
        <f>IF(H404="",IF(C404="",A403,A403+1),A403)</f>
        <v/>
      </c>
      <c r="B404" s="48">
        <f>IF(A404=A403,"",CONCATENATE("F",A404))</f>
        <v/>
      </c>
      <c r="C404" s="85" t="inlineStr">
        <is>
          <t>Empresas - consultar detalhe</t>
        </is>
      </c>
      <c r="D404" s="142" t="n"/>
      <c r="E404" s="142" t="n"/>
      <c r="F404" s="142" t="n"/>
      <c r="G404" s="143" t="n"/>
      <c r="H404" s="56" t="inlineStr">
        <is>
          <t>CE</t>
        </is>
      </c>
      <c r="I404" s="57" t="inlineStr">
        <is>
          <t>I</t>
        </is>
      </c>
      <c r="J404" s="56" t="n">
        <v>27</v>
      </c>
      <c r="K404" s="56" t="n">
        <v>4</v>
      </c>
      <c r="L404" s="50">
        <f>CONCATENATE(H404,M404)</f>
        <v/>
      </c>
      <c r="M404" s="51">
        <f>IF(OR(ISBLANK(J404),ISBLANK(K404)),IF(OR(H404="ALI",H404="AIE"),"L",IF(ISBLANK(H404),"","A")),IF(H404="EE",IF(K404&gt;=3,IF(J404&gt;=5,"H","A"),IF(K404&gt;=2,IF(J404&gt;=16,"H",IF(J404&lt;=4,"L","A")),IF(J404&lt;=15,"L","A"))),IF(OR(H404="SE",H404="CE"),IF(K404&gt;=4,IF(J404&gt;=6,"H","A"),IF(K404&gt;=2,IF(J404&gt;=20,"H",IF(J404&lt;=5,"L","A")),IF(J404&lt;=19,"L","A"))),IF(OR(H404="ALI",H404="AIE"),IF(K404&gt;=6,IF(J404&gt;=20,"H","A"),IF(K404&gt;=2,IF(J404&gt;=51,"H",IF(J404&lt;=19,"L","A")),IF(J404&lt;=50,"L","A")))))))</f>
        <v/>
      </c>
      <c r="N404" s="52">
        <f>IF(M404="L","Baixa",IF(M404="A","Média",IF(M404="","","Alta")))</f>
        <v/>
      </c>
      <c r="O404" s="53">
        <f>IF(ISBLANK(H404),"",IF(H404="ALI",IF(M404="L",7,IF(M404="A",10,15)),IF(H404="AIE",IF(M404="L",5,IF(M404="A",7,10)),IF(H404="SE",IF(M404="L",4,IF(M404="A",5,7)),IF(OR(H404="EE",H404="CE"),IF(M404="L",3,IF(M404="A",4,6)))))))</f>
        <v/>
      </c>
      <c r="P404" s="54">
        <f>IF(I404="I",O404*Contagem!$W$15,IF(I404="E",O404*Contagem!$W$17,IF(I404="A",O404*Contagem!$W$16,IF(I404="T",O404*Contagem!$W$18,""))))</f>
        <v/>
      </c>
      <c r="Q404" s="55" t="inlineStr">
        <is>
          <t>Prova: Rota GET /portal/empresas/{company} (Portal\CompanyController@show, auth:web, policy view: vínculo ativo ou encerrado). Tela: portal/empresas/detalhe. Mostra os dados cadastrais, o CNAE principal e os secundários e o histórico de vínculos com o nome do usuário. Lê Empresa, CNAE, Vínculo de usuário com empresa e Usuário; não grava (o 403 do não vinculado é auditado pelo tratamento global de acesso negado). Teste: tests/Feature/Companies/CompanyUpdateTest.php::test_vinculado_ativo_ve_o_detalhe. Processo elementar independente: menor unidade com significado para o requerente; completa por si (abre a empresa); deixa o negócio consistente (nada muda); lógica única de detalhe com CNAEs e vínculos. Classificação: só recupera e mostra: CE. TD=27 (19 dados cadastrais: razão social, nome fantasia, CNPJ, código da natureza jurídica, natureza jurídica, código do porte, porte, logradouro, número, complemento, bairro, cidade, UF, CEP, e-mail, telefone, origem, protocolo REDESIM, sincronizada em; código do CNAE, descrição do CNAE; usuário vinculado, papel, início, encerramento, motivo do encerramento; ação abrir). AR=4 (Empresa, CNAE, Vínculo de usuário com empresa, Usuário). Para demonstrar: features.portal_servicos ligado (parâmetro que liga os serviços do portal, desligado por padrão; commit df19754c de 16/10/2026). Recontagem 16/10/2026: mantida (linha 55 da contagem de 01/10/2026).</t>
        </is>
      </c>
    </row>
    <row r="405" ht="12" customHeight="1" s="73">
      <c r="A405" s="14">
        <f>IF(H405="",IF(C405="",A404,A404+1),A404)</f>
        <v/>
      </c>
      <c r="B405" s="48">
        <f>IF(A405=A404,"",CONCATENATE("F",A405))</f>
        <v/>
      </c>
      <c r="C405" s="85" t="inlineStr">
        <is>
          <t>Empresas - incluir</t>
        </is>
      </c>
      <c r="D405" s="142" t="n"/>
      <c r="E405" s="142" t="n"/>
      <c r="F405" s="142" t="n"/>
      <c r="G405" s="143" t="n"/>
      <c r="H405" s="56" t="inlineStr">
        <is>
          <t>EE</t>
        </is>
      </c>
      <c r="I405" s="57" t="inlineStr">
        <is>
          <t>I</t>
        </is>
      </c>
      <c r="J405" s="56" t="n">
        <v>18</v>
      </c>
      <c r="K405" s="56" t="n">
        <v>3</v>
      </c>
      <c r="L405" s="50">
        <f>CONCATENATE(H405,M405)</f>
        <v/>
      </c>
      <c r="M405" s="51">
        <f>IF(OR(ISBLANK(J405),ISBLANK(K405)),IF(OR(H405="ALI",H405="AIE"),"L",IF(ISBLANK(H405),"","A")),IF(H405="EE",IF(K405&gt;=3,IF(J405&gt;=5,"H","A"),IF(K405&gt;=2,IF(J405&gt;=16,"H",IF(J405&lt;=4,"L","A")),IF(J405&lt;=15,"L","A"))),IF(OR(H405="SE",H405="CE"),IF(K405&gt;=4,IF(J405&gt;=6,"H","A"),IF(K405&gt;=2,IF(J405&gt;=20,"H",IF(J405&lt;=5,"L","A")),IF(J405&lt;=19,"L","A"))),IF(OR(H405="ALI",H405="AIE"),IF(K405&gt;=6,IF(J405&gt;=20,"H","A"),IF(K405&gt;=2,IF(J405&gt;=51,"H",IF(J405&lt;=19,"L","A")),IF(J405&lt;=50,"L","A")))))))</f>
        <v/>
      </c>
      <c r="N405" s="52">
        <f>IF(M405="L","Baixa",IF(M405="A","Média",IF(M405="","","Alta")))</f>
        <v/>
      </c>
      <c r="O405" s="53">
        <f>IF(ISBLANK(H405),"",IF(H405="ALI",IF(M405="L",7,IF(M405="A",10,15)),IF(H405="AIE",IF(M405="L",5,IF(M405="A",7,10)),IF(H405="SE",IF(M405="L",4,IF(M405="A",5,7)),IF(OR(H405="EE",H405="CE"),IF(M405="L",3,IF(M405="A",4,6)))))))</f>
        <v/>
      </c>
      <c r="P405" s="54">
        <f>IF(I405="I",O405*Contagem!$W$15,IF(I405="E",O405*Contagem!$W$17,IF(I405="A",O405*Contagem!$W$16,IF(I405="T",O405*Contagem!$W$18,""))))</f>
        <v/>
      </c>
      <c r="Q405" s="55" t="inlineStr">
        <is>
          <t>Prova: Rota POST /portal/empresas (Portal\CompanyController@store, auth:web). Tela: portal/empresas/cadastrar. O cidadão (ou o procurador em nome do representado) cadastra a empresa; StoreCompanyRequest valida CNPJ (único, dígitos ou alfanumérico), telefone com DDD e CEP; o sistema grava a Empresa e o vínculo de responsável ativo na mesma transação e a auditoria dos registros. Teste: tests/Feature/Companies/CompanyRegistrationTest.php::test_cadastro_cria_empresa_e_vinculo_responsavel_ativo (também test_cadastro_e_auditado e test_cnpj_duplicado_e_bloqueado_com_mensagem_clara). Processo elementar independente: menor unidade com significado para o requerente; completa por si (preenche e salva); deixa o negócio consistente (empresa nunca sem responsável); lógica única de cadastro com vínculo. Classificação: mantém Empresa e Vínculo: EE. TD=18 (CNPJ, razão social, nome fantasia, código da natureza jurídica, natureza jurídica, código do porte, porte, logradouro, número, complemento, bairro, cidade, UF, CEP, e-mail, telefone, mensagem, ação salvar). AR=3 (Empresa, Vínculo de usuário com empresa, Trilha de auditoria). Para demonstrar: features.portal_servicos ligado (parâmetro que liga os serviços do portal, desligado por padrão; commit df19754c de 16/10/2026). Recontagem 16/10/2026: alterada (linha 54 da contagem de 01/10/2026: "Empresas - incluir", EE Alta 6 PF, TD 18, AR 2). Motivo: AR 2→3: o cadastro é auditado (HasAuditoria em Company e CompanyUser), verificado em teste. PF inalterado.</t>
        </is>
      </c>
    </row>
    <row r="406" ht="12" customHeight="1" s="73">
      <c r="A406" s="14">
        <f>IF(H406="",IF(C406="",A405,A405+1),A405)</f>
        <v/>
      </c>
      <c r="B406" s="48">
        <f>IF(A406=A405,"",CONCATENATE("F",A406))</f>
        <v/>
      </c>
      <c r="C406" s="85" t="inlineStr">
        <is>
          <t>Empresas - alterar</t>
        </is>
      </c>
      <c r="D406" s="142" t="n"/>
      <c r="E406" s="142" t="n"/>
      <c r="F406" s="142" t="n"/>
      <c r="G406" s="143" t="n"/>
      <c r="H406" s="56" t="inlineStr">
        <is>
          <t>EE</t>
        </is>
      </c>
      <c r="I406" s="57" t="inlineStr">
        <is>
          <t>I</t>
        </is>
      </c>
      <c r="J406" s="56" t="n">
        <v>17</v>
      </c>
      <c r="K406" s="56" t="n">
        <v>3</v>
      </c>
      <c r="L406" s="50">
        <f>CONCATENATE(H406,M406)</f>
        <v/>
      </c>
      <c r="M406" s="51">
        <f>IF(OR(ISBLANK(J406),ISBLANK(K406)),IF(OR(H406="ALI",H406="AIE"),"L",IF(ISBLANK(H406),"","A")),IF(H406="EE",IF(K406&gt;=3,IF(J406&gt;=5,"H","A"),IF(K406&gt;=2,IF(J406&gt;=16,"H",IF(J406&lt;=4,"L","A")),IF(J406&lt;=15,"L","A"))),IF(OR(H406="SE",H406="CE"),IF(K406&gt;=4,IF(J406&gt;=6,"H","A"),IF(K406&gt;=2,IF(J406&gt;=20,"H",IF(J406&lt;=5,"L","A")),IF(J406&lt;=19,"L","A"))),IF(OR(H406="ALI",H406="AIE"),IF(K406&gt;=6,IF(J406&gt;=20,"H","A"),IF(K406&gt;=2,IF(J406&gt;=51,"H",IF(J406&lt;=19,"L","A")),IF(J406&lt;=50,"L","A")))))))</f>
        <v/>
      </c>
      <c r="N406" s="52">
        <f>IF(M406="L","Baixa",IF(M406="A","Média",IF(M406="","","Alta")))</f>
        <v/>
      </c>
      <c r="O406" s="53">
        <f>IF(ISBLANK(H406),"",IF(H406="ALI",IF(M406="L",7,IF(M406="A",10,15)),IF(H406="AIE",IF(M406="L",5,IF(M406="A",7,10)),IF(H406="SE",IF(M406="L",4,IF(M406="A",5,7)),IF(OR(H406="EE",H406="CE"),IF(M406="L",3,IF(M406="A",4,6)))))))</f>
        <v/>
      </c>
      <c r="P406" s="54">
        <f>IF(I406="I",O406*Contagem!$W$15,IF(I406="E",O406*Contagem!$W$17,IF(I406="A",O406*Contagem!$W$16,IF(I406="T",O406*Contagem!$W$18,""))))</f>
        <v/>
      </c>
      <c r="Q406" s="55" t="inlineStr">
        <is>
          <t>Prova: Rota PUT /portal/empresas/{company} (Portal\CompanyController@update, auth:web, policy update: vínculo ativo). Tela: portal/empresas/detalhe. O vinculado ativo atualiza os dados complementares; o CNPJ é imutável (fora de UpdateCompanyRequest); o sistema grava a Empresa e a auditoria com as diferenças. Teste: tests/Feature/Companies/CompanyUpdateTest.php::test_vinculado_ativo_atualiza_dados_complementares (também test_atualizacao_e_auditada_com_diff e test_vinculo_encerrado_nao_atualiza). Processo elementar independente: menor unidade com significado para o requerente; completa por si (edita e salva); deixa o negócio consistente (só vínculo ativo altera); lógica única. Classificação: mantém Empresa: EE. TD=17 (razão social, nome fantasia, código da natureza jurídica, natureza jurídica, código do porte, porte, logradouro, número, complemento, bairro, cidade, UF, CEP, e-mail, telefone, mensagem, ação salvar). AR=3 (Empresa, Vínculo de usuário com empresa, Trilha de auditoria). Para demonstrar: features.portal_servicos ligado (parâmetro que liga os serviços do portal, desligado por padrão; commit df19754c de 16/10/2026). Recontagem 16/10/2026: alterada (linha 56 da contagem de 01/10/2026: "Empresas - alterar", EE Alta 6 PF, TD 17, AR 2). Motivo: AR 2→3: a alteração é auditada com antes e depois (HasAuditoria), verificado em teste. PF inalterado.</t>
        </is>
      </c>
    </row>
    <row r="407" ht="12" customHeight="1" s="73">
      <c r="A407" s="14">
        <f>IF(H407="",IF(C407="",A406,A406+1),A406)</f>
        <v/>
      </c>
      <c r="B407" s="48">
        <f>IF(A407=A406,"",CONCATENATE("F",A407))</f>
        <v/>
      </c>
      <c r="C407" s="85" t="inlineStr">
        <is>
          <t>Empresas - consultar CNPJ na base de contatos da SEDUR</t>
        </is>
      </c>
      <c r="D407" s="142" t="n"/>
      <c r="E407" s="142" t="n"/>
      <c r="F407" s="142" t="n"/>
      <c r="G407" s="143" t="n"/>
      <c r="H407" s="56" t="inlineStr">
        <is>
          <t>SE</t>
        </is>
      </c>
      <c r="I407" s="57" t="inlineStr">
        <is>
          <t>I</t>
        </is>
      </c>
      <c r="J407" s="56" t="n">
        <v>7</v>
      </c>
      <c r="K407" s="56" t="n">
        <v>3</v>
      </c>
      <c r="L407" s="50">
        <f>CONCATENATE(H407,M407)</f>
        <v/>
      </c>
      <c r="M407" s="51">
        <f>IF(OR(ISBLANK(J407),ISBLANK(K407)),IF(OR(H407="ALI",H407="AIE"),"L",IF(ISBLANK(H407),"","A")),IF(H407="EE",IF(K407&gt;=3,IF(J407&gt;=5,"H","A"),IF(K407&gt;=2,IF(J407&gt;=16,"H",IF(J407&lt;=4,"L","A")),IF(J407&lt;=15,"L","A"))),IF(OR(H407="SE",H407="CE"),IF(K407&gt;=4,IF(J407&gt;=6,"H","A"),IF(K407&gt;=2,IF(J407&gt;=20,"H",IF(J407&lt;=5,"L","A")),IF(J407&lt;=19,"L","A"))),IF(OR(H407="ALI",H407="AIE"),IF(K407&gt;=6,IF(J407&gt;=20,"H","A"),IF(K407&gt;=2,IF(J407&gt;=51,"H",IF(J407&lt;=19,"L","A")),IF(J407&lt;=50,"L","A")))))))</f>
        <v/>
      </c>
      <c r="N407" s="52">
        <f>IF(M407="L","Baixa",IF(M407="A","Média",IF(M407="","","Alta")))</f>
        <v/>
      </c>
      <c r="O407" s="53">
        <f>IF(ISBLANK(H407),"",IF(H407="ALI",IF(M407="L",7,IF(M407="A",10,15)),IF(H407="AIE",IF(M407="L",5,IF(M407="A",7,10)),IF(H407="SE",IF(M407="L",4,IF(M407="A",5,7)),IF(OR(H407="EE",H407="CE"),IF(M407="L",3,IF(M407="A",4,6)))))))</f>
        <v/>
      </c>
      <c r="P407" s="54">
        <f>IF(I407="I",O407*Contagem!$W$15,IF(I407="E",O407*Contagem!$W$17,IF(I407="A",O407*Contagem!$W$16,IF(I407="T",O407*Contagem!$W$18,""))))</f>
        <v/>
      </c>
      <c r="Q407" s="55" t="inlineStr">
        <is>
          <t>Prova: Rota POST /portal/empresas/consultar-cnpj (Portal\CnpjLookupController, auth:web, throttle cnpj-lookup). Tela: portal/empresas/cadastrar (botão Buscar CNPJ). O cidadão informa o CNPJ; o binding de App\Services\Cnpj\CnpjLookup no AppServiceProvider é SedurCnpjLookup, que consulta a base cadastral da SEDUR (SedurContatoClient::consultarCnpj) e devolve os dados para preencher o formulário, sem gravar a empresa; sucesso, não encontrado, indisponível e recurso desligado são gravados na trilha, e a chamada HTTP é gravada em Chamada de integração (listener RegistrarChamadaIntegracao, no mesmo request). Teste: tests/Feature/Companies/CnpjLookupTest.php::test_consulta_com_sucesso_retorna_dados_para_o_formulario (também test_consulta_com_sucesso_e_auditada e test_cnpj_inexistente_responde_404_com_mensagem). Processo elementar independente: menor unidade com significado para o requerente; completa por si (informa o CNPJ e recebe os dados); deixa o negócio consistente (consulta registrada, nada cadastrado); lógica única de busca cadastral externa. Classificação: apresenta informação e atualiza a Trilha de auditoria: SE (§5.5.3). TD=7 (CNPJ, razão social, nome fantasia, telefone, endereço, mensagem (não encontrado, indisponível, desativado), ação buscar). AR=3 (Contato cadastral da SEDUR (CNPJ), Trilha de auditoria, Chamada de integração). Para demonstrar: features.cnpj_lookup ligado, integrations.sedur_contato configurada e features.portal_servicos ligado. Recontagem 16/10/2026: alterada (linha 112 da contagem de 01/10/2026: "Empresas - consultar CNPJ na base de contatos da SEDUR", CE Média 4 PF, TD 21, AR 1). Motivo: Tipo CE→SE, TD 21→7, AR 1→3: o único provedor ligado (SedurCnpjLookup) só devolve CNPJ, razão social, nome fantasia, telefone e endereço (os demais campos vêm sempre nulos); cada consulta grava a trilha 'consulta-cnpj' e a Chamada de integração (atualiza ALI).</t>
        </is>
      </c>
    </row>
    <row r="408" ht="12" customHeight="1" s="73">
      <c r="A408" s="14">
        <f>IF(H408="",IF(C408="",A407,A407+1),A407)</f>
        <v/>
      </c>
      <c r="B408" s="48">
        <f>IF(A408=A407,"",CONCATENATE("F",A408))</f>
        <v/>
      </c>
      <c r="C408" s="85" t="inlineStr">
        <is>
          <t>Empresas - definir CNAE principal</t>
        </is>
      </c>
      <c r="D408" s="142" t="n"/>
      <c r="E408" s="142" t="n"/>
      <c r="F408" s="142" t="n"/>
      <c r="G408" s="143" t="n"/>
      <c r="H408" s="56" t="inlineStr">
        <is>
          <t>EE</t>
        </is>
      </c>
      <c r="I408" s="57" t="inlineStr">
        <is>
          <t>I</t>
        </is>
      </c>
      <c r="J408" s="56" t="n">
        <v>4</v>
      </c>
      <c r="K408" s="56" t="n">
        <v>3</v>
      </c>
      <c r="L408" s="50">
        <f>CONCATENATE(H408,M408)</f>
        <v/>
      </c>
      <c r="M408" s="51">
        <f>IF(OR(ISBLANK(J408),ISBLANK(K408)),IF(OR(H408="ALI",H408="AIE"),"L",IF(ISBLANK(H408),"","A")),IF(H408="EE",IF(K408&gt;=3,IF(J408&gt;=5,"H","A"),IF(K408&gt;=2,IF(J408&gt;=16,"H",IF(J408&lt;=4,"L","A")),IF(J408&lt;=15,"L","A"))),IF(OR(H408="SE",H408="CE"),IF(K408&gt;=4,IF(J408&gt;=6,"H","A"),IF(K408&gt;=2,IF(J408&gt;=20,"H",IF(J408&lt;=5,"L","A")),IF(J408&lt;=19,"L","A"))),IF(OR(H408="ALI",H408="AIE"),IF(K408&gt;=6,IF(J408&gt;=20,"H","A"),IF(K408&gt;=2,IF(J408&gt;=51,"H",IF(J408&lt;=19,"L","A")),IF(J408&lt;=50,"L","A")))))))</f>
        <v/>
      </c>
      <c r="N408" s="52">
        <f>IF(M408="L","Baixa",IF(M408="A","Média",IF(M408="","","Alta")))</f>
        <v/>
      </c>
      <c r="O408" s="53">
        <f>IF(ISBLANK(H408),"",IF(H408="ALI",IF(M408="L",7,IF(M408="A",10,15)),IF(H408="AIE",IF(M408="L",5,IF(M408="A",7,10)),IF(H408="SE",IF(M408="L",4,IF(M408="A",5,7)),IF(OR(H408="EE",H408="CE"),IF(M408="L",3,IF(M408="A",4,6)))))))</f>
        <v/>
      </c>
      <c r="P408" s="54">
        <f>IF(I408="I",O408*Contagem!$W$15,IF(I408="E",O408*Contagem!$W$17,IF(I408="A",O408*Contagem!$W$16,IF(I408="T",O408*Contagem!$W$18,""))))</f>
        <v/>
      </c>
      <c r="Q408" s="55" t="inlineStr">
        <is>
          <t>Prova: Rota PUT /portal/empresas/{company}/cnae-principal (Portal\CompanyCnaeController@updatePrimary, auth:web, policy manageCnaes). Tela: portal/empresas/detalhe. O requerente escolhe um CNAE ativo (UpdatePrimaryCnaeRequest); CompanyCnaeService::setPrimary demove o principal anterior, grava o novo no subgrupo CNAE da empresa e audita antes e depois. Teste: tests/Feature/Companies/PrimaryCnaeTest.php::test_endpoint_define_principal (também test_troca_de_principal_demove_o_antigo e test_cnae_inativo_e_rejeitado). Processo elementar independente: menor unidade com significado para o requerente; completa por si (escolha até o principal gravado); deixa o negócio consistente (um único principal). Unicidade conferida com a definição dos secundários: DER diferentes (um CNAE contra um conjunto), lógica diferente (troca e demoção do anterior contra sincronização do conjunto excluindo o principal) e requisitos distintos (HU-025 e HU-026): processos distintos (§5.5.2.2). Classificação: mantém Empresa: EE. TD=4 (empresa, CNAE principal, mensagem, ação salvar). AR=3 (Empresa, CNAE, Trilha de auditoria). Para demonstrar: features.portal_servicos ligado (parâmetro que liga os serviços do portal, desligado por padrão; commit df19754c de 16/10/2026). Recontagem 16/10/2026: mantida (linha 40 da contagem de 01/10/2026).</t>
        </is>
      </c>
    </row>
    <row r="409" ht="12" customHeight="1" s="73">
      <c r="A409" s="14">
        <f>IF(H409="",IF(C409="",A408,A408+1),A408)</f>
        <v/>
      </c>
      <c r="B409" s="48">
        <f>IF(A409=A408,"",CONCATENATE("F",A409))</f>
        <v/>
      </c>
      <c r="C409" s="85" t="inlineStr">
        <is>
          <t>Empresas - definir CNAEs secundários</t>
        </is>
      </c>
      <c r="D409" s="142" t="n"/>
      <c r="E409" s="142" t="n"/>
      <c r="F409" s="142" t="n"/>
      <c r="G409" s="143" t="n"/>
      <c r="H409" s="56" t="inlineStr">
        <is>
          <t>EE</t>
        </is>
      </c>
      <c r="I409" s="57" t="inlineStr">
        <is>
          <t>I</t>
        </is>
      </c>
      <c r="J409" s="56" t="n">
        <v>4</v>
      </c>
      <c r="K409" s="56" t="n">
        <v>3</v>
      </c>
      <c r="L409" s="50">
        <f>CONCATENATE(H409,M409)</f>
        <v/>
      </c>
      <c r="M409" s="51">
        <f>IF(OR(ISBLANK(J409),ISBLANK(K409)),IF(OR(H409="ALI",H409="AIE"),"L",IF(ISBLANK(H409),"","A")),IF(H409="EE",IF(K409&gt;=3,IF(J409&gt;=5,"H","A"),IF(K409&gt;=2,IF(J409&gt;=16,"H",IF(J409&lt;=4,"L","A")),IF(J409&lt;=15,"L","A"))),IF(OR(H409="SE",H409="CE"),IF(K409&gt;=4,IF(J409&gt;=6,"H","A"),IF(K409&gt;=2,IF(J409&gt;=20,"H",IF(J409&lt;=5,"L","A")),IF(J409&lt;=19,"L","A"))),IF(OR(H409="ALI",H409="AIE"),IF(K409&gt;=6,IF(J409&gt;=20,"H","A"),IF(K409&gt;=2,IF(J409&gt;=51,"H",IF(J409&lt;=19,"L","A")),IF(J409&lt;=50,"L","A")))))))</f>
        <v/>
      </c>
      <c r="N409" s="52">
        <f>IF(M409="L","Baixa",IF(M409="A","Média",IF(M409="","","Alta")))</f>
        <v/>
      </c>
      <c r="O409" s="53">
        <f>IF(ISBLANK(H409),"",IF(H409="ALI",IF(M409="L",7,IF(M409="A",10,15)),IF(H409="AIE",IF(M409="L",5,IF(M409="A",7,10)),IF(H409="SE",IF(M409="L",4,IF(M409="A",5,7)),IF(OR(H409="EE",H409="CE"),IF(M409="L",3,IF(M409="A",4,6)))))))</f>
        <v/>
      </c>
      <c r="P409" s="54">
        <f>IF(I409="I",O409*Contagem!$W$15,IF(I409="E",O409*Contagem!$W$17,IF(I409="A",O409*Contagem!$W$16,IF(I409="T",O409*Contagem!$W$18,""))))</f>
        <v/>
      </c>
      <c r="Q409" s="55" t="inlineStr">
        <is>
          <t>Prova: Rota PUT /portal/empresas/{company}/cnaes-secundarios (Portal\CompanyCnaeController@updateSecondaries, auth:web, policy manageCnaes). Tela: portal/empresas/detalhe. O requerente marca o conjunto de secundários (UpdateSecondaryCnaesRequest: só ativos, sem repetição); CompanyCnaeService::syncSecondaries sincroniza exatamente o conjunto, preserva o principal, recusa CNAE igual ao principal e audita antes e depois. Teste: tests/Feature/Companies/SecondaryCnaesTest.php::test_endpoint_sincroniza_secundarios (também test_secundario_igual_ao_principal_e_rejeitado e test_sincronizacao_e_auditada_com_antes_e_depois). Processo elementar independente: menor unidade com significado para o requerente; completa por si (seleção até o conjunto gravado); deixa o negócio consistente (sem repetição nem conflito com o principal); distinto da definição do principal (ver unicidade naquela função). A busca de CNAE do seletor (GET /portal/cnaes) é apoio desta função. Classificação: mantém Empresa: EE. TD=4 (empresa, CNAEs secundários, mensagem, ação salvar). AR=3 (Empresa, CNAE, Trilha de auditoria). Para demonstrar: features.portal_servicos ligado (parâmetro que liga os serviços do portal, desligado por padrão; commit df19754c de 16/10/2026). Recontagem 16/10/2026: mantida (linha 41 da contagem de 01/10/2026).</t>
        </is>
      </c>
    </row>
    <row r="410" ht="12" customHeight="1" s="73">
      <c r="A410" s="14">
        <f>IF(H410="",IF(C410="",A409,A409+1),A409)</f>
        <v/>
      </c>
      <c r="B410" s="48">
        <f>IF(A410=A409,"",CONCATENATE("F",A410))</f>
        <v/>
      </c>
      <c r="C410" s="85" t="inlineStr">
        <is>
          <t>Empresas - encerrar vínculo do usuário</t>
        </is>
      </c>
      <c r="D410" s="142" t="n"/>
      <c r="E410" s="142" t="n"/>
      <c r="F410" s="142" t="n"/>
      <c r="G410" s="143" t="n"/>
      <c r="H410" s="56" t="inlineStr">
        <is>
          <t>EE</t>
        </is>
      </c>
      <c r="I410" s="57" t="inlineStr">
        <is>
          <t>I</t>
        </is>
      </c>
      <c r="J410" s="56" t="n">
        <v>4</v>
      </c>
      <c r="K410" s="56" t="n">
        <v>3</v>
      </c>
      <c r="L410" s="50">
        <f>CONCATENATE(H410,M410)</f>
        <v/>
      </c>
      <c r="M410" s="51">
        <f>IF(OR(ISBLANK(J410),ISBLANK(K410)),IF(OR(H410="ALI",H410="AIE"),"L",IF(ISBLANK(H410),"","A")),IF(H410="EE",IF(K410&gt;=3,IF(J410&gt;=5,"H","A"),IF(K410&gt;=2,IF(J410&gt;=16,"H",IF(J410&lt;=4,"L","A")),IF(J410&lt;=15,"L","A"))),IF(OR(H410="SE",H410="CE"),IF(K410&gt;=4,IF(J410&gt;=6,"H","A"),IF(K410&gt;=2,IF(J410&gt;=20,"H",IF(J410&lt;=5,"L","A")),IF(J410&lt;=19,"L","A"))),IF(OR(H410="ALI",H410="AIE"),IF(K410&gt;=6,IF(J410&gt;=20,"H","A"),IF(K410&gt;=2,IF(J410&gt;=51,"H",IF(J410&lt;=19,"L","A")),IF(J410&lt;=50,"L","A")))))))</f>
        <v/>
      </c>
      <c r="N410" s="52">
        <f>IF(M410="L","Baixa",IF(M410="A","Média",IF(M410="","","Alta")))</f>
        <v/>
      </c>
      <c r="O410" s="53">
        <f>IF(ISBLANK(H410),"",IF(H410="ALI",IF(M410="L",7,IF(M410="A",10,15)),IF(H410="AIE",IF(M410="L",5,IF(M410="A",7,10)),IF(H410="SE",IF(M410="L",4,IF(M410="A",5,7)),IF(OR(H410="EE",H410="CE"),IF(M410="L",3,IF(M410="A",4,6)))))))</f>
        <v/>
      </c>
      <c r="P410" s="54">
        <f>IF(I410="I",O410*Contagem!$W$15,IF(I410="E",O410*Contagem!$W$17,IF(I410="A",O410*Contagem!$W$16,IF(I410="T",O410*Contagem!$W$18,""))))</f>
        <v/>
      </c>
      <c r="Q410" s="55" t="inlineStr">
        <is>
          <t>Prova: Rota DELETE /portal/empresas/{company}/vinculo (Portal\CompanyLinkController@destroy, auth:web, policy endLink). Tela: portal/empresas/detalhe. O requerente, ou o procurador em nome do outorgante, encerra o próprio vínculo com motivo opcional; EndCompanyLinkRequest bloqueia o último responsável ativo; o sistema grava data e motivo no vínculo, lê a Empresa e grava o evento 'encerramento-vinculo' na trilha. Teste: tests/Feature/Companies/EndCompanyLinkTest.php::test_usuario_encerra_o_proprio_vinculo_com_motivo (também test_ultimo_responsavel_ativo_e_bloqueado e test_encerramento_e_auditado). Processo elementar independente: menor unidade com significado para o requerente; completa por si (pedido até o vínculo encerrado); deixa o negócio consistente (empresa nunca fica sem responsável); lógica única. Classificação: mantém Vínculo: EE. TD=4 (empresa, motivo do encerramento, mensagem, ação encerrar). AR=3 (Vínculo de usuário com empresa, Empresa, Trilha de auditoria). Para demonstrar: features.portal_servicos ligado (parâmetro que liga os serviços do portal, desligado por padrão; commit df19754c de 16/10/2026). Recontagem 16/10/2026: alterada (linha 80 da contagem de 01/10/2026: "Empresas - encerrar vínculo do usuário", EE Média 4 PF, TD 4, AR 4). Motivo: AR 4→3: Procuração saiu; a leitura da procuração em representação é resolvida de forma transversal (middleware ResolveRepresentation) para todas as funções do portal e não foi contada em nenhuma outra. PF inalterado.</t>
        </is>
      </c>
    </row>
    <row r="411" ht="12" customHeight="1" s="73">
      <c r="A411" s="14">
        <f>IF(H411="",IF(C411="",A410,A410+1),A410)</f>
        <v/>
      </c>
      <c r="B411" s="48">
        <f>IF(A411=A410,"",CONCATENATE("F",A411))</f>
        <v/>
      </c>
      <c r="C411" s="85" t="n"/>
      <c r="D411" s="142" t="n"/>
      <c r="E411" s="142" t="n"/>
      <c r="F411" s="142" t="n"/>
      <c r="G411" s="143" t="n"/>
      <c r="H411" s="56" t="n"/>
      <c r="I411" s="57" t="n"/>
      <c r="J411" s="56" t="n"/>
      <c r="K411" s="56" t="n"/>
      <c r="L411" s="50">
        <f>CONCATENATE(H411,M411)</f>
        <v/>
      </c>
      <c r="M411" s="51">
        <f>IF(OR(ISBLANK(J411),ISBLANK(K411)),IF(OR(H411="ALI",H411="AIE"),"L",IF(ISBLANK(H411),"","A")),IF(H411="EE",IF(K411&gt;=3,IF(J411&gt;=5,"H","A"),IF(K411&gt;=2,IF(J411&gt;=16,"H",IF(J411&lt;=4,"L","A")),IF(J411&lt;=15,"L","A"))),IF(OR(H411="SE",H411="CE"),IF(K411&gt;=4,IF(J411&gt;=6,"H","A"),IF(K411&gt;=2,IF(J411&gt;=20,"H",IF(J411&lt;=5,"L","A")),IF(J411&lt;=19,"L","A"))),IF(OR(H411="ALI",H411="AIE"),IF(K411&gt;=6,IF(J411&gt;=20,"H","A"),IF(K411&gt;=2,IF(J411&gt;=51,"H",IF(J411&lt;=19,"L","A")),IF(J411&lt;=50,"L","A")))))))</f>
        <v/>
      </c>
      <c r="N411" s="52">
        <f>IF(M411="L","Baixa",IF(M411="A","Média",IF(M411="","","Alta")))</f>
        <v/>
      </c>
      <c r="O411" s="53">
        <f>IF(ISBLANK(H411),"",IF(H411="ALI",IF(M411="L",7,IF(M411="A",10,15)),IF(H411="AIE",IF(M411="L",5,IF(M411="A",7,10)),IF(H411="SE",IF(M411="L",4,IF(M411="A",5,7)),IF(OR(H411="EE",H411="CE"),IF(M411="L",3,IF(M411="A",4,6)))))))</f>
        <v/>
      </c>
      <c r="P411" s="54">
        <f>IF(I411="I",O411*Contagem!$W$15,IF(I411="E",O411*Contagem!$W$17,IF(I411="A",O411*Contagem!$W$16,IF(I411="T",O411*Contagem!$W$18,""))))</f>
        <v/>
      </c>
      <c r="Q411" s="55" t="n"/>
    </row>
    <row r="412" ht="12" customHeight="1" s="73">
      <c r="A412" s="14">
        <f>IF(H412="",IF(C412="",A411,A411+1),A411)</f>
        <v/>
      </c>
      <c r="B412" s="48">
        <f>IF(A412=A411,"",CONCATENATE("F",A412))</f>
        <v/>
      </c>
      <c r="C412" s="85" t="inlineStr">
        <is>
          <t>Procurações e representação</t>
        </is>
      </c>
      <c r="D412" s="142" t="n"/>
      <c r="E412" s="142" t="n"/>
      <c r="F412" s="142" t="n"/>
      <c r="G412" s="143" t="n"/>
      <c r="H412" s="56" t="n"/>
      <c r="I412" s="57" t="n"/>
      <c r="J412" s="56" t="n"/>
      <c r="K412" s="56" t="n"/>
      <c r="L412" s="50">
        <f>CONCATENATE(H412,M412)</f>
        <v/>
      </c>
      <c r="M412" s="51">
        <f>IF(OR(ISBLANK(J412),ISBLANK(K412)),IF(OR(H412="ALI",H412="AIE"),"L",IF(ISBLANK(H412),"","A")),IF(H412="EE",IF(K412&gt;=3,IF(J412&gt;=5,"H","A"),IF(K412&gt;=2,IF(J412&gt;=16,"H",IF(J412&lt;=4,"L","A")),IF(J412&lt;=15,"L","A"))),IF(OR(H412="SE",H412="CE"),IF(K412&gt;=4,IF(J412&gt;=6,"H","A"),IF(K412&gt;=2,IF(J412&gt;=20,"H",IF(J412&lt;=5,"L","A")),IF(J412&lt;=19,"L","A"))),IF(OR(H412="ALI",H412="AIE"),IF(K412&gt;=6,IF(J412&gt;=20,"H","A"),IF(K412&gt;=2,IF(J412&gt;=51,"H",IF(J412&lt;=19,"L","A")),IF(J412&lt;=50,"L","A")))))))</f>
        <v/>
      </c>
      <c r="N412" s="52">
        <f>IF(M412="L","Baixa",IF(M412="A","Média",IF(M412="","","Alta")))</f>
        <v/>
      </c>
      <c r="O412" s="53">
        <f>IF(ISBLANK(H412),"",IF(H412="ALI",IF(M412="L",7,IF(M412="A",10,15)),IF(H412="AIE",IF(M412="L",5,IF(M412="A",7,10)),IF(H412="SE",IF(M412="L",4,IF(M412="A",5,7)),IF(OR(H412="EE",H412="CE"),IF(M412="L",3,IF(M412="A",4,6)))))))</f>
        <v/>
      </c>
      <c r="P412" s="54">
        <f>IF(I412="I",O412*Contagem!$W$15,IF(I412="E",O412*Contagem!$W$17,IF(I412="A",O412*Contagem!$W$16,IF(I412="T",O412*Contagem!$W$18,""))))</f>
        <v/>
      </c>
      <c r="Q412" s="55" t="n"/>
    </row>
    <row r="413" ht="12" customHeight="1" s="73">
      <c r="A413" s="14">
        <f>IF(H413="",IF(C413="",A412,A412+1),A412)</f>
        <v/>
      </c>
      <c r="B413" s="48">
        <f>IF(A413=A412,"",CONCATENATE("F",A413))</f>
        <v/>
      </c>
      <c r="C413" s="85" t="inlineStr">
        <is>
          <t>Dados - Procuração</t>
        </is>
      </c>
      <c r="D413" s="142" t="n"/>
      <c r="E413" s="142" t="n"/>
      <c r="F413" s="142" t="n"/>
      <c r="G413" s="143" t="n"/>
      <c r="H413" s="56" t="inlineStr">
        <is>
          <t>ALI</t>
        </is>
      </c>
      <c r="I413" s="57" t="inlineStr">
        <is>
          <t>I</t>
        </is>
      </c>
      <c r="J413" s="56" t="n">
        <v>6</v>
      </c>
      <c r="K413" s="56" t="n">
        <v>1</v>
      </c>
      <c r="L413" s="50">
        <f>CONCATENATE(H413,M413)</f>
        <v/>
      </c>
      <c r="M413" s="51">
        <f>IF(OR(ISBLANK(J413),ISBLANK(K413)),IF(OR(H413="ALI",H413="AIE"),"L",IF(ISBLANK(H413),"","A")),IF(H413="EE",IF(K413&gt;=3,IF(J413&gt;=5,"H","A"),IF(K413&gt;=2,IF(J413&gt;=16,"H",IF(J413&lt;=4,"L","A")),IF(J413&lt;=15,"L","A"))),IF(OR(H413="SE",H413="CE"),IF(K413&gt;=4,IF(J413&gt;=6,"H","A"),IF(K413&gt;=2,IF(J413&gt;=20,"H",IF(J413&lt;=5,"L","A")),IF(J413&lt;=19,"L","A"))),IF(OR(H413="ALI",H413="AIE"),IF(K413&gt;=6,IF(J413&gt;=20,"H","A"),IF(K413&gt;=2,IF(J413&gt;=51,"H",IF(J413&lt;=19,"L","A")),IF(J413&lt;=50,"L","A")))))))</f>
        <v/>
      </c>
      <c r="N413" s="52">
        <f>IF(M413="L","Baixa",IF(M413="A","Média",IF(M413="","","Alta")))</f>
        <v/>
      </c>
      <c r="O413" s="53">
        <f>IF(ISBLANK(H413),"",IF(H413="ALI",IF(M413="L",7,IF(M413="A",10,15)),IF(H413="AIE",IF(M413="L",5,IF(M413="A",7,10)),IF(H413="SE",IF(M413="L",4,IF(M413="A",5,7)),IF(OR(H413="EE",H413="CE"),IF(M413="L",3,IF(M413="A",4,6)))))))</f>
        <v/>
      </c>
      <c r="P413" s="54">
        <f>IF(I413="I",O413*Contagem!$W$15,IF(I413="E",O413*Contagem!$W$17,IF(I413="A",O413*Contagem!$W$16,IF(I413="T",O413*Contagem!$W$18,""))))</f>
        <v/>
      </c>
      <c r="Q413" s="55" t="inlineStr">
        <is>
          <t>Prova: Model app/Models/Procuration.php; migration database/migrations/2026_06_10_023838_create_procurations_table.php. Mantido por Procurações - incluir e revogar (Portal\ProcurationController), auditado por HasAuditoria; lido na representação em nome de terceiro (RepresentationController e App\Support\Representation\CurrentRepresentation). Teste: tests/Feature/Procuration/LinkAttorneyTest.php::test_vinculo_de_procurador_criado_com_sucesso. Arquivo lógico: outorga de poderes de um usuário a outro, com vigência e revogação, retida mesmo depois de revogada ou vencida: entidade associativa com atributos e retenção própria, contada como arquivo lógico (CPM Parte 3, Cap. 2, situação 3); não é dado de código. TD=6 (outorgante, procurador, início, validade, revogada em, revogada por). TR=1 (Procuração). Recontagem 16/10/2026: mantida (linha 93 da contagem de 01/10/2026).</t>
        </is>
      </c>
    </row>
    <row r="414" ht="12" customHeight="1" s="73">
      <c r="A414" s="14">
        <f>IF(H414="",IF(C414="",A413,A413+1),A413)</f>
        <v/>
      </c>
      <c r="B414" s="48">
        <f>IF(A414=A413,"",CONCATENATE("F",A414))</f>
        <v/>
      </c>
      <c r="C414" s="85" t="inlineStr">
        <is>
          <t>Procurações - consultar</t>
        </is>
      </c>
      <c r="D414" s="142" t="n"/>
      <c r="E414" s="142" t="n"/>
      <c r="F414" s="142" t="n"/>
      <c r="G414" s="143" t="n"/>
      <c r="H414" s="56" t="inlineStr">
        <is>
          <t>CE</t>
        </is>
      </c>
      <c r="I414" s="57" t="inlineStr">
        <is>
          <t>I</t>
        </is>
      </c>
      <c r="J414" s="56" t="n">
        <v>7</v>
      </c>
      <c r="K414" s="56" t="n">
        <v>2</v>
      </c>
      <c r="L414" s="50">
        <f>CONCATENATE(H414,M414)</f>
        <v/>
      </c>
      <c r="M414" s="51">
        <f>IF(OR(ISBLANK(J414),ISBLANK(K414)),IF(OR(H414="ALI",H414="AIE"),"L",IF(ISBLANK(H414),"","A")),IF(H414="EE",IF(K414&gt;=3,IF(J414&gt;=5,"H","A"),IF(K414&gt;=2,IF(J414&gt;=16,"H",IF(J414&lt;=4,"L","A")),IF(J414&lt;=15,"L","A"))),IF(OR(H414="SE",H414="CE"),IF(K414&gt;=4,IF(J414&gt;=6,"H","A"),IF(K414&gt;=2,IF(J414&gt;=20,"H",IF(J414&lt;=5,"L","A")),IF(J414&lt;=19,"L","A"))),IF(OR(H414="ALI",H414="AIE"),IF(K414&gt;=6,IF(J414&gt;=20,"H","A"),IF(K414&gt;=2,IF(J414&gt;=51,"H",IF(J414&lt;=19,"L","A")),IF(J414&lt;=50,"L","A")))))))</f>
        <v/>
      </c>
      <c r="N414" s="52">
        <f>IF(M414="L","Baixa",IF(M414="A","Média",IF(M414="","","Alta")))</f>
        <v/>
      </c>
      <c r="O414" s="53">
        <f>IF(ISBLANK(H414),"",IF(H414="ALI",IF(M414="L",7,IF(M414="A",10,15)),IF(H414="AIE",IF(M414="L",5,IF(M414="A",7,10)),IF(H414="SE",IF(M414="L",4,IF(M414="A",5,7)),IF(OR(H414="EE",H414="CE"),IF(M414="L",3,IF(M414="A",4,6)))))))</f>
        <v/>
      </c>
      <c r="P414" s="54">
        <f>IF(I414="I",O414*Contagem!$W$15,IF(I414="E",O414*Contagem!$W$17,IF(I414="A",O414*Contagem!$W$16,IF(I414="T",O414*Contagem!$W$18,""))))</f>
        <v/>
      </c>
      <c r="Q414" s="55" t="inlineStr">
        <is>
          <t>Prova: Rota GET /portal/procuracoes (Portal\ProcurationController@index, auth:web). Tela: portal/procuracoes/index. O requerente vê as procurações que outorgou e as que recebeu; lê Procuração e Usuário (outorgante ou procurador); não grava. Teste: tests/Feature/Procuration/LinkAttorneyTest.php::test_pagina_de_procuracoes_renderiza. Processo elementar independente: menor unidade com significado para o requerente; completa por si (abre e recebe as duas listas); deixa o negócio consistente (nada é gravado); lógica única. Classificação: só recupera e mostra (a situação ativa vem do próprio registro): CE. TD=7 (nome, e-mail, início, validade, revogada em, situação ativa, ação abrir). AR=2 (Procuração, Usuário). Para demonstrar: features.portal_servicos ligado (parâmetro que liga os serviços do portal, desligado por padrão; commit df19754c de 16/10/2026). Recontagem 16/10/2026: mantida (linha 94 da contagem de 01/10/2026).</t>
        </is>
      </c>
    </row>
    <row r="415" ht="12" customHeight="1" s="73">
      <c r="A415" s="14">
        <f>IF(H415="",IF(C415="",A414,A414+1),A414)</f>
        <v/>
      </c>
      <c r="B415" s="48">
        <f>IF(A415=A414,"",CONCATENATE("F",A415))</f>
        <v/>
      </c>
      <c r="C415" s="85" t="inlineStr">
        <is>
          <t>Procurações - incluir</t>
        </is>
      </c>
      <c r="D415" s="142" t="n"/>
      <c r="E415" s="142" t="n"/>
      <c r="F415" s="142" t="n"/>
      <c r="G415" s="143" t="n"/>
      <c r="H415" s="56" t="inlineStr">
        <is>
          <t>EE</t>
        </is>
      </c>
      <c r="I415" s="57" t="inlineStr">
        <is>
          <t>I</t>
        </is>
      </c>
      <c r="J415" s="56" t="n">
        <v>4</v>
      </c>
      <c r="K415" s="56" t="n">
        <v>3</v>
      </c>
      <c r="L415" s="50">
        <f>CONCATENATE(H415,M415)</f>
        <v/>
      </c>
      <c r="M415" s="51">
        <f>IF(OR(ISBLANK(J415),ISBLANK(K415)),IF(OR(H415="ALI",H415="AIE"),"L",IF(ISBLANK(H415),"","A")),IF(H415="EE",IF(K415&gt;=3,IF(J415&gt;=5,"H","A"),IF(K415&gt;=2,IF(J415&gt;=16,"H",IF(J415&lt;=4,"L","A")),IF(J415&lt;=15,"L","A"))),IF(OR(H415="SE",H415="CE"),IF(K415&gt;=4,IF(J415&gt;=6,"H","A"),IF(K415&gt;=2,IF(J415&gt;=20,"H",IF(J415&lt;=5,"L","A")),IF(J415&lt;=19,"L","A"))),IF(OR(H415="ALI",H415="AIE"),IF(K415&gt;=6,IF(J415&gt;=20,"H","A"),IF(K415&gt;=2,IF(J415&gt;=51,"H",IF(J415&lt;=19,"L","A")),IF(J415&lt;=50,"L","A")))))))</f>
        <v/>
      </c>
      <c r="N415" s="52">
        <f>IF(M415="L","Baixa",IF(M415="A","Média",IF(M415="","","Alta")))</f>
        <v/>
      </c>
      <c r="O415" s="53">
        <f>IF(ISBLANK(H415),"",IF(H415="ALI",IF(M415="L",7,IF(M415="A",10,15)),IF(H415="AIE",IF(M415="L",5,IF(M415="A",7,10)),IF(H415="SE",IF(M415="L",4,IF(M415="A",5,7)),IF(OR(H415="EE",H415="CE"),IF(M415="L",3,IF(M415="A",4,6)))))))</f>
        <v/>
      </c>
      <c r="P415" s="54">
        <f>IF(I415="I",O415*Contagem!$W$15,IF(I415="E",O415*Contagem!$W$17,IF(I415="A",O415*Contagem!$W$16,IF(I415="T",O415*Contagem!$W$18,""))))</f>
        <v/>
      </c>
      <c r="Q415" s="55" t="inlineStr">
        <is>
          <t>Prova: Rota POST /portal/procuracoes (Portal\ProcurationController@store, auth:web). Tela: portal/procuracoes/index. O requerente informa o e-mail de uma conta existente e a validade opcional; StoreProcurationRequest lê o Usuário e a Procuração para barrar auto-procuração e procuração ativa duplicada; o sistema grava a Procuração e a auditoria. Teste: tests/Feature/Procuration/LinkAttorneyTest.php::test_vinculo_de_procurador_criado_com_sucesso (também test_vinculo_gera_auditoria e test_duplicidade_ativa_bloqueada). Processo elementar independente: menor unidade com significado para o requerente; completa por si (informa e recebe confirmação); deixa o negócio consistente (sem auto-procuração nem duplicidade); lógica única. Classificação: mantém Procuração: EE. TD=4 (e-mail do procurador, validade, mensagem, ação vincular). AR=3 (Usuário, Procuração, Trilha de auditoria). Para demonstrar: features.portal_servicos ligado (parâmetro que liga os serviços do portal, desligado por padrão; commit df19754c de 16/10/2026). Recontagem 16/10/2026: mantida (linha 95 da contagem de 01/10/2026).</t>
        </is>
      </c>
    </row>
    <row r="416" ht="12" customHeight="1" s="73">
      <c r="A416" s="14">
        <f>IF(H416="",IF(C416="",A415,A415+1),A415)</f>
        <v/>
      </c>
      <c r="B416" s="48">
        <f>IF(A416=A415,"",CONCATENATE("F",A416))</f>
        <v/>
      </c>
      <c r="C416" s="85" t="inlineStr">
        <is>
          <t>Procurações - revogar</t>
        </is>
      </c>
      <c r="D416" s="142" t="n"/>
      <c r="E416" s="142" t="n"/>
      <c r="F416" s="142" t="n"/>
      <c r="G416" s="143" t="n"/>
      <c r="H416" s="56" t="inlineStr">
        <is>
          <t>EE</t>
        </is>
      </c>
      <c r="I416" s="57" t="inlineStr">
        <is>
          <t>I</t>
        </is>
      </c>
      <c r="J416" s="56" t="n">
        <v>3</v>
      </c>
      <c r="K416" s="56" t="n">
        <v>2</v>
      </c>
      <c r="L416" s="50">
        <f>CONCATENATE(H416,M416)</f>
        <v/>
      </c>
      <c r="M416" s="51">
        <f>IF(OR(ISBLANK(J416),ISBLANK(K416)),IF(OR(H416="ALI",H416="AIE"),"L",IF(ISBLANK(H416),"","A")),IF(H416="EE",IF(K416&gt;=3,IF(J416&gt;=5,"H","A"),IF(K416&gt;=2,IF(J416&gt;=16,"H",IF(J416&lt;=4,"L","A")),IF(J416&lt;=15,"L","A"))),IF(OR(H416="SE",H416="CE"),IF(K416&gt;=4,IF(J416&gt;=6,"H","A"),IF(K416&gt;=2,IF(J416&gt;=20,"H",IF(J416&lt;=5,"L","A")),IF(J416&lt;=19,"L","A"))),IF(OR(H416="ALI",H416="AIE"),IF(K416&gt;=6,IF(J416&gt;=20,"H","A"),IF(K416&gt;=2,IF(J416&gt;=51,"H",IF(J416&lt;=19,"L","A")),IF(J416&lt;=50,"L","A")))))))</f>
        <v/>
      </c>
      <c r="N416" s="52">
        <f>IF(M416="L","Baixa",IF(M416="A","Média",IF(M416="","","Alta")))</f>
        <v/>
      </c>
      <c r="O416" s="53">
        <f>IF(ISBLANK(H416),"",IF(H416="ALI",IF(M416="L",7,IF(M416="A",10,15)),IF(H416="AIE",IF(M416="L",5,IF(M416="A",7,10)),IF(H416="SE",IF(M416="L",4,IF(M416="A",5,7)),IF(OR(H416="EE",H416="CE"),IF(M416="L",3,IF(M416="A",4,6)))))))</f>
        <v/>
      </c>
      <c r="P416" s="54">
        <f>IF(I416="I",O416*Contagem!$W$15,IF(I416="E",O416*Contagem!$W$17,IF(I416="A",O416*Contagem!$W$16,IF(I416="T",O416*Contagem!$W$18,""))))</f>
        <v/>
      </c>
      <c r="Q416" s="55" t="inlineStr">
        <is>
          <t>Prova: Rota DELETE /portal/procuracoes/{procuration} (Portal\ProcurationController@destroy, auth:web, policy delete). Tela: portal/procuracoes/index. O outorgante revoga; o sistema grava data e autor da revogação na Procuração (sem exclusão) e a auditoria; a representação cessa de imediato. Teste: tests/Feature/Procuration/RevokeAttorneyTest.php::test_revogacao_tem_efeito_imediato (também test_revogacao_gera_auditoria e test_terceiro_nao_revoga_procuracao_alheia). Processo elementar independente: menor unidade com significado para o requerente; completa por si (confirma e recebe aviso); deixa o negócio consistente (vínculo encerrado com histórico); lógica única (só o outorgante revoga). Classificação: mantém Procuração: EE. TD=3 (procuração selecionada, mensagem, ação revogar). AR=2 (Procuração, Trilha de auditoria). Para demonstrar: features.portal_servicos ligado (parâmetro que liga os serviços do portal, desligado por padrão; commit df19754c de 16/10/2026). Recontagem 16/10/2026: mantida (linha 96 da contagem de 01/10/2026).</t>
        </is>
      </c>
    </row>
    <row r="417" ht="12" customHeight="1" s="73">
      <c r="A417" s="14">
        <f>IF(H417="",IF(C417="",A416,A416+1),A416)</f>
        <v/>
      </c>
      <c r="B417" s="48">
        <f>IF(A417=A416,"",CONCATENATE("F",A417))</f>
        <v/>
      </c>
      <c r="C417" s="85" t="inlineStr">
        <is>
          <t>Representação - iniciar atuação em nome de terceiro</t>
        </is>
      </c>
      <c r="D417" s="142" t="n"/>
      <c r="E417" s="142" t="n"/>
      <c r="F417" s="142" t="n"/>
      <c r="G417" s="143" t="n"/>
      <c r="H417" s="56" t="inlineStr">
        <is>
          <t>EE</t>
        </is>
      </c>
      <c r="I417" s="57" t="inlineStr">
        <is>
          <t>I</t>
        </is>
      </c>
      <c r="J417" s="56" t="n">
        <v>4</v>
      </c>
      <c r="K417" s="56" t="n">
        <v>3</v>
      </c>
      <c r="L417" s="50">
        <f>CONCATENATE(H417,M417)</f>
        <v/>
      </c>
      <c r="M417" s="51">
        <f>IF(OR(ISBLANK(J417),ISBLANK(K417)),IF(OR(H417="ALI",H417="AIE"),"L",IF(ISBLANK(H417),"","A")),IF(H417="EE",IF(K417&gt;=3,IF(J417&gt;=5,"H","A"),IF(K417&gt;=2,IF(J417&gt;=16,"H",IF(J417&lt;=4,"L","A")),IF(J417&lt;=15,"L","A"))),IF(OR(H417="SE",H417="CE"),IF(K417&gt;=4,IF(J417&gt;=6,"H","A"),IF(K417&gt;=2,IF(J417&gt;=20,"H",IF(J417&lt;=5,"L","A")),IF(J417&lt;=19,"L","A"))),IF(OR(H417="ALI",H417="AIE"),IF(K417&gt;=6,IF(J417&gt;=20,"H","A"),IF(K417&gt;=2,IF(J417&gt;=51,"H",IF(J417&lt;=19,"L","A")),IF(J417&lt;=50,"L","A")))))))</f>
        <v/>
      </c>
      <c r="N417" s="52">
        <f>IF(M417="L","Baixa",IF(M417="A","Média",IF(M417="","","Alta")))</f>
        <v/>
      </c>
      <c r="O417" s="53">
        <f>IF(ISBLANK(H417),"",IF(H417="ALI",IF(M417="L",7,IF(M417="A",10,15)),IF(H417="AIE",IF(M417="L",5,IF(M417="A",7,10)),IF(H417="SE",IF(M417="L",4,IF(M417="A",5,7)),IF(OR(H417="EE",H417="CE"),IF(M417="L",3,IF(M417="A",4,6)))))))</f>
        <v/>
      </c>
      <c r="P417" s="54">
        <f>IF(I417="I",O417*Contagem!$W$15,IF(I417="E",O417*Contagem!$W$17,IF(I417="A",O417*Contagem!$W$16,IF(I417="T",O417*Contagem!$W$18,""))))</f>
        <v/>
      </c>
      <c r="Q417" s="55" t="inlineStr">
        <is>
          <t>Prova: Rota POST /portal/representacao (Portal\RepresentationController@store, auth:web). O procurador escolhe uma procuração ativa recebida; o sistema lê a Procuração e o outorgante (Usuário), passa a atuar em nome dele e grava 'representacao-iniciada' na trilha. Teste: tests/Feature/Procuration/RevokeAttorneyTest.php::test_procurador_ativa_representacao (também test_procuracao_expirada_nao_ativa_representacao e test_acoes_durante_representacao_carregam_em_nome_de). Processo elementar independente: menor unidade com significado para o procurador; completa por si (escolha à atuação ativa); deixa o negócio consistente (só procuração ativa e própria); lógica única. Não é controle técnico de sessão: muda em nome de quem todas as ações seguintes são feitas e auditadas. Classificação: intenção primária é alterar o comportamento do sistema: EE (§5.5.3). TD=4 (procuração, nome do outorgante, mensagem, ação atuar). AR=3 (Procuração, Usuário, Trilha de auditoria). Para demonstrar: features.portal_servicos ligado (parâmetro que liga os serviços do portal, desligado por padrão; commit df19754c de 16/10/2026). Recontagem 16/10/2026: mantida (linha 104 da contagem de 01/10/2026).</t>
        </is>
      </c>
    </row>
    <row r="418" ht="12" customHeight="1" s="73">
      <c r="A418" s="14">
        <f>IF(H418="",IF(C418="",A417,A417+1),A417)</f>
        <v/>
      </c>
      <c r="B418" s="48">
        <f>IF(A418=A417,"",CONCATENATE("F",A418))</f>
        <v/>
      </c>
      <c r="C418" s="85" t="inlineStr">
        <is>
          <t>Representação - encerrar atuação em nome de terceiro</t>
        </is>
      </c>
      <c r="D418" s="142" t="n"/>
      <c r="E418" s="142" t="n"/>
      <c r="F418" s="142" t="n"/>
      <c r="G418" s="143" t="n"/>
      <c r="H418" s="56" t="inlineStr">
        <is>
          <t>EE</t>
        </is>
      </c>
      <c r="I418" s="57" t="inlineStr">
        <is>
          <t>I</t>
        </is>
      </c>
      <c r="J418" s="56" t="n">
        <v>2</v>
      </c>
      <c r="K418" s="56" t="n">
        <v>1</v>
      </c>
      <c r="L418" s="50">
        <f>CONCATENATE(H418,M418)</f>
        <v/>
      </c>
      <c r="M418" s="51">
        <f>IF(OR(ISBLANK(J418),ISBLANK(K418)),IF(OR(H418="ALI",H418="AIE"),"L",IF(ISBLANK(H418),"","A")),IF(H418="EE",IF(K418&gt;=3,IF(J418&gt;=5,"H","A"),IF(K418&gt;=2,IF(J418&gt;=16,"H",IF(J418&lt;=4,"L","A")),IF(J418&lt;=15,"L","A"))),IF(OR(H418="SE",H418="CE"),IF(K418&gt;=4,IF(J418&gt;=6,"H","A"),IF(K418&gt;=2,IF(J418&gt;=20,"H",IF(J418&lt;=5,"L","A")),IF(J418&lt;=19,"L","A"))),IF(OR(H418="ALI",H418="AIE"),IF(K418&gt;=6,IF(J418&gt;=20,"H","A"),IF(K418&gt;=2,IF(J418&gt;=51,"H",IF(J418&lt;=19,"L","A")),IF(J418&lt;=50,"L","A")))))))</f>
        <v/>
      </c>
      <c r="N418" s="52">
        <f>IF(M418="L","Baixa",IF(M418="A","Média",IF(M418="","","Alta")))</f>
        <v/>
      </c>
      <c r="O418" s="53">
        <f>IF(ISBLANK(H418),"",IF(H418="ALI",IF(M418="L",7,IF(M418="A",10,15)),IF(H418="AIE",IF(M418="L",5,IF(M418="A",7,10)),IF(H418="SE",IF(M418="L",4,IF(M418="A",5,7)),IF(OR(H418="EE",H418="CE"),IF(M418="L",3,IF(M418="A",4,6)))))))</f>
        <v/>
      </c>
      <c r="P418" s="54">
        <f>IF(I418="I",O418*Contagem!$W$15,IF(I418="E",O418*Contagem!$W$17,IF(I418="A",O418*Contagem!$W$16,IF(I418="T",O418*Contagem!$W$18,""))))</f>
        <v/>
      </c>
      <c r="Q418" s="55" t="inlineStr">
        <is>
          <t>Prova: Rota DELETE /portal/representacao (Portal\RepresentationController@destroy, auth:web; continua disponível com os serviços do portal desligados). O procurador encerra a atuação; o sistema volta a agir em nome próprio e grava 'representacao-encerrada' na trilha. Teste: tests/Feature/Procuration/RevokeAttorneyTest.php::test_attorney_encerra_a_propria_representacao. Processo elementar independente: menor unidade com significado para o procurador; completa por si (do clique ao fim da atuação); deixa o negócio consistente (sem atuação residual em nome de terceiro); lógica única. Diferente de sair do sistema: não encerra a sessão, encerra um papel de negócio com efeito legal e registro próprio na trilha. Classificação: altera o comportamento do sistema: EE. TD=2 (mensagem, ação encerrar). AR=1 (Trilha de auditoria). Recontagem 16/10/2026: mantida (linha 105 da contagem de 01/10/2026).</t>
        </is>
      </c>
    </row>
    <row r="419" ht="12" customHeight="1" s="73">
      <c r="A419" s="14">
        <f>IF(H419="",IF(C419="",A418,A418+1),A418)</f>
        <v/>
      </c>
      <c r="B419" s="48">
        <f>IF(A419=A418,"",CONCATENATE("F",A419))</f>
        <v/>
      </c>
      <c r="C419" s="85" t="n"/>
      <c r="D419" s="142" t="n"/>
      <c r="E419" s="142" t="n"/>
      <c r="F419" s="142" t="n"/>
      <c r="G419" s="143" t="n"/>
      <c r="H419" s="56" t="n"/>
      <c r="I419" s="57" t="n"/>
      <c r="J419" s="56" t="n"/>
      <c r="K419" s="56" t="n"/>
      <c r="L419" s="50">
        <f>CONCATENATE(H419,M419)</f>
        <v/>
      </c>
      <c r="M419" s="51">
        <f>IF(OR(ISBLANK(J419),ISBLANK(K419)),IF(OR(H419="ALI",H419="AIE"),"L",IF(ISBLANK(H419),"","A")),IF(H419="EE",IF(K419&gt;=3,IF(J419&gt;=5,"H","A"),IF(K419&gt;=2,IF(J419&gt;=16,"H",IF(J419&lt;=4,"L","A")),IF(J419&lt;=15,"L","A"))),IF(OR(H419="SE",H419="CE"),IF(K419&gt;=4,IF(J419&gt;=6,"H","A"),IF(K419&gt;=2,IF(J419&gt;=20,"H",IF(J419&lt;=5,"L","A")),IF(J419&lt;=19,"L","A"))),IF(OR(H419="ALI",H419="AIE"),IF(K419&gt;=6,IF(J419&gt;=20,"H","A"),IF(K419&gt;=2,IF(J419&gt;=51,"H",IF(J419&lt;=19,"L","A")),IF(J419&lt;=50,"L","A")))))))</f>
        <v/>
      </c>
      <c r="N419" s="52">
        <f>IF(M419="L","Baixa",IF(M419="A","Média",IF(M419="","","Alta")))</f>
        <v/>
      </c>
      <c r="O419" s="53">
        <f>IF(ISBLANK(H419),"",IF(H419="ALI",IF(M419="L",7,IF(M419="A",10,15)),IF(H419="AIE",IF(M419="L",5,IF(M419="A",7,10)),IF(H419="SE",IF(M419="L",4,IF(M419="A",5,7)),IF(OR(H419="EE",H419="CE"),IF(M419="L",3,IF(M419="A",4,6)))))))</f>
        <v/>
      </c>
      <c r="P419" s="54">
        <f>IF(I419="I",O419*Contagem!$W$15,IF(I419="E",O419*Contagem!$W$17,IF(I419="A",O419*Contagem!$W$16,IF(I419="T",O419*Contagem!$W$18,""))))</f>
        <v/>
      </c>
      <c r="Q419" s="55" t="n"/>
    </row>
    <row r="420" ht="12" customHeight="1" s="73">
      <c r="A420" s="14">
        <f>IF(H420="",IF(C420="",A419,A419+1),A419)</f>
        <v/>
      </c>
      <c r="B420" s="48">
        <f>IF(A420=A419,"",CONCATENATE("F",A420))</f>
        <v/>
      </c>
      <c r="C420" s="85" t="inlineStr">
        <is>
          <t>Solicitação de viabilidade no portal</t>
        </is>
      </c>
      <c r="D420" s="142" t="n"/>
      <c r="E420" s="142" t="n"/>
      <c r="F420" s="142" t="n"/>
      <c r="G420" s="143" t="n"/>
      <c r="H420" s="56" t="n"/>
      <c r="I420" s="57" t="n"/>
      <c r="J420" s="56" t="n"/>
      <c r="K420" s="56" t="n"/>
      <c r="L420" s="50">
        <f>CONCATENATE(H420,M420)</f>
        <v/>
      </c>
      <c r="M420" s="51">
        <f>IF(OR(ISBLANK(J420),ISBLANK(K420)),IF(OR(H420="ALI",H420="AIE"),"L",IF(ISBLANK(H420),"","A")),IF(H420="EE",IF(K420&gt;=3,IF(J420&gt;=5,"H","A"),IF(K420&gt;=2,IF(J420&gt;=16,"H",IF(J420&lt;=4,"L","A")),IF(J420&lt;=15,"L","A"))),IF(OR(H420="SE",H420="CE"),IF(K420&gt;=4,IF(J420&gt;=6,"H","A"),IF(K420&gt;=2,IF(J420&gt;=20,"H",IF(J420&lt;=5,"L","A")),IF(J420&lt;=19,"L","A"))),IF(OR(H420="ALI",H420="AIE"),IF(K420&gt;=6,IF(J420&gt;=20,"H","A"),IF(K420&gt;=2,IF(J420&gt;=51,"H",IF(J420&lt;=19,"L","A")),IF(J420&lt;=50,"L","A")))))))</f>
        <v/>
      </c>
      <c r="N420" s="52">
        <f>IF(M420="L","Baixa",IF(M420="A","Média",IF(M420="","","Alta")))</f>
        <v/>
      </c>
      <c r="O420" s="53">
        <f>IF(ISBLANK(H420),"",IF(H420="ALI",IF(M420="L",7,IF(M420="A",10,15)),IF(H420="AIE",IF(M420="L",5,IF(M420="A",7,10)),IF(H420="SE",IF(M420="L",4,IF(M420="A",5,7)),IF(OR(H420="EE",H420="CE"),IF(M420="L",3,IF(M420="A",4,6)))))))</f>
        <v/>
      </c>
      <c r="P420" s="54">
        <f>IF(I420="I",O420*Contagem!$W$15,IF(I420="E",O420*Contagem!$W$17,IF(I420="A",O420*Contagem!$W$16,IF(I420="T",O420*Contagem!$W$18,""))))</f>
        <v/>
      </c>
      <c r="Q420" s="55" t="n"/>
    </row>
    <row r="421" ht="12" customHeight="1" s="73">
      <c r="A421" s="14">
        <f>IF(H421="",IF(C421="",A420,A420+1),A420)</f>
        <v/>
      </c>
      <c r="B421" s="48">
        <f>IF(A421=A420,"",CONCATENATE("F",A421))</f>
        <v/>
      </c>
      <c r="C421" s="85" t="inlineStr">
        <is>
          <t>Dados - Solicitação de viabilidade</t>
        </is>
      </c>
      <c r="D421" s="142" t="n"/>
      <c r="E421" s="142" t="n"/>
      <c r="F421" s="142" t="n"/>
      <c r="G421" s="143" t="n"/>
      <c r="H421" s="56" t="inlineStr">
        <is>
          <t>ALI</t>
        </is>
      </c>
      <c r="I421" s="57" t="inlineStr">
        <is>
          <t>I</t>
        </is>
      </c>
      <c r="J421" s="56" t="n">
        <v>102</v>
      </c>
      <c r="K421" s="56" t="n">
        <v>9</v>
      </c>
      <c r="L421" s="50">
        <f>CONCATENATE(H421,M421)</f>
        <v/>
      </c>
      <c r="M421" s="51">
        <f>IF(OR(ISBLANK(J421),ISBLANK(K421)),IF(OR(H421="ALI",H421="AIE"),"L",IF(ISBLANK(H421),"","A")),IF(H421="EE",IF(K421&gt;=3,IF(J421&gt;=5,"H","A"),IF(K421&gt;=2,IF(J421&gt;=16,"H",IF(J421&lt;=4,"L","A")),IF(J421&lt;=15,"L","A"))),IF(OR(H421="SE",H421="CE"),IF(K421&gt;=4,IF(J421&gt;=6,"H","A"),IF(K421&gt;=2,IF(J421&gt;=20,"H",IF(J421&lt;=5,"L","A")),IF(J421&lt;=19,"L","A"))),IF(OR(H421="ALI",H421="AIE"),IF(K421&gt;=6,IF(J421&gt;=20,"H","A"),IF(K421&gt;=2,IF(J421&gt;=51,"H",IF(J421&lt;=19,"L","A")),IF(J421&lt;=50,"L","A")))))))</f>
        <v/>
      </c>
      <c r="N421" s="52">
        <f>IF(M421="L","Baixa",IF(M421="A","Média",IF(M421="","","Alta")))</f>
        <v/>
      </c>
      <c r="O421" s="53">
        <f>IF(ISBLANK(H421),"",IF(H421="ALI",IF(M421="L",7,IF(M421="A",10,15)),IF(H421="AIE",IF(M421="L",5,IF(M421="A",7,10)),IF(H421="SE",IF(M421="L",4,IF(M421="A",5,7)),IF(OR(H421="EE",H421="CE"),IF(M421="L",3,IF(M421="A",4,6)))))))</f>
        <v/>
      </c>
      <c r="P421" s="54">
        <f>IF(I421="I",O421*Contagem!$W$15,IF(I421="E",O421*Contagem!$W$17,IF(I421="A",O421*Contagem!$W$16,IF(I421="T",O421*Contagem!$W$18,""))))</f>
        <v/>
      </c>
      <c r="Q421" s="55" t="inlineStr">
        <is>
          <t>Prova: Model ViabilityRequest e subgrupos ViabilityRequestTransition, AnalysisStatusTransition, ExpressoQueda, ViabilityRequestEtapa, ViabilityRequestEvento, ViabilityRequestDocument e ServiceDeclarationAcceptance; migrations 2026_06_14_104830_create_viability_requests_table, 2026_06_14_104832 (CNAEs), 2026_06_14_104833 (documentos), 2026_06_14_104834 (tramitação), 2026_06_14_132810, 2026_06_14_163233, 2026_06_14_215042, 2026_06_15_000004 (quedas), 2026_07_14_100000, 2026_07_14_100100 (situação da análise), 2026_07_16_100000, 2026_08_28_105000, 2026_08_31_100000, 2026_08_31_110000, 2026_09_15_160000, 2026_09_18_110000, 2026_09_23_191745, 2026_09_26_174800, 2026_09_26_190000, 2026_09_28_165400, 2026_09_28_170600 (aceites) e, depois de 01/10/2026, 2026_10_02_120000, 2026_10_03_142733, 2026_10_03_185143, 2026_10_03_192332, 2026_10_05_100000 (etapas), 2026_10_14_120000, 2026_10_14_213851 (eventos), 2026_10_15_180101, 2026_10_15_185552 e 2026_10_15_192821 (requerente opcional, sem DER novo). Mantido por incluir, informar imóvel e atividades, anexar e remover documento, simular, protocolar, cancelar e renovar no portal, além das funções de análise, contingência e REGIN de outras áreas. Teste: tests/Feature/Solicitacao/ProtocolarSolicitacaoTest.php::test_protocola_gera_numero_unico; tests/Feature/Motor/ViabilityRequestEtapaTest.php::test_etapa_pertence_ao_processo_e_converte_enums; tests/Feature/Regin/ReginEventosTest.php::test_protocolar_grava_os_eventos_no_processo. Arquivo lógico: grupo lógico central do negócio, a solicitação de viabilidade. Teste de independência (Parte 3, Cap. 1; regra de dependência): documentos anexados (FK com cascadeOnDelete, só existem dentro da solicitação), aceites de declaração (associativa solicitação × declaração com atributos não-chave, cascadeOnDelete), etapas do motor (uma por processo e etapa, exibidas na ficha do expresso) e eventos da JUCEB (vários por processo, exibidos na caixa do setor) não têm significado sem a solicitação e por isso são subgrupos, não ALI próprios. A declaração de serviço em si (ServiceDeclaration) é texto quase estático carregado por seeder, sem manutenção na aplicação: dado de código, não conta. TD=102 (protocolo, situação, origem, tipo de serviço, empresa, requerente, criado por, área utilizada, inscrição imobiliária, tipo de imóvel, logradouro, número, complemento, bairro, CEP, referência, polígono do imóvel, latitude, longitude, fonte da localização, zona, fonte da zona, bairro oficial, código do logradouro (CODLOG), camadas incidentes, polígono do lote (endereçamento), lote consultado em, fonte do polígono do lote, categoria de uso do lote (SEMAP), padrão construtivo do lote (SEMAP), escritório virtual, área pública, acesso independente, deseja ser sede de escritório virtual, deseja ser abrigado em escritório virtual, confirma perda da condição de sede, simulação por CNAE, versões de regras da simulação, resultado da simulação, simulado em, prosseguiu apesar do resultado, motivo de contingência, referência externa, justificativa do parecer à JUCEB, dados declarados na origem (REGIN), protocolado em, cancelado em, motivo do cancelamento, cancelado por, prazo do BAP, BAP vinculado em, setor, analista, atribuído em, categoria de análise, em malha fina, etapa da análise, situação da análise, prazo da análise, conclusão encaminhada para, tempo de viabilidade em horas úteis, solicitação renovada, atendimento assistido, CNAE da solicitação, CNAE principal, intenção da atividade, situação anterior da tramitação, nova situação da tramitação, motivo da tramitação, rótulo público da tramitação, responsável pela tramitação, data da tramitação, situação anterior da análise, nova situação da análise, motivo da mudança da análise, responsável pela mudança da análise, data da mudança da análise, CNAE da queda do expresso, tipo de gatilho da queda, dimensão da queda, motivo da queda, data da queda, etapa do motor, serviço de terceiro da etapa, situação da etapa, motivo da etapa, tentativas da etapa, próxima tentativa em, etapa esgotada em, código do evento JUCEB, nome do evento JUCEB, requisito documental do anexo, arquivo anexado, nome original do arquivo, tipo do arquivo, tamanho do arquivo, anexo enviado por, anexo enviado em, declaração aceita, versão da declaração aceita, aceite feito por, aceito em). TR=9 (dados da solicitação, CNAEs da solicitação, histórico de tramitação, histórico da situação da análise, quedas do fluxo expresso, etapas do motor, eventos da JUCEB, documentos anexados, aceites de declaração de serviço). Recontagem 16/10/2026: alterada (linha 506 da contagem de 01/10/2026: "Dados - Solicitação de viabilidade", ALI Alta 15 PF, TD 55, AR 5). Motivo: TD 55→102 e TR 5→9. Entram os atributos gravados depois de 01/10/2026 (polígono e fonte do lote, data da consulta do lote, fonte da zona, categoria de uso e padrão construtivo da SEMAP, dados declarados na origem, tempo em horas úteis, conclusão encaminhada para, justificativa do parecer à JUCEB) e os DER dos subgrupos que a contagem anterior não listava (tramitação, situação da análise, quedas do expresso). Ganha quatro subgrupos: etapas do motor (2026_10_05) e eventos da JUCEB (2026_10_14), novos, e documentos anexados e aceites de declaração, que deixam de ser ALI próprios pelo teste de independência. Complexidade continua Alta (15 PF).</t>
        </is>
      </c>
    </row>
    <row r="422" ht="12" customHeight="1" s="73">
      <c r="A422" s="14">
        <f>IF(H422="",IF(C422="",A421,A421+1),A421)</f>
        <v/>
      </c>
      <c r="B422" s="48">
        <f>IF(A422=A421,"",CONCATENATE("F",A422))</f>
        <v/>
      </c>
      <c r="C422" s="85" t="inlineStr">
        <is>
          <t>Solicitações - consultar minhas solicitações</t>
        </is>
      </c>
      <c r="D422" s="142" t="n"/>
      <c r="E422" s="142" t="n"/>
      <c r="F422" s="142" t="n"/>
      <c r="G422" s="143" t="n"/>
      <c r="H422" s="56" t="inlineStr">
        <is>
          <t>CE</t>
        </is>
      </c>
      <c r="I422" s="57" t="inlineStr">
        <is>
          <t>I</t>
        </is>
      </c>
      <c r="J422" s="56" t="n">
        <v>11</v>
      </c>
      <c r="K422" s="56" t="n">
        <v>3</v>
      </c>
      <c r="L422" s="50">
        <f>CONCATENATE(H422,M422)</f>
        <v/>
      </c>
      <c r="M422" s="51">
        <f>IF(OR(ISBLANK(J422),ISBLANK(K422)),IF(OR(H422="ALI",H422="AIE"),"L",IF(ISBLANK(H422),"","A")),IF(H422="EE",IF(K422&gt;=3,IF(J422&gt;=5,"H","A"),IF(K422&gt;=2,IF(J422&gt;=16,"H",IF(J422&lt;=4,"L","A")),IF(J422&lt;=15,"L","A"))),IF(OR(H422="SE",H422="CE"),IF(K422&gt;=4,IF(J422&gt;=6,"H","A"),IF(K422&gt;=2,IF(J422&gt;=20,"H",IF(J422&lt;=5,"L","A")),IF(J422&lt;=19,"L","A"))),IF(OR(H422="ALI",H422="AIE"),IF(K422&gt;=6,IF(J422&gt;=20,"H","A"),IF(K422&gt;=2,IF(J422&gt;=51,"H",IF(J422&lt;=19,"L","A")),IF(J422&lt;=50,"L","A")))))))</f>
        <v/>
      </c>
      <c r="N422" s="52">
        <f>IF(M422="L","Baixa",IF(M422="A","Média",IF(M422="","","Alta")))</f>
        <v/>
      </c>
      <c r="O422" s="53">
        <f>IF(ISBLANK(H422),"",IF(H422="ALI",IF(M422="L",7,IF(M422="A",10,15)),IF(H422="AIE",IF(M422="L",5,IF(M422="A",7,10)),IF(H422="SE",IF(M422="L",4,IF(M422="A",5,7)),IF(OR(H422="EE",H422="CE"),IF(M422="L",3,IF(M422="A",4,6)))))))</f>
        <v/>
      </c>
      <c r="P422" s="54">
        <f>IF(I422="I",O422*Contagem!$W$15,IF(I422="E",O422*Contagem!$W$17,IF(I422="A",O422*Contagem!$W$16,IF(I422="T",O422*Contagem!$W$18,""))))</f>
        <v/>
      </c>
      <c r="Q422" s="55" t="inlineStr">
        <is>
          <t>Prova: Rota GET /portal/solicitacoes (auth:web, verified, lgpd.accepted). Tela: portal/solicitacoes/index. O requerente busca, filtra por estado e ordena as próprias solicitações (ou as do representado). Lê Solicitação, Empresa e Parâmetro (estados canceláveis); o nome do tipo de serviço exibido vem de dado de código; não grava nem audita. Teste: tests/Feature/Solicitacao/CriarSolicitacaoTest.php::test_minhas_solicitacoes_lista_somente_do_dono; tests/Feature/Solicitacao/FiltroStatusSolicitacoesTest.php::test_filtra_pelo_estado_informado. Processo elementar independente: menor unidade com significado para o requerente; completa por si (busca até a lista); deixa o negócio consistente (nada muda); lógica única (lista só do dono efetivo, com ações permitidas pelo estado). O filtro por estado é filtro da mesma lista, não processo separado. Classificação: recupera e mostra sem cálculo nem gravação, portanto CE (§5.5.3). TD=11 (protocolo, situação, tipo de serviço, razão social, CNPJ, data de criação, indicador editável, indicador cancelável, busca por protocolo/razão social, estado filtrado, ação consultar). AR=3 (Solicitação de viabilidade, Empresa, Parâmetro). Recontagem 16/10/2026: alterada (linha 108 da contagem de 01/10/2026: "Solicitações - consultar minhas solicitações", CE Alta 6 PF, TD 10, AR 4). Motivo: Catálogo: Tipo de serviço retirado do AR (dado de código). AR 4→3; PF 6→4 (CE FTR 3, DER 11 = Média).</t>
        </is>
      </c>
    </row>
    <row r="423" ht="12" customHeight="1" s="73">
      <c r="A423" s="14">
        <f>IF(H423="",IF(C423="",A422,A422+1),A422)</f>
        <v/>
      </c>
      <c r="B423" s="48">
        <f>IF(A423=A422,"",CONCATENATE("F",A423))</f>
        <v/>
      </c>
      <c r="C423" s="85" t="inlineStr">
        <is>
          <t>Solicitações - incluir</t>
        </is>
      </c>
      <c r="D423" s="142" t="n"/>
      <c r="E423" s="142" t="n"/>
      <c r="F423" s="142" t="n"/>
      <c r="G423" s="143" t="n"/>
      <c r="H423" s="56" t="inlineStr">
        <is>
          <t>EE</t>
        </is>
      </c>
      <c r="I423" s="57" t="inlineStr">
        <is>
          <t>I</t>
        </is>
      </c>
      <c r="J423" s="56" t="n">
        <v>7</v>
      </c>
      <c r="K423" s="56" t="n">
        <v>5</v>
      </c>
      <c r="L423" s="50">
        <f>CONCATENATE(H423,M423)</f>
        <v/>
      </c>
      <c r="M423" s="51">
        <f>IF(OR(ISBLANK(J423),ISBLANK(K423)),IF(OR(H423="ALI",H423="AIE"),"L",IF(ISBLANK(H423),"","A")),IF(H423="EE",IF(K423&gt;=3,IF(J423&gt;=5,"H","A"),IF(K423&gt;=2,IF(J423&gt;=16,"H",IF(J423&lt;=4,"L","A")),IF(J423&lt;=15,"L","A"))),IF(OR(H423="SE",H423="CE"),IF(K423&gt;=4,IF(J423&gt;=6,"H","A"),IF(K423&gt;=2,IF(J423&gt;=20,"H",IF(J423&lt;=5,"L","A")),IF(J423&lt;=19,"L","A"))),IF(OR(H423="ALI",H423="AIE"),IF(K423&gt;=6,IF(J423&gt;=20,"H","A"),IF(K423&gt;=2,IF(J423&gt;=51,"H",IF(J423&lt;=19,"L","A")),IF(J423&lt;=50,"L","A")))))))</f>
        <v/>
      </c>
      <c r="N423" s="52">
        <f>IF(M423="L","Baixa",IF(M423="A","Média",IF(M423="","","Alta")))</f>
        <v/>
      </c>
      <c r="O423" s="53">
        <f>IF(ISBLANK(H423),"",IF(H423="ALI",IF(M423="L",7,IF(M423="A",10,15)),IF(H423="AIE",IF(M423="L",5,IF(M423="A",7,10)),IF(H423="SE",IF(M423="L",4,IF(M423="A",5,7)),IF(OR(H423="EE",H423="CE"),IF(M423="L",3,IF(M423="A",4,6)))))))</f>
        <v/>
      </c>
      <c r="P423" s="54">
        <f>IF(I423="I",O423*Contagem!$W$15,IF(I423="E",O423*Contagem!$W$17,IF(I423="A",O423*Contagem!$W$16,IF(I423="T",O423*Contagem!$W$18,""))))</f>
        <v/>
      </c>
      <c r="Q423" s="55" t="inlineStr">
        <is>
          <t>Prova: Rota POST /portal/solicitacoes (auth:web, portal.solicitacao). Tela: portal/solicitacoes/wizard. O requerente escolhe tipo de serviço ativo e empresa com vínculo ativo. DuplicateRequestDetector avisa reincidência no CNPJ (janela parametrizada) sem bloquear. Grava Solicitação em rascunho e auditoria. Desde 15/10/2026 o interruptor portal.solicitacao (config features.portal_solicitacao, variável de ambiente) pode tirar a criação do ar com aviso; não é Parâmetro nem função nova. Teste: tests/Feature/Solicitacao/CriarSolicitacaoTest.php::test_cidadao_cria_rascunho; tests/Feature/Portal/PortalSolicitacaoInterruptorTest.php::test_desligado_bloqueia_criacao_de_solicitacao. Registros automáticos contados como FTR (premissa P4): Trilha de auditoria: AuditService::log ou HasAuditoria do model no mesmo request. Processo elementar independente: menor unidade com significado para o requerente; completa por si (escolha até o rascunho criado); deixa o negócio consistente (rascunho do dono efetivo, auditado); lógica única (validação de vínculo e alerta de reincidência). A tela GET /portal/solicitacoes/nova só abre o formulário e não é função própria. Classificação: grava a solicitação, EE. TD=7 (tipo de serviço, empresa, mensagem de sucesso/erro, protocolo do processo anterior (alerta), situação do processo anterior, data do processo anterior, ação criar). AR=5 (Solicitação de viabilidade, Empresa, Vínculo de usuário com empresa, Parâmetro, Trilha de auditoria). Recontagem 16/10/2026: alterada (linha 109 da contagem de 01/10/2026: "Solicitações - incluir", EE Alta 6 PF, TD 7, AR 6). Motivo: Catálogo: Tipo de serviço retirado do AR (dado de código). AR 6→5; PF inalterado (Alta).</t>
        </is>
      </c>
    </row>
    <row r="424" ht="12" customHeight="1" s="73">
      <c r="A424" s="14">
        <f>IF(H424="",IF(C424="",A423,A423+1),A423)</f>
        <v/>
      </c>
      <c r="B424" s="48">
        <f>IF(A424=A423,"",CONCATENATE("F",A424))</f>
        <v/>
      </c>
      <c r="C424" s="85" t="inlineStr">
        <is>
          <t>Solicitação - informar dados do imóvel</t>
        </is>
      </c>
      <c r="D424" s="142" t="n"/>
      <c r="E424" s="142" t="n"/>
      <c r="F424" s="142" t="n"/>
      <c r="G424" s="143" t="n"/>
      <c r="H424" s="56" t="inlineStr">
        <is>
          <t>EE</t>
        </is>
      </c>
      <c r="I424" s="57" t="inlineStr">
        <is>
          <t>I</t>
        </is>
      </c>
      <c r="J424" s="56" t="n">
        <v>23</v>
      </c>
      <c r="K424" s="56" t="n">
        <v>7</v>
      </c>
      <c r="L424" s="50">
        <f>CONCATENATE(H424,M424)</f>
        <v/>
      </c>
      <c r="M424" s="51">
        <f>IF(OR(ISBLANK(J424),ISBLANK(K424)),IF(OR(H424="ALI",H424="AIE"),"L",IF(ISBLANK(H424),"","A")),IF(H424="EE",IF(K424&gt;=3,IF(J424&gt;=5,"H","A"),IF(K424&gt;=2,IF(J424&gt;=16,"H",IF(J424&lt;=4,"L","A")),IF(J424&lt;=15,"L","A"))),IF(OR(H424="SE",H424="CE"),IF(K424&gt;=4,IF(J424&gt;=6,"H","A"),IF(K424&gt;=2,IF(J424&gt;=20,"H",IF(J424&lt;=5,"L","A")),IF(J424&lt;=19,"L","A"))),IF(OR(H424="ALI",H424="AIE"),IF(K424&gt;=6,IF(J424&gt;=20,"H","A"),IF(K424&gt;=2,IF(J424&gt;=51,"H",IF(J424&lt;=19,"L","A")),IF(J424&lt;=50,"L","A")))))))</f>
        <v/>
      </c>
      <c r="N424" s="52">
        <f>IF(M424="L","Baixa",IF(M424="A","Média",IF(M424="","","Alta")))</f>
        <v/>
      </c>
      <c r="O424" s="53">
        <f>IF(ISBLANK(H424),"",IF(H424="ALI",IF(M424="L",7,IF(M424="A",10,15)),IF(H424="AIE",IF(M424="L",5,IF(M424="A",7,10)),IF(H424="SE",IF(M424="L",4,IF(M424="A",5,7)),IF(OR(H424="EE",H424="CE"),IF(M424="L",3,IF(M424="A",4,6)))))))</f>
        <v/>
      </c>
      <c r="P424" s="54">
        <f>IF(I424="I",O424*Contagem!$W$15,IF(I424="E",O424*Contagem!$W$17,IF(I424="A",O424*Contagem!$W$16,IF(I424="T",O424*Contagem!$W$18,""))))</f>
        <v/>
      </c>
      <c r="Q424" s="55" t="inlineStr">
        <is>
          <t>Prova: Rota PUT /portal/solicitacoes/{solicitacao}/imovel (auth:web, portal.solicitacao, policy update). Tela: portal/solicitacoes/wizard. O cidadão desenha o polígono e informa o endereço; SolicitacaoImovelController identifica o território pelo centroide (TerritoryService), materializa zona, bairro e CODLOG (TerritorioProcessoService), calcula a área do polígono e a divergência pela tolerância do parâmetro solicitacao.area_poligono.tolerancia_percentual, grava na solicitação, invalida a simulação e audita a divergência. Teste: tests/Feature/Solicitacao/InformarImovelTest.php::test_dono_informa_imovel. Registros automáticos contados como FTR (premissa P4): Trilha de auditoria: AuditService::log ou HasAuditoria do model no mesmo request; Chamada de integração: listener síncrono RegistrarChamadaIntegracao grava cada chamada HTTP de saída (IntegrationCallRecorder). TerritoryService::identify consulta a zona no GeoServer (GeoServerWfsZonaClient) e a classe viária pelo CODLOG (GeoServerClassificacaoViariaClient). Processo elementar independente: menor unidade com significado para o requerente; completa por si (preenche o passo do imóvel e salva); deixa a solicitação localizada no território; lógica única de enquadramento territorial do rascunho. Classificação: intenção primária é manter a solicitação, EE. TD=23 (polígono, área utilizada, logradouro, número, complemento, bairro, CEP, ponto de referência, inscrição imobiliária, escritório virtual, quer ser sede, quer ser abrigado, área pública, acesso independente, território: bairro, via, zona, lote, restrições, área do polígono e divergência, mensagem, ação salvar). AR=7 (Solicitação de viabilidade, Camada geográfica, Zonas urbanísticas do GeoServer da SEDUR, Classificação viária dos logradouros do GeoServer da SEDUR, Parâmetro, Trilha de auditoria, Chamada de integração). Para demonstrar: zona remota só com features.geoserver_zona ligado e GeoServer da SEDUR configurado. Recontagem 16/10/2026: alterada (linha 37 da contagem de 01/10/2026: "Solicitação - informar dados do imóvel", EE Alta 6 PF, TD 23, AR 4). Motivo: AR 4→7: Classificação viária do GeoServer (TerritoryService::comClasseViaria), Trilha de auditoria (TerritoryService::identify e divergência de área) e Chamada de integração (consultas WFS ao GeoServer). PF inalterado (Alta).</t>
        </is>
      </c>
    </row>
    <row r="425" ht="12" customHeight="1" s="73">
      <c r="A425" s="14">
        <f>IF(H425="",IF(C425="",A424,A424+1),A424)</f>
        <v/>
      </c>
      <c r="B425" s="48">
        <f>IF(A425=A424,"",CONCATENATE("F",A425))</f>
        <v/>
      </c>
      <c r="C425" s="85" t="inlineStr">
        <is>
          <t>Solicitação - informar atividades</t>
        </is>
      </c>
      <c r="D425" s="142" t="n"/>
      <c r="E425" s="142" t="n"/>
      <c r="F425" s="142" t="n"/>
      <c r="G425" s="143" t="n"/>
      <c r="H425" s="56" t="inlineStr">
        <is>
          <t>EE</t>
        </is>
      </c>
      <c r="I425" s="57" t="inlineStr">
        <is>
          <t>I</t>
        </is>
      </c>
      <c r="J425" s="56" t="n">
        <v>7</v>
      </c>
      <c r="K425" s="56" t="n">
        <v>6</v>
      </c>
      <c r="L425" s="50">
        <f>CONCATENATE(H425,M425)</f>
        <v/>
      </c>
      <c r="M425" s="51">
        <f>IF(OR(ISBLANK(J425),ISBLANK(K425)),IF(OR(H425="ALI",H425="AIE"),"L",IF(ISBLANK(H425),"","A")),IF(H425="EE",IF(K425&gt;=3,IF(J425&gt;=5,"H","A"),IF(K425&gt;=2,IF(J425&gt;=16,"H",IF(J425&lt;=4,"L","A")),IF(J425&lt;=15,"L","A"))),IF(OR(H425="SE",H425="CE"),IF(K425&gt;=4,IF(J425&gt;=6,"H","A"),IF(K425&gt;=2,IF(J425&gt;=20,"H",IF(J425&lt;=5,"L","A")),IF(J425&lt;=19,"L","A"))),IF(OR(H425="ALI",H425="AIE"),IF(K425&gt;=6,IF(J425&gt;=20,"H","A"),IF(K425&gt;=2,IF(J425&gt;=51,"H",IF(J425&lt;=19,"L","A")),IF(J425&lt;=50,"L","A")))))))</f>
        <v/>
      </c>
      <c r="N425" s="52">
        <f>IF(M425="L","Baixa",IF(M425="A","Média",IF(M425="","","Alta")))</f>
        <v/>
      </c>
      <c r="O425" s="53">
        <f>IF(ISBLANK(H425),"",IF(H425="ALI",IF(M425="L",7,IF(M425="A",10,15)),IF(H425="AIE",IF(M425="L",5,IF(M425="A",7,10)),IF(H425="SE",IF(M425="L",4,IF(M425="A",5,7)),IF(OR(H425="EE",H425="CE"),IF(M425="L",3,IF(M425="A",4,6)))))))</f>
        <v/>
      </c>
      <c r="P425" s="54">
        <f>IF(I425="I",O425*Contagem!$W$15,IF(I425="E",O425*Contagem!$W$17,IF(I425="A",O425*Contagem!$W$16,IF(I425="T",O425*Contagem!$W$18,""))))</f>
        <v/>
      </c>
      <c r="Q425" s="55" t="inlineStr">
        <is>
          <t>Prova: Rota PUT /portal/solicitacoes/{solicitacao}/atividades (auth:web, portal.solicitacao, policy update). Tela: portal/solicitacoes/wizard. O requerente informa as atividades. UpdateSolicitacaoAtividadesRequest valida CNAE ativo, limite parametrizado (solicitacao.cnaes_complementares.max), atividades permitidas em escritório virtual e bloqueio de inscrição de sede; SolicitacaoAtividadeController grava os CNAEs com intenção (alteração de atividade), a confirmação de perda de sede e a pergunta vinculada, marca a simulação como desatualizada e audita antes/depois. Teste: tests/Feature/EscritorioVirtual/AtividadesPortalEscritorioVirtualTest.php::test_marcacao_de_exclusao_e_persistida_na_intencao_do_pivot. Registros automáticos contados como FTR (premissa P4): Trilha de auditoria: AuditService::log ou HasAuditoria do model no mesmo request. Processo elementar independente: menor unidade com significado para o requerente; completa por si (escolhe as atividades e recebe a confirmação); deixa o negócio consistente (conjunto exato de CNAEs e simulação invalidada); lógica única (intenção por CNAE e regras de escritório virtual). Classificação: mantém a solicitação, EE. TD=7 (CNAE principal, CNAEs complementares, atividades a excluir, confirmação de perda da condição de sede, quer ser sede de escritório virtual, mensagem, ação salvar). AR=6 (Solicitação de viabilidade, CNAE, Atividade permitida em escritório virtual, Bloqueio de inscrição de escritório virtual, Parâmetro, Trilha de auditoria). Recontagem 16/10/2026: alterada (linha 83 da contagem de 01/10/2026: "Solicitação - informar atividades", EE Alta 6 PF, TD 7, AR 5). Motivo: AR 5→6: entram Parâmetro (limite de CNAEs complementares) e Trilha de auditoria; sai Tipo de serviço (revisão do catálogo, dado de código; o tipo só decide se há intenção por CNAE). PF inalterado (Alta).</t>
        </is>
      </c>
    </row>
    <row r="426" ht="12" customHeight="1" s="73">
      <c r="A426" s="14">
        <f>IF(H426="",IF(C426="",A425,A425+1),A425)</f>
        <v/>
      </c>
      <c r="B426" s="48">
        <f>IF(A426=A425,"",CONCATENATE("F",A426))</f>
        <v/>
      </c>
      <c r="C426" s="85" t="inlineStr">
        <is>
          <t>Solicitação - anexar documento</t>
        </is>
      </c>
      <c r="D426" s="142" t="n"/>
      <c r="E426" s="142" t="n"/>
      <c r="F426" s="142" t="n"/>
      <c r="G426" s="143" t="n"/>
      <c r="H426" s="56" t="inlineStr">
        <is>
          <t>EE</t>
        </is>
      </c>
      <c r="I426" s="57" t="inlineStr">
        <is>
          <t>I</t>
        </is>
      </c>
      <c r="J426" s="56" t="n">
        <v>7</v>
      </c>
      <c r="K426" s="56" t="n">
        <v>4</v>
      </c>
      <c r="L426" s="50">
        <f>CONCATENATE(H426,M426)</f>
        <v/>
      </c>
      <c r="M426" s="51">
        <f>IF(OR(ISBLANK(J426),ISBLANK(K426)),IF(OR(H426="ALI",H426="AIE"),"L",IF(ISBLANK(H426),"","A")),IF(H426="EE",IF(K426&gt;=3,IF(J426&gt;=5,"H","A"),IF(K426&gt;=2,IF(J426&gt;=16,"H",IF(J426&lt;=4,"L","A")),IF(J426&lt;=15,"L","A"))),IF(OR(H426="SE",H426="CE"),IF(K426&gt;=4,IF(J426&gt;=6,"H","A"),IF(K426&gt;=2,IF(J426&gt;=20,"H",IF(J426&lt;=5,"L","A")),IF(J426&lt;=19,"L","A"))),IF(OR(H426="ALI",H426="AIE"),IF(K426&gt;=6,IF(J426&gt;=20,"H","A"),IF(K426&gt;=2,IF(J426&gt;=51,"H",IF(J426&lt;=19,"L","A")),IF(J426&lt;=50,"L","A")))))))</f>
        <v/>
      </c>
      <c r="N426" s="52">
        <f>IF(M426="L","Baixa",IF(M426="A","Média",IF(M426="","","Alta")))</f>
        <v/>
      </c>
      <c r="O426" s="53">
        <f>IF(ISBLANK(H426),"",IF(H426="ALI",IF(M426="L",7,IF(M426="A",10,15)),IF(H426="AIE",IF(M426="L",5,IF(M426="A",7,10)),IF(H426="SE",IF(M426="L",4,IF(M426="A",5,7)),IF(OR(H426="EE",H426="CE"),IF(M426="L",3,IF(M426="A",4,6)))))))</f>
        <v/>
      </c>
      <c r="P426" s="54">
        <f>IF(I426="I",O426*Contagem!$W$15,IF(I426="E",O426*Contagem!$W$17,IF(I426="A",O426*Contagem!$W$16,IF(I426="T",O426*Contagem!$W$18,""))))</f>
        <v/>
      </c>
      <c r="Q426" s="55" t="inlineStr">
        <is>
          <t>Prova: Rota POST /portal/solicitacoes/{solicitacao}/documentos (auth:web, portal.solicitacao, policy update). Tela: portal/solicitacoes/wizard (passo de documentos). O cidadão anexa um arquivo a um requisito; StoreSolicitacaoDocumentoRequest valida tipo e tamanho (parâmetro solicitacao.anexos.max_mb) e o requisito; SolicitacaoDocumentoController substitui o anexo anterior do mesmo requisito, grava o documento com hash e audita. Teste: tests/Feature/Solicitacao/AnexarDocumentoTest.php::test_anexa_documento. Registros automáticos contados como FTR (premissa P4): Trilha de auditoria: AuditService::log ou HasAuditoria do model no mesmo request. Processo elementar independente: menor unidade com significado para o requerente; completa por si (escolhe e envia); deixa a solicitação com o requisito atendido; lógica única de anexação com substituição por requisito. Classificação: mantém a solicitação (subgrupo documentos anexados), EE. TD=7 (arquivo, requisito documental, nome, tipo, tamanho, mensagem, ação anexar). AR=4 (Solicitação de viabilidade, Requisito documental, Parâmetro, Trilha de auditoria). Recontagem 16/10/2026: alterada (linha 99 da contagem de 01/10/2026: "Solicitação - anexar documento", EE Alta 6 PF, TD 7, AR 3). Motivo: AR 3→4: o Documento anexado deixa de ser ALI próprio e passa a subgrupo da Solicitação; entram Parâmetro (tamanho máximo do anexo) e Trilha de auditoria. PF inalterado (Alta).</t>
        </is>
      </c>
    </row>
    <row r="427" ht="12" customHeight="1" s="73">
      <c r="A427" s="14">
        <f>IF(H427="",IF(C427="",A426,A426+1),A426)</f>
        <v/>
      </c>
      <c r="B427" s="48">
        <f>IF(A427=A426,"",CONCATENATE("F",A427))</f>
        <v/>
      </c>
      <c r="C427" s="85" t="inlineStr">
        <is>
          <t>Solicitação - baixar documento anexo</t>
        </is>
      </c>
      <c r="D427" s="142" t="n"/>
      <c r="E427" s="142" t="n"/>
      <c r="F427" s="142" t="n"/>
      <c r="G427" s="143" t="n"/>
      <c r="H427" s="56" t="inlineStr">
        <is>
          <t>SE</t>
        </is>
      </c>
      <c r="I427" s="57" t="inlineStr">
        <is>
          <t>I</t>
        </is>
      </c>
      <c r="J427" s="56" t="n">
        <v>4</v>
      </c>
      <c r="K427" s="56" t="n">
        <v>2</v>
      </c>
      <c r="L427" s="50">
        <f>CONCATENATE(H427,M427)</f>
        <v/>
      </c>
      <c r="M427" s="51">
        <f>IF(OR(ISBLANK(J427),ISBLANK(K427)),IF(OR(H427="ALI",H427="AIE"),"L",IF(ISBLANK(H427),"","A")),IF(H427="EE",IF(K427&gt;=3,IF(J427&gt;=5,"H","A"),IF(K427&gt;=2,IF(J427&gt;=16,"H",IF(J427&lt;=4,"L","A")),IF(J427&lt;=15,"L","A"))),IF(OR(H427="SE",H427="CE"),IF(K427&gt;=4,IF(J427&gt;=6,"H","A"),IF(K427&gt;=2,IF(J427&gt;=20,"H",IF(J427&lt;=5,"L","A")),IF(J427&lt;=19,"L","A"))),IF(OR(H427="ALI",H427="AIE"),IF(K427&gt;=6,IF(J427&gt;=20,"H","A"),IF(K427&gt;=2,IF(J427&gt;=51,"H",IF(J427&lt;=19,"L","A")),IF(J427&lt;=50,"L","A")))))))</f>
        <v/>
      </c>
      <c r="N427" s="52">
        <f>IF(M427="L","Baixa",IF(M427="A","Média",IF(M427="","","Alta")))</f>
        <v/>
      </c>
      <c r="O427" s="53">
        <f>IF(ISBLANK(H427),"",IF(H427="ALI",IF(M427="L",7,IF(M427="A",10,15)),IF(H427="AIE",IF(M427="L",5,IF(M427="A",7,10)),IF(H427="SE",IF(M427="L",4,IF(M427="A",5,7)),IF(OR(H427="EE",H427="CE"),IF(M427="L",3,IF(M427="A",4,6)))))))</f>
        <v/>
      </c>
      <c r="P427" s="54">
        <f>IF(I427="I",O427*Contagem!$W$15,IF(I427="E",O427*Contagem!$W$17,IF(I427="A",O427*Contagem!$W$16,IF(I427="T",O427*Contagem!$W$18,""))))</f>
        <v/>
      </c>
      <c r="Q427" s="55" t="inlineStr">
        <is>
          <t>Prova: Rota GET /portal/solicitacoes/{solicitacao}/documentos/{documento}/download (auth:web, policy view). Tela: portal/solicitacoes/wizard. O dono baixa o arquivo que anexou; o controller confere que o documento é da solicitação, grava a auditoria do download e entrega o arquivo armazenado. Teste: tests/Feature/Solicitacao/AnexarDocumentoTest.php::test_download_so_autenticado_e_dono. Registros automáticos contados como FTR (premissa P4): Trilha de auditoria: AuditService::log ou HasAuditoria do model no mesmo request. Processo elementar independente: menor unidade com significado para o requerente; completa por si (clica e recebe o arquivo); deixa o negócio consistente (download auditado); lógica única de entrega do anexo ao dono. Não é 'baixar arquivo já gerado' por consequência de outra função: o arquivo é dado do requerente recuperado a pedido. Classificação: apresenta informação e atualiza um ALI (Trilha de auditoria), portanto SE e não CE (§5.5.3). TD=4 (documento, nome, tipo, ação baixar). AR=2 (Solicitação de viabilidade, Trilha de auditoria). Recontagem 16/10/2026: alterada (linha 100 da contagem de 01/10/2026: "Solicitação - baixar documento anexo", CE Baixa 3 PF, TD 4, AR 2). Motivo: CE→SE e AR 2→2 com outros arquivos: o download grava a Trilha de auditoria (AuditService::log 'documento-download'), o que pela regra do §5.5.3 impede CE; o Documento anexado passa a subgrupo da Solicitação. PF 3→4.</t>
        </is>
      </c>
    </row>
    <row r="428" ht="12" customHeight="1" s="73">
      <c r="A428" s="14">
        <f>IF(H428="",IF(C428="",A427,A427+1),A427)</f>
        <v/>
      </c>
      <c r="B428" s="48">
        <f>IF(A428=A427,"",CONCATENATE("F",A428))</f>
        <v/>
      </c>
      <c r="C428" s="85" t="inlineStr">
        <is>
          <t>Solicitação - remover documento anexo</t>
        </is>
      </c>
      <c r="D428" s="142" t="n"/>
      <c r="E428" s="142" t="n"/>
      <c r="F428" s="142" t="n"/>
      <c r="G428" s="143" t="n"/>
      <c r="H428" s="56" t="inlineStr">
        <is>
          <t>EE</t>
        </is>
      </c>
      <c r="I428" s="57" t="inlineStr">
        <is>
          <t>I</t>
        </is>
      </c>
      <c r="J428" s="56" t="n">
        <v>3</v>
      </c>
      <c r="K428" s="56" t="n">
        <v>2</v>
      </c>
      <c r="L428" s="50">
        <f>CONCATENATE(H428,M428)</f>
        <v/>
      </c>
      <c r="M428" s="51">
        <f>IF(OR(ISBLANK(J428),ISBLANK(K428)),IF(OR(H428="ALI",H428="AIE"),"L",IF(ISBLANK(H428),"","A")),IF(H428="EE",IF(K428&gt;=3,IF(J428&gt;=5,"H","A"),IF(K428&gt;=2,IF(J428&gt;=16,"H",IF(J428&lt;=4,"L","A")),IF(J428&lt;=15,"L","A"))),IF(OR(H428="SE",H428="CE"),IF(K428&gt;=4,IF(J428&gt;=6,"H","A"),IF(K428&gt;=2,IF(J428&gt;=20,"H",IF(J428&lt;=5,"L","A")),IF(J428&lt;=19,"L","A"))),IF(OR(H428="ALI",H428="AIE"),IF(K428&gt;=6,IF(J428&gt;=20,"H","A"),IF(K428&gt;=2,IF(J428&gt;=51,"H",IF(J428&lt;=19,"L","A")),IF(J428&lt;=50,"L","A")))))))</f>
        <v/>
      </c>
      <c r="N428" s="52">
        <f>IF(M428="L","Baixa",IF(M428="A","Média",IF(M428="","","Alta")))</f>
        <v/>
      </c>
      <c r="O428" s="53">
        <f>IF(ISBLANK(H428),"",IF(H428="ALI",IF(M428="L",7,IF(M428="A",10,15)),IF(H428="AIE",IF(M428="L",5,IF(M428="A",7,10)),IF(H428="SE",IF(M428="L",4,IF(M428="A",5,7)),IF(OR(H428="EE",H428="CE"),IF(M428="L",3,IF(M428="A",4,6)))))))</f>
        <v/>
      </c>
      <c r="P428" s="54">
        <f>IF(I428="I",O428*Contagem!$W$15,IF(I428="E",O428*Contagem!$W$17,IF(I428="A",O428*Contagem!$W$16,IF(I428="T",O428*Contagem!$W$18,""))))</f>
        <v/>
      </c>
      <c r="Q428" s="55" t="inlineStr">
        <is>
          <t>Prova: Rota DELETE /portal/solicitacoes/{solicitacao}/documentos/{documento} (auth:web, portal.solicitacao, policy update). Tela: portal/solicitacoes/wizard. O dono remove o documento antes do protocolo; o controller apaga arquivo e registro e audita. Teste: tests/Feature/Solicitacao/AnexarDocumentoTest.php::test_substituir_e_remover_antes_do_protocolo. Registros automáticos contados como FTR (premissa P4): Trilha de auditoria: AuditService::log ou HasAuditoria do model no mesmo request. Processo elementar independente: menor unidade com significado para o requerente; completa por si (remove); deixa o requisito novamente pendente; lógica única de exclusão antes do protocolo. Classificação: mantém a solicitação, EE. TD=3 (documento, mensagem, ação remover). AR=2 (Solicitação de viabilidade, Trilha de auditoria). Recontagem 16/10/2026: mantida (linha 101 da contagem de 01/10/2026).</t>
        </is>
      </c>
    </row>
    <row r="429" ht="12" customHeight="1" s="73">
      <c r="A429" s="14">
        <f>IF(H429="",IF(C429="",A428,A428+1),A428)</f>
        <v/>
      </c>
      <c r="B429" s="48">
        <f>IF(A429=A428,"",CONCATENATE("F",A429))</f>
        <v/>
      </c>
      <c r="C429" s="85" t="inlineStr">
        <is>
          <t>Solicitação - simular viabilidade</t>
        </is>
      </c>
      <c r="D429" s="142" t="n"/>
      <c r="E429" s="142" t="n"/>
      <c r="F429" s="142" t="n"/>
      <c r="G429" s="143" t="n"/>
      <c r="H429" s="56" t="inlineStr">
        <is>
          <t>SE</t>
        </is>
      </c>
      <c r="I429" s="57" t="inlineStr">
        <is>
          <t>I</t>
        </is>
      </c>
      <c r="J429" s="56" t="n">
        <v>12</v>
      </c>
      <c r="K429" s="56" t="n">
        <v>15</v>
      </c>
      <c r="L429" s="50">
        <f>CONCATENATE(H429,M429)</f>
        <v/>
      </c>
      <c r="M429" s="51">
        <f>IF(OR(ISBLANK(J429),ISBLANK(K429)),IF(OR(H429="ALI",H429="AIE"),"L",IF(ISBLANK(H429),"","A")),IF(H429="EE",IF(K429&gt;=3,IF(J429&gt;=5,"H","A"),IF(K429&gt;=2,IF(J429&gt;=16,"H",IF(J429&lt;=4,"L","A")),IF(J429&lt;=15,"L","A"))),IF(OR(H429="SE",H429="CE"),IF(K429&gt;=4,IF(J429&gt;=6,"H","A"),IF(K429&gt;=2,IF(J429&gt;=20,"H",IF(J429&lt;=5,"L","A")),IF(J429&lt;=19,"L","A"))),IF(OR(H429="ALI",H429="AIE"),IF(K429&gt;=6,IF(J429&gt;=20,"H","A"),IF(K429&gt;=2,IF(J429&gt;=51,"H",IF(J429&lt;=19,"L","A")),IF(J429&lt;=50,"L","A")))))))</f>
        <v/>
      </c>
      <c r="N429" s="52">
        <f>IF(M429="L","Baixa",IF(M429="A","Média",IF(M429="","","Alta")))</f>
        <v/>
      </c>
      <c r="O429" s="53">
        <f>IF(ISBLANK(H429),"",IF(H429="ALI",IF(M429="L",7,IF(M429="A",10,15)),IF(H429="AIE",IF(M429="L",5,IF(M429="A",7,10)),IF(H429="SE",IF(M429="L",4,IF(M429="A",5,7)),IF(OR(H429="EE",H429="CE"),IF(M429="L",3,IF(M429="A",4,6)))))))</f>
        <v/>
      </c>
      <c r="P429" s="54">
        <f>IF(I429="I",O429*Contagem!$W$15,IF(I429="E",O429*Contagem!$W$17,IF(I429="A",O429*Contagem!$W$16,IF(I429="T",O429*Contagem!$W$18,""))))</f>
        <v/>
      </c>
      <c r="Q429" s="55" t="inlineStr">
        <is>
          <t>Prova: Rota POST /portal/solicitacoes/{solicitacao}/simular (auth:web, portal.solicitacao, policy update). Tela: portal/solicitacoes/wizard. O requerente simula. SimulacaoSolicitacaoService chama SolicitacaoViabilityResolver, que roda por CNAE os motores reais (enquadramento LOUOS pela planilha e Quadros 10/11A, risco, território do ponto com a zona da maior porção do lote e o CODLOG), com a categoria da empresa; grava o snapshot na solicitação e audita. Resultado: tendência orientativa que não bloqueia o protocolo. Teste: tests/Feature/Solicitacao/SimulacaoSolicitacaoTest.php::test_simula_por_cnae_propagando_veredito. Registros automáticos contados como FTR (premissa P4): Trilha de auditoria: AuditService::log ou HasAuditoria do model no mesmo request; Chamada de integração: listener síncrono RegistrarChamadaIntegracao grava cada chamada HTTP de saída (IntegrationCallRecorder). A classe viária vem de TerritoryService::comCodLogOficial (GeoServerClassificacaoViariaClient). Processo elementar independente: menor unidade com significado para o requerente; completa por si (aciona e recebe a tendência por CNAE); deixa o negócio consistente (snapshot com versões de regras); lógica única (consolidação orientativa sem mudar o status). Classificação: a intenção principal é mostrar resultado calculado pelos motores; a gravação do snapshot é acessória, portanto SE. TD=12 (resultado consolidado, CNAE, atividade principal, tendência por CNAE, fundamentação, motivo do veredito pendente, pergunta sem resposta, zona, versões de regras, simulado em, mensagem, ação simular). AR=15 (Solicitação de viabilidade, Empresa, CNAE, Planilha de enquadramento, Permissão de uso por zona (Quadro 10), Condição de instalação por via (Quadro 11A), Classificação de risco municipal, Gatilho de risco, Camada geográfica, Zonas urbanísticas do GeoServer da SEDUR, Classificação viária dos logradouros do GeoServer da SEDUR, Regra territorial, Texto decisório, Trilha de auditoria, Chamada de integração). Recontagem (catálogo): Versão de regras deixou de ser arquivo lógico próprio e é subgrupo de arquivo já listado no AR; AR ajustado. Recontagem 16/10/2026: alterada (linha 68 da contagem de 01/10/2026: "Solicitação - simular viabilidade", SE Alta 7 PF, TD 10, AR 9). Motivo: TD 10→12 e AR 9→16. Desde 02–07/10/2026 a simulação usa a zona da maior porção do lote, o CODLOG oficial com a classe viária do GeoServer e a categoria da empresa, e devolve o motivo do veredito pendente e a pergunta sem resposta. Entram Empresa, Planilha de enquadramento, Zonas e Classificação viária do GeoServer, Regra territorial (observação do Quadro 10 em LouosEnquadramentoService via TerritorialRuleService::observacaoQuadro10Permite), Texto decisório e Chamada de integração. PF inalterado (Alta). Catálogo: retirado Versão de regras (subgrupo de outro arquivo).</t>
        </is>
      </c>
    </row>
    <row r="430" ht="12" customHeight="1" s="73">
      <c r="A430" s="14">
        <f>IF(H430="",IF(C430="",A429,A429+1),A429)</f>
        <v/>
      </c>
      <c r="B430" s="48">
        <f>IF(A430=A429,"",CONCATENATE("F",A430))</f>
        <v/>
      </c>
      <c r="C430" s="85" t="inlineStr">
        <is>
          <t>Solicitação - protocolar</t>
        </is>
      </c>
      <c r="D430" s="142" t="n"/>
      <c r="E430" s="142" t="n"/>
      <c r="F430" s="142" t="n"/>
      <c r="G430" s="143" t="n"/>
      <c r="H430" s="56" t="inlineStr">
        <is>
          <t>EE</t>
        </is>
      </c>
      <c r="I430" s="57" t="inlineStr">
        <is>
          <t>I</t>
        </is>
      </c>
      <c r="J430" s="56" t="n">
        <v>5</v>
      </c>
      <c r="K430" s="56" t="n">
        <v>19</v>
      </c>
      <c r="L430" s="50">
        <f>CONCATENATE(H430,M430)</f>
        <v/>
      </c>
      <c r="M430" s="51">
        <f>IF(OR(ISBLANK(J430),ISBLANK(K430)),IF(OR(H430="ALI",H430="AIE"),"L",IF(ISBLANK(H430),"","A")),IF(H430="EE",IF(K430&gt;=3,IF(J430&gt;=5,"H","A"),IF(K430&gt;=2,IF(J430&gt;=16,"H",IF(J430&lt;=4,"L","A")),IF(J430&lt;=15,"L","A"))),IF(OR(H430="SE",H430="CE"),IF(K430&gt;=4,IF(J430&gt;=6,"H","A"),IF(K430&gt;=2,IF(J430&gt;=20,"H",IF(J430&lt;=5,"L","A")),IF(J430&lt;=19,"L","A"))),IF(OR(H430="ALI",H430="AIE"),IF(K430&gt;=6,IF(J430&gt;=20,"H","A"),IF(K430&gt;=2,IF(J430&gt;=51,"H",IF(J430&lt;=19,"L","A")),IF(J430&lt;=50,"L","A")))))))</f>
        <v/>
      </c>
      <c r="N430" s="52">
        <f>IF(M430="L","Baixa",IF(M430="A","Média",IF(M430="","","Alta")))</f>
        <v/>
      </c>
      <c r="O430" s="53">
        <f>IF(ISBLANK(H430),"",IF(H430="ALI",IF(M430="L",7,IF(M430="A",10,15)),IF(H430="AIE",IF(M430="L",5,IF(M430="A",7,10)),IF(H430="SE",IF(M430="L",4,IF(M430="A",5,7)),IF(OR(H430="EE",H430="CE"),IF(M430="L",3,IF(M430="A",4,6)))))))</f>
        <v/>
      </c>
      <c r="P430" s="54">
        <f>IF(I430="I",O430*Contagem!$W$15,IF(I430="E",O430*Contagem!$W$17,IF(I430="A",O430*Contagem!$W$16,IF(I430="T",O430*Contagem!$W$18,""))))</f>
        <v/>
      </c>
      <c r="Q430" s="55" t="inlineStr">
        <is>
          <t>Prova: Rota POST /portal/solicitacoes/{solicitacao}/protocolar (auth:web, portal.solicitacao, policy protocol). Tela: portal/solicitacoes/wizard (revisão). ProtocolarSolicitacaoService confere dados mínimos e documentos exigidos, gera o número único, registra a ciência de prosseguir com simulação desfavorável, transiciona rascunho→protocolada (tramitação e auditoria) e completa o território fora da transação: ponto pela inscrição no Cadastro imobiliário da SEFAZ, zona/bairro/CODLOG, logradouro tributário, polígono do lote e zona da maior porção. Teste: tests/Feature/Solicitacao/ProtocolarSolicitacaoTest.php::test_protocola_gera_numero_unico; tests/Feature/Geo/PoligonoEnderecamentoProtocoloTest.php::test_ca_pe_01_um_poligono_e_gravado_com_a_data_da_consulta. Registros automáticos contados como FTR (premissa P4): Trilha de auditoria: AuditService::log ou HasAuditoria do model no mesmo request; Chamada de integração: listener síncrono RegistrarChamadaIntegracao grava cada chamada HTTP de saída (IntegrationCallRecorder). Processo elementar independente: menor unidade com significado para o requerente; completa por si (revisa e protocola); deixa a solicitação protocolada e encaminhada à decisão; lógica única de validação, numeração e materialização do território. Decisão do fluxo expresso: o evento SolicitacaoProtocolada aciona o listener AvaliarFluxoExpresso, que enfileira DecidirFluxoExpressoJob; o job busca o lote pelo ponto (aplicarPorPonto, 14/10/2026), aguarda o Cadastro imobiliário se estiver fora do ar e chama FluxoExpressoService::decide. Não há nova entrada de dados nem ação do usuário: é processamento consequente do protocolo, executado em fila só por resiliência (Parte 1 §5.5.2: efeito automático de outra EE não é processo elementar próprio), por isso não é contado à parte. A mesma lógica atende o protocolo vindo do REGIN (função "REGIN - receber declaração e abrir processo"). Classificação: mantém a solicitação, EE. TD=5 (ciência para prosseguir com simulação desfavorável, número do protocolo, pendências impeditivas, mensagem, ação protocolar). AR=19 (Solicitação de viabilidade, Requisito documental, Cadastro imobiliário da SEFAZ, Endereços geocodificados do OpenStreetMap, Camada geográfica, Zonas urbanísticas do GeoServer da SEDUR, Classificação viária dos logradouros do GeoServer da SEDUR, Lotes do endereçamento do GeoServer da SEDUR, Lotes por inscrição do SEMAP, Texto decisório, Trilha de auditoria, Chamada de integração, Decisão de viabilidade, Planilha de enquadramento, Permissão de uso por zona (Quadro 10), Condição de instalação por via (Quadro 11A), Regra territorial, Poligonais territoriais do GeoServer da SEDUR, Bloqueio de inscrição de escritório virtual). Recontagem (consolidação): a decisão do fluxo expresso disparada pelo protocolo faz parte deste processo elementar (não é contada à parte), então os arquivos que ela lê e grava entram no AR: FluxoExpressoService grava a Decisão de viabilidade e lê enquadramento, Quadros 10 e 11A, regras territoriais com as poligonais do GeoServer (TerritorialRuleService::avaliar via GeoServerWfsCamadaClient) e o bloqueio de inscrição de escritório virtual. Recontagem 16/10/2026: alterada (linha 71 da contagem de 01/10/2026: "Solicitação - protocolar", EE Alta 6 PF, TD 6, AR 5). Motivo: TD 6→5 (a data do protocolo não volta na resposta) e AR 5→12. O Documento anexado passa a subgrupo da Solicitação. Entram as fontes da materialização do território, que desde 02–14/10/2026 corre no protocolo: Endereços do OpenStreetMap (LocalizacaoInscricaoService geocodifica quando o cadastro traz endereço sem coordenada), Zonas e Classificação viária do GeoServer (materializar e registrarClasseViaria), Lotes do endereçamento do GeoServer (PoligonoEnderecamentoService, por CODLOG, número e complemento), Lotes por inscrição do SEMAP (SemapLoteClient, sem polígono no endereçamento), Texto decisório (ZonaProcessoService) e os registros automáticos Trilha de auditoria e Chamada de integração. PF inalterado (Alta). Consolidação: incluídos no AR os arquivos lidos e gravados pela decisão expressa consequente.</t>
        </is>
      </c>
    </row>
    <row r="431" ht="12" customHeight="1" s="73">
      <c r="A431" s="14">
        <f>IF(H431="",IF(C431="",A430,A430+1),A430)</f>
        <v/>
      </c>
      <c r="B431" s="48">
        <f>IF(A431=A430,"",CONCATENATE("F",A431))</f>
        <v/>
      </c>
      <c r="C431" s="85" t="inlineStr">
        <is>
          <t>Solicitação - cancelar</t>
        </is>
      </c>
      <c r="D431" s="142" t="n"/>
      <c r="E431" s="142" t="n"/>
      <c r="F431" s="142" t="n"/>
      <c r="G431" s="143" t="n"/>
      <c r="H431" s="56" t="inlineStr">
        <is>
          <t>EE</t>
        </is>
      </c>
      <c r="I431" s="57" t="inlineStr">
        <is>
          <t>I</t>
        </is>
      </c>
      <c r="J431" s="56" t="n">
        <v>4</v>
      </c>
      <c r="K431" s="56" t="n">
        <v>3</v>
      </c>
      <c r="L431" s="50">
        <f>CONCATENATE(H431,M431)</f>
        <v/>
      </c>
      <c r="M431" s="51">
        <f>IF(OR(ISBLANK(J431),ISBLANK(K431)),IF(OR(H431="ALI",H431="AIE"),"L",IF(ISBLANK(H431),"","A")),IF(H431="EE",IF(K431&gt;=3,IF(J431&gt;=5,"H","A"),IF(K431&gt;=2,IF(J431&gt;=16,"H",IF(J431&lt;=4,"L","A")),IF(J431&lt;=15,"L","A"))),IF(OR(H431="SE",H431="CE"),IF(K431&gt;=4,IF(J431&gt;=6,"H","A"),IF(K431&gt;=2,IF(J431&gt;=20,"H",IF(J431&lt;=5,"L","A")),IF(J431&lt;=19,"L","A"))),IF(OR(H431="ALI",H431="AIE"),IF(K431&gt;=6,IF(J431&gt;=20,"H","A"),IF(K431&gt;=2,IF(J431&gt;=51,"H",IF(J431&lt;=19,"L","A")),IF(J431&lt;=50,"L","A")))))))</f>
        <v/>
      </c>
      <c r="N431" s="52">
        <f>IF(M431="L","Baixa",IF(M431="A","Média",IF(M431="","","Alta")))</f>
        <v/>
      </c>
      <c r="O431" s="53">
        <f>IF(ISBLANK(H431),"",IF(H431="ALI",IF(M431="L",7,IF(M431="A",10,15)),IF(H431="AIE",IF(M431="L",5,IF(M431="A",7,10)),IF(H431="SE",IF(M431="L",4,IF(M431="A",5,7)),IF(OR(H431="EE",H431="CE"),IF(M431="L",3,IF(M431="A",4,6)))))))</f>
        <v/>
      </c>
      <c r="P431" s="54">
        <f>IF(I431="I",O431*Contagem!$W$15,IF(I431="E",O431*Contagem!$W$17,IF(I431="A",O431*Contagem!$W$16,IF(I431="T",O431*Contagem!$W$18,""))))</f>
        <v/>
      </c>
      <c r="Q431" s="55" t="inlineStr">
        <is>
          <t>Prova: Rota DELETE /portal/solicitacoes/{solicitacao} (auth:web, policy cancel). Tela: portal/solicitacoes/index. O requerente cancela com motivo obrigatório se o estado estiver entre os canceláveis (parâmetro solicitacao.cancelamento.estados_cancelaveis). CancelarSolicitacaoService grava a solicitação cancelada, a transição na tramitação e a auditoria; bloqueio é auditado. Teste: tests/Feature/Solicitacao/CancelarSolicitacaoTest.php::test_cancela_protocolada_antes_da_decisao. Registros automáticos contados como FTR (premissa P4): Trilha de auditoria: AuditService::log ou HasAuditoria do model no mesmo request. Processo elementar independente: menor unidade com significado para o requerente; completa por si (motivo até a solicitação cancelada); deixa o negócio consistente (estado e histórico atualizados); lógica única (cancelamento restrito aos estados parametrizados). Não passa pelo interruptor portal.solicitacao. Classificação: mantém a solicitação, EE. TD=4 (solicitação (protocolo), motivo do cancelamento, mensagem, ação cancelar). AR=3 (Solicitação de viabilidade, Parâmetro, Trilha de auditoria). Recontagem 16/10/2026: mantida (linha 77 da contagem de 01/10/2026).</t>
        </is>
      </c>
    </row>
    <row r="432" ht="12" customHeight="1" s="73">
      <c r="A432" s="14">
        <f>IF(H432="",IF(C432="",A431,A431+1),A431)</f>
        <v/>
      </c>
      <c r="B432" s="48">
        <f>IF(A432=A431,"",CONCATENATE("F",A432))</f>
        <v/>
      </c>
      <c r="C432" s="85" t="inlineStr">
        <is>
          <t>Solicitação - obter resumo para conferência</t>
        </is>
      </c>
      <c r="D432" s="142" t="n"/>
      <c r="E432" s="142" t="n"/>
      <c r="F432" s="142" t="n"/>
      <c r="G432" s="143" t="n"/>
      <c r="H432" s="56" t="inlineStr">
        <is>
          <t>SE</t>
        </is>
      </c>
      <c r="I432" s="57" t="inlineStr">
        <is>
          <t>I</t>
        </is>
      </c>
      <c r="J432" s="56" t="n">
        <v>5</v>
      </c>
      <c r="K432" s="56" t="n">
        <v>5</v>
      </c>
      <c r="L432" s="50">
        <f>CONCATENATE(H432,M432)</f>
        <v/>
      </c>
      <c r="M432" s="51">
        <f>IF(OR(ISBLANK(J432),ISBLANK(K432)),IF(OR(H432="ALI",H432="AIE"),"L",IF(ISBLANK(H432),"","A")),IF(H432="EE",IF(K432&gt;=3,IF(J432&gt;=5,"H","A"),IF(K432&gt;=2,IF(J432&gt;=16,"H",IF(J432&lt;=4,"L","A")),IF(J432&lt;=15,"L","A"))),IF(OR(H432="SE",H432="CE"),IF(K432&gt;=4,IF(J432&gt;=6,"H","A"),IF(K432&gt;=2,IF(J432&gt;=20,"H",IF(J432&lt;=5,"L","A")),IF(J432&lt;=19,"L","A"))),IF(OR(H432="ALI",H432="AIE"),IF(K432&gt;=6,IF(J432&gt;=20,"H","A"),IF(K432&gt;=2,IF(J432&gt;=51,"H",IF(J432&lt;=19,"L","A")),IF(J432&lt;=50,"L","A")))))))</f>
        <v/>
      </c>
      <c r="N432" s="52">
        <f>IF(M432="L","Baixa",IF(M432="A","Média",IF(M432="","","Alta")))</f>
        <v/>
      </c>
      <c r="O432" s="53">
        <f>IF(ISBLANK(H432),"",IF(H432="ALI",IF(M432="L",7,IF(M432="A",10,15)),IF(H432="AIE",IF(M432="L",5,IF(M432="A",7,10)),IF(H432="SE",IF(M432="L",4,IF(M432="A",5,7)),IF(OR(H432="EE",H432="CE"),IF(M432="L",3,IF(M432="A",4,6)))))))</f>
        <v/>
      </c>
      <c r="P432" s="54">
        <f>IF(I432="I",O432*Contagem!$W$15,IF(I432="E",O432*Contagem!$W$17,IF(I432="A",O432*Contagem!$W$16,IF(I432="T",O432*Contagem!$W$18,""))))</f>
        <v/>
      </c>
      <c r="Q432" s="55" t="inlineStr">
        <is>
          <t>Prova: Rota GET /portal/solicitacoes/{solicitacao}/editar, prop adiada sugestoesResumo (SolicitacaoController@edit), carregada pelo card de conferência da etapa de revisão do assistente (components/solicitacao/etapa-revisao.tsx, WhenVisible). Ao carregar, ResumoSolicitacaoService::processar verifica o parâmetro features.ia_resumo e o provedor de texto ativo (AiFeatureGate) e dispara ResumoSolicitacaoJob, que resume os dados declarados (imóvel, área, CNAEs) e grava a Sugestão de texto por IA; a tela mostra as sugestões gravadas da solicitação. Teste: tests/Feature/Ai/ResumoSolicitacaoTest.php::test_revisao_do_wizard_dispara_resumo_ao_carregar_sugestao. Processo elementar independente: o requerente abre a revisão e recebe o resumo para conferir antes de protocolar (HU-116); completo e com saída própria, distinta de "Ficha de análise - obter resumo do processo" (outro ator, outros dados de entrada e outro tipo de sugestão). Classificação: a intenção primária é apresentar informação, com dado derivado gerado (resumo), SE (CPM Parte 1 §5.5.3). TD=5 (texto do resumo, fonte, situação da sugestão, mensagem de apoio à conferência, ação de abrir a revisão). AR=5 (Solicitação de viabilidade, CNAE, Sugestão de texto por IA, Provedor de inteligência artificial, Parâmetro). Para demonstrar: features.ia_resumo ligado e provedor de texto ativo. Recontagem 16/10/2026: nova (não constava da contagem de 01/10/2026). Incluída após o cruzamento com as HUs (HU-116): card da etapa de revisão do portal sem função correspondente.</t>
        </is>
      </c>
    </row>
    <row r="433" ht="12" customHeight="1" s="73">
      <c r="A433" s="14">
        <f>IF(H433="",IF(C433="",A432,A432+1),A432)</f>
        <v/>
      </c>
      <c r="B433" s="48">
        <f>IF(A433=A432,"",CONCATENATE("F",A433))</f>
        <v/>
      </c>
      <c r="C433" s="85" t="n"/>
      <c r="D433" s="142" t="n"/>
      <c r="E433" s="142" t="n"/>
      <c r="F433" s="142" t="n"/>
      <c r="G433" s="143" t="n"/>
      <c r="H433" s="56" t="n"/>
      <c r="I433" s="57" t="n"/>
      <c r="J433" s="56" t="n"/>
      <c r="K433" s="56" t="n"/>
      <c r="L433" s="50">
        <f>CONCATENATE(H433,M433)</f>
        <v/>
      </c>
      <c r="M433" s="51">
        <f>IF(OR(ISBLANK(J433),ISBLANK(K433)),IF(OR(H433="ALI",H433="AIE"),"L",IF(ISBLANK(H433),"","A")),IF(H433="EE",IF(K433&gt;=3,IF(J433&gt;=5,"H","A"),IF(K433&gt;=2,IF(J433&gt;=16,"H",IF(J433&lt;=4,"L","A")),IF(J433&lt;=15,"L","A"))),IF(OR(H433="SE",H433="CE"),IF(K433&gt;=4,IF(J433&gt;=6,"H","A"),IF(K433&gt;=2,IF(J433&gt;=20,"H",IF(J433&lt;=5,"L","A")),IF(J433&lt;=19,"L","A"))),IF(OR(H433="ALI",H433="AIE"),IF(K433&gt;=6,IF(J433&gt;=20,"H","A"),IF(K433&gt;=2,IF(J433&gt;=51,"H",IF(J433&lt;=19,"L","A")),IF(J433&lt;=50,"L","A")))))))</f>
        <v/>
      </c>
      <c r="N433" s="52">
        <f>IF(M433="L","Baixa",IF(M433="A","Média",IF(M433="","","Alta")))</f>
        <v/>
      </c>
      <c r="O433" s="53">
        <f>IF(ISBLANK(H433),"",IF(H433="ALI",IF(M433="L",7,IF(M433="A",10,15)),IF(H433="AIE",IF(M433="L",5,IF(M433="A",7,10)),IF(H433="SE",IF(M433="L",4,IF(M433="A",5,7)),IF(OR(H433="EE",H433="CE"),IF(M433="L",3,IF(M433="A",4,6)))))))</f>
        <v/>
      </c>
      <c r="P433" s="54">
        <f>IF(I433="I",O433*Contagem!$W$15,IF(I433="E",O433*Contagem!$W$17,IF(I433="A",O433*Contagem!$W$16,IF(I433="T",O433*Contagem!$W$18,""))))</f>
        <v/>
      </c>
      <c r="Q433" s="55" t="n"/>
    </row>
    <row r="434" ht="12" customHeight="1" s="73">
      <c r="A434" s="14">
        <f>IF(H434="",IF(C434="",A433,A433+1),A433)</f>
        <v/>
      </c>
      <c r="B434" s="48">
        <f>IF(A434=A433,"",CONCATENATE("F",A434))</f>
        <v/>
      </c>
      <c r="C434" s="85" t="inlineStr">
        <is>
          <t>Acompanhamento do protocolo no portal</t>
        </is>
      </c>
      <c r="D434" s="142" t="n"/>
      <c r="E434" s="142" t="n"/>
      <c r="F434" s="142" t="n"/>
      <c r="G434" s="143" t="n"/>
      <c r="H434" s="56" t="n"/>
      <c r="I434" s="57" t="n"/>
      <c r="J434" s="56" t="n"/>
      <c r="K434" s="56" t="n"/>
      <c r="L434" s="50">
        <f>CONCATENATE(H434,M434)</f>
        <v/>
      </c>
      <c r="M434" s="51">
        <f>IF(OR(ISBLANK(J434),ISBLANK(K434)),IF(OR(H434="ALI",H434="AIE"),"L",IF(ISBLANK(H434),"","A")),IF(H434="EE",IF(K434&gt;=3,IF(J434&gt;=5,"H","A"),IF(K434&gt;=2,IF(J434&gt;=16,"H",IF(J434&lt;=4,"L","A")),IF(J434&lt;=15,"L","A"))),IF(OR(H434="SE",H434="CE"),IF(K434&gt;=4,IF(J434&gt;=6,"H","A"),IF(K434&gt;=2,IF(J434&gt;=20,"H",IF(J434&lt;=5,"L","A")),IF(J434&lt;=19,"L","A"))),IF(OR(H434="ALI",H434="AIE"),IF(K434&gt;=6,IF(J434&gt;=20,"H","A"),IF(K434&gt;=2,IF(J434&gt;=51,"H",IF(J434&lt;=19,"L","A")),IF(J434&lt;=50,"L","A")))))))</f>
        <v/>
      </c>
      <c r="N434" s="52">
        <f>IF(M434="L","Baixa",IF(M434="A","Média",IF(M434="","","Alta")))</f>
        <v/>
      </c>
      <c r="O434" s="53">
        <f>IF(ISBLANK(H434),"",IF(H434="ALI",IF(M434="L",7,IF(M434="A",10,15)),IF(H434="AIE",IF(M434="L",5,IF(M434="A",7,10)),IF(H434="SE",IF(M434="L",4,IF(M434="A",5,7)),IF(OR(H434="EE",H434="CE"),IF(M434="L",3,IF(M434="A",4,6)))))))</f>
        <v/>
      </c>
      <c r="P434" s="54">
        <f>IF(I434="I",O434*Contagem!$W$15,IF(I434="E",O434*Contagem!$W$17,IF(I434="A",O434*Contagem!$W$16,IF(I434="T",O434*Contagem!$W$18,""))))</f>
        <v/>
      </c>
      <c r="Q434" s="55" t="n"/>
    </row>
    <row r="435" ht="12" customHeight="1" s="73">
      <c r="A435" s="14">
        <f>IF(H435="",IF(C435="",A434,A434+1),A434)</f>
        <v/>
      </c>
      <c r="B435" s="48">
        <f>IF(A435=A434,"",CONCATENATE("F",A435))</f>
        <v/>
      </c>
      <c r="C435" s="85" t="inlineStr">
        <is>
          <t>Solicitações - consultar andamento no portal</t>
        </is>
      </c>
      <c r="D435" s="142" t="n"/>
      <c r="E435" s="142" t="n"/>
      <c r="F435" s="142" t="n"/>
      <c r="G435" s="143" t="n"/>
      <c r="H435" s="56" t="inlineStr">
        <is>
          <t>SE</t>
        </is>
      </c>
      <c r="I435" s="57" t="inlineStr">
        <is>
          <t>I</t>
        </is>
      </c>
      <c r="J435" s="56" t="n">
        <v>26</v>
      </c>
      <c r="K435" s="56" t="n">
        <v>7</v>
      </c>
      <c r="L435" s="50">
        <f>CONCATENATE(H435,M435)</f>
        <v/>
      </c>
      <c r="M435" s="51">
        <f>IF(OR(ISBLANK(J435),ISBLANK(K435)),IF(OR(H435="ALI",H435="AIE"),"L",IF(ISBLANK(H435),"","A")),IF(H435="EE",IF(K435&gt;=3,IF(J435&gt;=5,"H","A"),IF(K435&gt;=2,IF(J435&gt;=16,"H",IF(J435&lt;=4,"L","A")),IF(J435&lt;=15,"L","A"))),IF(OR(H435="SE",H435="CE"),IF(K435&gt;=4,IF(J435&gt;=6,"H","A"),IF(K435&gt;=2,IF(J435&gt;=20,"H",IF(J435&lt;=5,"L","A")),IF(J435&lt;=19,"L","A"))),IF(OR(H435="ALI",H435="AIE"),IF(K435&gt;=6,IF(J435&gt;=20,"H","A"),IF(K435&gt;=2,IF(J435&gt;=51,"H",IF(J435&lt;=19,"L","A")),IF(J435&lt;=50,"L","A")))))))</f>
        <v/>
      </c>
      <c r="N435" s="52">
        <f>IF(M435="L","Baixa",IF(M435="A","Média",IF(M435="","","Alta")))</f>
        <v/>
      </c>
      <c r="O435" s="53">
        <f>IF(ISBLANK(H435),"",IF(H435="ALI",IF(M435="L",7,IF(M435="A",10,15)),IF(H435="AIE",IF(M435="L",5,IF(M435="A",7,10)),IF(H435="SE",IF(M435="L",4,IF(M435="A",5,7)),IF(OR(H435="EE",H435="CE"),IF(M435="L",3,IF(M435="A",4,6)))))))</f>
        <v/>
      </c>
      <c r="P435" s="54">
        <f>IF(I435="I",O435*Contagem!$W$15,IF(I435="E",O435*Contagem!$W$17,IF(I435="A",O435*Contagem!$W$16,IF(I435="T",O435*Contagem!$W$18,""))))</f>
        <v/>
      </c>
      <c r="Q435" s="55" t="inlineStr">
        <is>
          <t>Prova: Rota GET /portal/solicitacoes/{solicitacao} (auth:web, policy view). Tela: portal/solicitacoes/protocolo. O requerente acompanha a solicitação. ConsultaProtocoloController lê solicitação e tramitação, empresa, serviço, CNAEs, decisão (parecer) e explicação por IA (prop sob demanda que grava a sugestão uma vez); TimelineSolicitacao monta a linha do tempo e o prazo estimado; gera o link público assinado e grava auditoria. Teste: tests/Feature/Solicitacao/ConsultarProtocoloTest.php::test_dono_consulta_protocolo; tests/Feature/Solicitacao/ConsultarProtocoloTest.php::test_prazo_estimado_parametrizado_com_ressalva. Registros automáticos contados como FTR (premissa P4): Trilha de auditoria: AuditService::log ou HasAuditoria do model no mesmo request. Processo elementar independente: menor unidade com significado para o requerente; completa por si (abrir e ver o andamento); deixa o negócio consistente (consulta auditada); lógica única (linha do tempo em linguagem simples, parecer e link público assinado). Classificação: monta dado derivado (linha do tempo, prazo, link assinado com validade) e grava a Trilha de auditoria, portanto SE e não CE. TD=26 (protocolo, situação (rótulo público), protocolado em, criada em, tipo de serviço, razão social, CNPJ, área utilizada, logradouro, número, bairro, referência, código do CNAE, descrição do CNAE, CNAE principal, etapa da linha do tempo, data da etapa, pendências do requerente, prazo estimado, ressalva do prazo, link público de consulta, parecer da decisão, explicação por IA, situação da explicação, data da explicação, ação abrir). AR=7 (Solicitação de viabilidade, Empresa, CNAE, Decisão de viabilidade, Sugestão de texto por IA, Parâmetro, Trilha de auditoria). Para demonstrar: explicação por IA só com features.ia_explicacao ligado e provedor de IA configurado. Recontagem 16/10/2026: alterada (linha 49 da contagem de 01/10/2026: "Solicitações - consultar andamento no portal", SE Alta 7 PF, TD 24, AR 7). Motivo: TD 24→26 e AR 7→7: entram prazo estimado e ressalva (Parâmetro solicitacao.prazo_estimado_dias); sai Tipo de serviço (revisão do catálogo, dado de código). A explicação por IA é gerada em fila (ExplicacaoCidadaoJob), sem Chamada de integração no request. PF inalterado (Alta).</t>
        </is>
      </c>
    </row>
    <row r="436" ht="12" customHeight="1" s="73">
      <c r="A436" s="14">
        <f>IF(H436="",IF(C436="",A435,A435+1),A435)</f>
        <v/>
      </c>
      <c r="B436" s="48">
        <f>IF(A436=A435,"",CONCATENATE("F",A436))</f>
        <v/>
      </c>
      <c r="C436" s="85" t="inlineStr">
        <is>
          <t>Protocolo - consultar publicamente</t>
        </is>
      </c>
      <c r="D436" s="142" t="n"/>
      <c r="E436" s="142" t="n"/>
      <c r="F436" s="142" t="n"/>
      <c r="G436" s="143" t="n"/>
      <c r="H436" s="56" t="inlineStr">
        <is>
          <t>SE</t>
        </is>
      </c>
      <c r="I436" s="57" t="inlineStr">
        <is>
          <t>I</t>
        </is>
      </c>
      <c r="J436" s="56" t="n">
        <v>8</v>
      </c>
      <c r="K436" s="56" t="n">
        <v>3</v>
      </c>
      <c r="L436" s="50">
        <f>CONCATENATE(H436,M436)</f>
        <v/>
      </c>
      <c r="M436" s="51">
        <f>IF(OR(ISBLANK(J436),ISBLANK(K436)),IF(OR(H436="ALI",H436="AIE"),"L",IF(ISBLANK(H436),"","A")),IF(H436="EE",IF(K436&gt;=3,IF(J436&gt;=5,"H","A"),IF(K436&gt;=2,IF(J436&gt;=16,"H",IF(J436&lt;=4,"L","A")),IF(J436&lt;=15,"L","A"))),IF(OR(H436="SE",H436="CE"),IF(K436&gt;=4,IF(J436&gt;=6,"H","A"),IF(K436&gt;=2,IF(J436&gt;=20,"H",IF(J436&lt;=5,"L","A")),IF(J436&lt;=19,"L","A"))),IF(OR(H436="ALI",H436="AIE"),IF(K436&gt;=6,IF(J436&gt;=20,"H","A"),IF(K436&gt;=2,IF(J436&gt;=51,"H",IF(J436&lt;=19,"L","A")),IF(J436&lt;=50,"L","A")))))))</f>
        <v/>
      </c>
      <c r="N436" s="52">
        <f>IF(M436="L","Baixa",IF(M436="A","Média",IF(M436="","","Alta")))</f>
        <v/>
      </c>
      <c r="O436" s="53">
        <f>IF(ISBLANK(H436),"",IF(H436="ALI",IF(M436="L",7,IF(M436="A",10,15)),IF(H436="AIE",IF(M436="L",5,IF(M436="A",7,10)),IF(H436="SE",IF(M436="L",4,IF(M436="A",5,7)),IF(OR(H436="EE",H436="CE"),IF(M436="L",3,IF(M436="A",4,6)))))))</f>
        <v/>
      </c>
      <c r="P436" s="54">
        <f>IF(I436="I",O436*Contagem!$W$15,IF(I436="E",O436*Contagem!$W$17,IF(I436="A",O436*Contagem!$W$16,IF(I436="T",O436*Contagem!$W$18,""))))</f>
        <v/>
      </c>
      <c r="Q436" s="55" t="inlineStr">
        <is>
          <t>Prova: Rota GET /portal/protocolo/{solicitacao} (pública, signed, throttle:consulta-protocolo). Tela: portal/solicitacoes/protocolo-publico. Qualquer pessoa com o link consulta. ConsultaProtocoloPublicaController lê a solicitação e a tramitação (linha do tempo pública) e o Parâmetro do prazo estimado; grava a auditoria com causer nulo. Payload mínimo, sem empresa, CNPJ, endereço ou CNAE. Teste: tests/Feature/Solicitacao/ConsultarProtocoloPublicoTest.php::test_nao_expoe_dados_sensiveis; tests/Feature/Solicitacao/ConsultarProtocoloPublicoTest.php::test_auditoria_publica_com_causer_null. Registros automáticos contados como FTR (premissa P4): Trilha de auditoria: AuditService::log ou HasAuditoria do model no mesmo request. Processo elementar independente: menor unidade com significado para o cidadão; completa por si (abre o link e recebe a situação); deixa o negócio consistente (consulta auditada); lógica única (payload mínimo LGPD e linha do tempo pública, sem login), diferente da consulta autenticada em DER e lógica. Classificação: apresenta informação e atualiza um ALI (Trilha de auditoria), além do prazo derivado do parâmetro, portanto SE. TD=8 (protocolo, situação pública, protocolado em, etapa, data da etapa, prazo estimado, ressalva do prazo, ação abrir link). AR=3 (Solicitação de viabilidade, Parâmetro, Trilha de auditoria). Recontagem 16/10/2026: alterada (linha 90 da contagem de 01/10/2026: "Protocolo - consultar publicamente", CE Média 4 PF, TD 8, AR 2). Motivo: CE→SE e AR 2→3: a consulta grava a Trilha de auditoria com causer nulo (teste test_auditoria_publica_com_causer_null), o que pela regra do §5.5.3 impede CE; a Trilha entra como FTR. PF 4→5.</t>
        </is>
      </c>
    </row>
    <row r="437" ht="12" customHeight="1" s="73">
      <c r="A437" s="14">
        <f>IF(H437="",IF(C437="",A436,A436+1),A436)</f>
        <v/>
      </c>
      <c r="B437" s="48">
        <f>IF(A437=A436,"",CONCATENATE("F",A437))</f>
        <v/>
      </c>
      <c r="C437" s="85" t="inlineStr">
        <is>
          <t>Protocolo - emitir comprovante</t>
        </is>
      </c>
      <c r="D437" s="142" t="n"/>
      <c r="E437" s="142" t="n"/>
      <c r="F437" s="142" t="n"/>
      <c r="G437" s="143" t="n"/>
      <c r="H437" s="56" t="inlineStr">
        <is>
          <t>SE</t>
        </is>
      </c>
      <c r="I437" s="57" t="inlineStr">
        <is>
          <t>I</t>
        </is>
      </c>
      <c r="J437" s="56" t="n">
        <v>16</v>
      </c>
      <c r="K437" s="56" t="n">
        <v>4</v>
      </c>
      <c r="L437" s="50">
        <f>CONCATENATE(H437,M437)</f>
        <v/>
      </c>
      <c r="M437" s="51">
        <f>IF(OR(ISBLANK(J437),ISBLANK(K437)),IF(OR(H437="ALI",H437="AIE"),"L",IF(ISBLANK(H437),"","A")),IF(H437="EE",IF(K437&gt;=3,IF(J437&gt;=5,"H","A"),IF(K437&gt;=2,IF(J437&gt;=16,"H",IF(J437&lt;=4,"L","A")),IF(J437&lt;=15,"L","A"))),IF(OR(H437="SE",H437="CE"),IF(K437&gt;=4,IF(J437&gt;=6,"H","A"),IF(K437&gt;=2,IF(J437&gt;=20,"H",IF(J437&lt;=5,"L","A")),IF(J437&lt;=19,"L","A"))),IF(OR(H437="ALI",H437="AIE"),IF(K437&gt;=6,IF(J437&gt;=20,"H","A"),IF(K437&gt;=2,IF(J437&gt;=51,"H",IF(J437&lt;=19,"L","A")),IF(J437&lt;=50,"L","A")))))))</f>
        <v/>
      </c>
      <c r="N437" s="52">
        <f>IF(M437="L","Baixa",IF(M437="A","Média",IF(M437="","","Alta")))</f>
        <v/>
      </c>
      <c r="O437" s="53">
        <f>IF(ISBLANK(H437),"",IF(H437="ALI",IF(M437="L",7,IF(M437="A",10,15)),IF(H437="AIE",IF(M437="L",5,IF(M437="A",7,10)),IF(H437="SE",IF(M437="L",4,IF(M437="A",5,7)),IF(OR(H437="EE",H437="CE"),IF(M437="L",3,IF(M437="A",4,6)))))))</f>
        <v/>
      </c>
      <c r="P437" s="54">
        <f>IF(I437="I",O437*Contagem!$W$15,IF(I437="E",O437*Contagem!$W$17,IF(I437="A",O437*Contagem!$W$16,IF(I437="T",O437*Contagem!$W$18,""))))</f>
        <v/>
      </c>
      <c r="Q437" s="55" t="inlineStr">
        <is>
          <t>Prova: Rota GET /portal/solicitacoes/{solicitacao}/comprovante (auth:web, policy view). ComprovanteProtocoloService lê solicitação, empresa e CNAEs, calcula o código de verificação (HMAC do protocolo), formata a área, gera o PDF e audita; rascunho é recusado (422). Teste: tests/Feature/Solicitacao/ComprovanteProtocoloTest.php::test_dono_baixa_comprovante_pdf_da_solicitacao_protocolada. Registros automáticos contados como FTR (premissa P4): Trilha de auditoria: AuditService::log ou HasAuditoria do model no mesmo request. Processo elementar independente: menor unidade com significado para o requerente; completa por si (do pedido ao PDF entregue); deixa o negócio consistente (emissão auditada); lógica única (comprovante só de solicitação protocolada, com código de verificação determinístico). Classificação: gera documento com dado derivado (código de verificação) e grava a Trilha de auditoria, portanto SE. TD=16 (protocolo, protocolado em, emitido em, razão social, nome fantasia, CNPJ, endereço, bairro, CEP, código do CNAE, descrição do CNAE, CNAE principal, código de verificação, URL de verificação, mensagem de erro, ação emitir). AR=4 (Solicitação de viabilidade, Empresa, CNAE, Trilha de auditoria). Recontagem 16/10/2026: mantida (linha 115 da contagem de 01/10/2026).</t>
        </is>
      </c>
    </row>
    <row r="438" ht="12" customHeight="1" s="73">
      <c r="A438" s="14">
        <f>IF(H438="",IF(C438="",A437,A437+1),A437)</f>
        <v/>
      </c>
      <c r="B438" s="48">
        <f>IF(A438=A437,"",CONCATENATE("F",A438))</f>
        <v/>
      </c>
      <c r="C438" s="85" t="inlineStr">
        <is>
          <t>Pendências - consultar no portal</t>
        </is>
      </c>
      <c r="D438" s="142" t="n"/>
      <c r="E438" s="142" t="n"/>
      <c r="F438" s="142" t="n"/>
      <c r="G438" s="143" t="n"/>
      <c r="H438" s="56" t="inlineStr">
        <is>
          <t>CE</t>
        </is>
      </c>
      <c r="I438" s="57" t="inlineStr">
        <is>
          <t>I</t>
        </is>
      </c>
      <c r="J438" s="56" t="n">
        <v>7</v>
      </c>
      <c r="K438" s="56" t="n">
        <v>2</v>
      </c>
      <c r="L438" s="50">
        <f>CONCATENATE(H438,M438)</f>
        <v/>
      </c>
      <c r="M438" s="51">
        <f>IF(OR(ISBLANK(J438),ISBLANK(K438)),IF(OR(H438="ALI",H438="AIE"),"L",IF(ISBLANK(H438),"","A")),IF(H438="EE",IF(K438&gt;=3,IF(J438&gt;=5,"H","A"),IF(K438&gt;=2,IF(J438&gt;=16,"H",IF(J438&lt;=4,"L","A")),IF(J438&lt;=15,"L","A"))),IF(OR(H438="SE",H438="CE"),IF(K438&gt;=4,IF(J438&gt;=6,"H","A"),IF(K438&gt;=2,IF(J438&gt;=20,"H",IF(J438&lt;=5,"L","A")),IF(J438&lt;=19,"L","A"))),IF(OR(H438="ALI",H438="AIE"),IF(K438&gt;=6,IF(J438&gt;=20,"H","A"),IF(K438&gt;=2,IF(J438&gt;=51,"H",IF(J438&lt;=19,"L","A")),IF(J438&lt;=50,"L","A")))))))</f>
        <v/>
      </c>
      <c r="N438" s="52">
        <f>IF(M438="L","Baixa",IF(M438="A","Média",IF(M438="","","Alta")))</f>
        <v/>
      </c>
      <c r="O438" s="53">
        <f>IF(ISBLANK(H438),"",IF(H438="ALI",IF(M438="L",7,IF(M438="A",10,15)),IF(H438="AIE",IF(M438="L",5,IF(M438="A",7,10)),IF(H438="SE",IF(M438="L",4,IF(M438="A",5,7)),IF(OR(H438="EE",H438="CE"),IF(M438="L",3,IF(M438="A",4,6)))))))</f>
        <v/>
      </c>
      <c r="P438" s="54">
        <f>IF(I438="I",O438*Contagem!$W$15,IF(I438="E",O438*Contagem!$W$17,IF(I438="A",O438*Contagem!$W$16,IF(I438="T",O438*Contagem!$W$18,""))))</f>
        <v/>
      </c>
      <c r="Q438" s="55" t="inlineStr">
        <is>
          <t>Prova: Rota GET /portal/solicitacoes/{solicitacao}/pendencias (auth:web, policy view). Tela: portal/solicitacoes/pendencias. O requerente vê as pendências abertas. PendenciaRespostaController lê a solicitação e as pendências abertas; não grava nem audita. Teste: tests/Feature/Analise/PendenciaRespostaPortalTest.php::test_show_lista_a_pendencia_aberta. Processo elementar independente: menor unidade com significado para o requerente; completa por si (abre e recebe as pendências); deixa o negócio consistente (nada é gravado); lógica única (só pendências abertas da própria solicitação). Classificação: recupera e mostra sem cálculo nem gravação, CE. TD=7 (protocolo, situação, descrição da pendência, situação da pendência, prazo, aberta em, ação abrir). AR=2 (Solicitação de viabilidade, Pendência da análise). Recontagem 16/10/2026: mantida (linha 118 da contagem de 01/10/2026).</t>
        </is>
      </c>
    </row>
    <row r="439" ht="12" customHeight="1" s="73">
      <c r="A439" s="14">
        <f>IF(H439="",IF(C439="",A438,A438+1),A438)</f>
        <v/>
      </c>
      <c r="B439" s="48">
        <f>IF(A439=A438,"",CONCATENATE("F",A439))</f>
        <v/>
      </c>
      <c r="C439" s="85" t="inlineStr">
        <is>
          <t>Pendências - responder</t>
        </is>
      </c>
      <c r="D439" s="142" t="n"/>
      <c r="E439" s="142" t="n"/>
      <c r="F439" s="142" t="n"/>
      <c r="G439" s="143" t="n"/>
      <c r="H439" s="56" t="inlineStr">
        <is>
          <t>EE</t>
        </is>
      </c>
      <c r="I439" s="57" t="inlineStr">
        <is>
          <t>I</t>
        </is>
      </c>
      <c r="J439" s="56" t="n">
        <v>3</v>
      </c>
      <c r="K439" s="56" t="n">
        <v>5</v>
      </c>
      <c r="L439" s="50">
        <f>CONCATENATE(H439,M439)</f>
        <v/>
      </c>
      <c r="M439" s="51">
        <f>IF(OR(ISBLANK(J439),ISBLANK(K439)),IF(OR(H439="ALI",H439="AIE"),"L",IF(ISBLANK(H439),"","A")),IF(H439="EE",IF(K439&gt;=3,IF(J439&gt;=5,"H","A"),IF(K439&gt;=2,IF(J439&gt;=16,"H",IF(J439&lt;=4,"L","A")),IF(J439&lt;=15,"L","A"))),IF(OR(H439="SE",H439="CE"),IF(K439&gt;=4,IF(J439&gt;=6,"H","A"),IF(K439&gt;=2,IF(J439&gt;=20,"H",IF(J439&lt;=5,"L","A")),IF(J439&lt;=19,"L","A"))),IF(OR(H439="ALI",H439="AIE"),IF(K439&gt;=6,IF(J439&gt;=20,"H","A"),IF(K439&gt;=2,IF(J439&gt;=51,"H",IF(J439&lt;=19,"L","A")),IF(J439&lt;=50,"L","A")))))))</f>
        <v/>
      </c>
      <c r="N439" s="52">
        <f>IF(M439="L","Baixa",IF(M439="A","Média",IF(M439="","","Alta")))</f>
        <v/>
      </c>
      <c r="O439" s="53">
        <f>IF(ISBLANK(H439),"",IF(H439="ALI",IF(M439="L",7,IF(M439="A",10,15)),IF(H439="AIE",IF(M439="L",5,IF(M439="A",7,10)),IF(H439="SE",IF(M439="L",4,IF(M439="A",5,7)),IF(OR(H439="EE",H439="CE"),IF(M439="L",3,IF(M439="A",4,6)))))))</f>
        <v/>
      </c>
      <c r="P439" s="54">
        <f>IF(I439="I",O439*Contagem!$W$15,IF(I439="E",O439*Contagem!$W$17,IF(I439="A",O439*Contagem!$W$16,IF(I439="T",O439*Contagem!$W$18,""))))</f>
        <v/>
      </c>
      <c r="Q439" s="55" t="inlineStr">
        <is>
          <t>Prova: Rota POST /portal/solicitacoes/{solicitacao}/pendencias/{pendency}/responder (auth:web, policy view). Tela: portal/solicitacoes/pendencias. O requerente responde. PendenciaService grava a resposta na pendência, transiciona a solicitação de volta à análise (tramitação) e audita. Teste: tests/Feature/Analise/PendenciaRespostaPortalTest.php::test_dono_responde_e_reabre_a_analise. Registros automáticos contados como FTR (premissa P4): Trilha de auditoria: AuditService::log ou HasAuditoria do model no mesmo request; Comunicação ao requerente: NotificationDispatcher::deliver cria a linha em communications no mesmo request (listener síncrono NotificarRespostaPendencia). Processo elementar independente: menor unidade com significado para o requerente; completa por si (escreve e recebe confirmação); deixa o negócio consistente (análise reaberta); lógica única (pendência vinculada à solicitação e ainda aberta). Classificação: mantém pendência e solicitação, EE. TD=3 (resposta, mensagem, ação responder). AR=5 (Pendência da análise, Solicitação de viabilidade, Parâmetro, Trilha de auditoria, Comunicação ao requerente). Recontagem 16/10/2026: alterada (linha 119 da contagem de 01/10/2026: "Pendências - responder", EE Média 4 PF, TD 3, AR 3). Motivo: AR 3→5: o evento PendenciaRespondida aciona no mesmo request o listener síncrono NotificarRespostaPendencia, que lê o Parâmetro notificacoes.mapa_canais e cria a Comunicação ao requerente (canal in_app) para o analista; a notificação em si sai em fila e não é contada. PF inalterado (Média 4).</t>
        </is>
      </c>
    </row>
    <row r="440" ht="12" customHeight="1" s="73">
      <c r="A440" s="14">
        <f>IF(H440="",IF(C440="",A439,A439+1),A439)</f>
        <v/>
      </c>
      <c r="B440" s="48">
        <f>IF(A440=A439,"",CONCATENATE("F",A440))</f>
        <v/>
      </c>
      <c r="C440" s="85" t="n"/>
      <c r="D440" s="142" t="n"/>
      <c r="E440" s="142" t="n"/>
      <c r="F440" s="142" t="n"/>
      <c r="G440" s="143" t="n"/>
      <c r="H440" s="56" t="n"/>
      <c r="I440" s="57" t="n"/>
      <c r="J440" s="56" t="n"/>
      <c r="K440" s="56" t="n"/>
      <c r="L440" s="50">
        <f>CONCATENATE(H440,M440)</f>
        <v/>
      </c>
      <c r="M440" s="51">
        <f>IF(OR(ISBLANK(J440),ISBLANK(K440)),IF(OR(H440="ALI",H440="AIE"),"L",IF(ISBLANK(H440),"","A")),IF(H440="EE",IF(K440&gt;=3,IF(J440&gt;=5,"H","A"),IF(K440&gt;=2,IF(J440&gt;=16,"H",IF(J440&lt;=4,"L","A")),IF(J440&lt;=15,"L","A"))),IF(OR(H440="SE",H440="CE"),IF(K440&gt;=4,IF(J440&gt;=6,"H","A"),IF(K440&gt;=2,IF(J440&gt;=20,"H",IF(J440&lt;=5,"L","A")),IF(J440&lt;=19,"L","A"))),IF(OR(H440="ALI",H440="AIE"),IF(K440&gt;=6,IF(J440&gt;=20,"H","A"),IF(K440&gt;=2,IF(J440&gt;=51,"H",IF(J440&lt;=19,"L","A")),IF(J440&lt;=50,"L","A")))))))</f>
        <v/>
      </c>
      <c r="N440" s="52">
        <f>IF(M440="L","Baixa",IF(M440="A","Média",IF(M440="","","Alta")))</f>
        <v/>
      </c>
      <c r="O440" s="53">
        <f>IF(ISBLANK(H440),"",IF(H440="ALI",IF(M440="L",7,IF(M440="A",10,15)),IF(H440="AIE",IF(M440="L",5,IF(M440="A",7,10)),IF(H440="SE",IF(M440="L",4,IF(M440="A",5,7)),IF(OR(H440="EE",H440="CE"),IF(M440="L",3,IF(M440="A",4,6)))))))</f>
        <v/>
      </c>
      <c r="P440" s="54">
        <f>IF(I440="I",O440*Contagem!$W$15,IF(I440="E",O440*Contagem!$W$17,IF(I440="A",O440*Contagem!$W$16,IF(I440="T",O440*Contagem!$W$18,""))))</f>
        <v/>
      </c>
      <c r="Q440" s="55" t="n"/>
    </row>
    <row r="441" ht="12" customHeight="1" s="73">
      <c r="A441" s="14">
        <f>IF(H441="",IF(C441="",A440,A440+1),A440)</f>
        <v/>
      </c>
      <c r="B441" s="48">
        <f>IF(A441=A440,"",CONCATENATE("F",A441))</f>
        <v/>
      </c>
      <c r="C441" s="85" t="inlineStr">
        <is>
          <t>Consulta prévia de viabilidade</t>
        </is>
      </c>
      <c r="D441" s="142" t="n"/>
      <c r="E441" s="142" t="n"/>
      <c r="F441" s="142" t="n"/>
      <c r="G441" s="143" t="n"/>
      <c r="H441" s="56" t="n"/>
      <c r="I441" s="57" t="n"/>
      <c r="J441" s="56" t="n"/>
      <c r="K441" s="56" t="n"/>
      <c r="L441" s="50">
        <f>CONCATENATE(H441,M441)</f>
        <v/>
      </c>
      <c r="M441" s="51">
        <f>IF(OR(ISBLANK(J441),ISBLANK(K441)),IF(OR(H441="ALI",H441="AIE"),"L",IF(ISBLANK(H441),"","A")),IF(H441="EE",IF(K441&gt;=3,IF(J441&gt;=5,"H","A"),IF(K441&gt;=2,IF(J441&gt;=16,"H",IF(J441&lt;=4,"L","A")),IF(J441&lt;=15,"L","A"))),IF(OR(H441="SE",H441="CE"),IF(K441&gt;=4,IF(J441&gt;=6,"H","A"),IF(K441&gt;=2,IF(J441&gt;=20,"H",IF(J441&lt;=5,"L","A")),IF(J441&lt;=19,"L","A"))),IF(OR(H441="ALI",H441="AIE"),IF(K441&gt;=6,IF(J441&gt;=20,"H","A"),IF(K441&gt;=2,IF(J441&gt;=51,"H",IF(J441&lt;=19,"L","A")),IF(J441&lt;=50,"L","A")))))))</f>
        <v/>
      </c>
      <c r="N441" s="52">
        <f>IF(M441="L","Baixa",IF(M441="A","Média",IF(M441="","","Alta")))</f>
        <v/>
      </c>
      <c r="O441" s="53">
        <f>IF(ISBLANK(H441),"",IF(H441="ALI",IF(M441="L",7,IF(M441="A",10,15)),IF(H441="AIE",IF(M441="L",5,IF(M441="A",7,10)),IF(H441="SE",IF(M441="L",4,IF(M441="A",5,7)),IF(OR(H441="EE",H441="CE"),IF(M441="L",3,IF(M441="A",4,6)))))))</f>
        <v/>
      </c>
      <c r="P441" s="54">
        <f>IF(I441="I",O441*Contagem!$W$15,IF(I441="E",O441*Contagem!$W$17,IF(I441="A",O441*Contagem!$W$16,IF(I441="T",O441*Contagem!$W$18,""))))</f>
        <v/>
      </c>
      <c r="Q441" s="55" t="n"/>
    </row>
    <row r="442" ht="12" customHeight="1" s="73">
      <c r="A442" s="14">
        <f>IF(H442="",IF(C442="",A441,A441+1),A441)</f>
        <v/>
      </c>
      <c r="B442" s="48">
        <f>IF(A442=A441,"",CONCATENATE("F",A442))</f>
        <v/>
      </c>
      <c r="C442" s="85" t="inlineStr">
        <is>
          <t>Dados - Consulta prévia de viabilidade realizada</t>
        </is>
      </c>
      <c r="D442" s="142" t="n"/>
      <c r="E442" s="142" t="n"/>
      <c r="F442" s="142" t="n"/>
      <c r="G442" s="143" t="n"/>
      <c r="H442" s="56" t="inlineStr">
        <is>
          <t>ALI</t>
        </is>
      </c>
      <c r="I442" s="57" t="inlineStr">
        <is>
          <t>I</t>
        </is>
      </c>
      <c r="J442" s="56" t="n">
        <v>8</v>
      </c>
      <c r="K442" s="56" t="n">
        <v>1</v>
      </c>
      <c r="L442" s="50">
        <f>CONCATENATE(H442,M442)</f>
        <v/>
      </c>
      <c r="M442" s="51">
        <f>IF(OR(ISBLANK(J442),ISBLANK(K442)),IF(OR(H442="ALI",H442="AIE"),"L",IF(ISBLANK(H442),"","A")),IF(H442="EE",IF(K442&gt;=3,IF(J442&gt;=5,"H","A"),IF(K442&gt;=2,IF(J442&gt;=16,"H",IF(J442&lt;=4,"L","A")),IF(J442&lt;=15,"L","A"))),IF(OR(H442="SE",H442="CE"),IF(K442&gt;=4,IF(J442&gt;=6,"H","A"),IF(K442&gt;=2,IF(J442&gt;=20,"H",IF(J442&lt;=5,"L","A")),IF(J442&lt;=19,"L","A"))),IF(OR(H442="ALI",H442="AIE"),IF(K442&gt;=6,IF(J442&gt;=20,"H","A"),IF(K442&gt;=2,IF(J442&gt;=51,"H",IF(J442&lt;=19,"L","A")),IF(J442&lt;=50,"L","A")))))))</f>
        <v/>
      </c>
      <c r="N442" s="52">
        <f>IF(M442="L","Baixa",IF(M442="A","Média",IF(M442="","","Alta")))</f>
        <v/>
      </c>
      <c r="O442" s="53">
        <f>IF(ISBLANK(H442),"",IF(H442="ALI",IF(M442="L",7,IF(M442="A",10,15)),IF(H442="AIE",IF(M442="L",5,IF(M442="A",7,10)),IF(H442="SE",IF(M442="L",4,IF(M442="A",5,7)),IF(OR(H442="EE",H442="CE"),IF(M442="L",3,IF(M442="A",4,6)))))))</f>
        <v/>
      </c>
      <c r="P442" s="54">
        <f>IF(I442="I",O442*Contagem!$W$15,IF(I442="E",O442*Contagem!$W$17,IF(I442="A",O442*Contagem!$W$16,IF(I442="T",O442*Contagem!$W$18,""))))</f>
        <v/>
      </c>
      <c r="Q442" s="55" t="inlineStr">
        <is>
          <t>Prova: Model ViabilityQuery, migration 2026_06_14_080224_create_viability_queries_table (sem alteração depois de 01/10/2026). Gravada pela consulta prévia autenticada (ConsultaViabilidadeController::registrarHistorico) e lida no histórico (HistoricoConsultaController). Teste: tests/Feature/Viabilidade/HistoricoConsultaTest.php::test_consulta_autenticada_grava_snapshot_no_historico. Arquivo lógico: grupo lógico reconhecido pelo cidadão: cada consulta prévia realizada fica guardada com a entrada, o resultado e as versões de regra aplicadas, para reprodução. Teste de independência: não depende da solicitação e sobrevive à exclusão do usuário (user_id nullOnDelete), logo é ALI próprio. Não é dado de código. TD=8 (usuário, tipo de entrada, dados informados, resultado detalhado, versões de regras, resultado, IP, data da consulta). TR=1. Recontagem 16/10/2026: mantida (linha 508 da contagem de 01/10/2026).</t>
        </is>
      </c>
    </row>
    <row r="443" ht="12" customHeight="1" s="73">
      <c r="A443" s="14">
        <f>IF(H443="",IF(C443="",A442,A442+1),A442)</f>
        <v/>
      </c>
      <c r="B443" s="48">
        <f>IF(A443=A442,"",CONCATENATE("F",A443))</f>
        <v/>
      </c>
      <c r="C443" s="85" t="inlineStr">
        <is>
          <t>Consulta de viabilidade - consultar por endereço</t>
        </is>
      </c>
      <c r="D443" s="142" t="n"/>
      <c r="E443" s="142" t="n"/>
      <c r="F443" s="142" t="n"/>
      <c r="G443" s="143" t="n"/>
      <c r="H443" s="56" t="inlineStr">
        <is>
          <t>SE</t>
        </is>
      </c>
      <c r="I443" s="57" t="inlineStr">
        <is>
          <t>I</t>
        </is>
      </c>
      <c r="J443" s="56" t="n">
        <v>18</v>
      </c>
      <c r="K443" s="56" t="n">
        <v>14</v>
      </c>
      <c r="L443" s="50">
        <f>CONCATENATE(H443,M443)</f>
        <v/>
      </c>
      <c r="M443" s="51">
        <f>IF(OR(ISBLANK(J443),ISBLANK(K443)),IF(OR(H443="ALI",H443="AIE"),"L",IF(ISBLANK(H443),"","A")),IF(H443="EE",IF(K443&gt;=3,IF(J443&gt;=5,"H","A"),IF(K443&gt;=2,IF(J443&gt;=16,"H",IF(J443&lt;=4,"L","A")),IF(J443&lt;=15,"L","A"))),IF(OR(H443="SE",H443="CE"),IF(K443&gt;=4,IF(J443&gt;=6,"H","A"),IF(K443&gt;=2,IF(J443&gt;=20,"H",IF(J443&lt;=5,"L","A")),IF(J443&lt;=19,"L","A"))),IF(OR(H443="ALI",H443="AIE"),IF(K443&gt;=6,IF(J443&gt;=20,"H","A"),IF(K443&gt;=2,IF(J443&gt;=51,"H",IF(J443&lt;=19,"L","A")),IF(J443&lt;=50,"L","A")))))))</f>
        <v/>
      </c>
      <c r="N443" s="52">
        <f>IF(M443="L","Baixa",IF(M443="A","Média",IF(M443="","","Alta")))</f>
        <v/>
      </c>
      <c r="O443" s="53">
        <f>IF(ISBLANK(H443),"",IF(H443="ALI",IF(M443="L",7,IF(M443="A",10,15)),IF(H443="AIE",IF(M443="L",5,IF(M443="A",7,10)),IF(H443="SE",IF(M443="L",4,IF(M443="A",5,7)),IF(OR(H443="EE",H443="CE"),IF(M443="L",3,IF(M443="A",4,6)))))))</f>
        <v/>
      </c>
      <c r="P443" s="54">
        <f>IF(I443="I",O443*Contagem!$W$15,IF(I443="E",O443*Contagem!$W$17,IF(I443="A",O443*Contagem!$W$16,IF(I443="T",O443*Contagem!$W$18,""))))</f>
        <v/>
      </c>
      <c r="Q443" s="55" t="inlineStr">
        <is>
          <t>Prova: Rota POST /portal/viabilidade/endereco (pública, throttle:consulta-viabilidade). Tela: portal/viabilidade/consulta. O cidadão informa endereço, CNAE e área. Geocodifica, identifica território e aplica LOUOS e risco (ConsultaViabilidadeService); grava histórico só se logado. A consulta passou a ficar dentro do portal para quem está logado (13/10/2026): só muda o layout da mesma página portal/viabilidade/consulta, com os mesmos DER, FTR e lógica, então é a mesma função, contada uma vez (§5.5.2.2). As respostas às perguntas aceitam opção e conjunto de opções desde 07/10/2026, sem DER novo. Teste: tests/Feature/Viabilidade/ConsultaViabilidadePublicaTest.php::test_consulta_por_endereco_anonima_retorna_resultado_e_e_auditada; tests/Feature/Viabilidade/ConsultaViabilidadePaginaTest.php::test_pagina_continua_acessivel_para_cidadao_logado. Registros automáticos contados como FTR (premissa P4): Trilha de auditoria: AuditService::log ou HasAuditoria do model no mesmo request; Chamada de integração: listener síncrono RegistrarChamadaIntegracao grava cada chamada HTTP de saída (IntegrationCallRecorder). A geocodificação usa NominatimGeocoder (OpenStreetMap). Processo elementar independente: menor unidade com significado para o cidadão; completa por si (informa endereço e atividade e recebe o veredito); deixa o negócio consistente (histórico gravado só para usuário autenticado); lógica única (geocodificação e identificação territorial pelo endereço). Classificação: a intenção principal é apresentar o veredito calculado pelo motor (dado derivado); a gravação do histórico é acessória, portanto SE. TD=18 (endereço, CNAE, área, respostas às perguntas, coordenada geocodificada, zona, via, bairro, restrições, enquadramento LOUOS, classificação de risco, resultado, motivo, fundamentação, avisos, versões de regras, perguntas exibidas, ação consultar). AR=14 (Consulta prévia de viabilidade realizada, CNAE, Planilha de enquadramento, Permissão de uso por zona (Quadro 10), Condição de instalação por via (Quadro 11A), Classificação de risco municipal, Texto decisório, Camada geográfica, Zonas urbanísticas do GeoServer da SEDUR, Classificação viária dos logradouros do GeoServer da SEDUR, Regra territorial, Endereços geocodificados do OpenStreetMap, Trilha de auditoria, Chamada de integração). Para demonstrar: features.consulta_viabilidade e features.geocoding ligados; zona remota com features.geoserver_zona. Recontagem (catálogo): Versão de regras deixou de ser arquivo lógico próprio e é subgrupo de arquivo já listado no AR; AR ajustado. Recontagem 16/10/2026: alterada (linha 44 da contagem de 01/10/2026: "Consulta de viabilidade - consultar por endereço", SE Alta 7 PF, TD 18, AR 10). Motivo: AR 10→15: entram Endereços do OpenStreetMap (NominatimGeocoder), Classificação viária do GeoServer (TerritoryService), Regra territorial (observação do Quadro 10 no enquadramento) e os registros automáticos Trilha de auditoria (ConsultaViabilidadeService e TerritoryService::identify auditam cada consulta) e Chamada de integração (geocodificação e WFS). PF inalterado (Alta). Catálogo: retirado Versão de regras (subgrupo de outro arquivo).</t>
        </is>
      </c>
    </row>
    <row r="444" ht="12" customHeight="1" s="73">
      <c r="A444" s="14">
        <f>IF(H444="",IF(C444="",A443,A443+1),A443)</f>
        <v/>
      </c>
      <c r="B444" s="48">
        <f>IF(A444=A443,"",CONCATENATE("F",A444))</f>
        <v/>
      </c>
      <c r="C444" s="85" t="inlineStr">
        <is>
          <t>Consulta de viabilidade - consultar por CNAE</t>
        </is>
      </c>
      <c r="D444" s="142" t="n"/>
      <c r="E444" s="142" t="n"/>
      <c r="F444" s="142" t="n"/>
      <c r="G444" s="143" t="n"/>
      <c r="H444" s="56" t="inlineStr">
        <is>
          <t>SE</t>
        </is>
      </c>
      <c r="I444" s="57" t="inlineStr">
        <is>
          <t>I</t>
        </is>
      </c>
      <c r="J444" s="56" t="n">
        <v>12</v>
      </c>
      <c r="K444" s="56" t="n">
        <v>6</v>
      </c>
      <c r="L444" s="50">
        <f>CONCATENATE(H444,M444)</f>
        <v/>
      </c>
      <c r="M444" s="51">
        <f>IF(OR(ISBLANK(J444),ISBLANK(K444)),IF(OR(H444="ALI",H444="AIE"),"L",IF(ISBLANK(H444),"","A")),IF(H444="EE",IF(K444&gt;=3,IF(J444&gt;=5,"H","A"),IF(K444&gt;=2,IF(J444&gt;=16,"H",IF(J444&lt;=4,"L","A")),IF(J444&lt;=15,"L","A"))),IF(OR(H444="SE",H444="CE"),IF(K444&gt;=4,IF(J444&gt;=6,"H","A"),IF(K444&gt;=2,IF(J444&gt;=20,"H",IF(J444&lt;=5,"L","A")),IF(J444&lt;=19,"L","A"))),IF(OR(H444="ALI",H444="AIE"),IF(K444&gt;=6,IF(J444&gt;=20,"H","A"),IF(K444&gt;=2,IF(J444&gt;=51,"H",IF(J444&lt;=19,"L","A")),IF(J444&lt;=50,"L","A")))))))</f>
        <v/>
      </c>
      <c r="N444" s="52">
        <f>IF(M444="L","Baixa",IF(M444="A","Média",IF(M444="","","Alta")))</f>
        <v/>
      </c>
      <c r="O444" s="53">
        <f>IF(ISBLANK(H444),"",IF(H444="ALI",IF(M444="L",7,IF(M444="A",10,15)),IF(H444="AIE",IF(M444="L",5,IF(M444="A",7,10)),IF(H444="SE",IF(M444="L",4,IF(M444="A",5,7)),IF(OR(H444="EE",H444="CE"),IF(M444="L",3,IF(M444="A",4,6)))))))</f>
        <v/>
      </c>
      <c r="P444" s="54">
        <f>IF(I444="I",O444*Contagem!$W$15,IF(I444="E",O444*Contagem!$W$17,IF(I444="A",O444*Contagem!$W$16,IF(I444="T",O444*Contagem!$W$18,""))))</f>
        <v/>
      </c>
      <c r="Q444" s="55" t="inlineStr">
        <is>
          <t>Prova: Rota POST /portal/viabilidade/cnae (pública, throttle:consulta-viabilidade). Tela: portal/viabilidade/consulta. O cidadão informa só CNAE e área. Aplica o risco e a planilha de enquadramento por área, sem localização; grava histórico só se logado. A consulta passou a ficar dentro do portal para quem está logado (13/10/2026): só muda o layout da mesma página portal/viabilidade/consulta, com os mesmos DER, FTR e lógica, então é a mesma função, contada uma vez (§5.5.2.2). As respostas às perguntas aceitam opção e conjunto de opções desde 07/10/2026, sem DER novo. Teste: tests/Feature/Viabilidade/ConsultaViabilidadePublicaTest.php::test_consulta_por_cnae_anonima_roda_risco_e_quadro7 (nome anterior à retirada do Quadro 7; o enquadramento por área está na planilha). Registros automáticos contados como FTR (premissa P4): Trilha de auditoria: AuditService::log ou HasAuditoria do model no mesmo request. Processo elementar independente: menor unidade com significado para o cidadão; completa por si (informa a atividade e recebe o veredito); deixa o negócio consistente (histórico só para autenticado); lógica única (classificação sem dimensão territorial). Classificação: apresenta o veredito calculado pelo motor; a gravação do histórico é acessória, portanto SE. TD=12 (CNAE, área, respostas às perguntas, enquadramento LOUOS, classificação de risco, resultado, motivo, fundamentação, avisos, versões de regras, perguntas exibidas, ação consultar). AR=6 (Consulta prévia de viabilidade realizada, CNAE, Planilha de enquadramento, Classificação de risco municipal, Texto decisório, Trilha de auditoria). Para demonstrar: features.consulta_viabilidade ligado. Recontagem (catálogo): Versão de regras deixou de ser arquivo lógico próprio e é subgrupo de arquivo já listado no AR; AR ajustado. Recontagem 16/10/2026: mantida (linha 45 da contagem de 01/10/2026).</t>
        </is>
      </c>
    </row>
    <row r="445" ht="12" customHeight="1" s="73">
      <c r="A445" s="14">
        <f>IF(H445="",IF(C445="",A444,A444+1),A444)</f>
        <v/>
      </c>
      <c r="B445" s="48">
        <f>IF(A445=A444,"",CONCATENATE("F",A445))</f>
        <v/>
      </c>
      <c r="C445" s="85" t="inlineStr">
        <is>
          <t>Consulta de viabilidade - consultar por inscrição imobiliária</t>
        </is>
      </c>
      <c r="D445" s="142" t="n"/>
      <c r="E445" s="142" t="n"/>
      <c r="F445" s="142" t="n"/>
      <c r="G445" s="143" t="n"/>
      <c r="H445" s="56" t="inlineStr">
        <is>
          <t>SE</t>
        </is>
      </c>
      <c r="I445" s="57" t="inlineStr">
        <is>
          <t>I</t>
        </is>
      </c>
      <c r="J445" s="56" t="n">
        <v>18</v>
      </c>
      <c r="K445" s="56" t="n">
        <v>15</v>
      </c>
      <c r="L445" s="50">
        <f>CONCATENATE(H445,M445)</f>
        <v/>
      </c>
      <c r="M445" s="51">
        <f>IF(OR(ISBLANK(J445),ISBLANK(K445)),IF(OR(H445="ALI",H445="AIE"),"L",IF(ISBLANK(H445),"","A")),IF(H445="EE",IF(K445&gt;=3,IF(J445&gt;=5,"H","A"),IF(K445&gt;=2,IF(J445&gt;=16,"H",IF(J445&lt;=4,"L","A")),IF(J445&lt;=15,"L","A"))),IF(OR(H445="SE",H445="CE"),IF(K445&gt;=4,IF(J445&gt;=6,"H","A"),IF(K445&gt;=2,IF(J445&gt;=20,"H",IF(J445&lt;=5,"L","A")),IF(J445&lt;=19,"L","A"))),IF(OR(H445="ALI",H445="AIE"),IF(K445&gt;=6,IF(J445&gt;=20,"H","A"),IF(K445&gt;=2,IF(J445&gt;=51,"H",IF(J445&lt;=19,"L","A")),IF(J445&lt;=50,"L","A")))))))</f>
        <v/>
      </c>
      <c r="N445" s="52">
        <f>IF(M445="L","Baixa",IF(M445="A","Média",IF(M445="","","Alta")))</f>
        <v/>
      </c>
      <c r="O445" s="53">
        <f>IF(ISBLANK(H445),"",IF(H445="ALI",IF(M445="L",7,IF(M445="A",10,15)),IF(H445="AIE",IF(M445="L",5,IF(M445="A",7,10)),IF(H445="SE",IF(M445="L",4,IF(M445="A",5,7)),IF(OR(H445="EE",H445="CE"),IF(M445="L",3,IF(M445="A",4,6)))))))</f>
        <v/>
      </c>
      <c r="P445" s="54">
        <f>IF(I445="I",O445*Contagem!$W$15,IF(I445="E",O445*Contagem!$W$17,IF(I445="A",O445*Contagem!$W$16,IF(I445="T",O445*Contagem!$W$18,""))))</f>
        <v/>
      </c>
      <c r="Q445" s="55" t="inlineStr">
        <is>
          <t>Prova: Rota POST /portal/viabilidade/inscricao (pública, throttle:consulta-viabilidade). Tela: portal/viabilidade/consulta. O cidadão informa inscrição, CNAE e área. Localiza o imóvel pelo cadastro imobiliário, identifica território e aplica LOUOS e risco; degrada com aviso sem inventar ponto. A consulta passou a ficar dentro do portal para quem está logado (13/10/2026): só muda o layout da mesma página portal/viabilidade/consulta, com os mesmos DER, FTR e lógica, então é a mesma função, contada uma vez (§5.5.2.2). As respostas às perguntas aceitam opção e conjunto de opções desde 07/10/2026, sem DER novo. Teste: tests/Feature/Viabilidade/ConsultaViabilidadePublicaTest.php::test_consulta_por_inscricao_degrada_com_aviso_e_nunca_inventa_ponto. Registros automáticos contados como FTR (premissa P4): Trilha de auditoria: AuditService::log ou HasAuditoria do model no mesmo request; Chamada de integração: listener síncrono RegistrarChamadaIntegracao grava cada chamada HTTP de saída (IntegrationCallRecorder). Processo elementar independente: menor unidade com significado para o cidadão; completa por si (informa a inscrição e recebe o veredito); deixa o negócio consistente (histórico só para autenticado); lógica única (localização pela inscrição no cadastro imobiliário). Classificação: apresenta o veredito calculado pelo motor; a gravação do histórico é acessória, portanto SE. TD=18 (inscrição imobiliária, CNAE, área, respostas às perguntas, localização do imóvel, zona, via, bairro, restrições, enquadramento LOUOS, classificação de risco, resultado, motivo, fundamentação, avisos, versões de regras, perguntas exibidas, ação consultar). AR=15 (Consulta prévia de viabilidade realizada, CNAE, Planilha de enquadramento, Permissão de uso por zona (Quadro 10), Condição de instalação por via (Quadro 11A), Classificação de risco municipal, Texto decisório, Camada geográfica, Cadastro imobiliário da SEFAZ, Zonas urbanísticas do GeoServer da SEDUR, Classificação viária dos logradouros do GeoServer da SEDUR, Regra territorial, Endereços geocodificados do OpenStreetMap, Trilha de auditoria, Chamada de integração). Para demonstrar: features.consulta_viabilidade e features.cadastro_imobiliario ligados e integrations.inscricao_imobiliaria configurada. Recontagem (catálogo): Versão de regras deixou de ser arquivo lógico próprio e é subgrupo de arquivo já listado no AR; AR ajustado. Recontagem 16/10/2026: alterada (linha 46 da contagem de 01/10/2026: "Consulta de viabilidade - consultar por inscrição imobiliária", SE Alta 7 PF, TD 18, AR 10). Motivo: AR 10→16: entram Zonas e Classificação viária do GeoServer (o ponto da inscrição segue por TerritoryService::identify), Regra territorial (observação do Quadro 10), Endereços do OpenStreetMap (LocalizacaoInscricaoService geocodifica quando o cadastro não traz coordenada) e os registros automáticos Trilha de auditoria e Chamada de integração. PF inalterado (Alta). Catálogo: retirado Versão de regras (subgrupo de outro arquivo).</t>
        </is>
      </c>
    </row>
    <row r="446" ht="12" customHeight="1" s="73">
      <c r="A446" s="14">
        <f>IF(H446="",IF(C446="",A445,A445+1),A445)</f>
        <v/>
      </c>
      <c r="B446" s="48">
        <f>IF(A446=A445,"",CONCATENATE("F",A446))</f>
        <v/>
      </c>
      <c r="C446" s="85" t="inlineStr">
        <is>
          <t>Consultas de viabilidade - consultar histórico</t>
        </is>
      </c>
      <c r="D446" s="142" t="n"/>
      <c r="E446" s="142" t="n"/>
      <c r="F446" s="142" t="n"/>
      <c r="G446" s="143" t="n"/>
      <c r="H446" s="56" t="inlineStr">
        <is>
          <t>SE</t>
        </is>
      </c>
      <c r="I446" s="57" t="inlineStr">
        <is>
          <t>I</t>
        </is>
      </c>
      <c r="J446" s="56" t="n">
        <v>6</v>
      </c>
      <c r="K446" s="56" t="n">
        <v>2</v>
      </c>
      <c r="L446" s="50">
        <f>CONCATENATE(H446,M446)</f>
        <v/>
      </c>
      <c r="M446" s="51">
        <f>IF(OR(ISBLANK(J446),ISBLANK(K446)),IF(OR(H446="ALI",H446="AIE"),"L",IF(ISBLANK(H446),"","A")),IF(H446="EE",IF(K446&gt;=3,IF(J446&gt;=5,"H","A"),IF(K446&gt;=2,IF(J446&gt;=16,"H",IF(J446&lt;=4,"L","A")),IF(J446&lt;=15,"L","A"))),IF(OR(H446="SE",H446="CE"),IF(K446&gt;=4,IF(J446&gt;=6,"H","A"),IF(K446&gt;=2,IF(J446&gt;=20,"H",IF(J446&lt;=5,"L","A")),IF(J446&lt;=19,"L","A"))),IF(OR(H446="ALI",H446="AIE"),IF(K446&gt;=6,IF(J446&gt;=20,"H","A"),IF(K446&gt;=2,IF(J446&gt;=51,"H",IF(J446&lt;=19,"L","A")),IF(J446&lt;=50,"L","A")))))))</f>
        <v/>
      </c>
      <c r="N446" s="52">
        <f>IF(M446="L","Baixa",IF(M446="A","Média",IF(M446="","","Alta")))</f>
        <v/>
      </c>
      <c r="O446" s="53">
        <f>IF(ISBLANK(H446),"",IF(H446="ALI",IF(M446="L",7,IF(M446="A",10,15)),IF(H446="AIE",IF(M446="L",5,IF(M446="A",7,10)),IF(H446="SE",IF(M446="L",4,IF(M446="A",5,7)),IF(OR(H446="EE",H446="CE"),IF(M446="L",3,IF(M446="A",4,6)))))))</f>
        <v/>
      </c>
      <c r="P446" s="54">
        <f>IF(I446="I",O446*Contagem!$W$15,IF(I446="E",O446*Contagem!$W$17,IF(I446="A",O446*Contagem!$W$16,IF(I446="T",O446*Contagem!$W$18,""))))</f>
        <v/>
      </c>
      <c r="Q446" s="55" t="inlineStr">
        <is>
          <t>Prova: Rota GET /portal/viabilidade/historico (auth:web, verified, lgpd.accepted). Tela: portal/viabilidade/historico. O requerente vê as próprias consultas prévias, da mais recente para a mais antiga, com tipo de entrada, dados informados, resultado e data; HistoricoConsultaController lê as consultas do usuário e grava a auditoria da consulta. Teste: tests/Feature/Viabilidade/HistoricoConsultaPaginaTest.php::test_pagina_do_historico_renderiza_consultas_do_dono. Registros automáticos contados como FTR (premissa P4): Trilha de auditoria: AuditService::log ou HasAuditoria do model no mesmo request. Processo elementar independente: menor unidade com significado para o requerente; completa por si (abrir o histórico até a lista); deixa o negócio consistente (consulta auditada); lógica única (consultas do próprio dono). Classificação: apresenta informação e atualiza um ALI (Trilha de auditoria), portanto SE e não CE (§5.5.3). TD=6 (tipo de entrada, dados informados, resultado, detalhe do resultado, consultado em, ação consultar). AR=2 (Consulta prévia de viabilidade realizada, Trilha de auditoria). Recontagem 16/10/2026: alterada (linha 62 da contagem de 01/10/2026: "Consultas de viabilidade - consultar histórico", CE Baixa 3 PF, TD 6, AR 1). Motivo: CE→SE e AR 1→2: a abertura do histórico grava a Trilha de auditoria (AuditService::log 'consulta-historico'), o que pela regra do §5.5.3 impede CE; a Trilha entra como FTR. PF 3→5.</t>
        </is>
      </c>
    </row>
    <row r="447" ht="12" customHeight="1" s="73">
      <c r="A447" s="14">
        <f>IF(H447="",IF(C447="",A446,A446+1),A446)</f>
        <v/>
      </c>
      <c r="B447" s="48">
        <f>IF(A447=A446,"",CONCATENATE("F",A447))</f>
        <v/>
      </c>
      <c r="C447" s="85" t="n"/>
      <c r="D447" s="142" t="n"/>
      <c r="E447" s="142" t="n"/>
      <c r="F447" s="142" t="n"/>
      <c r="G447" s="143" t="n"/>
      <c r="H447" s="56" t="n"/>
      <c r="I447" s="57" t="n"/>
      <c r="J447" s="56" t="n"/>
      <c r="K447" s="56" t="n"/>
      <c r="L447" s="50">
        <f>CONCATENATE(H447,M447)</f>
        <v/>
      </c>
      <c r="M447" s="51">
        <f>IF(OR(ISBLANK(J447),ISBLANK(K447)),IF(OR(H447="ALI",H447="AIE"),"L",IF(ISBLANK(H447),"","A")),IF(H447="EE",IF(K447&gt;=3,IF(J447&gt;=5,"H","A"),IF(K447&gt;=2,IF(J447&gt;=16,"H",IF(J447&lt;=4,"L","A")),IF(J447&lt;=15,"L","A"))),IF(OR(H447="SE",H447="CE"),IF(K447&gt;=4,IF(J447&gt;=6,"H","A"),IF(K447&gt;=2,IF(J447&gt;=20,"H",IF(J447&lt;=5,"L","A")),IF(J447&lt;=19,"L","A"))),IF(OR(H447="ALI",H447="AIE"),IF(K447&gt;=6,IF(J447&gt;=20,"H","A"),IF(K447&gt;=2,IF(J447&gt;=51,"H",IF(J447&lt;=19,"L","A")),IF(J447&lt;=50,"L","A")))))))</f>
        <v/>
      </c>
      <c r="N447" s="52">
        <f>IF(M447="L","Baixa",IF(M447="A","Média",IF(M447="","","Alta")))</f>
        <v/>
      </c>
      <c r="O447" s="53">
        <f>IF(ISBLANK(H447),"",IF(H447="ALI",IF(M447="L",7,IF(M447="A",10,15)),IF(H447="AIE",IF(M447="L",5,IF(M447="A",7,10)),IF(H447="SE",IF(M447="L",4,IF(M447="A",5,7)),IF(OR(H447="EE",H447="CE"),IF(M447="L",3,IF(M447="A",4,6)))))))</f>
        <v/>
      </c>
      <c r="P447" s="54">
        <f>IF(I447="I",O447*Contagem!$W$15,IF(I447="E",O447*Contagem!$W$17,IF(I447="A",O447*Contagem!$W$16,IF(I447="T",O447*Contagem!$W$18,""))))</f>
        <v/>
      </c>
      <c r="Q447" s="55" t="n"/>
    </row>
    <row r="448" ht="12" customHeight="1" s="73">
      <c r="A448" s="14">
        <f>IF(H448="",IF(C448="",A447,A447+1),A447)</f>
        <v/>
      </c>
      <c r="B448" s="48">
        <f>IF(A448=A447,"",CONCATENATE("F",A448))</f>
        <v/>
      </c>
      <c r="C448" s="85" t="inlineStr">
        <is>
          <t>Renovação da viabilidade locacional</t>
        </is>
      </c>
      <c r="D448" s="142" t="n"/>
      <c r="E448" s="142" t="n"/>
      <c r="F448" s="142" t="n"/>
      <c r="G448" s="143" t="n"/>
      <c r="H448" s="56" t="n"/>
      <c r="I448" s="57" t="n"/>
      <c r="J448" s="56" t="n"/>
      <c r="K448" s="56" t="n"/>
      <c r="L448" s="50">
        <f>CONCATENATE(H448,M448)</f>
        <v/>
      </c>
      <c r="M448" s="51">
        <f>IF(OR(ISBLANK(J448),ISBLANK(K448)),IF(OR(H448="ALI",H448="AIE"),"L",IF(ISBLANK(H448),"","A")),IF(H448="EE",IF(K448&gt;=3,IF(J448&gt;=5,"H","A"),IF(K448&gt;=2,IF(J448&gt;=16,"H",IF(J448&lt;=4,"L","A")),IF(J448&lt;=15,"L","A"))),IF(OR(H448="SE",H448="CE"),IF(K448&gt;=4,IF(J448&gt;=6,"H","A"),IF(K448&gt;=2,IF(J448&gt;=20,"H",IF(J448&lt;=5,"L","A")),IF(J448&lt;=19,"L","A"))),IF(OR(H448="ALI",H448="AIE"),IF(K448&gt;=6,IF(J448&gt;=20,"H","A"),IF(K448&gt;=2,IF(J448&gt;=51,"H",IF(J448&lt;=19,"L","A")),IF(J448&lt;=50,"L","A")))))))</f>
        <v/>
      </c>
      <c r="N448" s="52">
        <f>IF(M448="L","Baixa",IF(M448="A","Média",IF(M448="","","Alta")))</f>
        <v/>
      </c>
      <c r="O448" s="53">
        <f>IF(ISBLANK(H448),"",IF(H448="ALI",IF(M448="L",7,IF(M448="A",10,15)),IF(H448="AIE",IF(M448="L",5,IF(M448="A",7,10)),IF(H448="SE",IF(M448="L",4,IF(M448="A",5,7)),IF(OR(H448="EE",H448="CE"),IF(M448="L",3,IF(M448="A",4,6)))))))</f>
        <v/>
      </c>
      <c r="P448" s="54">
        <f>IF(I448="I",O448*Contagem!$W$15,IF(I448="E",O448*Contagem!$W$17,IF(I448="A",O448*Contagem!$W$16,IF(I448="T",O448*Contagem!$W$18,""))))</f>
        <v/>
      </c>
      <c r="Q448" s="55" t="n"/>
    </row>
    <row r="449" ht="12" customHeight="1" s="73">
      <c r="A449" s="14">
        <f>IF(H449="",IF(C449="",A448,A448+1),A448)</f>
        <v/>
      </c>
      <c r="B449" s="48">
        <f>IF(A449=A448,"",CONCATENATE("F",A449))</f>
        <v/>
      </c>
      <c r="C449" s="85" t="inlineStr">
        <is>
          <t>Renovação - consultar viabilidades renováveis</t>
        </is>
      </c>
      <c r="D449" s="142" t="n"/>
      <c r="E449" s="142" t="n"/>
      <c r="F449" s="142" t="n"/>
      <c r="G449" s="143" t="n"/>
      <c r="H449" s="56" t="inlineStr">
        <is>
          <t>SE</t>
        </is>
      </c>
      <c r="I449" s="57" t="inlineStr">
        <is>
          <t>I</t>
        </is>
      </c>
      <c r="J449" s="56" t="n">
        <v>8</v>
      </c>
      <c r="K449" s="56" t="n">
        <v>5</v>
      </c>
      <c r="L449" s="50">
        <f>CONCATENATE(H449,M449)</f>
        <v/>
      </c>
      <c r="M449" s="51">
        <f>IF(OR(ISBLANK(J449),ISBLANK(K449)),IF(OR(H449="ALI",H449="AIE"),"L",IF(ISBLANK(H449),"","A")),IF(H449="EE",IF(K449&gt;=3,IF(J449&gt;=5,"H","A"),IF(K449&gt;=2,IF(J449&gt;=16,"H",IF(J449&lt;=4,"L","A")),IF(J449&lt;=15,"L","A"))),IF(OR(H449="SE",H449="CE"),IF(K449&gt;=4,IF(J449&gt;=6,"H","A"),IF(K449&gt;=2,IF(J449&gt;=20,"H",IF(J449&lt;=5,"L","A")),IF(J449&lt;=19,"L","A"))),IF(OR(H449="ALI",H449="AIE"),IF(K449&gt;=6,IF(J449&gt;=20,"H","A"),IF(K449&gt;=2,IF(J449&gt;=51,"H",IF(J449&lt;=19,"L","A")),IF(J449&lt;=50,"L","A")))))))</f>
        <v/>
      </c>
      <c r="N449" s="52">
        <f>IF(M449="L","Baixa",IF(M449="A","Média",IF(M449="","","Alta")))</f>
        <v/>
      </c>
      <c r="O449" s="53">
        <f>IF(ISBLANK(H449),"",IF(H449="ALI",IF(M449="L",7,IF(M449="A",10,15)),IF(H449="AIE",IF(M449="L",5,IF(M449="A",7,10)),IF(H449="SE",IF(M449="L",4,IF(M449="A",5,7)),IF(OR(H449="EE",H449="CE"),IF(M449="L",3,IF(M449="A",4,6)))))))</f>
        <v/>
      </c>
      <c r="P449" s="54">
        <f>IF(I449="I",O449*Contagem!$W$15,IF(I449="E",O449*Contagem!$W$17,IF(I449="A",O449*Contagem!$W$16,IF(I449="T",O449*Contagem!$W$18,""))))</f>
        <v/>
      </c>
      <c r="Q449" s="55" t="inlineStr">
        <is>
          <t>Prova: Rota GET /portal/renovacao (auth:web, portal.solicitacao). Tela: portal/renovacao/index. Lista as viabilidades locacionais das empresas do cidadão; RenovacaoElegibilidadeService deriva elegibilidade e motivo pelo intervalo do parâmetro renovacao.intervalo_meses e pela existência de renovação em aberto. Desde 15/10/2026 a rota passa pelo interruptor portal.solicitacao (config features.portal_solicitacao, variável de ambiente): desligado, volta ao painel com aviso. É configuração técnica, não Parâmetro, e não cria função (teste tests/Feature/Portal/PortalSolicitacaoInterruptorTest.php::test_desligado_bloqueia_a_renovacao). Teste: tests/Feature/Renovacao/RenovacaoPortalTest.php::test_lista_so_os_tvls_das_empresas_do_cidadao. Processo elementar independente: menor unidade com significado para o requerente; completa por si (abre a lista); não grava; lógica única de cálculo de elegibilidade à renovação. Classificação: elegibilidade e motivo são dados derivados por regra com parâmetro de prazo, portanto SE. TD=8 (número da viabilidade, empresa, CNPJ, data de emissão, validade, elegível, motivo da inelegibilidade, ação consultar). AR=5 (Solicitação de viabilidade, Decisão de viabilidade, Empresa, Vínculo de usuário com empresa, Parâmetro). Recontagem 16/10/2026: alterada (linha 461 da contagem de 01/10/2026: "Renovação - consultar TVLs renováveis", SE Alta 7 PF, TD 8, AR 5). Motivo: Só o nome: 'TVLs renováveis' passa a 'viabilidades renováveis', como a tela chama desde 05/10/2026. TD, AR e tipo mantidos.</t>
        </is>
      </c>
    </row>
    <row r="450" ht="12" customHeight="1" s="73">
      <c r="A450" s="14">
        <f>IF(H450="",IF(C450="",A449,A449+1),A449)</f>
        <v/>
      </c>
      <c r="B450" s="48">
        <f>IF(A450=A449,"",CONCATENATE("F",A450))</f>
        <v/>
      </c>
      <c r="C450" s="85" t="inlineStr">
        <is>
          <t>Renovação - localizar viabilidade por CNPJ</t>
        </is>
      </c>
      <c r="D450" s="142" t="n"/>
      <c r="E450" s="142" t="n"/>
      <c r="F450" s="142" t="n"/>
      <c r="G450" s="143" t="n"/>
      <c r="H450" s="56" t="inlineStr">
        <is>
          <t>SE</t>
        </is>
      </c>
      <c r="I450" s="57" t="inlineStr">
        <is>
          <t>I</t>
        </is>
      </c>
      <c r="J450" s="56" t="n">
        <v>10</v>
      </c>
      <c r="K450" s="56" t="n">
        <v>7</v>
      </c>
      <c r="L450" s="50">
        <f>CONCATENATE(H450,M450)</f>
        <v/>
      </c>
      <c r="M450" s="51">
        <f>IF(OR(ISBLANK(J450),ISBLANK(K450)),IF(OR(H450="ALI",H450="AIE"),"L",IF(ISBLANK(H450),"","A")),IF(H450="EE",IF(K450&gt;=3,IF(J450&gt;=5,"H","A"),IF(K450&gt;=2,IF(J450&gt;=16,"H",IF(J450&lt;=4,"L","A")),IF(J450&lt;=15,"L","A"))),IF(OR(H450="SE",H450="CE"),IF(K450&gt;=4,IF(J450&gt;=6,"H","A"),IF(K450&gt;=2,IF(J450&gt;=20,"H",IF(J450&lt;=5,"L","A")),IF(J450&lt;=19,"L","A"))),IF(OR(H450="ALI",H450="AIE"),IF(K450&gt;=6,IF(J450&gt;=20,"H","A"),IF(K450&gt;=2,IF(J450&gt;=51,"H",IF(J450&lt;=19,"L","A")),IF(J450&lt;=50,"L","A")))))))</f>
        <v/>
      </c>
      <c r="N450" s="52">
        <f>IF(M450="L","Baixa",IF(M450="A","Média",IF(M450="","","Alta")))</f>
        <v/>
      </c>
      <c r="O450" s="53">
        <f>IF(ISBLANK(H450),"",IF(H450="ALI",IF(M450="L",7,IF(M450="A",10,15)),IF(H450="AIE",IF(M450="L",5,IF(M450="A",7,10)),IF(H450="SE",IF(M450="L",4,IF(M450="A",5,7)),IF(OR(H450="EE",H450="CE"),IF(M450="L",3,IF(M450="A",4,6)))))))</f>
        <v/>
      </c>
      <c r="P450" s="54">
        <f>IF(I450="I",O450*Contagem!$W$15,IF(I450="E",O450*Contagem!$W$17,IF(I450="A",O450*Contagem!$W$16,IF(I450="T",O450*Contagem!$W$18,""))))</f>
        <v/>
      </c>
      <c r="Q450" s="55" t="inlineStr">
        <is>
          <t>Prova: Rota POST /portal/renovacao/consultar-cnpj (auth:web, portal.solicitacao). Tela: portal/renovacao/index. O cidadão informa o CNPJ; RenovacaoController consulta o cadastro da SEDUR via SedurContatoClient e cruza com as viabilidades locais, derivando a elegibilidade. Desde 15/10/2026 a rota passa pelo interruptor portal.solicitacao (config features.portal_solicitacao, variável de ambiente): desligado, volta ao painel com aviso. É configuração técnica, não Parâmetro, e não cria função (teste tests/Feature/Portal/PortalSolicitacaoInterruptorTest.php::test_desligado_bloqueia_a_renovacao). Teste: tests/Feature/Renovacao/RenovacaoConsultaCnpjTest.php::test_consulta_cnpj_devolve_cadastro_da_sedur_e_a_viabilidade_local. Registros automáticos contados como FTR (premissa P4): Chamada de integração: listener síncrono RegistrarChamadaIntegracao grava cada chamada HTTP de saída (IntegrationCallRecorder). Processo elementar independente: menor unidade com significado para o requerente; completa por si (informa CNPJ e recebe o resultado); não grava; lógica única de localização com cadastro externo e elegibilidade. Classificação: combina dado externo com elegibilidade derivada, portanto SE. TD=10 (CNPJ, razão social, situação cadastral, endereço, número da viabilidade, data de emissão, validade, elegível, mensagem, ação consultar). AR=7 (Contato cadastral da SEDUR (CNPJ), Empresa, Vínculo de usuário com empresa, Solicitação de viabilidade, Decisão de viabilidade, Parâmetro, Chamada de integração). Para demonstrar: integrations.sedur_contato configurada. Recontagem 16/10/2026: alterada (linha 462 da contagem de 01/10/2026: "Renovação - localizar TVL por CNPJ", SE Alta 7 PF, TD 10, AR 6). Motivo: Nome: 'TVL' passa a 'viabilidade', como a tela chama desde 05/10/2026. AR 6→7: entra a Chamada de integração, gravada pelo listener síncrono RegistrarChamadaIntegracao na chamada ao ws-contato da SEDUR (SedurContatoClient usa o cliente HTTP do Laravel). PF inalterado (Alta).</t>
        </is>
      </c>
    </row>
    <row r="451" ht="12" customHeight="1" s="73">
      <c r="A451" s="14">
        <f>IF(H451="",IF(C451="",A450,A450+1),A450)</f>
        <v/>
      </c>
      <c r="B451" s="48">
        <f>IF(A451=A450,"",CONCATENATE("F",A451))</f>
        <v/>
      </c>
      <c r="C451" s="85" t="inlineStr">
        <is>
          <t>Renovação - consultar dados da renovação</t>
        </is>
      </c>
      <c r="D451" s="142" t="n"/>
      <c r="E451" s="142" t="n"/>
      <c r="F451" s="142" t="n"/>
      <c r="G451" s="143" t="n"/>
      <c r="H451" s="56" t="inlineStr">
        <is>
          <t>CE</t>
        </is>
      </c>
      <c r="I451" s="57" t="inlineStr">
        <is>
          <t>I</t>
        </is>
      </c>
      <c r="J451" s="56" t="n">
        <v>12</v>
      </c>
      <c r="K451" s="56" t="n">
        <v>6</v>
      </c>
      <c r="L451" s="50">
        <f>CONCATENATE(H451,M451)</f>
        <v/>
      </c>
      <c r="M451" s="51">
        <f>IF(OR(ISBLANK(J451),ISBLANK(K451)),IF(OR(H451="ALI",H451="AIE"),"L",IF(ISBLANK(H451),"","A")),IF(H451="EE",IF(K451&gt;=3,IF(J451&gt;=5,"H","A"),IF(K451&gt;=2,IF(J451&gt;=16,"H",IF(J451&lt;=4,"L","A")),IF(J451&lt;=15,"L","A"))),IF(OR(H451="SE",H451="CE"),IF(K451&gt;=4,IF(J451&gt;=6,"H","A"),IF(K451&gt;=2,IF(J451&gt;=20,"H",IF(J451&lt;=5,"L","A")),IF(J451&lt;=19,"L","A"))),IF(OR(H451="ALI",H451="AIE"),IF(K451&gt;=6,IF(J451&gt;=20,"H","A"),IF(K451&gt;=2,IF(J451&gt;=51,"H",IF(J451&lt;=19,"L","A")),IF(J451&lt;=50,"L","A")))))))</f>
        <v/>
      </c>
      <c r="N451" s="52">
        <f>IF(M451="L","Baixa",IF(M451="A","Média",IF(M451="","","Alta")))</f>
        <v/>
      </c>
      <c r="O451" s="53">
        <f>IF(ISBLANK(H451),"",IF(H451="ALI",IF(M451="L",7,IF(M451="A",10,15)),IF(H451="AIE",IF(M451="L",5,IF(M451="A",7,10)),IF(H451="SE",IF(M451="L",4,IF(M451="A",5,7)),IF(OR(H451="EE",H451="CE"),IF(M451="L",3,IF(M451="A",4,6)))))))</f>
        <v/>
      </c>
      <c r="P451" s="54">
        <f>IF(I451="I",O451*Contagem!$W$15,IF(I451="E",O451*Contagem!$W$17,IF(I451="A",O451*Contagem!$W$16,IF(I451="T",O451*Contagem!$W$18,""))))</f>
        <v/>
      </c>
      <c r="Q451" s="55" t="inlineStr">
        <is>
          <t>Prova: Rota GET /portal/renovacao/{origem} (auth:web, portal.solicitacao). Tela: portal/renovacao/wizard. Confere o vínculo com a empresa e a elegibilidade (inelegível volta à lista com o motivo) e mostra os dados herdados da viabilidade de origem e as declarações vigentes do tipo de serviço de renovação. Desde 15/10/2026 a rota passa pelo interruptor portal.solicitacao (config features.portal_solicitacao, variável de ambiente): desligado, volta ao painel com aviso. É configuração técnica, não Parâmetro, e não cria função (teste tests/Feature/Portal/PortalSolicitacaoInterruptorTest.php::test_desligado_bloqueia_a_renovacao). Teste: tests/Feature/Renovacao/RenovacaoPortalTest.php::test_wizard_de_tvl_elegivel_traz_declaracoes; tests/Feature/Renovacao/RenovacaoPortalTest.php::test_wizard_de_tvl_inelegivel_volta_com_motivo. Processo elementar independente: menor unidade com significado para o requerente; completa por si (abre a renovação de uma viabilidade); não grava; lógica única de preparação do pedido com dados herdados. Entrega consulta completa dos dados de origem, por isso não é mera tela de formulário. Classificação: recupera e mostra; a elegibilidade só filtra o acesso e não é apresentada como resultado calculado; não grava, portanto CE. TD=12 (número da viabilidade de origem, empresa, CNPJ, endereço do imóvel, atividades (CNAE), tipo da viabilidade, validade, e-mail, telefone, declarações exigidas, motivo da inelegibilidade, ação abrir). AR=6 (Solicitação de viabilidade, Decisão de viabilidade, Empresa, CNAE, Vínculo de usuário com empresa, Parâmetro). Recontagem 16/10/2026: mantida (linha 463 da contagem de 01/10/2026).</t>
        </is>
      </c>
    </row>
    <row r="452" ht="12" customHeight="1" s="73">
      <c r="A452" s="14">
        <f>IF(H452="",IF(C452="",A451,A451+1),A451)</f>
        <v/>
      </c>
      <c r="B452" s="48">
        <f>IF(A452=A451,"",CONCATENATE("F",A452))</f>
        <v/>
      </c>
      <c r="C452" s="85" t="inlineStr">
        <is>
          <t>Renovação - protocolar renovação</t>
        </is>
      </c>
      <c r="D452" s="142" t="n"/>
      <c r="E452" s="142" t="n"/>
      <c r="F452" s="142" t="n"/>
      <c r="G452" s="143" t="n"/>
      <c r="H452" s="56" t="inlineStr">
        <is>
          <t>EE</t>
        </is>
      </c>
      <c r="I452" s="57" t="inlineStr">
        <is>
          <t>I</t>
        </is>
      </c>
      <c r="J452" s="56" t="n">
        <v>6</v>
      </c>
      <c r="K452" s="56" t="n">
        <v>24</v>
      </c>
      <c r="L452" s="50">
        <f>CONCATENATE(H452,M452)</f>
        <v/>
      </c>
      <c r="M452" s="51">
        <f>IF(OR(ISBLANK(J452),ISBLANK(K452)),IF(OR(H452="ALI",H452="AIE"),"L",IF(ISBLANK(H452),"","A")),IF(H452="EE",IF(K452&gt;=3,IF(J452&gt;=5,"H","A"),IF(K452&gt;=2,IF(J452&gt;=16,"H",IF(J452&lt;=4,"L","A")),IF(J452&lt;=15,"L","A"))),IF(OR(H452="SE",H452="CE"),IF(K452&gt;=4,IF(J452&gt;=6,"H","A"),IF(K452&gt;=2,IF(J452&gt;=20,"H",IF(J452&lt;=5,"L","A")),IF(J452&lt;=19,"L","A"))),IF(OR(H452="ALI",H452="AIE"),IF(K452&gt;=6,IF(J452&gt;=20,"H","A"),IF(K452&gt;=2,IF(J452&gt;=51,"H",IF(J452&lt;=19,"L","A")),IF(J452&lt;=50,"L","A")))))))</f>
        <v/>
      </c>
      <c r="N452" s="52">
        <f>IF(M452="L","Baixa",IF(M452="A","Média",IF(M452="","","Alta")))</f>
        <v/>
      </c>
      <c r="O452" s="53">
        <f>IF(ISBLANK(H452),"",IF(H452="ALI",IF(M452="L",7,IF(M452="A",10,15)),IF(H452="AIE",IF(M452="L",5,IF(M452="A",7,10)),IF(H452="SE",IF(M452="L",4,IF(M452="A",5,7)),IF(OR(H452="EE",H452="CE"),IF(M452="L",3,IF(M452="A",4,6)))))))</f>
        <v/>
      </c>
      <c r="P452" s="54">
        <f>IF(I452="I",O452*Contagem!$W$15,IF(I452="E",O452*Contagem!$W$17,IF(I452="A",O452*Contagem!$W$16,IF(I452="T",O452*Contagem!$W$18,""))))</f>
        <v/>
      </c>
      <c r="Q452" s="55" t="inlineStr">
        <is>
          <t>Prova: Rota POST /portal/renovacao/{origem} (auth:web, portal.solicitacao). Tela: portal/renovacao/wizard. O cidadão confirma contatos e aceita as declarações; RenovacaoProtocoloService confere a elegibilidade e as declarações obrigatórias, cria a nova solicitação a partir da origem (endereço e atividades copiados), grava os aceites com a versão, atualiza o contato da empresa, gera o número e registra a tramitação; fora da transação completa o território (ProtocolarSolicitacaoService::completarTerritorio), põe o processo no setor de triagem e envia à análise (EnviarParaAnaliseService). Desde 15/10/2026 a rota passa pelo interruptor portal.solicitacao (config features.portal_solicitacao, variável de ambiente): desligado, volta ao painel com aviso. É configuração técnica, não Parâmetro, e não cria função (teste tests/Feature/Portal/PortalSolicitacaoInterruptorTest.php::test_desligado_bloqueia_a_renovacao). Teste: tests/Feature/Renovacao/RenovacaoPortalTest.php::test_protocolar_renovacao_pelo_portal; tests/Feature/Renovacao/RenovacaoTerritorioMotorTest.php::test_protocolo_completa_territorio_e_deixa_o_motor_na_ficha. Registros automáticos contados como FTR (premissa P4): Trilha de auditoria: AuditService::log ou HasAuditoria do model no mesmo request; Chamada de integração: listener síncrono RegistrarChamadaIntegracao grava cada chamada HTTP de saída (IntegrationCallRecorder). Processo elementar independente: menor unidade com significado para o requerente; completa por si (confirma e protocola); deixa a renovação protocolada, com aceites registrados e na fila de análise; lógica única de renovação a partir da viabilidade de origem, distinta do protocolo comum (sem documentos, sem simulação, sem fluxo expresso). Classificação: mantém solicitação e empresa, EE. TD=6 (e-mail, telefone, celular, declarações aceitas, mensagem, ação protocolar). AR=24 (Solicitação de viabilidade, Empresa, Decisão de viabilidade, Vínculo de usuário com empresa, Parâmetro, Setor, Feriado, Cadastro imobiliário da SEFAZ, Endereços geocodificados do OpenStreetMap, Camada geográfica, Zonas urbanísticas do GeoServer da SEDUR, Classificação viária dos logradouros do GeoServer da SEDUR, Lotes do endereçamento do GeoServer da SEDUR, Lotes por inscrição do SEMAP, Ficha de análise técnica, CNAE, Planilha de enquadramento, Permissão de uso por zona (Quadro 10), Condição de instalação por via (Quadro 11A), Classificação de risco municipal, Regra territorial, Texto decisório, Trilha de auditoria, Chamada de integração). Recontagem (catálogo): Versão de regras deixou de ser arquivo lógico próprio e é subgrupo de arquivo já listado no AR; AR ajustado. Recontagem 16/10/2026: alterada (linha 464 da contagem de 01/10/2026: "Renovação - protocolar renovação", EE Alta 6 PF, TD 6, AR 6). Motivo: AR 6→25. Desde 07–14/10/2026 RenovacaoProtocoloService completa o território como no protocolo comum (SEFAZ, OpenStreetMap, camadas, zona e classe viária do GeoServer, lotes do endereçamento e do SEMAP), põe o processo no setor de triagem (Parâmetro analise.setor_triagem_id, Setor) e envia à análise: EnviarParaAnaliseService calcula o prazo em dias úteis (AnalysisSlaService com BusinessDeadlineCalculator, que lê Feriado) e dispara EncaminhadoParaAnalise, cujo listener síncrono PreAnalisarProcesso roda o motor (CNAE, planilha, Quadros 10 e 11A, risco, versões, regra territorial, textos) e grava a Ficha de análise técnica. O Aceite de declaração passa a subgrupo da Solicitação e Tipo de serviço sai. PF inalterado (Alta). Catálogo: retirado Versão de regras (subgrupo de outro arquivo).</t>
        </is>
      </c>
    </row>
    <row r="453" ht="12" customHeight="1" s="73">
      <c r="A453" s="14">
        <f>IF(H453="",IF(C453="",A452,A452+1),A452)</f>
        <v/>
      </c>
      <c r="B453" s="48">
        <f>IF(A453=A452,"",CONCATENATE("F",A453))</f>
        <v/>
      </c>
      <c r="C453" s="85" t="n"/>
      <c r="D453" s="142" t="n"/>
      <c r="E453" s="142" t="n"/>
      <c r="F453" s="142" t="n"/>
      <c r="G453" s="143" t="n"/>
      <c r="H453" s="56" t="n"/>
      <c r="I453" s="57" t="n"/>
      <c r="J453" s="56" t="n"/>
      <c r="K453" s="56" t="n"/>
      <c r="L453" s="50">
        <f>CONCATENATE(H453,M453)</f>
        <v/>
      </c>
      <c r="M453" s="51">
        <f>IF(OR(ISBLANK(J453),ISBLANK(K453)),IF(OR(H453="ALI",H453="AIE"),"L",IF(ISBLANK(H453),"","A")),IF(H453="EE",IF(K453&gt;=3,IF(J453&gt;=5,"H","A"),IF(K453&gt;=2,IF(J453&gt;=16,"H",IF(J453&lt;=4,"L","A")),IF(J453&lt;=15,"L","A"))),IF(OR(H453="SE",H453="CE"),IF(K453&gt;=4,IF(J453&gt;=6,"H","A"),IF(K453&gt;=2,IF(J453&gt;=20,"H",IF(J453&lt;=5,"L","A")),IF(J453&lt;=19,"L","A"))),IF(OR(H453="ALI",H453="AIE"),IF(K453&gt;=6,IF(J453&gt;=20,"H","A"),IF(K453&gt;=2,IF(J453&gt;=51,"H",IF(J453&lt;=19,"L","A")),IF(J453&lt;=50,"L","A")))))))</f>
        <v/>
      </c>
      <c r="N453" s="52">
        <f>IF(M453="L","Baixa",IF(M453="A","Média",IF(M453="","","Alta")))</f>
        <v/>
      </c>
      <c r="O453" s="53">
        <f>IF(ISBLANK(H453),"",IF(H453="ALI",IF(M453="L",7,IF(M453="A",10,15)),IF(H453="AIE",IF(M453="L",5,IF(M453="A",7,10)),IF(H453="SE",IF(M453="L",4,IF(M453="A",5,7)),IF(OR(H453="EE",H453="CE"),IF(M453="L",3,IF(M453="A",4,6)))))))</f>
        <v/>
      </c>
      <c r="P453" s="54">
        <f>IF(I453="I",O453*Contagem!$W$15,IF(I453="E",O453*Contagem!$W$17,IF(I453="A",O453*Contagem!$W$16,IF(I453="T",O453*Contagem!$W$18,""))))</f>
        <v/>
      </c>
      <c r="Q453" s="55" t="n"/>
    </row>
    <row r="454" ht="12" customHeight="1" s="73">
      <c r="A454" s="14">
        <f>IF(H454="",IF(C454="",A453,A453+1),A453)</f>
        <v/>
      </c>
      <c r="B454" s="48">
        <f>IF(A454=A453,"",CONCATENATE("F",A454))</f>
        <v/>
      </c>
      <c r="C454" s="85" t="inlineStr">
        <is>
          <t>Verificação pública de documentos</t>
        </is>
      </c>
      <c r="D454" s="142" t="n"/>
      <c r="E454" s="142" t="n"/>
      <c r="F454" s="142" t="n"/>
      <c r="G454" s="143" t="n"/>
      <c r="H454" s="56" t="n"/>
      <c r="I454" s="57" t="n"/>
      <c r="J454" s="56" t="n"/>
      <c r="K454" s="56" t="n"/>
      <c r="L454" s="50">
        <f>CONCATENATE(H454,M454)</f>
        <v/>
      </c>
      <c r="M454" s="51">
        <f>IF(OR(ISBLANK(J454),ISBLANK(K454)),IF(OR(H454="ALI",H454="AIE"),"L",IF(ISBLANK(H454),"","A")),IF(H454="EE",IF(K454&gt;=3,IF(J454&gt;=5,"H","A"),IF(K454&gt;=2,IF(J454&gt;=16,"H",IF(J454&lt;=4,"L","A")),IF(J454&lt;=15,"L","A"))),IF(OR(H454="SE",H454="CE"),IF(K454&gt;=4,IF(J454&gt;=6,"H","A"),IF(K454&gt;=2,IF(J454&gt;=20,"H",IF(J454&lt;=5,"L","A")),IF(J454&lt;=19,"L","A"))),IF(OR(H454="ALI",H454="AIE"),IF(K454&gt;=6,IF(J454&gt;=20,"H","A"),IF(K454&gt;=2,IF(J454&gt;=51,"H",IF(J454&lt;=19,"L","A")),IF(J454&lt;=50,"L","A")))))))</f>
        <v/>
      </c>
      <c r="N454" s="52">
        <f>IF(M454="L","Baixa",IF(M454="A","Média",IF(M454="","","Alta")))</f>
        <v/>
      </c>
      <c r="O454" s="53">
        <f>IF(ISBLANK(H454),"",IF(H454="ALI",IF(M454="L",7,IF(M454="A",10,15)),IF(H454="AIE",IF(M454="L",5,IF(M454="A",7,10)),IF(H454="SE",IF(M454="L",4,IF(M454="A",5,7)),IF(OR(H454="EE",H454="CE"),IF(M454="L",3,IF(M454="A",4,6)))))))</f>
        <v/>
      </c>
      <c r="P454" s="54">
        <f>IF(I454="I",O454*Contagem!$W$15,IF(I454="E",O454*Contagem!$W$17,IF(I454="A",O454*Contagem!$W$16,IF(I454="T",O454*Contagem!$W$18,""))))</f>
        <v/>
      </c>
      <c r="Q454" s="55" t="n"/>
    </row>
    <row r="455" ht="12" customHeight="1" s="73">
      <c r="A455" s="14">
        <f>IF(H455="",IF(C455="",A454,A454+1),A454)</f>
        <v/>
      </c>
      <c r="B455" s="48">
        <f>IF(A455=A454,"",CONCATENATE("F",A455))</f>
        <v/>
      </c>
      <c r="C455" s="85" t="inlineStr">
        <is>
          <t>Documentos oficiais - verificar autenticidade</t>
        </is>
      </c>
      <c r="D455" s="142" t="n"/>
      <c r="E455" s="142" t="n"/>
      <c r="F455" s="142" t="n"/>
      <c r="G455" s="143" t="n"/>
      <c r="H455" s="56" t="inlineStr">
        <is>
          <t>SE</t>
        </is>
      </c>
      <c r="I455" s="57" t="inlineStr">
        <is>
          <t>I</t>
        </is>
      </c>
      <c r="J455" s="56" t="n">
        <v>7</v>
      </c>
      <c r="K455" s="56" t="n">
        <v>3</v>
      </c>
      <c r="L455" s="50">
        <f>CONCATENATE(H455,M455)</f>
        <v/>
      </c>
      <c r="M455" s="51">
        <f>IF(OR(ISBLANK(J455),ISBLANK(K455)),IF(OR(H455="ALI",H455="AIE"),"L",IF(ISBLANK(H455),"","A")),IF(H455="EE",IF(K455&gt;=3,IF(J455&gt;=5,"H","A"),IF(K455&gt;=2,IF(J455&gt;=16,"H",IF(J455&lt;=4,"L","A")),IF(J455&lt;=15,"L","A"))),IF(OR(H455="SE",H455="CE"),IF(K455&gt;=4,IF(J455&gt;=6,"H","A"),IF(K455&gt;=2,IF(J455&gt;=20,"H",IF(J455&lt;=5,"L","A")),IF(J455&lt;=19,"L","A"))),IF(OR(H455="ALI",H455="AIE"),IF(K455&gt;=6,IF(J455&gt;=20,"H","A"),IF(K455&gt;=2,IF(J455&gt;=51,"H",IF(J455&lt;=19,"L","A")),IF(J455&lt;=50,"L","A")))))))</f>
        <v/>
      </c>
      <c r="N455" s="52">
        <f>IF(M455="L","Baixa",IF(M455="A","Média",IF(M455="","","Alta")))</f>
        <v/>
      </c>
      <c r="O455" s="53">
        <f>IF(ISBLANK(H455),"",IF(H455="ALI",IF(M455="L",7,IF(M455="A",10,15)),IF(H455="AIE",IF(M455="L",5,IF(M455="A",7,10)),IF(H455="SE",IF(M455="L",4,IF(M455="A",5,7)),IF(OR(H455="EE",H455="CE"),IF(M455="L",3,IF(M455="A",4,6)))))))</f>
        <v/>
      </c>
      <c r="P455" s="54">
        <f>IF(I455="I",O455*Contagem!$W$15,IF(I455="E",O455*Contagem!$W$17,IF(I455="A",O455*Contagem!$W$16,IF(I455="T",O455*Contagem!$W$18,""))))</f>
        <v/>
      </c>
      <c r="Q455" s="55" t="inlineStr">
        <is>
          <t>Prova: Rota GET /verificar-documento/{codigo} (pública, throttle:consulta-protocolo). Tela: verificacao-documento. Qualquer pessoa informa o código impresso; VerificacaoDocumentoService procura viabilidade locacional emitida (TVL-), documento de indeferimento (IND-) ou, para o comprovante (CMP-), recalcula o HMAC e confere o protocolo; devolve tipo, protocolo e data, sem dado sensível; código adulterado ou inexistente é inválido. O controller audita cada consulta. Teste: tests/Feature/Documentos/VerificacaoDocumentoTest.php::test_codigo_tvl_valido_confirma_autenticidade_sem_expor_dados_sensiveis; tests/Feature/Documentos/VerificacaoDocumentoTest.php::test_codigo_de_comprovante_adulterado_e_invalido. Registros automáticos contados como FTR (premissa P4): Trilha de auditoria: AuditService::log ou HasAuditoria do model no mesmo request. Processo elementar independente: menor unidade com significado para quem recebe um documento da SEDUR; completa por si (código informado até a resposta); deixa o negócio consistente (só leitura de negócio, consulta auditada); lógica única (autenticidade pública de documento emitido). Classificação: tem cálculo (HMAC recomputado) e atualiza um ALI (Trilha de auditoria), portanto SE e não CE. TD=7 (código de verificação, válido, tipo de documento, protocolo, data, mensagem (inválido), ação verificar). AR=3 (Decisão de viabilidade, Solicitação de viabilidade, Trilha de auditoria). Recontagem (catálogo): Termo de Viabilidade de Localização emitido, Documento de indeferimento emitido deixou de ser arquivo lógico próprio e é subgrupo de arquivo já listado no AR; AR ajustado. Recontagem 16/10/2026: alterada (linha 19 da contagem de 01/10/2026: "Documentos oficiais - verificar autenticidade", CE Média 4 PF, TD 7, AR 3). Motivo: CE→SE e AR 3→5: a verificação recalcula o HMAC do código do comprovante (cálculo) e grava a Trilha de auditoria a cada consulta, o que pela regra do §5.5.3 impede CE; entram Decisão de viabilidade (o protocolo do TVL e do indeferimento é lido pela decisão) e Trilha de auditoria. PF 4→7. Catálogo: retirado Termo de Viabilidade de Localização emitido, Documento de indeferimento emitido (subgrupo de outro arquivo).</t>
        </is>
      </c>
    </row>
    <row r="456" ht="12" customHeight="1" s="73">
      <c r="A456" s="14">
        <f>IF(H456="",IF(C456="",A455,A455+1),A455)</f>
        <v/>
      </c>
      <c r="B456" s="48">
        <f>IF(A456=A455,"",CONCATENATE("F",A456))</f>
        <v/>
      </c>
      <c r="C456" s="85" t="n"/>
      <c r="D456" s="142" t="n"/>
      <c r="E456" s="142" t="n"/>
      <c r="F456" s="142" t="n"/>
      <c r="G456" s="143" t="n"/>
      <c r="H456" s="56" t="n"/>
      <c r="I456" s="57" t="n"/>
      <c r="J456" s="56" t="n"/>
      <c r="K456" s="56" t="n"/>
      <c r="L456" s="50">
        <f>CONCATENATE(H456,M456)</f>
        <v/>
      </c>
      <c r="M456" s="51">
        <f>IF(OR(ISBLANK(J456),ISBLANK(K456)),IF(OR(H456="ALI",H456="AIE"),"L",IF(ISBLANK(H456),"","A")),IF(H456="EE",IF(K456&gt;=3,IF(J456&gt;=5,"H","A"),IF(K456&gt;=2,IF(J456&gt;=16,"H",IF(J456&lt;=4,"L","A")),IF(J456&lt;=15,"L","A"))),IF(OR(H456="SE",H456="CE"),IF(K456&gt;=4,IF(J456&gt;=6,"H","A"),IF(K456&gt;=2,IF(J456&gt;=20,"H",IF(J456&lt;=5,"L","A")),IF(J456&lt;=19,"L","A"))),IF(OR(H456="ALI",H456="AIE"),IF(K456&gt;=6,IF(J456&gt;=20,"H","A"),IF(K456&gt;=2,IF(J456&gt;=51,"H",IF(J456&lt;=19,"L","A")),IF(J456&lt;=50,"L","A")))))))</f>
        <v/>
      </c>
      <c r="N456" s="52">
        <f>IF(M456="L","Baixa",IF(M456="A","Média",IF(M456="","","Alta")))</f>
        <v/>
      </c>
      <c r="O456" s="53">
        <f>IF(ISBLANK(H456),"",IF(H456="ALI",IF(M456="L",7,IF(M456="A",10,15)),IF(H456="AIE",IF(M456="L",5,IF(M456="A",7,10)),IF(H456="SE",IF(M456="L",4,IF(M456="A",5,7)),IF(OR(H456="EE",H456="CE"),IF(M456="L",3,IF(M456="A",4,6)))))))</f>
        <v/>
      </c>
      <c r="P456" s="54">
        <f>IF(I456="I",O456*Contagem!$W$15,IF(I456="E",O456*Contagem!$W$17,IF(I456="A",O456*Contagem!$W$16,IF(I456="T",O456*Contagem!$W$18,""))))</f>
        <v/>
      </c>
      <c r="Q456" s="55" t="n"/>
    </row>
    <row r="457" ht="12" customHeight="1" s="73">
      <c r="A457" s="14">
        <f>IF(H457="",IF(C457="",A456,A456+1),A456)</f>
        <v/>
      </c>
      <c r="B457" s="48">
        <f>IF(A457=A456,"",CONCATENATE("F",A457))</f>
        <v/>
      </c>
      <c r="C457" s="85" t="inlineStr">
        <is>
          <t>Dados externos consultados pelo Viabiliza</t>
        </is>
      </c>
      <c r="D457" s="142" t="n"/>
      <c r="E457" s="142" t="n"/>
      <c r="F457" s="142" t="n"/>
      <c r="G457" s="143" t="n"/>
      <c r="H457" s="56" t="n"/>
      <c r="I457" s="57" t="n"/>
      <c r="J457" s="56" t="n"/>
      <c r="K457" s="56" t="n"/>
      <c r="L457" s="50">
        <f>CONCATENATE(H457,M457)</f>
        <v/>
      </c>
      <c r="M457" s="51">
        <f>IF(OR(ISBLANK(J457),ISBLANK(K457)),IF(OR(H457="ALI",H457="AIE"),"L",IF(ISBLANK(H457),"","A")),IF(H457="EE",IF(K457&gt;=3,IF(J457&gt;=5,"H","A"),IF(K457&gt;=2,IF(J457&gt;=16,"H",IF(J457&lt;=4,"L","A")),IF(J457&lt;=15,"L","A"))),IF(OR(H457="SE",H457="CE"),IF(K457&gt;=4,IF(J457&gt;=6,"H","A"),IF(K457&gt;=2,IF(J457&gt;=20,"H",IF(J457&lt;=5,"L","A")),IF(J457&lt;=19,"L","A"))),IF(OR(H457="ALI",H457="AIE"),IF(K457&gt;=6,IF(J457&gt;=20,"H","A"),IF(K457&gt;=2,IF(J457&gt;=51,"H",IF(J457&lt;=19,"L","A")),IF(J457&lt;=50,"L","A")))))))</f>
        <v/>
      </c>
      <c r="N457" s="52">
        <f>IF(M457="L","Baixa",IF(M457="A","Média",IF(M457="","","Alta")))</f>
        <v/>
      </c>
      <c r="O457" s="53">
        <f>IF(ISBLANK(H457),"",IF(H457="ALI",IF(M457="L",7,IF(M457="A",10,15)),IF(H457="AIE",IF(M457="L",5,IF(M457="A",7,10)),IF(H457="SE",IF(M457="L",4,IF(M457="A",5,7)),IF(OR(H457="EE",H457="CE"),IF(M457="L",3,IF(M457="A",4,6)))))))</f>
        <v/>
      </c>
      <c r="P457" s="54">
        <f>IF(I457="I",O457*Contagem!$W$15,IF(I457="E",O457*Contagem!$W$17,IF(I457="A",O457*Contagem!$W$16,IF(I457="T",O457*Contagem!$W$18,""))))</f>
        <v/>
      </c>
      <c r="Q457" s="55" t="n"/>
    </row>
    <row r="458" ht="12" customHeight="1" s="73">
      <c r="A458" s="14">
        <f>IF(H458="",IF(C458="",A457,A457+1),A457)</f>
        <v/>
      </c>
      <c r="B458" s="48">
        <f>IF(A458=A457,"",CONCATENATE("F",A458))</f>
        <v/>
      </c>
      <c r="C458" s="85" t="inlineStr">
        <is>
          <t>Dados externos - Zonas urbanísticas do GeoServer da SEDUR</t>
        </is>
      </c>
      <c r="D458" s="142" t="n"/>
      <c r="E458" s="142" t="n"/>
      <c r="F458" s="142" t="n"/>
      <c r="G458" s="143" t="n"/>
      <c r="H458" s="56" t="inlineStr">
        <is>
          <t>AIE</t>
        </is>
      </c>
      <c r="I458" s="57" t="inlineStr">
        <is>
          <t>I</t>
        </is>
      </c>
      <c r="J458" s="56" t="n">
        <v>5</v>
      </c>
      <c r="K458" s="56" t="n">
        <v>1</v>
      </c>
      <c r="L458" s="50">
        <f>CONCATENATE(H458,M458)</f>
        <v/>
      </c>
      <c r="M458" s="51">
        <f>IF(OR(ISBLANK(J458),ISBLANK(K458)),IF(OR(H458="ALI",H458="AIE"),"L",IF(ISBLANK(H458),"","A")),IF(H458="EE",IF(K458&gt;=3,IF(J458&gt;=5,"H","A"),IF(K458&gt;=2,IF(J458&gt;=16,"H",IF(J458&lt;=4,"L","A")),IF(J458&lt;=15,"L","A"))),IF(OR(H458="SE",H458="CE"),IF(K458&gt;=4,IF(J458&gt;=6,"H","A"),IF(K458&gt;=2,IF(J458&gt;=20,"H",IF(J458&lt;=5,"L","A")),IF(J458&lt;=19,"L","A"))),IF(OR(H458="ALI",H458="AIE"),IF(K458&gt;=6,IF(J458&gt;=20,"H","A"),IF(K458&gt;=2,IF(J458&gt;=51,"H",IF(J458&lt;=19,"L","A")),IF(J458&lt;=50,"L","A")))))))</f>
        <v/>
      </c>
      <c r="N458" s="52">
        <f>IF(M458="L","Baixa",IF(M458="A","Média",IF(M458="","","Alta")))</f>
        <v/>
      </c>
      <c r="O458" s="53">
        <f>IF(ISBLANK(H458),"",IF(H458="ALI",IF(M458="L",7,IF(M458="A",10,15)),IF(H458="AIE",IF(M458="L",5,IF(M458="A",7,10)),IF(H458="SE",IF(M458="L",4,IF(M458="A",5,7)),IF(OR(H458="EE",H458="CE"),IF(M458="L",3,IF(M458="A",4,6)))))))</f>
        <v/>
      </c>
      <c r="P458" s="54">
        <f>IF(I458="I",O458*Contagem!$W$15,IF(I458="E",O458*Contagem!$W$17,IF(I458="A",O458*Contagem!$W$16,IF(I458="T",O458*Contagem!$W$18,""))))</f>
        <v/>
      </c>
      <c r="Q458" s="55" t="inlineStr">
        <is>
          <t>Prova: app/Services/Geo/GeoServerWfsZonaClient.php faz GetFeature WFS (Http::pool) no GeoServer da SEDUR pelo ponto lat/lng nas camadas ativas de GeoServerLayer e extrai SUBZONA/ZONA/SIGLA_ZONA/IDENTIFICACAO/TIPO_ZEIS/NOME_ZEIS; app/Services/Geo/GeoServerZonaMaiorPorcaoResolver.php traz a geometria das zonas candidatas por BBOX do polígono do lote e calcula a zona da maior porção. Mantido pela SEDUR; o Viabiliza só lê. Usado por TerritoryService e ZonaProcessoService. Teste: tests/Unit/Geo/GeoServerWfsZonaClientTest.php::test_identifica_zona_pelo_subzona_do_wfs; tests/Feature/Geo/ZonaMaiorPorcaoResolverTest.php. Arquivo lógico: zoneamento oficial da LOUOS publicado pela SEDUR no GeoServer, que decide a zona do imóvel; mantido fora da fronteira e apenas consultado. Fronteira com o ALI Zona urbanística: o AIE traz a geometria (em que zona o imóvel cai); o ALI é o catálogo de códigos e nomes mantido no Viabiliza. TD=5 (código da zona/subzona, camada de origem (typeName), tipo de ZEIS, nome de ZEIS, polígono da zona). TR=1 (Zonas urbanísticas do GeoServer da SEDUR). Para demonstrar: features.geoserver_zona ligado e integrations.geoserver.base_url configurado. Recontagem 16/10/2026: alterada (linha 13 da contagem de 01/10/2026: "Dados externos - Zonas urbanísticas do GeoServer da SEDUR", AIE Baixa 5 PF, TD 4, AR 1). Motivo: TD 4→5: desde 01/10 (commits e996d58f, 93cfa2ba) o Viabiliza também lê a geometria das zonas candidatas por BBOX do lote (GeoServerZonaMaiorPorcaoResolver) para achar a zona da maior porção. Complexidade e PF iguais (Baixa, 5).</t>
        </is>
      </c>
    </row>
    <row r="459" ht="12" customHeight="1" s="73">
      <c r="A459" s="14">
        <f>IF(H459="",IF(C459="",A458,A458+1),A458)</f>
        <v/>
      </c>
      <c r="B459" s="48">
        <f>IF(A459=A458,"",CONCATENATE("F",A459))</f>
        <v/>
      </c>
      <c r="C459" s="85" t="inlineStr">
        <is>
          <t>Dados externos - Contato cadastral da SEDUR (CPF)</t>
        </is>
      </c>
      <c r="D459" s="142" t="n"/>
      <c r="E459" s="142" t="n"/>
      <c r="F459" s="142" t="n"/>
      <c r="G459" s="143" t="n"/>
      <c r="H459" s="56" t="inlineStr">
        <is>
          <t>AIE</t>
        </is>
      </c>
      <c r="I459" s="57" t="inlineStr">
        <is>
          <t>I</t>
        </is>
      </c>
      <c r="J459" s="56" t="n">
        <v>2</v>
      </c>
      <c r="K459" s="56" t="n">
        <v>1</v>
      </c>
      <c r="L459" s="50">
        <f>CONCATENATE(H459,M459)</f>
        <v/>
      </c>
      <c r="M459" s="51">
        <f>IF(OR(ISBLANK(J459),ISBLANK(K459)),IF(OR(H459="ALI",H459="AIE"),"L",IF(ISBLANK(H459),"","A")),IF(H459="EE",IF(K459&gt;=3,IF(J459&gt;=5,"H","A"),IF(K459&gt;=2,IF(J459&gt;=16,"H",IF(J459&lt;=4,"L","A")),IF(J459&lt;=15,"L","A"))),IF(OR(H459="SE",H459="CE"),IF(K459&gt;=4,IF(J459&gt;=6,"H","A"),IF(K459&gt;=2,IF(J459&gt;=20,"H",IF(J459&lt;=5,"L","A")),IF(J459&lt;=19,"L","A"))),IF(OR(H459="ALI",H459="AIE"),IF(K459&gt;=6,IF(J459&gt;=20,"H","A"),IF(K459&gt;=2,IF(J459&gt;=51,"H",IF(J459&lt;=19,"L","A")),IF(J459&lt;=50,"L","A")))))))</f>
        <v/>
      </c>
      <c r="N459" s="52">
        <f>IF(M459="L","Baixa",IF(M459="A","Média",IF(M459="","","Alta")))</f>
        <v/>
      </c>
      <c r="O459" s="53">
        <f>IF(ISBLANK(H459),"",IF(H459="ALI",IF(M459="L",7,IF(M459="A",10,15)),IF(H459="AIE",IF(M459="L",5,IF(M459="A",7,10)),IF(H459="SE",IF(M459="L",4,IF(M459="A",5,7)),IF(OR(H459="EE",H459="CE"),IF(M459="L",3,IF(M459="A",4,6)))))))</f>
        <v/>
      </c>
      <c r="P459" s="54">
        <f>IF(I459="I",O459*Contagem!$W$15,IF(I459="E",O459*Contagem!$W$17,IF(I459="A",O459*Contagem!$W$16,IF(I459="T",O459*Contagem!$W$18,""))))</f>
        <v/>
      </c>
      <c r="Q459" s="55" t="inlineStr">
        <is>
          <t>Prova: app/Services/Sedur/SedurContatoClient.php::consultarCpf faz GET {base}/pessoafisica/cpf/{cpf} na API cadastral da SEDUR e devolve SedurPessoaFisica (cpf, nome); ConsultaCpfSedurService audita a consulta. Usado por ConsultarCpfSedurController nas rotas POST gestao/contingencia/consultar-cpf e do atendimento presencial. Mantido pela SEDUR, só lido. Teste: tests/Feature/Sedur/SedurContatoClientTest.php::test_consulta_cpf_na_rota_de_pessoa_fisica. Arquivo lógico: cadastro de pessoa física da base da SEDUR, usado para identificar o requerente no atendimento; mantido por outro sistema e apenas consultado. TD=2 (CPF, nome da pessoa física). TR=1 (Contato cadastral da SEDUR (CPF)). Para demonstrar: integrations.sedur_contato.base_url configurado. Recontagem 16/10/2026: mantida (linha 14 da contagem de 01/10/2026).</t>
        </is>
      </c>
    </row>
    <row r="460" ht="12" customHeight="1" s="73">
      <c r="A460" s="14">
        <f>IF(H460="",IF(C460="",A459,A459+1),A459)</f>
        <v/>
      </c>
      <c r="B460" s="48">
        <f>IF(A460=A459,"",CONCATENATE("F",A460))</f>
        <v/>
      </c>
      <c r="C460" s="85" t="inlineStr">
        <is>
          <t>Dados externos - Cadastro imobiliário da SEFAZ</t>
        </is>
      </c>
      <c r="D460" s="142" t="n"/>
      <c r="E460" s="142" t="n"/>
      <c r="F460" s="142" t="n"/>
      <c r="G460" s="143" t="n"/>
      <c r="H460" s="56" t="inlineStr">
        <is>
          <t>AIE</t>
        </is>
      </c>
      <c r="I460" s="57" t="inlineStr">
        <is>
          <t>I</t>
        </is>
      </c>
      <c r="J460" s="56" t="n">
        <v>24</v>
      </c>
      <c r="K460" s="56" t="n">
        <v>1</v>
      </c>
      <c r="L460" s="50">
        <f>CONCATENATE(H460,M460)</f>
        <v/>
      </c>
      <c r="M460" s="51">
        <f>IF(OR(ISBLANK(J460),ISBLANK(K460)),IF(OR(H460="ALI",H460="AIE"),"L",IF(ISBLANK(H460),"","A")),IF(H460="EE",IF(K460&gt;=3,IF(J460&gt;=5,"H","A"),IF(K460&gt;=2,IF(J460&gt;=16,"H",IF(J460&lt;=4,"L","A")),IF(J460&lt;=15,"L","A"))),IF(OR(H460="SE",H460="CE"),IF(K460&gt;=4,IF(J460&gt;=6,"H","A"),IF(K460&gt;=2,IF(J460&gt;=20,"H",IF(J460&lt;=5,"L","A")),IF(J460&lt;=19,"L","A"))),IF(OR(H460="ALI",H460="AIE"),IF(K460&gt;=6,IF(J460&gt;=20,"H","A"),IF(K460&gt;=2,IF(J460&gt;=51,"H",IF(J460&lt;=19,"L","A")),IF(J460&lt;=50,"L","A")))))))</f>
        <v/>
      </c>
      <c r="N460" s="52">
        <f>IF(M460="L","Baixa",IF(M460="A","Média",IF(M460="","","Alta")))</f>
        <v/>
      </c>
      <c r="O460" s="53">
        <f>IF(ISBLANK(H460),"",IF(H460="ALI",IF(M460="L",7,IF(M460="A",10,15)),IF(H460="AIE",IF(M460="L",5,IF(M460="A",7,10)),IF(H460="SE",IF(M460="L",4,IF(M460="A",5,7)),IF(OR(H460="EE",H460="CE"),IF(M460="L",3,IF(M460="A",4,6)))))))</f>
        <v/>
      </c>
      <c r="P460" s="54">
        <f>IF(I460="I",O460*Contagem!$W$15,IF(I460="E",O460*Contagem!$W$17,IF(I460="A",O460*Contagem!$W$16,IF(I460="T",O460*Contagem!$W$18,""))))</f>
        <v/>
      </c>
      <c r="Q460" s="55" t="inlineStr">
        <is>
          <t>Prova: app/Services/Realty/SedurSefazPropertyRegistryLookup.php (binding de PropertyRegistryLookup no AppServiceProvider) faz GET no BFF SEDUR do cadastro imobiliário da SEFAZ pela inscrição, com retentativa, mapeia localização e dados fiscais, converte UTM para WGS84 e descarta proprietário. Também lido na abertura do processo REGIN quando o envelope vem sem área ou endereço (ReginProcessoProtocolador::cadastroDaInscricao). Mantido pela SEFAZ, só lido. Teste: tests/Feature/Realty/SedurSefazPropertyRegistryLookupTest.php::test_sucesso_mapeia_localizacao_converte_utm_e_descarta_proprietario. Arquivo lógico: cadastro imobiliário municipal (inscrição, endereço, áreas, valor venal) mantido pela SEFAZ, usado para identificar o imóvel da solicitação. TD=24 (inscrição imobiliária, logradouro, número de porta, complemento, número métrico, loteamento, quadra, lote, edifício/conjunto, bloco, subunidade, número da subunidade, bairro, CEP, área construída, data do habite-se, situação cadastral, área do terreno, valor venal (VUPT), código do logradouro tributário, logradouro tributário, data de processamento, coordenada X, coordenada Y). TR=1 (Cadastro imobiliário da SEFAZ). Para demonstrar: features.cadastro_imobiliario ligado e integrations.inscricao_imobiliaria.* configurado. Recontagem 16/10/2026: mantida (linha 15 da contagem de 01/10/2026).</t>
        </is>
      </c>
    </row>
    <row r="461" ht="12" customHeight="1" s="73">
      <c r="A461" s="14">
        <f>IF(H461="",IF(C461="",A460,A460+1),A460)</f>
        <v/>
      </c>
      <c r="B461" s="48">
        <f>IF(A461=A460,"",CONCATENATE("F",A461))</f>
        <v/>
      </c>
      <c r="C461" s="85" t="inlineStr">
        <is>
          <t>Dados externos - Contato cadastral da SEDUR (CNPJ)</t>
        </is>
      </c>
      <c r="D461" s="142" t="n"/>
      <c r="E461" s="142" t="n"/>
      <c r="F461" s="142" t="n"/>
      <c r="G461" s="143" t="n"/>
      <c r="H461" s="56" t="inlineStr">
        <is>
          <t>AIE</t>
        </is>
      </c>
      <c r="I461" s="57" t="inlineStr">
        <is>
          <t>I</t>
        </is>
      </c>
      <c r="J461" s="56" t="n">
        <v>5</v>
      </c>
      <c r="K461" s="56" t="n">
        <v>1</v>
      </c>
      <c r="L461" s="50">
        <f>CONCATENATE(H461,M461)</f>
        <v/>
      </c>
      <c r="M461" s="51">
        <f>IF(OR(ISBLANK(J461),ISBLANK(K461)),IF(OR(H461="ALI",H461="AIE"),"L",IF(ISBLANK(H461),"","A")),IF(H461="EE",IF(K461&gt;=3,IF(J461&gt;=5,"H","A"),IF(K461&gt;=2,IF(J461&gt;=16,"H",IF(J461&lt;=4,"L","A")),IF(J461&lt;=15,"L","A"))),IF(OR(H461="SE",H461="CE"),IF(K461&gt;=4,IF(J461&gt;=6,"H","A"),IF(K461&gt;=2,IF(J461&gt;=20,"H",IF(J461&lt;=5,"L","A")),IF(J461&lt;=19,"L","A"))),IF(OR(H461="ALI",H461="AIE"),IF(K461&gt;=6,IF(J461&gt;=20,"H","A"),IF(K461&gt;=2,IF(J461&gt;=51,"H",IF(J461&lt;=19,"L","A")),IF(J461&lt;=50,"L","A")))))))</f>
        <v/>
      </c>
      <c r="N461" s="52">
        <f>IF(M461="L","Baixa",IF(M461="A","Média",IF(M461="","","Alta")))</f>
        <v/>
      </c>
      <c r="O461" s="53">
        <f>IF(ISBLANK(H461),"",IF(H461="ALI",IF(M461="L",7,IF(M461="A",10,15)),IF(H461="AIE",IF(M461="L",5,IF(M461="A",7,10)),IF(H461="SE",IF(M461="L",4,IF(M461="A",5,7)),IF(OR(H461="EE",H461="CE"),IF(M461="L",3,IF(M461="A",4,6)))))))</f>
        <v/>
      </c>
      <c r="P461" s="54">
        <f>IF(I461="I",O461*Contagem!$W$15,IF(I461="E",O461*Contagem!$W$17,IF(I461="A",O461*Contagem!$W$16,IF(I461="T",O461*Contagem!$W$18,""))))</f>
        <v/>
      </c>
      <c r="Q461" s="55" t="inlineStr">
        <is>
          <t>Prova: app/Services/Sedur/SedurContatoClient.php::consultarCnpj faz GET {base}/pessoajuridica/cnpj/{cnpj} na API cadastral da SEDUR e devolve SedurPessoaJuridica; SedurCnpjLookup adapta para o cadastro de empresa (binding CnpjLookup no AppServiceProvider); também usado por RenovacaoController e ConsultarDocumentoContingenciaController (POST gestao/contingencia/consultar-cnpj). Mantido pela SEDUR, só lido. Teste: tests/Feature/Sedur/SedurContatoClientTest.php::test_consulta_cnpj_le_razao_social_na_raiz. Arquivo lógico: cadastro de pessoa jurídica da base da SEDUR, que preenche a empresa do requerente; mantido por outro sistema e apenas consultado. TD=5 (CNPJ, razão social, nome fantasia, telefone, endereço). TR=1 (Contato cadastral da SEDUR (CNPJ)). Para demonstrar: features.cnpj_lookup ligado e integrations.sedur_contato.base_url configurado. Recontagem 16/10/2026: mantida (linha 16 da contagem de 01/10/2026).</t>
        </is>
      </c>
    </row>
    <row r="462" ht="12" customHeight="1" s="73">
      <c r="A462" s="14">
        <f>IF(H462="",IF(C462="",A461,A461+1),A461)</f>
        <v/>
      </c>
      <c r="B462" s="48">
        <f>IF(A462=A461,"",CONCATENATE("F",A462))</f>
        <v/>
      </c>
      <c r="C462" s="85" t="inlineStr">
        <is>
          <t>Dados externos - Classificação viária dos logradouros do GeoServer da SEDUR</t>
        </is>
      </c>
      <c r="D462" s="142" t="n"/>
      <c r="E462" s="142" t="n"/>
      <c r="F462" s="142" t="n"/>
      <c r="G462" s="143" t="n"/>
      <c r="H462" s="56" t="inlineStr">
        <is>
          <t>AIE</t>
        </is>
      </c>
      <c r="I462" s="57" t="inlineStr">
        <is>
          <t>I</t>
        </is>
      </c>
      <c r="J462" s="56" t="n">
        <v>3</v>
      </c>
      <c r="K462" s="56" t="n">
        <v>1</v>
      </c>
      <c r="L462" s="50">
        <f>CONCATENATE(H462,M462)</f>
        <v/>
      </c>
      <c r="M462" s="51">
        <f>IF(OR(ISBLANK(J462),ISBLANK(K462)),IF(OR(H462="ALI",H462="AIE"),"L",IF(ISBLANK(H462),"","A")),IF(H462="EE",IF(K462&gt;=3,IF(J462&gt;=5,"H","A"),IF(K462&gt;=2,IF(J462&gt;=16,"H",IF(J462&lt;=4,"L","A")),IF(J462&lt;=15,"L","A"))),IF(OR(H462="SE",H462="CE"),IF(K462&gt;=4,IF(J462&gt;=6,"H","A"),IF(K462&gt;=2,IF(J462&gt;=20,"H",IF(J462&lt;=5,"L","A")),IF(J462&lt;=19,"L","A"))),IF(OR(H462="ALI",H462="AIE"),IF(K462&gt;=6,IF(J462&gt;=20,"H","A"),IF(K462&gt;=2,IF(J462&gt;=51,"H",IF(J462&lt;=19,"L","A")),IF(J462&lt;=50,"L","A")))))))</f>
        <v/>
      </c>
      <c r="N462" s="52">
        <f>IF(M462="L","Baixa",IF(M462="A","Média",IF(M462="","","Alta")))</f>
        <v/>
      </c>
      <c r="O462" s="53">
        <f>IF(ISBLANK(H462),"",IF(H462="ALI",IF(M462="L",7,IF(M462="A",10,15)),IF(H462="AIE",IF(M462="L",5,IF(M462="A",7,10)),IF(H462="SE",IF(M462="L",4,IF(M462="A",5,7)),IF(OR(H462="EE",H462="CE"),IF(M462="L",3,IF(M462="A",4,6)))))))</f>
        <v/>
      </c>
      <c r="P462" s="54">
        <f>IF(I462="I",O462*Contagem!$W$15,IF(I462="E",O462*Contagem!$W$17,IF(I462="A",O462*Contagem!$W$16,IF(I462="T",O462*Contagem!$W$18,""))))</f>
        <v/>
      </c>
      <c r="Q462" s="55" t="inlineStr">
        <is>
          <t>Prova: app/Services/Geo/GeoServerClassificacaoViariaClient.php lê, por CODLOG (CQL_FILTER), a camada louos_classificacao_viaria:VM_L_CLASSIF_VIARIA (atributo CLASSIFICACAO_VIARIA) e, sem linha ali, a camada de logradouros (atributo HIERARQUIA) para a via local (commit c6ec545d). Usado por TerritoryService, TerritorioProcessoService e CamadasIncidentesService no enquadramento do Quadro 11A. Mantido pela SEDUR no GeoServer; o Viabiliza só lê. Teste: tests/Feature/Geo/GeoServerClassificacaoViariaClientTest.php::test_classe_do_geoserver_volta_na_grafia_da_lei; tests/Feature/Geo/ClassificacaoViariaViaLocalTest.php::test_via_local_vem_da_hierarquia_da_camada_de_logradouros. Arquivo lógico: classificação oficial dos logradouros de Salvador pela LOUOS, reconhecida pelo analista porque decide a condição de instalação por via; mantida por outra aplicação e apenas referenciada (Roteiro SISP, Tabela 3). Não é dado de código: é atributo de cada logradouro mantido pela SEDUR. As duas camadas descrevem o mesmo objeto (classe do logradouro pelo CODLOG) e formam um só grupo lógico. TD=3 (CODLOG, classe viária da LOUOS, hierarquia do logradouro). TR=1 (Classificação viária dos logradouros). Para demonstrar: features.geoserver_via_classe ligado e integrations.geoserver.* configurado. Recontagem 16/10/2026: nova (não constava da contagem de 01/10/2026). Novo AIE: dado mantido pela SEDUR e lido pelo Viabiliza, ausente da contagem de 01/10.</t>
        </is>
      </c>
    </row>
    <row r="463" ht="12" customHeight="1" s="73">
      <c r="A463" s="14">
        <f>IF(H463="",IF(C463="",A462,A462+1),A462)</f>
        <v/>
      </c>
      <c r="B463" s="48">
        <f>IF(A463=A462,"",CONCATENATE("F",A463))</f>
        <v/>
      </c>
      <c r="C463" s="85" t="inlineStr">
        <is>
          <t>Dados externos - Lotes do endereçamento do GeoServer da SEDUR</t>
        </is>
      </c>
      <c r="D463" s="142" t="n"/>
      <c r="E463" s="142" t="n"/>
      <c r="F463" s="142" t="n"/>
      <c r="G463" s="143" t="n"/>
      <c r="H463" s="56" t="inlineStr">
        <is>
          <t>AIE</t>
        </is>
      </c>
      <c r="I463" s="57" t="inlineStr">
        <is>
          <t>I</t>
        </is>
      </c>
      <c r="J463" s="56" t="n">
        <v>5</v>
      </c>
      <c r="K463" s="56" t="n">
        <v>1</v>
      </c>
      <c r="L463" s="50">
        <f>CONCATENATE(H463,M463)</f>
        <v/>
      </c>
      <c r="M463" s="51">
        <f>IF(OR(ISBLANK(J463),ISBLANK(K463)),IF(OR(H463="ALI",H463="AIE"),"L",IF(ISBLANK(H463),"","A")),IF(H463="EE",IF(K463&gt;=3,IF(J463&gt;=5,"H","A"),IF(K463&gt;=2,IF(J463&gt;=16,"H",IF(J463&lt;=4,"L","A")),IF(J463&lt;=15,"L","A"))),IF(OR(H463="SE",H463="CE"),IF(K463&gt;=4,IF(J463&gt;=6,"H","A"),IF(K463&gt;=2,IF(J463&gt;=20,"H",IF(J463&lt;=5,"L","A")),IF(J463&lt;=19,"L","A"))),IF(OR(H463="ALI",H463="AIE"),IF(K463&gt;=6,IF(J463&gt;=20,"H","A"),IF(K463&gt;=2,IF(J463&gt;=51,"H",IF(J463&lt;=19,"L","A")),IF(J463&lt;=50,"L","A")))))))</f>
        <v/>
      </c>
      <c r="N463" s="52">
        <f>IF(M463="L","Baixa",IF(M463="A","Média",IF(M463="","","Alta")))</f>
        <v/>
      </c>
      <c r="O463" s="53">
        <f>IF(ISBLANK(H463),"",IF(H463="ALI",IF(M463="L",7,IF(M463="A",10,15)),IF(H463="AIE",IF(M463="L",5,IF(M463="A",7,10)),IF(H463="SE",IF(M463="L",4,IF(M463="A",5,7)),IF(OR(H463="EE",H463="CE"),IF(M463="L",3,IF(M463="A",4,6)))))))</f>
        <v/>
      </c>
      <c r="P463" s="54">
        <f>IF(I463="I",O463*Contagem!$W$15,IF(I463="E",O463*Contagem!$W$17,IF(I463="A",O463*Contagem!$W$16,IF(I463="T",O463*Contagem!$W$18,""))))</f>
        <v/>
      </c>
      <c r="Q463" s="55" t="inlineStr">
        <is>
          <t>Prova: app/Services/Geo/GeoServerEnderecamentoClient.php lê a camada enderecamento:VM_ENDERECAMENTO do GeoServer da SEDUR por CODLOG + NUMERACAO_METRICA (desempate por COMPLEMENTO) ou pelo ponto do imóvel (INTERSECTS), unificando geometrias quase iguais e preferindo ORIGEM = SEDUR. Usado por PoligonoEnderecamentoService no protocolo do portal e na abertura do processo REGIN (consultarPorPonto). Mantido pela SEDUR; o Viabiliza só lê. Teste: tests/Feature/Geo/GeoServerEnderecamentoClientTest.php::test_consulta_por_ponto_devolve_o_poligono_unico_e_envia_o_cql_certo. Arquivo lógico: lote licenciado do endereçamento oficial, reconhecido pelo analista como o desenho do imóvel que zoneia pela maior porção; mantido por outra aplicação e só referenciado. TD=5 (CODLOG, numeração métrica, complemento, origem do desenho, polígono do lote). TR=1 (Lotes do endereçamento). Para demonstrar: features.geoserver_enderecamento ligado. Recontagem 16/10/2026: nova (não constava da contagem de 01/10/2026). Novo AIE: polígono do lote lido no GeoServer da SEDUR (commits a88bf41b, 63205cc2, 1628fedb), ausente da contagem de 01/10.</t>
        </is>
      </c>
    </row>
    <row r="464" ht="12" customHeight="1" s="73">
      <c r="A464" s="14">
        <f>IF(H464="",IF(C464="",A463,A463+1),A463)</f>
        <v/>
      </c>
      <c r="B464" s="48">
        <f>IF(A464=A463,"",CONCATENATE("F",A464))</f>
        <v/>
      </c>
      <c r="C464" s="85" t="inlineStr">
        <is>
          <t>Dados externos - Lotes por inscrição do SEMAP</t>
        </is>
      </c>
      <c r="D464" s="142" t="n"/>
      <c r="E464" s="142" t="n"/>
      <c r="F464" s="142" t="n"/>
      <c r="G464" s="143" t="n"/>
      <c r="H464" s="56" t="inlineStr">
        <is>
          <t>AIE</t>
        </is>
      </c>
      <c r="I464" s="57" t="inlineStr">
        <is>
          <t>I</t>
        </is>
      </c>
      <c r="J464" s="56" t="n">
        <v>4</v>
      </c>
      <c r="K464" s="56" t="n">
        <v>1</v>
      </c>
      <c r="L464" s="50">
        <f>CONCATENATE(H464,M464)</f>
        <v/>
      </c>
      <c r="M464" s="51">
        <f>IF(OR(ISBLANK(J464),ISBLANK(K464)),IF(OR(H464="ALI",H464="AIE"),"L",IF(ISBLANK(H464),"","A")),IF(H464="EE",IF(K464&gt;=3,IF(J464&gt;=5,"H","A"),IF(K464&gt;=2,IF(J464&gt;=16,"H",IF(J464&lt;=4,"L","A")),IF(J464&lt;=15,"L","A"))),IF(OR(H464="SE",H464="CE"),IF(K464&gt;=4,IF(J464&gt;=6,"H","A"),IF(K464&gt;=2,IF(J464&gt;=20,"H",IF(J464&lt;=5,"L","A")),IF(J464&lt;=19,"L","A"))),IF(OR(H464="ALI",H464="AIE"),IF(K464&gt;=6,IF(J464&gt;=20,"H","A"),IF(K464&gt;=2,IF(J464&gt;=51,"H",IF(J464&lt;=19,"L","A")),IF(J464&lt;=50,"L","A")))))))</f>
        <v/>
      </c>
      <c r="N464" s="52">
        <f>IF(M464="L","Baixa",IF(M464="A","Média",IF(M464="","","Alta")))</f>
        <v/>
      </c>
      <c r="O464" s="53">
        <f>IF(ISBLANK(H464),"",IF(H464="ALI",IF(M464="L",7,IF(M464="A",10,15)),IF(H464="AIE",IF(M464="L",5,IF(M464="A",7,10)),IF(H464="SE",IF(M464="L",4,IF(M464="A",5,7)),IF(OR(H464="EE",H464="CE"),IF(M464="L",3,IF(M464="A",4,6)))))))</f>
        <v/>
      </c>
      <c r="P464" s="54">
        <f>IF(I464="I",O464*Contagem!$W$15,IF(I464="E",O464*Contagem!$W$17,IF(I464="A",O464*Contagem!$W$16,IF(I464="T",O464*Contagem!$W$18,""))))</f>
        <v/>
      </c>
      <c r="Q464" s="55" t="inlineStr">
        <is>
          <t>Prova: app/Services/Geo/SemapLoteClient.php consulta a camada Inscrições Geo do ArcGIS municipal (SEMAP) pela inscrição imobiliária; é a segunda fonte do polígono do lote em PoligonoEnderecamentoService, quando o endereçamento não acha. Lê a geometria e as propriedades CAT_DE_USO e PADRAOCONS (AREA_M2 é ignorado). Mantido pela prefeitura no SEMAP; o Viabiliza só lê. Teste: tests/Feature/Geo/SemapLoteClientTest.php::test_inscricao_com_uma_feicao_devolve_o_poligono. Arquivo lógico: lote do cadastro geográfico municipal por inscrição, mantido em outra aplicação (ArcGIS) e distinto do endereçamento da SEDUR; apenas referenciado. TD=4 (inscrição imobiliária, polígono do lote, categoria de uso, padrão construtivo). TR=1 (Lotes por inscrição do SEMAP). Para demonstrar: features.arcgis_semap ligado e integrations.arcgis_semap.* configurado (com token, se o ArcGIS exigir). Recontagem 16/10/2026: nova (não constava da contagem de 01/10/2026). Novo AIE: lote por inscrição lido no ArcGIS do SEMAP, ausente da contagem de 01/10.</t>
        </is>
      </c>
    </row>
    <row r="465" ht="12" customHeight="1" s="73">
      <c r="A465" s="14">
        <f>IF(H465="",IF(C465="",A464,A464+1),A464)</f>
        <v/>
      </c>
      <c r="B465" s="48">
        <f>IF(A465=A464,"",CONCATENATE("F",A465))</f>
        <v/>
      </c>
      <c r="C465" s="85" t="inlineStr">
        <is>
          <t>Dados externos - Poligonais territoriais do GeoServer da SEDUR</t>
        </is>
      </c>
      <c r="D465" s="142" t="n"/>
      <c r="E465" s="142" t="n"/>
      <c r="F465" s="142" t="n"/>
      <c r="G465" s="143" t="n"/>
      <c r="H465" s="56" t="inlineStr">
        <is>
          <t>AIE</t>
        </is>
      </c>
      <c r="I465" s="57" t="inlineStr">
        <is>
          <t>I</t>
        </is>
      </c>
      <c r="J465" s="56" t="n">
        <v>3</v>
      </c>
      <c r="K465" s="56" t="n">
        <v>1</v>
      </c>
      <c r="L465" s="50">
        <f>CONCATENATE(H465,M465)</f>
        <v/>
      </c>
      <c r="M465" s="51">
        <f>IF(OR(ISBLANK(J465),ISBLANK(K465)),IF(OR(H465="ALI",H465="AIE"),"L",IF(ISBLANK(H465),"","A")),IF(H465="EE",IF(K465&gt;=3,IF(J465&gt;=5,"H","A"),IF(K465&gt;=2,IF(J465&gt;=16,"H",IF(J465&lt;=4,"L","A")),IF(J465&lt;=15,"L","A"))),IF(OR(H465="SE",H465="CE"),IF(K465&gt;=4,IF(J465&gt;=6,"H","A"),IF(K465&gt;=2,IF(J465&gt;=20,"H",IF(J465&lt;=5,"L","A")),IF(J465&lt;=19,"L","A"))),IF(OR(H465="ALI",H465="AIE"),IF(K465&gt;=6,IF(J465&gt;=20,"H","A"),IF(K465&gt;=2,IF(J465&gt;=51,"H",IF(J465&lt;=19,"L","A")),IF(J465&lt;=50,"L","A")))))))</f>
        <v/>
      </c>
      <c r="N465" s="52">
        <f>IF(M465="L","Baixa",IF(M465="A","Média",IF(M465="","","Alta")))</f>
        <v/>
      </c>
      <c r="O465" s="53">
        <f>IF(ISBLANK(H465),"",IF(H465="ALI",IF(M465="L",7,IF(M465="A",10,15)),IF(H465="AIE",IF(M465="L",5,IF(M465="A",7,10)),IF(H465="SE",IF(M465="L",4,IF(M465="A",5,7)),IF(OR(H465="EE",H465="CE"),IF(M465="L",3,IF(M465="A",4,6)))))))</f>
        <v/>
      </c>
      <c r="P465" s="54">
        <f>IF(I465="I",O465*Contagem!$W$15,IF(I465="E",O465*Contagem!$W$17,IF(I465="A",O465*Contagem!$W$16,IF(I465="T",O465*Contagem!$W$18,""))))</f>
        <v/>
      </c>
      <c r="Q465" s="55" t="inlineStr">
        <is>
          <t>Prova: app/Services/Geo/GeoServerWfsCamadaClient.php consulta ponto-em-polígono, com filtro CQL opcional (trecho da ABM), nas camadas WFS das regras territoriais ativas (ZEM, ZPAM, ABM, ZUE, loteamentos TAC). Usado por TerritorialRuleService (RT-02/03/04) e CamadasIncidentesService (inventário de camadas do processo). Mantido pela SEDUR no GeoServer; o Viabiliza só lê. Teste indireto: tests/Feature/Louos/TerritorialRuleCrudTest.php (regras com camada e filtro); não há teste dedicado do cliente WFS. Arquivo lógico: poligonais de restrição territorial publicadas pela SEDUR, reconhecidas pelo analista porque levam o processo à análise ou liberam o expresso; mantidas fora da fronteira. Fronteira com o ALI Regra territorial: o ALI guarda a regra e o nome da camada; o AIE é a geometria e os atributos da feição mantidos pela SEDUR. TD=3 (camada de origem, elemento identificado (trecho, parcelamento, subzona, nome ou descrição), atributos descritivos da feição). TR=1 (Poligonais territoriais). Para demonstrar: features.geoserver_territorio ligado. Recontagem 16/10/2026: nova (não constava da contagem de 01/10/2026). Novo AIE: camadas das regras territoriais lidas no GeoServer da SEDUR, ausentes da contagem de 01/10.</t>
        </is>
      </c>
    </row>
    <row r="466" ht="12" customHeight="1" s="73">
      <c r="A466" s="14">
        <f>IF(H466="",IF(C466="",A465,A465+1),A465)</f>
        <v/>
      </c>
      <c r="B466" s="48">
        <f>IF(A466=A465,"",CONCATENATE("F",A466))</f>
        <v/>
      </c>
      <c r="C466" s="85" t="inlineStr">
        <is>
          <t>Dados externos - Servidores e lotação do diretório da SEDUR</t>
        </is>
      </c>
      <c r="D466" s="142" t="n"/>
      <c r="E466" s="142" t="n"/>
      <c r="F466" s="142" t="n"/>
      <c r="G466" s="143" t="n"/>
      <c r="H466" s="56" t="inlineStr">
        <is>
          <t>AIE</t>
        </is>
      </c>
      <c r="I466" s="57" t="inlineStr">
        <is>
          <t>I</t>
        </is>
      </c>
      <c r="J466" s="56" t="n">
        <v>7</v>
      </c>
      <c r="K466" s="56" t="n">
        <v>1</v>
      </c>
      <c r="L466" s="50">
        <f>CONCATENATE(H466,M466)</f>
        <v/>
      </c>
      <c r="M466" s="51">
        <f>IF(OR(ISBLANK(J466),ISBLANK(K466)),IF(OR(H466="ALI",H466="AIE"),"L",IF(ISBLANK(H466),"","A")),IF(H466="EE",IF(K466&gt;=3,IF(J466&gt;=5,"H","A"),IF(K466&gt;=2,IF(J466&gt;=16,"H",IF(J466&lt;=4,"L","A")),IF(J466&lt;=15,"L","A"))),IF(OR(H466="SE",H466="CE"),IF(K466&gt;=4,IF(J466&gt;=6,"H","A"),IF(K466&gt;=2,IF(J466&gt;=20,"H",IF(J466&lt;=5,"L","A")),IF(J466&lt;=19,"L","A"))),IF(OR(H466="ALI",H466="AIE"),IF(K466&gt;=6,IF(J466&gt;=20,"H","A"),IF(K466&gt;=2,IF(J466&gt;=51,"H",IF(J466&lt;=19,"L","A")),IF(J466&lt;=50,"L","A")))))))</f>
        <v/>
      </c>
      <c r="N466" s="52">
        <f>IF(M466="L","Baixa",IF(M466="A","Média",IF(M466="","","Alta")))</f>
        <v/>
      </c>
      <c r="O466" s="53">
        <f>IF(ISBLANK(H466),"",IF(H466="ALI",IF(M466="L",7,IF(M466="A",10,15)),IF(H466="AIE",IF(M466="L",5,IF(M466="A",7,10)),IF(H466="SE",IF(M466="L",4,IF(M466="A",5,7)),IF(OR(H466="EE",H466="CE"),IF(M466="L",3,IF(M466="A",4,6)))))))</f>
        <v/>
      </c>
      <c r="P466" s="54">
        <f>IF(I466="I",O466*Contagem!$W$15,IF(I466="E",O466*Contagem!$W$17,IF(I466="A",O466*Contagem!$W$16,IF(I466="T",O466*Contagem!$W$18,""))))</f>
        <v/>
      </c>
      <c r="Q466" s="55" t="inlineStr">
        <is>
          <t>Prova: app/Services/Sedur/SedurAuthClient.php autentica em {base}/ws-autenticacao/auth, lê /ws-autenticacao/discovery e /ws-gp/view/pessoaView/buscarPorCPF/{cpf}; app/Services/Auth/SedurDirectoryAuthenticator.php monta nome, e-mail, CPF e lotação (centroInformacaoNumero/Descricao), e UserSectorAssignmentSync vincula o setor. Usado no login da gestão por AD (POST /gestao/login). Mantido pela SEDUR (diretório e gestão de pessoas); o Viabiliza só lê. Teste: tests/Feature/Auth/SedurDirectoryAuthenticatorTest.php::test_sucesso_retorna_nome_sincronizado_da_pessoa; tests/Feature/Sedur/SedurAuthClientTest.php::test_autenticar_retorna_o_token_em_sucesso. Arquivo lógico: cadastro de servidores da SEDUR com lotação, reconhecido pelo administrador porque define quem entra e em que setor; mantido por outra aplicação e só referenciado. TD=7 (usuário AD, CPF, nome, e-mail, telefone, código da lotação, descrição da lotação). TR=1 (Servidores e lotação). Para demonstrar: features.ad_login ligado e integrations.sedur_auth.* configurado. Recontagem 16/10/2026: nova (não constava da contagem de 01/10/2026). Novo AIE: dados do servidor lidos na autenticação AD e na pessoaView (v0.77.1), ausentes da contagem de 01/10.</t>
        </is>
      </c>
    </row>
    <row r="467" ht="12" customHeight="1" s="73">
      <c r="A467" s="14">
        <f>IF(H467="",IF(C467="",A466,A466+1),A466)</f>
        <v/>
      </c>
      <c r="B467" s="48">
        <f>IF(A467=A466,"",CONCATENATE("F",A467))</f>
        <v/>
      </c>
      <c r="C467" s="85" t="inlineStr">
        <is>
          <t>Dados externos - Endereços geocodificados do OpenStreetMap</t>
        </is>
      </c>
      <c r="D467" s="142" t="n"/>
      <c r="E467" s="142" t="n"/>
      <c r="F467" s="142" t="n"/>
      <c r="G467" s="143" t="n"/>
      <c r="H467" s="56" t="inlineStr">
        <is>
          <t>AIE</t>
        </is>
      </c>
      <c r="I467" s="57" t="inlineStr">
        <is>
          <t>I</t>
        </is>
      </c>
      <c r="J467" s="56" t="n">
        <v>5</v>
      </c>
      <c r="K467" s="56" t="n">
        <v>1</v>
      </c>
      <c r="L467" s="50">
        <f>CONCATENATE(H467,M467)</f>
        <v/>
      </c>
      <c r="M467" s="51">
        <f>IF(OR(ISBLANK(J467),ISBLANK(K467)),IF(OR(H467="ALI",H467="AIE"),"L",IF(ISBLANK(H467),"","A")),IF(H467="EE",IF(K467&gt;=3,IF(J467&gt;=5,"H","A"),IF(K467&gt;=2,IF(J467&gt;=16,"H",IF(J467&lt;=4,"L","A")),IF(J467&lt;=15,"L","A"))),IF(OR(H467="SE",H467="CE"),IF(K467&gt;=4,IF(J467&gt;=6,"H","A"),IF(K467&gt;=2,IF(J467&gt;=20,"H",IF(J467&lt;=5,"L","A")),IF(J467&lt;=19,"L","A"))),IF(OR(H467="ALI",H467="AIE"),IF(K467&gt;=6,IF(J467&gt;=20,"H","A"),IF(K467&gt;=2,IF(J467&gt;=51,"H",IF(J467&lt;=19,"L","A")),IF(J467&lt;=50,"L","A")))))))</f>
        <v/>
      </c>
      <c r="N467" s="52">
        <f>IF(M467="L","Baixa",IF(M467="A","Média",IF(M467="","","Alta")))</f>
        <v/>
      </c>
      <c r="O467" s="53">
        <f>IF(ISBLANK(H467),"",IF(H467="ALI",IF(M467="L",7,IF(M467="A",10,15)),IF(H467="AIE",IF(M467="L",5,IF(M467="A",7,10)),IF(H467="SE",IF(M467="L",4,IF(M467="A",5,7)),IF(OR(H467="EE",H467="CE"),IF(M467="L",3,IF(M467="A",4,6)))))))</f>
        <v/>
      </c>
      <c r="P467" s="54">
        <f>IF(I467="I",O467*Contagem!$W$15,IF(I467="E",O467*Contagem!$W$17,IF(I467="A",O467*Contagem!$W$16,IF(I467="T",O467*Contagem!$W$18,""))))</f>
        <v/>
      </c>
      <c r="Q467" s="55" t="inlineStr">
        <is>
          <t>Prova: app/Services/Geo/NominatimGeocoder.php (binding de Geocoder no AppServiceProvider) consulta o Nominatim (integrations.geocoding.base_url) e devolve GeocodeResult (latitude, longitude, endereço encontrado, confiança, componentes do endereço); usado por POST /gestao/territorio/geocodificar, pela consulta pública de viabilidade por endereço e pela localização da inscrição. Mantido pelo OpenStreetMap; o Viabiliza só lê. Teste: tests/Unit/Geo/NominatimGeocoderTest.php::test_geocodifica_endereco_de_salvador_em_coordenada_e_confianca. Arquivo lógico: base de endereços com coordenadas mantida por outra organização e referenciada para localizar o imóvel (Roteiro SISP, Tabela 3: dados de outra aplicação referenciados em consultas). TD=5 (latitude, longitude, endereço encontrado, confiança, componentes do endereço (cidade e UF)). TR=1 (Endereços geocodificados). Para demonstrar: features.geocoding ligado e integrations.geocoding.base_url configurado. Recontagem 16/10/2026: nova (não constava da contagem de 01/10/2026). Novo AIE: base de endereços do OpenStreetMap lida pelo geocodificador Nominatim, ausente da contagem de 01/10.</t>
        </is>
      </c>
    </row>
    <row r="468" ht="12" customHeight="1" s="73">
      <c r="A468" s="14">
        <f>IF(H468="",IF(C468="",A467,A467+1),A467)</f>
        <v/>
      </c>
      <c r="B468" s="48">
        <f>IF(A468=A467,"",CONCATENATE("F",A468))</f>
        <v/>
      </c>
      <c r="C468" s="85" t="n"/>
      <c r="D468" s="142" t="n"/>
      <c r="E468" s="142" t="n"/>
      <c r="F468" s="142" t="n"/>
      <c r="G468" s="143" t="n"/>
      <c r="H468" s="56" t="n"/>
      <c r="I468" s="57" t="n"/>
      <c r="J468" s="56" t="n"/>
      <c r="K468" s="56" t="n"/>
      <c r="L468" s="50">
        <f>CONCATENATE(H468,M468)</f>
        <v/>
      </c>
      <c r="M468" s="51">
        <f>IF(OR(ISBLANK(J468),ISBLANK(K468)),IF(OR(H468="ALI",H468="AIE"),"L",IF(ISBLANK(H468),"","A")),IF(H468="EE",IF(K468&gt;=3,IF(J468&gt;=5,"H","A"),IF(K468&gt;=2,IF(J468&gt;=16,"H",IF(J468&lt;=4,"L","A")),IF(J468&lt;=15,"L","A"))),IF(OR(H468="SE",H468="CE"),IF(K468&gt;=4,IF(J468&gt;=6,"H","A"),IF(K468&gt;=2,IF(J468&gt;=20,"H",IF(J468&lt;=5,"L","A")),IF(J468&lt;=19,"L","A"))),IF(OR(H468="ALI",H468="AIE"),IF(K468&gt;=6,IF(J468&gt;=20,"H","A"),IF(K468&gt;=2,IF(J468&gt;=51,"H",IF(J468&lt;=19,"L","A")),IF(J468&lt;=50,"L","A")))))))</f>
        <v/>
      </c>
      <c r="N468" s="52">
        <f>IF(M468="L","Baixa",IF(M468="A","Média",IF(M468="","","Alta")))</f>
        <v/>
      </c>
      <c r="O468" s="53">
        <f>IF(ISBLANK(H468),"",IF(H468="ALI",IF(M468="L",7,IF(M468="A",10,15)),IF(H468="AIE",IF(M468="L",5,IF(M468="A",7,10)),IF(H468="SE",IF(M468="L",4,IF(M468="A",5,7)),IF(OR(H468="EE",H468="CE"),IF(M468="L",3,IF(M468="A",4,6)))))))</f>
        <v/>
      </c>
      <c r="P468" s="54">
        <f>IF(I468="I",O468*Contagem!$W$15,IF(I468="E",O468*Contagem!$W$17,IF(I468="A",O468*Contagem!$W$16,IF(I468="T",O468*Contagem!$W$18,""))))</f>
        <v/>
      </c>
      <c r="Q468" s="55" t="n"/>
    </row>
    <row r="469" ht="12" customHeight="1" s="73">
      <c r="A469" s="14">
        <f>IF(H469="",IF(C469="",A468,A468+1),A468)</f>
        <v/>
      </c>
      <c r="B469" s="48">
        <f>IF(A469=A468,"",CONCATENATE("F",A469))</f>
        <v/>
      </c>
      <c r="C469" s="85" t="inlineStr">
        <is>
          <t>Integração com a JUCEB (REGIN)</t>
        </is>
      </c>
      <c r="D469" s="142" t="n"/>
      <c r="E469" s="142" t="n"/>
      <c r="F469" s="142" t="n"/>
      <c r="G469" s="143" t="n"/>
      <c r="H469" s="56" t="n"/>
      <c r="I469" s="57" t="n"/>
      <c r="J469" s="56" t="n"/>
      <c r="K469" s="56" t="n"/>
      <c r="L469" s="50">
        <f>CONCATENATE(H469,M469)</f>
        <v/>
      </c>
      <c r="M469" s="51">
        <f>IF(OR(ISBLANK(J469),ISBLANK(K469)),IF(OR(H469="ALI",H469="AIE"),"L",IF(ISBLANK(H469),"","A")),IF(H469="EE",IF(K469&gt;=3,IF(J469&gt;=5,"H","A"),IF(K469&gt;=2,IF(J469&gt;=16,"H",IF(J469&lt;=4,"L","A")),IF(J469&lt;=15,"L","A"))),IF(OR(H469="SE",H469="CE"),IF(K469&gt;=4,IF(J469&gt;=6,"H","A"),IF(K469&gt;=2,IF(J469&gt;=20,"H",IF(J469&lt;=5,"L","A")),IF(J469&lt;=19,"L","A"))),IF(OR(H469="ALI",H469="AIE"),IF(K469&gt;=6,IF(J469&gt;=20,"H","A"),IF(K469&gt;=2,IF(J469&gt;=51,"H",IF(J469&lt;=19,"L","A")),IF(J469&lt;=50,"L","A")))))))</f>
        <v/>
      </c>
      <c r="N469" s="52">
        <f>IF(M469="L","Baixa",IF(M469="A","Média",IF(M469="","","Alta")))</f>
        <v/>
      </c>
      <c r="O469" s="53">
        <f>IF(ISBLANK(H469),"",IF(H469="ALI",IF(M469="L",7,IF(M469="A",10,15)),IF(H469="AIE",IF(M469="L",5,IF(M469="A",7,10)),IF(H469="SE",IF(M469="L",4,IF(M469="A",5,7)),IF(OR(H469="EE",H469="CE"),IF(M469="L",3,IF(M469="A",4,6)))))))</f>
        <v/>
      </c>
      <c r="P469" s="54">
        <f>IF(I469="I",O469*Contagem!$W$15,IF(I469="E",O469*Contagem!$W$17,IF(I469="A",O469*Contagem!$W$16,IF(I469="T",O469*Contagem!$W$18,""))))</f>
        <v/>
      </c>
      <c r="Q469" s="55" t="n"/>
    </row>
    <row r="470" ht="12" customHeight="1" s="73">
      <c r="A470" s="14">
        <f>IF(H470="",IF(C470="",A469,A469+1),A469)</f>
        <v/>
      </c>
      <c r="B470" s="48">
        <f>IF(A470=A469,"",CONCATENATE("F",A470))</f>
        <v/>
      </c>
      <c r="C470" s="85" t="inlineStr">
        <is>
          <t>Dados - Recebimento do REGIN</t>
        </is>
      </c>
      <c r="D470" s="142" t="n"/>
      <c r="E470" s="142" t="n"/>
      <c r="F470" s="142" t="n"/>
      <c r="G470" s="143" t="n"/>
      <c r="H470" s="56" t="inlineStr">
        <is>
          <t>ALI</t>
        </is>
      </c>
      <c r="I470" s="57" t="inlineStr">
        <is>
          <t>I</t>
        </is>
      </c>
      <c r="J470" s="56" t="n">
        <v>11</v>
      </c>
      <c r="K470" s="56" t="n">
        <v>1</v>
      </c>
      <c r="L470" s="50">
        <f>CONCATENATE(H470,M470)</f>
        <v/>
      </c>
      <c r="M470" s="51">
        <f>IF(OR(ISBLANK(J470),ISBLANK(K470)),IF(OR(H470="ALI",H470="AIE"),"L",IF(ISBLANK(H470),"","A")),IF(H470="EE",IF(K470&gt;=3,IF(J470&gt;=5,"H","A"),IF(K470&gt;=2,IF(J470&gt;=16,"H",IF(J470&lt;=4,"L","A")),IF(J470&lt;=15,"L","A"))),IF(OR(H470="SE",H470="CE"),IF(K470&gt;=4,IF(J470&gt;=6,"H","A"),IF(K470&gt;=2,IF(J470&gt;=20,"H",IF(J470&lt;=5,"L","A")),IF(J470&lt;=19,"L","A"))),IF(OR(H470="ALI",H470="AIE"),IF(K470&gt;=6,IF(J470&gt;=20,"H","A"),IF(K470&gt;=2,IF(J470&gt;=51,"H",IF(J470&lt;=19,"L","A")),IF(J470&lt;=50,"L","A")))))))</f>
        <v/>
      </c>
      <c r="N470" s="52">
        <f>IF(M470="L","Baixa",IF(M470="A","Média",IF(M470="","","Alta")))</f>
        <v/>
      </c>
      <c r="O470" s="53">
        <f>IF(ISBLANK(H470),"",IF(H470="ALI",IF(M470="L",7,IF(M470="A",10,15)),IF(H470="AIE",IF(M470="L",5,IF(M470="A",7,10)),IF(H470="SE",IF(M470="L",4,IF(M470="A",5,7)),IF(OR(H470="EE",H470="CE"),IF(M470="L",3,IF(M470="A",4,6)))))))</f>
        <v/>
      </c>
      <c r="P470" s="54">
        <f>IF(I470="I",O470*Contagem!$W$15,IF(I470="E",O470*Contagem!$W$17,IF(I470="A",O470*Contagem!$W$16,IF(I470="T",O470*Contagem!$W$18,""))))</f>
        <v/>
      </c>
      <c r="Q470" s="55" t="inlineStr">
        <is>
          <t>Prova: Model app/Models/ReginRecebimento.php; migrations 2026_09_16_160000_create_regin_recebimentos_table e 2026_09_17_160000_add_viability_request_id_to_regin_recebimentos_table. Gravado pela entrada POST /api_integracao/recebe (ReginRecebeController@store, ReginRecebeService::receive) e vinculado à solicitação aberta (ProtocolarRecebimentoReginJob, ReginProcessoProtocolador). Lido no envio do parecer à JUCEB (HttpReginParecerNotifier lê cnpj_empresa). Teste: tests/Feature/Regin/ReginRecebeEndpointTest.php::test_post_persiste_e_devolve_3. Arquivo lógico: a JUCEB empurra a declaração (EE) e o Viabiliza guarda o recebimento, rastreável e ligado à solicitação; mantido dentro da fronteira, não é AIE. TD=11 (protocolo, CNPJ de destino, CNPJ da empresa, CNPJ de origem, código da função, NIRE, serviço, data de geração, declaração recebida (corpo), envelope original, solicitação gerada). TR=1 (Recebimento do REGIN). Para demonstrar: chamadas reais do REGIN ao endpoint de recebimento. Recontagem 16/10/2026: mantida (linha 516 da contagem de 01/10/2026).</t>
        </is>
      </c>
    </row>
    <row r="471" ht="12" customHeight="1" s="73">
      <c r="A471" s="14">
        <f>IF(H471="",IF(C471="",A470,A470+1),A470)</f>
        <v/>
      </c>
      <c r="B471" s="48">
        <f>IF(A471=A470,"",CONCATENATE("F",A471))</f>
        <v/>
      </c>
      <c r="C471" s="85" t="inlineStr">
        <is>
          <t>REGIN - receber declaração e abrir processo</t>
        </is>
      </c>
      <c r="D471" s="142" t="n"/>
      <c r="E471" s="142" t="n"/>
      <c r="F471" s="142" t="n"/>
      <c r="G471" s="143" t="n"/>
      <c r="H471" s="56" t="inlineStr">
        <is>
          <t>EE</t>
        </is>
      </c>
      <c r="I471" s="57" t="inlineStr">
        <is>
          <t>I</t>
        </is>
      </c>
      <c r="J471" s="56" t="n">
        <v>45</v>
      </c>
      <c r="K471" s="56" t="n">
        <v>19</v>
      </c>
      <c r="L471" s="50">
        <f>CONCATENATE(H471,M471)</f>
        <v/>
      </c>
      <c r="M471" s="51">
        <f>IF(OR(ISBLANK(J471),ISBLANK(K471)),IF(OR(H471="ALI",H471="AIE"),"L",IF(ISBLANK(H471),"","A")),IF(H471="EE",IF(K471&gt;=3,IF(J471&gt;=5,"H","A"),IF(K471&gt;=2,IF(J471&gt;=16,"H",IF(J471&lt;=4,"L","A")),IF(J471&lt;=15,"L","A"))),IF(OR(H471="SE",H471="CE"),IF(K471&gt;=4,IF(J471&gt;=6,"H","A"),IF(K471&gt;=2,IF(J471&gt;=20,"H",IF(J471&lt;=5,"L","A")),IF(J471&lt;=19,"L","A"))),IF(OR(H471="ALI",H471="AIE"),IF(K471&gt;=6,IF(J471&gt;=20,"H","A"),IF(K471&gt;=2,IF(J471&gt;=51,"H",IF(J471&lt;=19,"L","A")),IF(J471&lt;=50,"L","A")))))))</f>
        <v/>
      </c>
      <c r="N471" s="52">
        <f>IF(M471="L","Baixa",IF(M471="A","Média",IF(M471="","","Alta")))</f>
        <v/>
      </c>
      <c r="O471" s="53">
        <f>IF(ISBLANK(H471),"",IF(H471="ALI",IF(M471="L",7,IF(M471="A",10,15)),IF(H471="AIE",IF(M471="L",5,IF(M471="A",7,10)),IF(H471="SE",IF(M471="L",4,IF(M471="A",5,7)),IF(OR(H471="EE",H471="CE"),IF(M471="L",3,IF(M471="A",4,6)))))))</f>
        <v/>
      </c>
      <c r="P471" s="54">
        <f>IF(I471="I",O471*Contagem!$W$15,IF(I471="E",O471*Contagem!$W$17,IF(I471="A",O471*Contagem!$W$16,IF(I471="T",O471*Contagem!$W$18,""))))</f>
        <v/>
      </c>
      <c r="Q471" s="55" t="inlineStr">
        <is>
          <t>Prova: Rota POST /api_integracao/recebe (pública, throttle regin-recebe, middleware LogInboundIntegration), chamada pelo REGIN. Sem tela. ReginRecebeService valida o protocolo e os dados mínimos da declaração, grava o recebimento, devolve 3 (aceito), 5 (duplicado) ou 0 (inválido) e enfileira ProtocolarRecebimentoReginJob; ReginProcessoProtocolador cria a empresa, o solicitante (ou requerente nulo) e a solicitação com CNAEs, tipo de imóvel e respostas da planilha, completa área e endereço pelo Cadastro imobiliário quando faltam, protocola (ProtocolarSolicitacaoService), busca o lote pelo ponto e vincula o recebimento. A decisão expressa disparada em seguida é a mesma lógica do protocolo do portal e não é contada aqui. Teste: tests/Feature/Regin/ReginRecebeEndpointTest.php::test_post_de_protocolo_conhecido_cria_processo_pelo_motor; tests/Feature/Regin/ReginProcessoProtocoladorTest.php::test_endereco_vazio_no_regin_carrega_da_inscricao_imobiliaria. Processo elementar independente: menor unidade com significado para a JUCEB e a SEDUR; completo (do envio da declaração ao processo aberto ou à recusa auditada); deixa o negócio consistente (sem protocolo duplicado e sem recebimento sem rastro); lógica única (deduplicação do envelope e abertura do processo de origem REGIN). O formato antigo RUC (rowset) traz os mesmos dados e segue a mesma lógica, então não é processo separado. Classificação: a intenção primária é manter arquivos lógicos (recebimento, solicitação, empresa), §5.5.3: EE. TD=45 (protocolo, código da função, serviço, CNPJ de origem, CNPJ de destino, CNPJ da empresa, NIRE, data de geração, razão social, CPF do solicitante, nome do solicitante, e-mail do solicitante, inscrição imobiliária, CODLOG, tipo de logradouro, logradouro, número, bairro, CEP, ponto de referência, município, UF, área utilizada, tipo de complemento, descrição do complemento, categoria do imóvel, CNAE principal, CNAEs secundários, pergunta da planilha, resposta da pergunta, tipo de imóvel, porte da empresa, atividade em área pública, escritório virtual, atividade abrigada em escritório virtual, presta serviço de escritório virtual, CNPJ do escritório virtual, data de abertura, acessos independentes, polígono declarado, evento da JUCEB, objeto social, natureza jurídica, código de retorno (3/5/0), ação enviar). AR=19 (Recebimento do REGIN, Solicitação de viabilidade, Empresa, Usuário, CNAE, Tipo de imóvel, Planilha de enquadramento, Camada geográfica, Cadastro imobiliário da SEFAZ, Lotes do endereçamento do GeoServer da SEDUR, Lotes por inscrição do SEMAP, Trilha de auditoria, Chamada de integração, Decisão de viabilidade, Permissão de uso por zona (Quadro 10), Condição de instalação por via (Quadro 11A), Regra territorial, Poligonais territoriais do GeoServer da SEDUR, Bloqueio de inscrição de escritório virtual). Para demonstrar: chamadas reais do REGIN; fila ativa para a abertura do processo. Registros automáticos: Trilha de auditoria (ReginRecebeService::registrar e auditoria de recusa/complemento no protocolador) e Chamada de integração (middleware LogInboundIntegration na rota); sem eles AR=11, EE Alta. Recontagem (consolidação): a decisão do fluxo expresso disparada pelo protocolo faz parte deste processo elementar (não é contada à parte), então os arquivos que ela lê e grava entram no AR: FluxoExpressoService grava a Decisão de viabilidade e lê enquadramento, Quadros 10 e 11A, regras territoriais com as poligonais do GeoServer (TerritorialRuleService::avaliar via GeoServerWfsCamadaClient) e o bloqueio de inscrição de escritório virtual. Recontagem 16/10/2026: alterada (linha 122 da contagem de 01/10/2026: "REGIN - receber solicitação", EE Média 4 PF, TD 11, AR 2). Motivo: Nome, TD 11→45 e AR 2→13 (Média 4 PF → Alta 6 PF). A declaração plana da JUCEB passou a ser recebida (RecebimentoProcesso, commits a1601885, fa6948a4, 8ac04e49) e o mesmo processo elementar abre o processo de viabilidade em fila (ProtocolarRecebimentoReginJob): o envelope só deixa o negócio consistente quando vira processo. A fila é divisão técnica, não processo elementar separado. Tipo de serviço não é FTR (dado de código, revisão do catálogo). Consolidação: incluídos no AR os arquivos lidos e gravados pela decisão expressa consequente.</t>
        </is>
      </c>
    </row>
    <row r="472" ht="12" customHeight="1" s="73">
      <c r="A472" s="14">
        <f>IF(H472="",IF(C472="",A471,A471+1),A471)</f>
        <v/>
      </c>
      <c r="B472" s="48">
        <f>IF(A472=A471,"",CONCATENATE("F",A472))</f>
        <v/>
      </c>
      <c r="C472" s="85" t="n"/>
      <c r="D472" s="142" t="n"/>
      <c r="E472" s="142" t="n"/>
      <c r="F472" s="142" t="n"/>
      <c r="G472" s="143" t="n"/>
      <c r="H472" s="56" t="n"/>
      <c r="I472" s="57" t="n"/>
      <c r="J472" s="56" t="n"/>
      <c r="K472" s="56" t="n"/>
      <c r="L472" s="50">
        <f>CONCATENATE(H472,M472)</f>
        <v/>
      </c>
      <c r="M472" s="51">
        <f>IF(OR(ISBLANK(J472),ISBLANK(K472)),IF(OR(H472="ALI",H472="AIE"),"L",IF(ISBLANK(H472),"","A")),IF(H472="EE",IF(K472&gt;=3,IF(J472&gt;=5,"H","A"),IF(K472&gt;=2,IF(J472&gt;=16,"H",IF(J472&lt;=4,"L","A")),IF(J472&lt;=15,"L","A"))),IF(OR(H472="SE",H472="CE"),IF(K472&gt;=4,IF(J472&gt;=6,"H","A"),IF(K472&gt;=2,IF(J472&gt;=20,"H",IF(J472&lt;=5,"L","A")),IF(J472&lt;=19,"L","A"))),IF(OR(H472="ALI",H472="AIE"),IF(K472&gt;=6,IF(J472&gt;=20,"H","A"),IF(K472&gt;=2,IF(J472&gt;=51,"H",IF(J472&lt;=19,"L","A")),IF(J472&lt;=50,"L","A")))))))</f>
        <v/>
      </c>
      <c r="N472" s="52">
        <f>IF(M472="L","Baixa",IF(M472="A","Média",IF(M472="","","Alta")))</f>
        <v/>
      </c>
      <c r="O472" s="53">
        <f>IF(ISBLANK(H472),"",IF(H472="ALI",IF(M472="L",7,IF(M472="A",10,15)),IF(H472="AIE",IF(M472="L",5,IF(M472="A",7,10)),IF(H472="SE",IF(M472="L",4,IF(M472="A",5,7)),IF(OR(H472="EE",H472="CE"),IF(M472="L",3,IF(M472="A",4,6)))))))</f>
        <v/>
      </c>
      <c r="P472" s="54">
        <f>IF(I472="I",O472*Contagem!$W$15,IF(I472="E",O472*Contagem!$W$17,IF(I472="A",O472*Contagem!$W$16,IF(I472="T",O472*Contagem!$W$18,""))))</f>
        <v/>
      </c>
      <c r="Q472" s="55" t="n"/>
    </row>
    <row r="473" ht="12" customHeight="1" s="73">
      <c r="A473" s="14">
        <f>IF(H473="",IF(C473="",A472,A472+1),A472)</f>
        <v/>
      </c>
      <c r="B473" s="48">
        <f>IF(A473=A472,"",CONCATENATE("F",A473))</f>
        <v/>
      </c>
      <c r="C473" s="85" t="inlineStr">
        <is>
          <t>Rotinas automáticas de prazos e controle</t>
        </is>
      </c>
      <c r="D473" s="142" t="n"/>
      <c r="E473" s="142" t="n"/>
      <c r="F473" s="142" t="n"/>
      <c r="G473" s="143" t="n"/>
      <c r="H473" s="56" t="n"/>
      <c r="I473" s="57" t="n"/>
      <c r="J473" s="56" t="n"/>
      <c r="K473" s="56" t="n"/>
      <c r="L473" s="50">
        <f>CONCATENATE(H473,M473)</f>
        <v/>
      </c>
      <c r="M473" s="51">
        <f>IF(OR(ISBLANK(J473),ISBLANK(K473)),IF(OR(H473="ALI",H473="AIE"),"L",IF(ISBLANK(H473),"","A")),IF(H473="EE",IF(K473&gt;=3,IF(J473&gt;=5,"H","A"),IF(K473&gt;=2,IF(J473&gt;=16,"H",IF(J473&lt;=4,"L","A")),IF(J473&lt;=15,"L","A"))),IF(OR(H473="SE",H473="CE"),IF(K473&gt;=4,IF(J473&gt;=6,"H","A"),IF(K473&gt;=2,IF(J473&gt;=20,"H",IF(J473&lt;=5,"L","A")),IF(J473&lt;=19,"L","A"))),IF(OR(H473="ALI",H473="AIE"),IF(K473&gt;=6,IF(J473&gt;=20,"H","A"),IF(K473&gt;=2,IF(J473&gt;=51,"H",IF(J473&lt;=19,"L","A")),IF(J473&lt;=50,"L","A")))))))</f>
        <v/>
      </c>
      <c r="N473" s="52">
        <f>IF(M473="L","Baixa",IF(M473="A","Média",IF(M473="","","Alta")))</f>
        <v/>
      </c>
      <c r="O473" s="53">
        <f>IF(ISBLANK(H473),"",IF(H473="ALI",IF(M473="L",7,IF(M473="A",10,15)),IF(H473="AIE",IF(M473="L",5,IF(M473="A",7,10)),IF(H473="SE",IF(M473="L",4,IF(M473="A",5,7)),IF(OR(H473="EE",H473="CE"),IF(M473="L",3,IF(M473="A",4,6)))))))</f>
        <v/>
      </c>
      <c r="P473" s="54">
        <f>IF(I473="I",O473*Contagem!$W$15,IF(I473="E",O473*Contagem!$W$17,IF(I473="A",O473*Contagem!$W$16,IF(I473="T",O473*Contagem!$W$18,""))))</f>
        <v/>
      </c>
      <c r="Q473" s="55" t="n"/>
    </row>
    <row r="474" ht="12" customHeight="1" s="73">
      <c r="A474" s="14">
        <f>IF(H474="",IF(C474="",A473,A473+1),A473)</f>
        <v/>
      </c>
      <c r="B474" s="48">
        <f>IF(A474=A473,"",CONCATENATE("F",A474))</f>
        <v/>
      </c>
      <c r="C474" s="85" t="inlineStr">
        <is>
          <t>Prazos - alertar vencimento de análise e de pendência</t>
        </is>
      </c>
      <c r="D474" s="142" t="n"/>
      <c r="E474" s="142" t="n"/>
      <c r="F474" s="142" t="n"/>
      <c r="G474" s="143" t="n"/>
      <c r="H474" s="56" t="inlineStr">
        <is>
          <t>SE</t>
        </is>
      </c>
      <c r="I474" s="57" t="inlineStr">
        <is>
          <t>I</t>
        </is>
      </c>
      <c r="J474" s="56" t="n">
        <v>6</v>
      </c>
      <c r="K474" s="56" t="n">
        <v>6</v>
      </c>
      <c r="L474" s="50">
        <f>CONCATENATE(H474,M474)</f>
        <v/>
      </c>
      <c r="M474" s="51">
        <f>IF(OR(ISBLANK(J474),ISBLANK(K474)),IF(OR(H474="ALI",H474="AIE"),"L",IF(ISBLANK(H474),"","A")),IF(H474="EE",IF(K474&gt;=3,IF(J474&gt;=5,"H","A"),IF(K474&gt;=2,IF(J474&gt;=16,"H",IF(J474&lt;=4,"L","A")),IF(J474&lt;=15,"L","A"))),IF(OR(H474="SE",H474="CE"),IF(K474&gt;=4,IF(J474&gt;=6,"H","A"),IF(K474&gt;=2,IF(J474&gt;=20,"H",IF(J474&lt;=5,"L","A")),IF(J474&lt;=19,"L","A"))),IF(OR(H474="ALI",H474="AIE"),IF(K474&gt;=6,IF(J474&gt;=20,"H","A"),IF(K474&gt;=2,IF(J474&gt;=51,"H",IF(J474&lt;=19,"L","A")),IF(J474&lt;=50,"L","A")))))))</f>
        <v/>
      </c>
      <c r="N474" s="52">
        <f>IF(M474="L","Baixa",IF(M474="A","Média",IF(M474="","","Alta")))</f>
        <v/>
      </c>
      <c r="O474" s="53">
        <f>IF(ISBLANK(H474),"",IF(H474="ALI",IF(M474="L",7,IF(M474="A",10,15)),IF(H474="AIE",IF(M474="L",5,IF(M474="A",7,10)),IF(H474="SE",IF(M474="L",4,IF(M474="A",5,7)),IF(OR(H474="EE",H474="CE"),IF(M474="L",3,IF(M474="A",4,6)))))))</f>
        <v/>
      </c>
      <c r="P474" s="54">
        <f>IF(I474="I",O474*Contagem!$W$15,IF(I474="E",O474*Contagem!$W$17,IF(I474="A",O474*Contagem!$W$16,IF(I474="T",O474*Contagem!$W$18,""))))</f>
        <v/>
      </c>
      <c r="Q474" s="55" t="inlineStr">
        <is>
          <t>Prova: Command notificacoes:alertar-vencimentos (agendado diariamente às 07:00 em routes/console.php). Lê processos em análise e convites abertos que vencem dentro da antecedência do parâmetro notificacoes.vencimento.antecedencia_dias; avisa o analista só no sistema (sininho, canal in_app desde 16/10, commit 335f104a) e o requerente pelo mapa de canais (e-mail e sistema), sem repetir (ledger de comunicações). Teste: tests/Feature/Comunicacao/AlertarVencimentosCommandTest.php::test_processo_em_analise_vencendo_na_antecedencia_alerta_o_analista. Processo elementar independente: menor unidade com significado para analista e requerente; completo (varre prazos e entrega o alerta); deixa o negócio consistente (comunicação registrada e idempotente); lógica única (seleção por antecedência de vencimento). Classificação: calcula a janela de vencimento (dado derivado) e grava o ledger, §5.5.3: SE. A troca de canal do analista não altera DER nem FTR. TD=6 (protocolo, assunto, data de vencimento, descrição do aviso, destinatário, link do processo). AR=6 (Solicitação de viabilidade, Pendência da análise, Usuário, Comunicação ao requerente, Notificação ao usuário, Parâmetro). Para demonstrar: features.notificacao_in_app ligado. Registros automáticos: Comunicação ao requerente (Communication::create no NotificationDispatcher) e Notificação ao usuário (canal database); sem eles AR=4, continua SE pelo cálculo da janela de vencimento. Recontagem 16/10/2026: mantida (linha 488 da contagem de 01/10/2026).</t>
        </is>
      </c>
    </row>
    <row r="475" ht="12" customHeight="1" s="73">
      <c r="A475" s="14">
        <f>IF(H475="",IF(C475="",A474,A474+1),A474)</f>
        <v/>
      </c>
      <c r="B475" s="48">
        <f>IF(A475=A474,"",CONCATENATE("F",A475))</f>
        <v/>
      </c>
      <c r="C475" s="85" t="inlineStr">
        <is>
          <t>SLA - escalonar processos em atraso</t>
        </is>
      </c>
      <c r="D475" s="142" t="n"/>
      <c r="E475" s="142" t="n"/>
      <c r="F475" s="142" t="n"/>
      <c r="G475" s="143" t="n"/>
      <c r="H475" s="56" t="inlineStr">
        <is>
          <t>SE</t>
        </is>
      </c>
      <c r="I475" s="57" t="inlineStr">
        <is>
          <t>I</t>
        </is>
      </c>
      <c r="J475" s="56" t="n">
        <v>6</v>
      </c>
      <c r="K475" s="56" t="n">
        <v>5</v>
      </c>
      <c r="L475" s="50">
        <f>CONCATENATE(H475,M475)</f>
        <v/>
      </c>
      <c r="M475" s="51">
        <f>IF(OR(ISBLANK(J475),ISBLANK(K475)),IF(OR(H475="ALI",H475="AIE"),"L",IF(ISBLANK(H475),"","A")),IF(H475="EE",IF(K475&gt;=3,IF(J475&gt;=5,"H","A"),IF(K475&gt;=2,IF(J475&gt;=16,"H",IF(J475&lt;=4,"L","A")),IF(J475&lt;=15,"L","A"))),IF(OR(H475="SE",H475="CE"),IF(K475&gt;=4,IF(J475&gt;=6,"H","A"),IF(K475&gt;=2,IF(J475&gt;=20,"H",IF(J475&lt;=5,"L","A")),IF(J475&lt;=19,"L","A"))),IF(OR(H475="ALI",H475="AIE"),IF(K475&gt;=6,IF(J475&gt;=20,"H","A"),IF(K475&gt;=2,IF(J475&gt;=51,"H",IF(J475&lt;=19,"L","A")),IF(J475&lt;=50,"L","A")))))))</f>
        <v/>
      </c>
      <c r="N475" s="52">
        <f>IF(M475="L","Baixa",IF(M475="A","Média",IF(M475="","","Alta")))</f>
        <v/>
      </c>
      <c r="O475" s="53">
        <f>IF(ISBLANK(H475),"",IF(H475="ALI",IF(M475="L",7,IF(M475="A",10,15)),IF(H475="AIE",IF(M475="L",5,IF(M475="A",7,10)),IF(H475="SE",IF(M475="L",4,IF(M475="A",5,7)),IF(OR(H475="EE",H475="CE"),IF(M475="L",3,IF(M475="A",4,6)))))))</f>
        <v/>
      </c>
      <c r="P475" s="54">
        <f>IF(I475="I",O475*Contagem!$W$15,IF(I475="E",O475*Contagem!$W$17,IF(I475="A",O475*Contagem!$W$16,IF(I475="T",O475*Contagem!$W$18,""))))</f>
        <v/>
      </c>
      <c r="Q475" s="55" t="inlineStr">
        <is>
          <t>Prova: Command notificacoes:escalonar-sla (agendado de hora em hora em routes/console.php). AnalysisSlaService calcula a faixa de SLA de cada processo em análise (parâmetros analise.sla.*) e o comando avisa o analista (amarelo) ou os usuários com a permissão de escalonamento (vencido), conforme notificacoes.escalonamento.tratamento, sem duplicar. Desde 16/10 (commit f185ebb6) o mapa de canais escalonamento_sla é só in_app: o aviso fica no sininho, sem e-mail. Teste: tests/Feature/Comunicacao/EscalonarSlaCommandTest.php::test_escalonamento_notifica_so_no_sistema_sem_email; ::test_vencido_escala_aos_gestores. Processo elementar independente: menor unidade com significado para analista e gestor; completo (calcula SLA e entrega o alerta); deixa o negócio consistente (escalonamento registrado uma vez por etapa); lógica única (faixa de SLA e roteamento por tratamento). Classificação: cálculo da faixa de SLA (dado derivado), §5.5.3: SE. A retirada do e-mail não altera DER nem FTR. TD=6 (protocolo, faixa de SLA (em alerta/vencido), prazo-limite, assunto, destinatário, link do processo). AR=5 (Solicitação de viabilidade, Usuário, Comunicação ao requerente, Notificação ao usuário, Parâmetro). Para demonstrar: features.notificacao_in_app ligado. Registros automáticos: Comunicação ao requerente (ledger communications) e Notificação ao usuário (canal in_app); sem eles AR=3, continua SE pelo cálculo da faixa de SLA. Recontagem 16/10/2026: mantida (linha 489 da contagem de 01/10/2026).</t>
        </is>
      </c>
    </row>
    <row r="476" ht="12" customHeight="1" s="73">
      <c r="A476" s="14">
        <f>IF(H476="",IF(C476="",A475,A475+1),A475)</f>
        <v/>
      </c>
      <c r="B476" s="48">
        <f>IF(A476=A475,"",CONCATENATE("F",A476))</f>
        <v/>
      </c>
      <c r="C476" s="85" t="inlineStr">
        <is>
          <t>Pendências - expirar convites vencidos e indeferir</t>
        </is>
      </c>
      <c r="D476" s="142" t="n"/>
      <c r="E476" s="142" t="n"/>
      <c r="F476" s="142" t="n"/>
      <c r="G476" s="143" t="n"/>
      <c r="H476" s="56" t="inlineStr">
        <is>
          <t>EE</t>
        </is>
      </c>
      <c r="I476" s="57" t="inlineStr">
        <is>
          <t>I</t>
        </is>
      </c>
      <c r="J476" s="56" t="n">
        <v>5</v>
      </c>
      <c r="K476" s="56" t="n">
        <v>8</v>
      </c>
      <c r="L476" s="50">
        <f>CONCATENATE(H476,M476)</f>
        <v/>
      </c>
      <c r="M476" s="51">
        <f>IF(OR(ISBLANK(J476),ISBLANK(K476)),IF(OR(H476="ALI",H476="AIE"),"L",IF(ISBLANK(H476),"","A")),IF(H476="EE",IF(K476&gt;=3,IF(J476&gt;=5,"H","A"),IF(K476&gt;=2,IF(J476&gt;=16,"H",IF(J476&lt;=4,"L","A")),IF(J476&lt;=15,"L","A"))),IF(OR(H476="SE",H476="CE"),IF(K476&gt;=4,IF(J476&gt;=6,"H","A"),IF(K476&gt;=2,IF(J476&gt;=20,"H",IF(J476&lt;=5,"L","A")),IF(J476&lt;=19,"L","A"))),IF(OR(H476="ALI",H476="AIE"),IF(K476&gt;=6,IF(J476&gt;=20,"H","A"),IF(K476&gt;=2,IF(J476&gt;=51,"H",IF(J476&lt;=19,"L","A")),IF(J476&lt;=50,"L","A")))))))</f>
        <v/>
      </c>
      <c r="N476" s="52">
        <f>IF(M476="L","Baixa",IF(M476="A","Média",IF(M476="","","Alta")))</f>
        <v/>
      </c>
      <c r="O476" s="53">
        <f>IF(ISBLANK(H476),"",IF(H476="ALI",IF(M476="L",7,IF(M476="A",10,15)),IF(H476="AIE",IF(M476="L",5,IF(M476="A",7,10)),IF(H476="SE",IF(M476="L",4,IF(M476="A",5,7)),IF(OR(H476="EE",H476="CE"),IF(M476="L",3,IF(M476="A",4,6)))))))</f>
        <v/>
      </c>
      <c r="P476" s="54">
        <f>IF(I476="I",O476*Contagem!$W$15,IF(I476="E",O476*Contagem!$W$17,IF(I476="A",O476*Contagem!$W$16,IF(I476="T",O476*Contagem!$W$18,""))))</f>
        <v/>
      </c>
      <c r="Q476" s="55" t="inlineStr">
        <is>
          <t>Prova: Command pendencias:expirar (agendado diariamente às 06:00 em routes/console.php). ExpirarPendenciasCommand marca como expirados os convites abertos vencidos, audita, indefere o processo em pendência (IndeferirPorPrazoConviteService: decisão indeferida com o texto decisório justificativa.indeferimento.convite_expirado, transição para indeferida e evento ResultadoEmitido) e avisa o analista no sistema. Teste: tests/Feature/Comunicacao/ExpirarPendenciasCommandTest.php::test_convite_vencido_vira_expirado_indefere_o_processo_notifica_o_analista_e_audita. Processo elementar independente: menor unidade com significado para a SEDUR; completo (da pendência vencida ao indeferimento); deixa o negócio consistente (pendência expirada, decisão e situação gravadas); lógica única (indeferimento automático por prazo de convite). Classificação: a intenção primária é manter pendência, decisão e situação, §5.5.3: EE. O parecer à JUCEB que sai do ResultadoEmitido é consequência automática e não conta aqui. TD=5 (pendência, prazo, situação expirada, resultado indeferido com motivo, aviso ao analista). AR=8 (Pendência da análise, Solicitação de viabilidade, Decisão de viabilidade, Texto decisório, Usuário, Comunicação ao requerente, Notificação ao usuário, Trilha de auditoria). Registros automáticos: Comunicação ao requerente, Notificação ao usuário e Trilha de auditoria (audit-&gt;log no comando e no IndeferirPorPrazoConviteService); sem eles AR=5, EE Alta. Recontagem 16/10/2026: alterada (linha 490 da contagem de 01/10/2026: "Pendências - expirar convites vencidos e indeferir", EE Alta 6 PF, TD 5, AR 6). Motivo: AR 6→8 (inclui Notificação ao usuário e Trilha de auditoria, que o comando grava). PF igual (Alta, 6). Confirmado no código atual que o processo ainda é indeferido: o comentário de routes/console.php ('NÃO indefere') está desatualizado; vale ExpirarPendenciasCommand + IndeferirPorPrazoConviteService (commit 475742ee). Aviso ao analista só no sininho desde 16/10 (mapa pendencia_expirada = in_app).</t>
        </is>
      </c>
    </row>
    <row r="477" ht="12" customHeight="1" s="73">
      <c r="A477" s="14">
        <f>IF(H477="",IF(C477="",A476,A476+1),A476)</f>
        <v/>
      </c>
      <c r="B477" s="48">
        <f>IF(A477=A476,"",CONCATENATE("F",A477))</f>
        <v/>
      </c>
      <c r="C477" s="85" t="inlineStr">
        <is>
          <t>Abuso - detectar padrões de abuso</t>
        </is>
      </c>
      <c r="D477" s="142" t="n"/>
      <c r="E477" s="142" t="n"/>
      <c r="F477" s="142" t="n"/>
      <c r="G477" s="143" t="n"/>
      <c r="H477" s="56" t="inlineStr">
        <is>
          <t>EE</t>
        </is>
      </c>
      <c r="I477" s="57" t="inlineStr">
        <is>
          <t>I</t>
        </is>
      </c>
      <c r="J477" s="56" t="n">
        <v>4</v>
      </c>
      <c r="K477" s="56" t="n">
        <v>5</v>
      </c>
      <c r="L477" s="50">
        <f>CONCATENATE(H477,M477)</f>
        <v/>
      </c>
      <c r="M477" s="51">
        <f>IF(OR(ISBLANK(J477),ISBLANK(K477)),IF(OR(H477="ALI",H477="AIE"),"L",IF(ISBLANK(H477),"","A")),IF(H477="EE",IF(K477&gt;=3,IF(J477&gt;=5,"H","A"),IF(K477&gt;=2,IF(J477&gt;=16,"H",IF(J477&lt;=4,"L","A")),IF(J477&lt;=15,"L","A"))),IF(OR(H477="SE",H477="CE"),IF(K477&gt;=4,IF(J477&gt;=6,"H","A"),IF(K477&gt;=2,IF(J477&gt;=20,"H",IF(J477&lt;=5,"L","A")),IF(J477&lt;=19,"L","A"))),IF(OR(H477="ALI",H477="AIE"),IF(K477&gt;=6,IF(J477&gt;=20,"H","A"),IF(K477&gt;=2,IF(J477&gt;=51,"H",IF(J477&lt;=19,"L","A")),IF(J477&lt;=50,"L","A")))))))</f>
        <v/>
      </c>
      <c r="N477" s="52">
        <f>IF(M477="L","Baixa",IF(M477="A","Média",IF(M477="","","Alta")))</f>
        <v/>
      </c>
      <c r="O477" s="53">
        <f>IF(ISBLANK(H477),"",IF(H477="ALI",IF(M477="L",7,IF(M477="A",10,15)),IF(H477="AIE",IF(M477="L",5,IF(M477="A",7,10)),IF(H477="SE",IF(M477="L",4,IF(M477="A",5,7)),IF(OR(H477="EE",H477="CE"),IF(M477="L",3,IF(M477="A",4,6)))))))</f>
        <v/>
      </c>
      <c r="P477" s="54">
        <f>IF(I477="I",O477*Contagem!$W$15,IF(I477="E",O477*Contagem!$W$17,IF(I477="A",O477*Contagem!$W$16,IF(I477="T",O477*Contagem!$W$18,""))))</f>
        <v/>
      </c>
      <c r="Q477" s="55" t="inlineStr">
        <is>
          <t>Prova: Command abuso:detectar (agendado diariamente em routes/console.php). AbuseDetectionService varre solicitações na janela do parâmetro abuso.janela_dias, grava alertas de abuso e encaminha à malha fina acima de abuso.severidade_malha_fina, sem mudar a situação do processo. Teste: tests/Feature/Abuso/AbuseDetectionServiceTest.php::test_comando_com_toggle_on_cria_alertas_reais_e_e_idempotente. Processo elementar independente: menor unidade com significado para a auditoria; completo (varre e registra alertas); deixa o negócio consistente (alertas idempotentes e malha fina registrada); lógica única (detectores de padrão de abuso). Classificação: a intenção primária é manter alertas e encaminhamentos, §5.5.3: EE. TD=4 (padrão detectado, severidade, alerta de abuso, encaminhamento à malha fina). AR=5 (Solicitação de viabilidade, Alerta de abuso, Encaminhamento à malha fina, Parâmetro, Trilha de auditoria). Para demonstrar: features.deteccao_abuso ligado. Registros automáticos: Trilha de auditoria (AbuseDetectionService grava o ciclo com audit-&gt;log); sem ela AR=4, EE Média. Recontagem 16/10/2026: alterada (linha 491 da contagem de 01/10/2026: "Abuso - detectar padrões de abuso", EE Média 4 PF, TD 4, AR 4). Motivo: AR 4→5: Trilha de auditoria gravada a cada ciclo (premissa P4). PF igual (Média, 4).</t>
        </is>
      </c>
    </row>
    <row r="478" ht="12" customHeight="1" s="73">
      <c r="A478" s="14">
        <f>IF(H478="",IF(C478="",A477,A477+1),A477)</f>
        <v/>
      </c>
      <c r="B478" s="48">
        <f>IF(A478=A477,"",CONCATENATE("F",A478))</f>
        <v/>
      </c>
      <c r="C478" s="85" t="inlineStr">
        <is>
          <t>Auditoria preditiva - varrer deferimentos do expresso</t>
        </is>
      </c>
      <c r="D478" s="142" t="n"/>
      <c r="E478" s="142" t="n"/>
      <c r="F478" s="142" t="n"/>
      <c r="G478" s="143" t="n"/>
      <c r="H478" s="56" t="inlineStr">
        <is>
          <t>EE</t>
        </is>
      </c>
      <c r="I478" s="57" t="inlineStr">
        <is>
          <t>I</t>
        </is>
      </c>
      <c r="J478" s="56" t="n">
        <v>4</v>
      </c>
      <c r="K478" s="56" t="n">
        <v>6</v>
      </c>
      <c r="L478" s="50">
        <f>CONCATENATE(H478,M478)</f>
        <v/>
      </c>
      <c r="M478" s="51">
        <f>IF(OR(ISBLANK(J478),ISBLANK(K478)),IF(OR(H478="ALI",H478="AIE"),"L",IF(ISBLANK(H478),"","A")),IF(H478="EE",IF(K478&gt;=3,IF(J478&gt;=5,"H","A"),IF(K478&gt;=2,IF(J478&gt;=16,"H",IF(J478&lt;=4,"L","A")),IF(J478&lt;=15,"L","A"))),IF(OR(H478="SE",H478="CE"),IF(K478&gt;=4,IF(J478&gt;=6,"H","A"),IF(K478&gt;=2,IF(J478&gt;=20,"H",IF(J478&lt;=5,"L","A")),IF(J478&lt;=19,"L","A"))),IF(OR(H478="ALI",H478="AIE"),IF(K478&gt;=6,IF(J478&gt;=20,"H","A"),IF(K478&gt;=2,IF(J478&gt;=51,"H",IF(J478&lt;=19,"L","A")),IF(J478&lt;=50,"L","A")))))))</f>
        <v/>
      </c>
      <c r="N478" s="52">
        <f>IF(M478="L","Baixa",IF(M478="A","Média",IF(M478="","","Alta")))</f>
        <v/>
      </c>
      <c r="O478" s="53">
        <f>IF(ISBLANK(H478),"",IF(H478="ALI",IF(M478="L",7,IF(M478="A",10,15)),IF(H478="AIE",IF(M478="L",5,IF(M478="A",7,10)),IF(H478="SE",IF(M478="L",4,IF(M478="A",5,7)),IF(OR(H478="EE",H478="CE"),IF(M478="L",3,IF(M478="A",4,6)))))))</f>
        <v/>
      </c>
      <c r="P478" s="54">
        <f>IF(I478="I",O478*Contagem!$W$15,IF(I478="E",O478*Contagem!$W$17,IF(I478="A",O478*Contagem!$W$16,IF(I478="T",O478*Contagem!$W$18,""))))</f>
        <v/>
      </c>
      <c r="Q478" s="55" t="inlineStr">
        <is>
          <t>Prova: Command ia:auditoria-preditiva (agendado semanalmente em routes/console.php). PredictiveAuditService pontua deferimentos do expresso na janela do parâmetro, grava anomalias e encaminha as altas à malha fina, sem punir. Teste: tests/Feature/Ia/PredictiveAuditServiceTest.php::test_gera_anomalia_alta_e_encaminha_malha_fina_sem_punir. Processo elementar independente: menor unidade com significado para a auditoria; completo (varre e registra anomalias); deixa o negócio consistente (anomalia aberta única por processo); lógica única (score preditivo sobre deferimentos do expresso). Classificação: a intenção primária é manter anomalias e encaminhamentos, §5.5.3: EE. TD=4 (score, nível da anomalia, anomalia preditiva, encaminhamento à malha fina). AR=6 (Solicitação de viabilidade, Decisão de viabilidade, Anomalia preditiva, Encaminhamento à malha fina, Parâmetro, Trilha de auditoria). Para demonstrar: features.ia_auditoria_preditiva ligado. Registros automáticos: Trilha de auditoria (PredictiveAuditService grava a varredura com audit-&gt;log); sem ela AR=5, EE Média. Recontagem 16/10/2026: alterada (linha 492 da contagem de 01/10/2026: "Auditoria preditiva - varrer deferimentos do expresso", EE Média 4 PF, TD 4, AR 5). Motivo: AR 5→6: Trilha de auditoria gravada a cada varredura (premissa P4). PF igual (Média, 4).</t>
        </is>
      </c>
    </row>
    <row r="479" ht="12" customHeight="1" s="73">
      <c r="A479" s="14">
        <f>IF(H479="",IF(C479="",A478,A478+1),A478)</f>
        <v/>
      </c>
      <c r="B479" s="48">
        <f>IF(A479=A478,"",CONCATENATE("F",A479))</f>
        <v/>
      </c>
      <c r="C479" s="85" t="inlineStr">
        <is>
          <t>TLL - alertar falta de tabela do exercício</t>
        </is>
      </c>
      <c r="D479" s="142" t="n"/>
      <c r="E479" s="142" t="n"/>
      <c r="F479" s="142" t="n"/>
      <c r="G479" s="143" t="n"/>
      <c r="H479" s="56" t="inlineStr">
        <is>
          <t>SE</t>
        </is>
      </c>
      <c r="I479" s="57" t="inlineStr">
        <is>
          <t>I</t>
        </is>
      </c>
      <c r="J479" s="56" t="n">
        <v>3</v>
      </c>
      <c r="K479" s="56" t="n">
        <v>4</v>
      </c>
      <c r="L479" s="50">
        <f>CONCATENATE(H479,M479)</f>
        <v/>
      </c>
      <c r="M479" s="51">
        <f>IF(OR(ISBLANK(J479),ISBLANK(K479)),IF(OR(H479="ALI",H479="AIE"),"L",IF(ISBLANK(H479),"","A")),IF(H479="EE",IF(K479&gt;=3,IF(J479&gt;=5,"H","A"),IF(K479&gt;=2,IF(J479&gt;=16,"H",IF(J479&lt;=4,"L","A")),IF(J479&lt;=15,"L","A"))),IF(OR(H479="SE",H479="CE"),IF(K479&gt;=4,IF(J479&gt;=6,"H","A"),IF(K479&gt;=2,IF(J479&gt;=20,"H",IF(J479&lt;=5,"L","A")),IF(J479&lt;=19,"L","A"))),IF(OR(H479="ALI",H479="AIE"),IF(K479&gt;=6,IF(J479&gt;=20,"H","A"),IF(K479&gt;=2,IF(J479&gt;=51,"H",IF(J479&lt;=19,"L","A")),IF(J479&lt;=50,"L","A")))))))</f>
        <v/>
      </c>
      <c r="N479" s="52">
        <f>IF(M479="L","Baixa",IF(M479="A","Média",IF(M479="","","Alta")))</f>
        <v/>
      </c>
      <c r="O479" s="53">
        <f>IF(ISBLANK(H479),"",IF(H479="ALI",IF(M479="L",7,IF(M479="A",10,15)),IF(H479="AIE",IF(M479="L",5,IF(M479="A",7,10)),IF(H479="SE",IF(M479="L",4,IF(M479="A",5,7)),IF(OR(H479="EE",H479="CE"),IF(M479="L",3,IF(M479="A",4,6)))))))</f>
        <v/>
      </c>
      <c r="P479" s="54">
        <f>IF(I479="I",O479*Contagem!$W$15,IF(I479="E",O479*Contagem!$W$17,IF(I479="A",O479*Contagem!$W$16,IF(I479="T",O479*Contagem!$W$18,""))))</f>
        <v/>
      </c>
      <c r="Q479" s="55" t="inlineStr">
        <is>
          <t>Prova: Command tll:alertar-exercicio (agendado diariamente às 07:30 em routes/console.php). Em dezembro e janeiro, AlertarExercicioTllCommand verifica se há versão vigente da TLL do exercício atual e do seguinte e avisa os usuários com a permissão de escalonamento, sem repetir (trilha regras/tll-exercicio-faltante). Desde 16/10 (commit 335f104a) TllExercicioFaltanteNotification usa só o canal database (sininho), sem e-mail. Teste: tests/Feature/Analise/AlertarExercicioTllCommandTest.php::test_notifica_gestor_quando_falta_versao_vigente; tests/Feature/Comunicacao/AvisosInternosSomenteSininhoTest.php::test_tabela_tll_sem_publicacao_notifica_so_no_sistema. Processo elementar independente: menor unidade com significado para o gestor; completo (verifica e entrega o alerta); deixa o negócio consistente (alerta registrado uma vez por exercício); lógica única (detecção de exercício sem tabela vigente). Classificação: deriva os exercícios sem tabela e grava a trilha, §5.5.3: SE. A retirada do e-mail não altera DER nem FTR. TD=3 (exercícios sem tabela TLL, destinatário (gestor), mensagem do alerta). AR=4 (Valor da TLL, Usuário, Trilha de auditoria, Notificação ao usuário). Registros automáticos: Trilha de auditoria (audit-&gt;log por exercício avisado) e Notificação ao usuário (canal database); sem eles AR=2, SE Baixa. Recontagem (catálogo): Versão de regras deixou de ser arquivo lógico próprio e é subgrupo de Valor da TLL; AR ajustado. Recontagem 16/10/2026: mantida (linha 493 da contagem de 01/10/2026).</t>
        </is>
      </c>
    </row>
    <row r="480" ht="12" customHeight="1" s="73">
      <c r="A480" s="14">
        <f>IF(H480="",IF(C480="",A479,A479+1),A479)</f>
        <v/>
      </c>
      <c r="B480" s="48">
        <f>IF(A480=A479,"",CONCATENATE("F",A480))</f>
        <v/>
      </c>
      <c r="C480" s="85" t="n"/>
      <c r="D480" s="142" t="n"/>
      <c r="E480" s="142" t="n"/>
      <c r="F480" s="142" t="n"/>
      <c r="G480" s="143" t="n"/>
      <c r="H480" s="56" t="n"/>
      <c r="I480" s="57" t="n"/>
      <c r="J480" s="56" t="n"/>
      <c r="K480" s="56" t="n"/>
      <c r="L480" s="50">
        <f>CONCATENATE(H480,M480)</f>
        <v/>
      </c>
      <c r="M480" s="51">
        <f>IF(OR(ISBLANK(J480),ISBLANK(K480)),IF(OR(H480="ALI",H480="AIE"),"L",IF(ISBLANK(H480),"","A")),IF(H480="EE",IF(K480&gt;=3,IF(J480&gt;=5,"H","A"),IF(K480&gt;=2,IF(J480&gt;=16,"H",IF(J480&lt;=4,"L","A")),IF(J480&lt;=15,"L","A"))),IF(OR(H480="SE",H480="CE"),IF(K480&gt;=4,IF(J480&gt;=6,"H","A"),IF(K480&gt;=2,IF(J480&gt;=20,"H",IF(J480&lt;=5,"L","A")),IF(J480&lt;=19,"L","A"))),IF(OR(H480="ALI",H480="AIE"),IF(K480&gt;=6,IF(J480&gt;=20,"H","A"),IF(K480&gt;=2,IF(J480&gt;=51,"H",IF(J480&lt;=19,"L","A")),IF(J480&lt;=50,"L","A")))))))</f>
        <v/>
      </c>
      <c r="N480" s="52">
        <f>IF(M480="L","Baixa",IF(M480="A","Média",IF(M480="","","Alta")))</f>
        <v/>
      </c>
      <c r="O480" s="53">
        <f>IF(ISBLANK(H480),"",IF(H480="ALI",IF(M480="L",7,IF(M480="A",10,15)),IF(H480="AIE",IF(M480="L",5,IF(M480="A",7,10)),IF(H480="SE",IF(M480="L",4,IF(M480="A",5,7)),IF(OR(H480="EE",H480="CE"),IF(M480="L",3,IF(M480="A",4,6)))))))</f>
        <v/>
      </c>
      <c r="P480" s="54">
        <f>IF(I480="I",O480*Contagem!$W$15,IF(I480="E",O480*Contagem!$W$17,IF(I480="A",O480*Contagem!$W$16,IF(I480="T",O480*Contagem!$W$18,""))))</f>
        <v/>
      </c>
      <c r="Q480" s="55" t="n"/>
    </row>
    <row r="481" ht="12" customHeight="1" s="73">
      <c r="A481" s="14">
        <f>IF(H481="",IF(C481="",A480,A480+1),A480)</f>
        <v/>
      </c>
      <c r="B481" s="48">
        <f>IF(A481=A480,"",CONCATENATE("F",A481))</f>
        <v/>
      </c>
      <c r="C481" s="85" t="inlineStr">
        <is>
          <t>Benchmark nacional de viabilidade</t>
        </is>
      </c>
      <c r="D481" s="142" t="n"/>
      <c r="E481" s="142" t="n"/>
      <c r="F481" s="142" t="n"/>
      <c r="G481" s="143" t="n"/>
      <c r="H481" s="56" t="n"/>
      <c r="I481" s="57" t="n"/>
      <c r="J481" s="56" t="n"/>
      <c r="K481" s="56" t="n"/>
      <c r="L481" s="50">
        <f>CONCATENATE(H481,M481)</f>
        <v/>
      </c>
      <c r="M481" s="51">
        <f>IF(OR(ISBLANK(J481),ISBLANK(K481)),IF(OR(H481="ALI",H481="AIE"),"L",IF(ISBLANK(H481),"","A")),IF(H481="EE",IF(K481&gt;=3,IF(J481&gt;=5,"H","A"),IF(K481&gt;=2,IF(J481&gt;=16,"H",IF(J481&lt;=4,"L","A")),IF(J481&lt;=15,"L","A"))),IF(OR(H481="SE",H481="CE"),IF(K481&gt;=4,IF(J481&gt;=6,"H","A"),IF(K481&gt;=2,IF(J481&gt;=20,"H",IF(J481&lt;=5,"L","A")),IF(J481&lt;=19,"L","A"))),IF(OR(H481="ALI",H481="AIE"),IF(K481&gt;=6,IF(J481&gt;=20,"H","A"),IF(K481&gt;=2,IF(J481&gt;=51,"H",IF(J481&lt;=19,"L","A")),IF(J481&lt;=50,"L","A")))))))</f>
        <v/>
      </c>
      <c r="N481" s="52">
        <f>IF(M481="L","Baixa",IF(M481="A","Média",IF(M481="","","Alta")))</f>
        <v/>
      </c>
      <c r="O481" s="53">
        <f>IF(ISBLANK(H481),"",IF(H481="ALI",IF(M481="L",7,IF(M481="A",10,15)),IF(H481="AIE",IF(M481="L",5,IF(M481="A",7,10)),IF(H481="SE",IF(M481="L",4,IF(M481="A",5,7)),IF(OR(H481="EE",H481="CE"),IF(M481="L",3,IF(M481="A",4,6)))))))</f>
        <v/>
      </c>
      <c r="P481" s="54">
        <f>IF(I481="I",O481*Contagem!$W$15,IF(I481="E",O481*Contagem!$W$17,IF(I481="A",O481*Contagem!$W$16,IF(I481="T",O481*Contagem!$W$18,""))))</f>
        <v/>
      </c>
      <c r="Q481" s="55" t="n"/>
    </row>
    <row r="482" ht="12" customHeight="1" s="73">
      <c r="A482" s="14">
        <f>IF(H482="",IF(C482="",A481,A481+1),A481)</f>
        <v/>
      </c>
      <c r="B482" s="48">
        <f>IF(A482=A481,"",CONCATENATE("F",A482))</f>
        <v/>
      </c>
      <c r="C482" s="85" t="inlineStr">
        <is>
          <t>Benchmark - importar microdados mensais da REDESIM</t>
        </is>
      </c>
      <c r="D482" s="142" t="n"/>
      <c r="E482" s="142" t="n"/>
      <c r="F482" s="142" t="n"/>
      <c r="G482" s="143" t="n"/>
      <c r="H482" s="56" t="inlineStr">
        <is>
          <t>EE</t>
        </is>
      </c>
      <c r="I482" s="57" t="inlineStr">
        <is>
          <t>I</t>
        </is>
      </c>
      <c r="J482" s="56" t="n">
        <v>12</v>
      </c>
      <c r="K482" s="56" t="n">
        <v>2</v>
      </c>
      <c r="L482" s="50">
        <f>CONCATENATE(H482,M482)</f>
        <v/>
      </c>
      <c r="M482" s="51">
        <f>IF(OR(ISBLANK(J482),ISBLANK(K482)),IF(OR(H482="ALI",H482="AIE"),"L",IF(ISBLANK(H482),"","A")),IF(H482="EE",IF(K482&gt;=3,IF(J482&gt;=5,"H","A"),IF(K482&gt;=2,IF(J482&gt;=16,"H",IF(J482&lt;=4,"L","A")),IF(J482&lt;=15,"L","A"))),IF(OR(H482="SE",H482="CE"),IF(K482&gt;=4,IF(J482&gt;=6,"H","A"),IF(K482&gt;=2,IF(J482&gt;=20,"H",IF(J482&lt;=5,"L","A")),IF(J482&lt;=19,"L","A"))),IF(OR(H482="ALI",H482="AIE"),IF(K482&gt;=6,IF(J482&gt;=20,"H","A"),IF(K482&gt;=2,IF(J482&gt;=51,"H",IF(J482&lt;=19,"L","A")),IF(J482&lt;=50,"L","A")))))))</f>
        <v/>
      </c>
      <c r="N482" s="52">
        <f>IF(M482="L","Baixa",IF(M482="A","Média",IF(M482="","","Alta")))</f>
        <v/>
      </c>
      <c r="O482" s="53">
        <f>IF(ISBLANK(H482),"",IF(H482="ALI",IF(M482="L",7,IF(M482="A",10,15)),IF(H482="AIE",IF(M482="L",5,IF(M482="A",7,10)),IF(H482="SE",IF(M482="L",4,IF(M482="A",5,7)),IF(OR(H482="EE",H482="CE"),IF(M482="L",3,IF(M482="A",4,6)))))))</f>
        <v/>
      </c>
      <c r="P482" s="54">
        <f>IF(I482="I",O482*Contagem!$W$15,IF(I482="E",O482*Contagem!$W$17,IF(I482="A",O482*Contagem!$W$16,IF(I482="T",O482*Contagem!$W$18,""))))</f>
        <v/>
      </c>
      <c r="Q482" s="55" t="inlineStr">
        <is>
          <t>Prova: Command benchmark:importar-redesim (agendado mensalmente no dia 10 às 03:00 em routes/console.php; opções --ano, --mes, --uf, --desde, --forcar). ImportarBenchmarkRedesim percorre as 27 UFs, pula competência já importada com sucesso e chama BenchmarkIngestionService, que baixa o arquivo pelo RedesimClient, lê UF, município, CNAE e horas (RedesimSolicitacaoParser), grava os agregados por município e por CNAE (Salvador e Brasil) e o registro da importação, e audita sucesso ou falha. Teste: tests/Feature/Benchmark/ImportarBenchmarkRedesimCommandTest.php::test_importa_uma_uf_e_competencia; tests/Feature/Benchmark/BenchmarkIngestionServiceTest.php::test_reprocessar_a_mesma_competencia_substitui_sem_duplicar. Processo elementar independente: menor unidade com significado para o gestor que compara o tempo de viabilidade de Salvador; completo (da competência fechada aos agregados gravados ou à lacuna registrada); deixa o negócio consistente (idempotente por UF e competência, sem agregado parcial); lógica única (carga e agregação dos microdados). Dado recebido por carga é entrada (EE), não AIE. Classificação: a intenção primária é manter o arquivo do benchmark, §5.5.3: EE. TD=12 (UF, município, CNAE, tempo de viabilidade em horas, ano da competência, mês da competência, reimportar (forçar), situação da importação, linhas lidas, linhas descartadas, motivo da falha, mensagem de resultado). AR=2 (Benchmark nacional de tempo de viabilidade, Trilha de auditoria). Para demonstrar: integrations.redesim_estatistica.base_url acessível e scheduler ativo. Registros automáticos: Trilha de auditoria (BenchmarkIngestionService::auditar em sucesso e falha); sem ela AR=1, EE Baixa. Recontagem 16/10/2026: nova (não constava da contagem de 01/10/2026). Função nova (commits 373470ed e 8df127ea, agendada em routes/console.php): carga mensal dos microdados de tempo de viabilidade da REDESIM.</t>
        </is>
      </c>
    </row>
    <row r="483" ht="12" customHeight="1" s="73">
      <c r="A483" s="14">
        <f>IF(H483="",IF(C483="",A482,A482+1),A482)</f>
        <v/>
      </c>
      <c r="B483" s="48">
        <f>IF(A483=A482,"",CONCATENATE("F",A483))</f>
        <v/>
      </c>
      <c r="C483" s="85" t="n"/>
      <c r="D483" s="142" t="n"/>
      <c r="E483" s="142" t="n"/>
      <c r="F483" s="142" t="n"/>
      <c r="G483" s="143" t="n"/>
      <c r="H483" s="56" t="n"/>
      <c r="I483" s="57" t="n"/>
      <c r="J483" s="56" t="n"/>
      <c r="K483" s="56" t="n"/>
      <c r="L483" s="50">
        <f>CONCATENATE(H483,M483)</f>
        <v/>
      </c>
      <c r="M483" s="51">
        <f>IF(OR(ISBLANK(J483),ISBLANK(K483)),IF(OR(H483="ALI",H483="AIE"),"L",IF(ISBLANK(H483),"","A")),IF(H483="EE",IF(K483&gt;=3,IF(J483&gt;=5,"H","A"),IF(K483&gt;=2,IF(J483&gt;=16,"H",IF(J483&lt;=4,"L","A")),IF(J483&lt;=15,"L","A"))),IF(OR(H483="SE",H483="CE"),IF(K483&gt;=4,IF(J483&gt;=6,"H","A"),IF(K483&gt;=2,IF(J483&gt;=20,"H",IF(J483&lt;=5,"L","A")),IF(J483&lt;=19,"L","A"))),IF(OR(H483="ALI",H483="AIE"),IF(K483&gt;=6,IF(J483&gt;=20,"H","A"),IF(K483&gt;=2,IF(J483&gt;=51,"H",IF(J483&lt;=19,"L","A")),IF(J483&lt;=50,"L","A")))))))</f>
        <v/>
      </c>
      <c r="N483" s="52">
        <f>IF(M483="L","Baixa",IF(M483="A","Média",IF(M483="","","Alta")))</f>
        <v/>
      </c>
      <c r="O483" s="53">
        <f>IF(ISBLANK(H483),"",IF(H483="ALI",IF(M483="L",7,IF(M483="A",10,15)),IF(H483="AIE",IF(M483="L",5,IF(M483="A",7,10)),IF(H483="SE",IF(M483="L",4,IF(M483="A",5,7)),IF(OR(H483="EE",H483="CE"),IF(M483="L",3,IF(M483="A",4,6)))))))</f>
        <v/>
      </c>
      <c r="P483" s="54">
        <f>IF(I483="I",O483*Contagem!$W$15,IF(I483="E",O483*Contagem!$W$17,IF(I483="A",O483*Contagem!$W$16,IF(I483="T",O483*Contagem!$W$18,""))))</f>
        <v/>
      </c>
      <c r="Q483" s="55" t="n"/>
    </row>
    <row r="484" ht="12" customHeight="1" s="73">
      <c r="A484" s="14">
        <f>IF(H484="",IF(C484="",A483,A483+1),A483)</f>
        <v/>
      </c>
      <c r="B484" s="48">
        <f>IF(A484=A483,"",CONCATENATE("F",A484))</f>
        <v/>
      </c>
      <c r="C484" s="85" t="n"/>
      <c r="D484" s="142" t="n"/>
      <c r="E484" s="142" t="n"/>
      <c r="F484" s="142" t="n"/>
      <c r="G484" s="143" t="n"/>
      <c r="H484" s="56" t="n"/>
      <c r="I484" s="57" t="n"/>
      <c r="J484" s="56" t="n"/>
      <c r="K484" s="56" t="n"/>
      <c r="L484" s="50">
        <f>CONCATENATE(H484,M484)</f>
        <v/>
      </c>
      <c r="M484" s="51">
        <f>IF(OR(ISBLANK(J484),ISBLANK(K484)),IF(OR(H484="ALI",H484="AIE"),"L",IF(ISBLANK(H484),"","A")),IF(H484="EE",IF(K484&gt;=3,IF(J484&gt;=5,"H","A"),IF(K484&gt;=2,IF(J484&gt;=16,"H",IF(J484&lt;=4,"L","A")),IF(J484&lt;=15,"L","A"))),IF(OR(H484="SE",H484="CE"),IF(K484&gt;=4,IF(J484&gt;=6,"H","A"),IF(K484&gt;=2,IF(J484&gt;=20,"H",IF(J484&lt;=5,"L","A")),IF(J484&lt;=19,"L","A"))),IF(OR(H484="ALI",H484="AIE"),IF(K484&gt;=6,IF(J484&gt;=20,"H","A"),IF(K484&gt;=2,IF(J484&gt;=51,"H",IF(J484&lt;=19,"L","A")),IF(J484&lt;=50,"L","A")))))))</f>
        <v/>
      </c>
      <c r="N484" s="52">
        <f>IF(M484="L","Baixa",IF(M484="A","Média",IF(M484="","","Alta")))</f>
        <v/>
      </c>
      <c r="O484" s="53">
        <f>IF(ISBLANK(H484),"",IF(H484="ALI",IF(M484="L",7,IF(M484="A",10,15)),IF(H484="AIE",IF(M484="L",5,IF(M484="A",7,10)),IF(H484="SE",IF(M484="L",4,IF(M484="A",5,7)),IF(OR(H484="EE",H484="CE"),IF(M484="L",3,IF(M484="A",4,6)))))))</f>
        <v/>
      </c>
      <c r="P484" s="54">
        <f>IF(I484="I",O484*Contagem!$W$15,IF(I484="E",O484*Contagem!$W$17,IF(I484="A",O484*Contagem!$W$16,IF(I484="T",O484*Contagem!$W$18,""))))</f>
        <v/>
      </c>
      <c r="Q484" s="55" t="n"/>
    </row>
    <row r="485" ht="12" customHeight="1" s="73">
      <c r="A485" s="14">
        <f>IF(H485="",IF(C485="",A484,A484+1),A484)</f>
        <v/>
      </c>
      <c r="B485" s="48">
        <f>IF(A485=A484,"",CONCATENATE("F",A485))</f>
        <v/>
      </c>
      <c r="C485" s="85" t="n"/>
      <c r="D485" s="142" t="n"/>
      <c r="E485" s="142" t="n"/>
      <c r="F485" s="142" t="n"/>
      <c r="G485" s="143" t="n"/>
      <c r="H485" s="56" t="n"/>
      <c r="I485" s="57" t="n"/>
      <c r="J485" s="56" t="n"/>
      <c r="K485" s="56" t="n"/>
      <c r="L485" s="50">
        <f>CONCATENATE(H485,M485)</f>
        <v/>
      </c>
      <c r="M485" s="51">
        <f>IF(OR(ISBLANK(J485),ISBLANK(K485)),IF(OR(H485="ALI",H485="AIE"),"L",IF(ISBLANK(H485),"","A")),IF(H485="EE",IF(K485&gt;=3,IF(J485&gt;=5,"H","A"),IF(K485&gt;=2,IF(J485&gt;=16,"H",IF(J485&lt;=4,"L","A")),IF(J485&lt;=15,"L","A"))),IF(OR(H485="SE",H485="CE"),IF(K485&gt;=4,IF(J485&gt;=6,"H","A"),IF(K485&gt;=2,IF(J485&gt;=20,"H",IF(J485&lt;=5,"L","A")),IF(J485&lt;=19,"L","A"))),IF(OR(H485="ALI",H485="AIE"),IF(K485&gt;=6,IF(J485&gt;=20,"H","A"),IF(K485&gt;=2,IF(J485&gt;=51,"H",IF(J485&lt;=19,"L","A")),IF(J485&lt;=50,"L","A")))))))</f>
        <v/>
      </c>
      <c r="N485" s="52">
        <f>IF(M485="L","Baixa",IF(M485="A","Média",IF(M485="","","Alta")))</f>
        <v/>
      </c>
      <c r="O485" s="53">
        <f>IF(ISBLANK(H485),"",IF(H485="ALI",IF(M485="L",7,IF(M485="A",10,15)),IF(H485="AIE",IF(M485="L",5,IF(M485="A",7,10)),IF(H485="SE",IF(M485="L",4,IF(M485="A",5,7)),IF(OR(H485="EE",H485="CE"),IF(M485="L",3,IF(M485="A",4,6)))))))</f>
        <v/>
      </c>
      <c r="P485" s="54">
        <f>IF(I485="I",O485*Contagem!$W$15,IF(I485="E",O485*Contagem!$W$17,IF(I485="A",O485*Contagem!$W$16,IF(I485="T",O485*Contagem!$W$18,""))))</f>
        <v/>
      </c>
      <c r="Q485" s="55" t="n"/>
    </row>
    <row r="486" ht="12" customHeight="1" s="73">
      <c r="A486" s="14">
        <f>IF(H486="",IF(C486="",A485,A485+1),A485)</f>
        <v/>
      </c>
      <c r="B486" s="48">
        <f>IF(A486=A485,"",CONCATENATE("F",A486))</f>
        <v/>
      </c>
      <c r="C486" s="85" t="n"/>
      <c r="D486" s="142" t="n"/>
      <c r="E486" s="142" t="n"/>
      <c r="F486" s="142" t="n"/>
      <c r="G486" s="143" t="n"/>
      <c r="H486" s="56" t="n"/>
      <c r="I486" s="57" t="n"/>
      <c r="J486" s="56" t="n"/>
      <c r="K486" s="56" t="n"/>
      <c r="L486" s="50">
        <f>CONCATENATE(H486,M486)</f>
        <v/>
      </c>
      <c r="M486" s="51">
        <f>IF(OR(ISBLANK(J486),ISBLANK(K486)),IF(OR(H486="ALI",H486="AIE"),"L",IF(ISBLANK(H486),"","A")),IF(H486="EE",IF(K486&gt;=3,IF(J486&gt;=5,"H","A"),IF(K486&gt;=2,IF(J486&gt;=16,"H",IF(J486&lt;=4,"L","A")),IF(J486&lt;=15,"L","A"))),IF(OR(H486="SE",H486="CE"),IF(K486&gt;=4,IF(J486&gt;=6,"H","A"),IF(K486&gt;=2,IF(J486&gt;=20,"H",IF(J486&lt;=5,"L","A")),IF(J486&lt;=19,"L","A"))),IF(OR(H486="ALI",H486="AIE"),IF(K486&gt;=6,IF(J486&gt;=20,"H","A"),IF(K486&gt;=2,IF(J486&gt;=51,"H",IF(J486&lt;=19,"L","A")),IF(J486&lt;=50,"L","A")))))))</f>
        <v/>
      </c>
      <c r="N486" s="52">
        <f>IF(M486="L","Baixa",IF(M486="A","Média",IF(M486="","","Alta")))</f>
        <v/>
      </c>
      <c r="O486" s="53">
        <f>IF(ISBLANK(H486),"",IF(H486="ALI",IF(M486="L",7,IF(M486="A",10,15)),IF(H486="AIE",IF(M486="L",5,IF(M486="A",7,10)),IF(H486="SE",IF(M486="L",4,IF(M486="A",5,7)),IF(OR(H486="EE",H486="CE"),IF(M486="L",3,IF(M486="A",4,6)))))))</f>
        <v/>
      </c>
      <c r="P486" s="54">
        <f>IF(I486="I",O486*Contagem!$W$15,IF(I486="E",O486*Contagem!$W$17,IF(I486="A",O486*Contagem!$W$16,IF(I486="T",O486*Contagem!$W$18,""))))</f>
        <v/>
      </c>
      <c r="Q486" s="55" t="n"/>
    </row>
    <row r="487" ht="12" customHeight="1" s="73">
      <c r="A487" s="14">
        <f>IF(H487="",IF(C487="",A486,A486+1),A486)</f>
        <v/>
      </c>
      <c r="B487" s="48">
        <f>IF(A487=A486,"",CONCATENATE("F",A487))</f>
        <v/>
      </c>
      <c r="C487" s="85" t="n"/>
      <c r="D487" s="142" t="n"/>
      <c r="E487" s="142" t="n"/>
      <c r="F487" s="142" t="n"/>
      <c r="G487" s="143" t="n"/>
      <c r="H487" s="56" t="n"/>
      <c r="I487" s="57" t="n"/>
      <c r="J487" s="56" t="n"/>
      <c r="K487" s="56" t="n"/>
      <c r="L487" s="50">
        <f>CONCATENATE(H487,M487)</f>
        <v/>
      </c>
      <c r="M487" s="51">
        <f>IF(OR(ISBLANK(J487),ISBLANK(K487)),IF(OR(H487="ALI",H487="AIE"),"L",IF(ISBLANK(H487),"","A")),IF(H487="EE",IF(K487&gt;=3,IF(J487&gt;=5,"H","A"),IF(K487&gt;=2,IF(J487&gt;=16,"H",IF(J487&lt;=4,"L","A")),IF(J487&lt;=15,"L","A"))),IF(OR(H487="SE",H487="CE"),IF(K487&gt;=4,IF(J487&gt;=6,"H","A"),IF(K487&gt;=2,IF(J487&gt;=20,"H",IF(J487&lt;=5,"L","A")),IF(J487&lt;=19,"L","A"))),IF(OR(H487="ALI",H487="AIE"),IF(K487&gt;=6,IF(J487&gt;=20,"H","A"),IF(K487&gt;=2,IF(J487&gt;=51,"H",IF(J487&lt;=19,"L","A")),IF(J487&lt;=50,"L","A")))))))</f>
        <v/>
      </c>
      <c r="N487" s="52">
        <f>IF(M487="L","Baixa",IF(M487="A","Média",IF(M487="","","Alta")))</f>
        <v/>
      </c>
      <c r="O487" s="53">
        <f>IF(ISBLANK(H487),"",IF(H487="ALI",IF(M487="L",7,IF(M487="A",10,15)),IF(H487="AIE",IF(M487="L",5,IF(M487="A",7,10)),IF(H487="SE",IF(M487="L",4,IF(M487="A",5,7)),IF(OR(H487="EE",H487="CE"),IF(M487="L",3,IF(M487="A",4,6)))))))</f>
        <v/>
      </c>
      <c r="P487" s="54">
        <f>IF(I487="I",O487*Contagem!$W$15,IF(I487="E",O487*Contagem!$W$17,IF(I487="A",O487*Contagem!$W$16,IF(I487="T",O487*Contagem!$W$18,""))))</f>
        <v/>
      </c>
      <c r="Q487" s="55" t="n"/>
    </row>
    <row r="488" ht="12" customHeight="1" s="73">
      <c r="A488" s="14">
        <f>IF(H488="",IF(C488="",A487,A487+1),A487)</f>
        <v/>
      </c>
      <c r="B488" s="48">
        <f>IF(A488=A487,"",CONCATENATE("F",A488))</f>
        <v/>
      </c>
      <c r="C488" s="85" t="n"/>
      <c r="D488" s="142" t="n"/>
      <c r="E488" s="142" t="n"/>
      <c r="F488" s="142" t="n"/>
      <c r="G488" s="143" t="n"/>
      <c r="H488" s="56" t="n"/>
      <c r="I488" s="57" t="n"/>
      <c r="J488" s="56" t="n"/>
      <c r="K488" s="56" t="n"/>
      <c r="L488" s="50">
        <f>CONCATENATE(H488,M488)</f>
        <v/>
      </c>
      <c r="M488" s="51">
        <f>IF(OR(ISBLANK(J488),ISBLANK(K488)),IF(OR(H488="ALI",H488="AIE"),"L",IF(ISBLANK(H488),"","A")),IF(H488="EE",IF(K488&gt;=3,IF(J488&gt;=5,"H","A"),IF(K488&gt;=2,IF(J488&gt;=16,"H",IF(J488&lt;=4,"L","A")),IF(J488&lt;=15,"L","A"))),IF(OR(H488="SE",H488="CE"),IF(K488&gt;=4,IF(J488&gt;=6,"H","A"),IF(K488&gt;=2,IF(J488&gt;=20,"H",IF(J488&lt;=5,"L","A")),IF(J488&lt;=19,"L","A"))),IF(OR(H488="ALI",H488="AIE"),IF(K488&gt;=6,IF(J488&gt;=20,"H","A"),IF(K488&gt;=2,IF(J488&gt;=51,"H",IF(J488&lt;=19,"L","A")),IF(J488&lt;=50,"L","A")))))))</f>
        <v/>
      </c>
      <c r="N488" s="52">
        <f>IF(M488="L","Baixa",IF(M488="A","Média",IF(M488="","","Alta")))</f>
        <v/>
      </c>
      <c r="O488" s="53">
        <f>IF(ISBLANK(H488),"",IF(H488="ALI",IF(M488="L",7,IF(M488="A",10,15)),IF(H488="AIE",IF(M488="L",5,IF(M488="A",7,10)),IF(H488="SE",IF(M488="L",4,IF(M488="A",5,7)),IF(OR(H488="EE",H488="CE"),IF(M488="L",3,IF(M488="A",4,6)))))))</f>
        <v/>
      </c>
      <c r="P488" s="54">
        <f>IF(I488="I",O488*Contagem!$W$15,IF(I488="E",O488*Contagem!$W$17,IF(I488="A",O488*Contagem!$W$16,IF(I488="T",O488*Contagem!$W$18,""))))</f>
        <v/>
      </c>
      <c r="Q488" s="55" t="n"/>
    </row>
    <row r="489" ht="12" customHeight="1" s="73">
      <c r="A489" s="14">
        <f>IF(H489="",IF(C489="",A488,A488+1),A488)</f>
        <v/>
      </c>
      <c r="B489" s="48">
        <f>IF(A489=A488,"",CONCATENATE("F",A489))</f>
        <v/>
      </c>
      <c r="C489" s="85" t="n"/>
      <c r="D489" s="142" t="n"/>
      <c r="E489" s="142" t="n"/>
      <c r="F489" s="142" t="n"/>
      <c r="G489" s="143" t="n"/>
      <c r="H489" s="56" t="n"/>
      <c r="I489" s="57" t="n"/>
      <c r="J489" s="56" t="n"/>
      <c r="K489" s="56" t="n"/>
      <c r="L489" s="50">
        <f>CONCATENATE(H489,M489)</f>
        <v/>
      </c>
      <c r="M489" s="51">
        <f>IF(OR(ISBLANK(J489),ISBLANK(K489)),IF(OR(H489="ALI",H489="AIE"),"L",IF(ISBLANK(H489),"","A")),IF(H489="EE",IF(K489&gt;=3,IF(J489&gt;=5,"H","A"),IF(K489&gt;=2,IF(J489&gt;=16,"H",IF(J489&lt;=4,"L","A")),IF(J489&lt;=15,"L","A"))),IF(OR(H489="SE",H489="CE"),IF(K489&gt;=4,IF(J489&gt;=6,"H","A"),IF(K489&gt;=2,IF(J489&gt;=20,"H",IF(J489&lt;=5,"L","A")),IF(J489&lt;=19,"L","A"))),IF(OR(H489="ALI",H489="AIE"),IF(K489&gt;=6,IF(J489&gt;=20,"H","A"),IF(K489&gt;=2,IF(J489&gt;=51,"H",IF(J489&lt;=19,"L","A")),IF(J489&lt;=50,"L","A")))))))</f>
        <v/>
      </c>
      <c r="N489" s="52">
        <f>IF(M489="L","Baixa",IF(M489="A","Média",IF(M489="","","Alta")))</f>
        <v/>
      </c>
      <c r="O489" s="53">
        <f>IF(ISBLANK(H489),"",IF(H489="ALI",IF(M489="L",7,IF(M489="A",10,15)),IF(H489="AIE",IF(M489="L",5,IF(M489="A",7,10)),IF(H489="SE",IF(M489="L",4,IF(M489="A",5,7)),IF(OR(H489="EE",H489="CE"),IF(M489="L",3,IF(M489="A",4,6)))))))</f>
        <v/>
      </c>
      <c r="P489" s="54">
        <f>IF(I489="I",O489*Contagem!$W$15,IF(I489="E",O489*Contagem!$W$17,IF(I489="A",O489*Contagem!$W$16,IF(I489="T",O489*Contagem!$W$18,""))))</f>
        <v/>
      </c>
      <c r="Q489" s="55" t="n"/>
    </row>
    <row r="490" ht="12" customHeight="1" s="73">
      <c r="A490" s="14">
        <f>IF(H490="",IF(C490="",A489,A489+1),A489)</f>
        <v/>
      </c>
      <c r="B490" s="48">
        <f>IF(A490=A489,"",CONCATENATE("F",A490))</f>
        <v/>
      </c>
      <c r="C490" s="85" t="n"/>
      <c r="D490" s="142" t="n"/>
      <c r="E490" s="142" t="n"/>
      <c r="F490" s="142" t="n"/>
      <c r="G490" s="143" t="n"/>
      <c r="H490" s="56" t="n"/>
      <c r="I490" s="57" t="n"/>
      <c r="J490" s="56" t="n"/>
      <c r="K490" s="56" t="n"/>
      <c r="L490" s="50">
        <f>CONCATENATE(H490,M490)</f>
        <v/>
      </c>
      <c r="M490" s="51">
        <f>IF(OR(ISBLANK(J490),ISBLANK(K490)),IF(OR(H490="ALI",H490="AIE"),"L",IF(ISBLANK(H490),"","A")),IF(H490="EE",IF(K490&gt;=3,IF(J490&gt;=5,"H","A"),IF(K490&gt;=2,IF(J490&gt;=16,"H",IF(J490&lt;=4,"L","A")),IF(J490&lt;=15,"L","A"))),IF(OR(H490="SE",H490="CE"),IF(K490&gt;=4,IF(J490&gt;=6,"H","A"),IF(K490&gt;=2,IF(J490&gt;=20,"H",IF(J490&lt;=5,"L","A")),IF(J490&lt;=19,"L","A"))),IF(OR(H490="ALI",H490="AIE"),IF(K490&gt;=6,IF(J490&gt;=20,"H","A"),IF(K490&gt;=2,IF(J490&gt;=51,"H",IF(J490&lt;=19,"L","A")),IF(J490&lt;=50,"L","A")))))))</f>
        <v/>
      </c>
      <c r="N490" s="52">
        <f>IF(M490="L","Baixa",IF(M490="A","Média",IF(M490="","","Alta")))</f>
        <v/>
      </c>
      <c r="O490" s="53">
        <f>IF(ISBLANK(H490),"",IF(H490="ALI",IF(M490="L",7,IF(M490="A",10,15)),IF(H490="AIE",IF(M490="L",5,IF(M490="A",7,10)),IF(H490="SE",IF(M490="L",4,IF(M490="A",5,7)),IF(OR(H490="EE",H490="CE"),IF(M490="L",3,IF(M490="A",4,6)))))))</f>
        <v/>
      </c>
      <c r="P490" s="54">
        <f>IF(I490="I",O490*Contagem!$W$15,IF(I490="E",O490*Contagem!$W$17,IF(I490="A",O490*Contagem!$W$16,IF(I490="T",O490*Contagem!$W$18,""))))</f>
        <v/>
      </c>
      <c r="Q490" s="55" t="n"/>
    </row>
    <row r="491" ht="12" customHeight="1" s="73">
      <c r="A491" s="14">
        <f>IF(H491="",IF(C491="",A490,A490+1),A490)</f>
        <v/>
      </c>
      <c r="B491" s="48">
        <f>IF(A491=A490,"",CONCATENATE("F",A491))</f>
        <v/>
      </c>
      <c r="C491" s="85" t="n"/>
      <c r="D491" s="142" t="n"/>
      <c r="E491" s="142" t="n"/>
      <c r="F491" s="142" t="n"/>
      <c r="G491" s="143" t="n"/>
      <c r="H491" s="56" t="n"/>
      <c r="I491" s="57" t="n"/>
      <c r="J491" s="56" t="n"/>
      <c r="K491" s="56" t="n"/>
      <c r="L491" s="50">
        <f>CONCATENATE(H491,M491)</f>
        <v/>
      </c>
      <c r="M491" s="51">
        <f>IF(OR(ISBLANK(J491),ISBLANK(K491)),IF(OR(H491="ALI",H491="AIE"),"L",IF(ISBLANK(H491),"","A")),IF(H491="EE",IF(K491&gt;=3,IF(J491&gt;=5,"H","A"),IF(K491&gt;=2,IF(J491&gt;=16,"H",IF(J491&lt;=4,"L","A")),IF(J491&lt;=15,"L","A"))),IF(OR(H491="SE",H491="CE"),IF(K491&gt;=4,IF(J491&gt;=6,"H","A"),IF(K491&gt;=2,IF(J491&gt;=20,"H",IF(J491&lt;=5,"L","A")),IF(J491&lt;=19,"L","A"))),IF(OR(H491="ALI",H491="AIE"),IF(K491&gt;=6,IF(J491&gt;=20,"H","A"),IF(K491&gt;=2,IF(J491&gt;=51,"H",IF(J491&lt;=19,"L","A")),IF(J491&lt;=50,"L","A")))))))</f>
        <v/>
      </c>
      <c r="N491" s="52">
        <f>IF(M491="L","Baixa",IF(M491="A","Média",IF(M491="","","Alta")))</f>
        <v/>
      </c>
      <c r="O491" s="53">
        <f>IF(ISBLANK(H491),"",IF(H491="ALI",IF(M491="L",7,IF(M491="A",10,15)),IF(H491="AIE",IF(M491="L",5,IF(M491="A",7,10)),IF(H491="SE",IF(M491="L",4,IF(M491="A",5,7)),IF(OR(H491="EE",H491="CE"),IF(M491="L",3,IF(M491="A",4,6)))))))</f>
        <v/>
      </c>
      <c r="P491" s="54">
        <f>IF(I491="I",O491*Contagem!$W$15,IF(I491="E",O491*Contagem!$W$17,IF(I491="A",O491*Contagem!$W$16,IF(I491="T",O491*Contagem!$W$18,""))))</f>
        <v/>
      </c>
      <c r="Q491" s="55" t="n"/>
    </row>
    <row r="492" ht="12" customHeight="1" s="73">
      <c r="A492" s="14">
        <f>IF(H492="",IF(C492="",A491,A491+1),A491)</f>
        <v/>
      </c>
      <c r="B492" s="48">
        <f>IF(A492=A491,"",CONCATENATE("F",A492))</f>
        <v/>
      </c>
      <c r="C492" s="85" t="n"/>
      <c r="D492" s="142" t="n"/>
      <c r="E492" s="142" t="n"/>
      <c r="F492" s="142" t="n"/>
      <c r="G492" s="143" t="n"/>
      <c r="H492" s="56" t="n"/>
      <c r="I492" s="57" t="n"/>
      <c r="J492" s="56" t="n"/>
      <c r="K492" s="56" t="n"/>
      <c r="L492" s="50">
        <f>CONCATENATE(H492,M492)</f>
        <v/>
      </c>
      <c r="M492" s="51">
        <f>IF(OR(ISBLANK(J492),ISBLANK(K492)),IF(OR(H492="ALI",H492="AIE"),"L",IF(ISBLANK(H492),"","A")),IF(H492="EE",IF(K492&gt;=3,IF(J492&gt;=5,"H","A"),IF(K492&gt;=2,IF(J492&gt;=16,"H",IF(J492&lt;=4,"L","A")),IF(J492&lt;=15,"L","A"))),IF(OR(H492="SE",H492="CE"),IF(K492&gt;=4,IF(J492&gt;=6,"H","A"),IF(K492&gt;=2,IF(J492&gt;=20,"H",IF(J492&lt;=5,"L","A")),IF(J492&lt;=19,"L","A"))),IF(OR(H492="ALI",H492="AIE"),IF(K492&gt;=6,IF(J492&gt;=20,"H","A"),IF(K492&gt;=2,IF(J492&gt;=51,"H",IF(J492&lt;=19,"L","A")),IF(J492&lt;=50,"L","A")))))))</f>
        <v/>
      </c>
      <c r="N492" s="52">
        <f>IF(M492="L","Baixa",IF(M492="A","Média",IF(M492="","","Alta")))</f>
        <v/>
      </c>
      <c r="O492" s="53">
        <f>IF(ISBLANK(H492),"",IF(H492="ALI",IF(M492="L",7,IF(M492="A",10,15)),IF(H492="AIE",IF(M492="L",5,IF(M492="A",7,10)),IF(H492="SE",IF(M492="L",4,IF(M492="A",5,7)),IF(OR(H492="EE",H492="CE"),IF(M492="L",3,IF(M492="A",4,6)))))))</f>
        <v/>
      </c>
      <c r="P492" s="54">
        <f>IF(I492="I",O492*Contagem!$W$15,IF(I492="E",O492*Contagem!$W$17,IF(I492="A",O492*Contagem!$W$16,IF(I492="T",O492*Contagem!$W$18,""))))</f>
        <v/>
      </c>
      <c r="Q492" s="55" t="n"/>
    </row>
    <row r="493" ht="12" customHeight="1" s="73">
      <c r="A493" s="14">
        <f>IF(H493="",IF(C493="",A492,A492+1),A492)</f>
        <v/>
      </c>
      <c r="B493" s="48">
        <f>IF(A493=A492,"",CONCATENATE("F",A493))</f>
        <v/>
      </c>
      <c r="C493" s="85" t="n"/>
      <c r="D493" s="142" t="n"/>
      <c r="E493" s="142" t="n"/>
      <c r="F493" s="142" t="n"/>
      <c r="G493" s="143" t="n"/>
      <c r="H493" s="56" t="n"/>
      <c r="I493" s="57" t="n"/>
      <c r="J493" s="56" t="n"/>
      <c r="K493" s="56" t="n"/>
      <c r="L493" s="50">
        <f>CONCATENATE(H493,M493)</f>
        <v/>
      </c>
      <c r="M493" s="51">
        <f>IF(OR(ISBLANK(J493),ISBLANK(K493)),IF(OR(H493="ALI",H493="AIE"),"L",IF(ISBLANK(H493),"","A")),IF(H493="EE",IF(K493&gt;=3,IF(J493&gt;=5,"H","A"),IF(K493&gt;=2,IF(J493&gt;=16,"H",IF(J493&lt;=4,"L","A")),IF(J493&lt;=15,"L","A"))),IF(OR(H493="SE",H493="CE"),IF(K493&gt;=4,IF(J493&gt;=6,"H","A"),IF(K493&gt;=2,IF(J493&gt;=20,"H",IF(J493&lt;=5,"L","A")),IF(J493&lt;=19,"L","A"))),IF(OR(H493="ALI",H493="AIE"),IF(K493&gt;=6,IF(J493&gt;=20,"H","A"),IF(K493&gt;=2,IF(J493&gt;=51,"H",IF(J493&lt;=19,"L","A")),IF(J493&lt;=50,"L","A")))))))</f>
        <v/>
      </c>
      <c r="N493" s="52">
        <f>IF(M493="L","Baixa",IF(M493="A","Média",IF(M493="","","Alta")))</f>
        <v/>
      </c>
      <c r="O493" s="53">
        <f>IF(ISBLANK(H493),"",IF(H493="ALI",IF(M493="L",7,IF(M493="A",10,15)),IF(H493="AIE",IF(M493="L",5,IF(M493="A",7,10)),IF(H493="SE",IF(M493="L",4,IF(M493="A",5,7)),IF(OR(H493="EE",H493="CE"),IF(M493="L",3,IF(M493="A",4,6)))))))</f>
        <v/>
      </c>
      <c r="P493" s="54">
        <f>IF(I493="I",O493*Contagem!$W$15,IF(I493="E",O493*Contagem!$W$17,IF(I493="A",O493*Contagem!$W$16,IF(I493="T",O493*Contagem!$W$18,""))))</f>
        <v/>
      </c>
      <c r="Q493" s="55" t="n"/>
    </row>
    <row r="494" ht="12" customHeight="1" s="73">
      <c r="A494" s="14">
        <f>IF(H494="",IF(C494="",A493,A493+1),A493)</f>
        <v/>
      </c>
      <c r="B494" s="48">
        <f>IF(A494=A493,"",CONCATENATE("F",A494))</f>
        <v/>
      </c>
      <c r="C494" s="85" t="n"/>
      <c r="D494" s="142" t="n"/>
      <c r="E494" s="142" t="n"/>
      <c r="F494" s="142" t="n"/>
      <c r="G494" s="143" t="n"/>
      <c r="H494" s="56" t="n"/>
      <c r="I494" s="57" t="n"/>
      <c r="J494" s="56" t="n"/>
      <c r="K494" s="56" t="n"/>
      <c r="L494" s="50">
        <f>CONCATENATE(H494,M494)</f>
        <v/>
      </c>
      <c r="M494" s="51">
        <f>IF(OR(ISBLANK(J494),ISBLANK(K494)),IF(OR(H494="ALI",H494="AIE"),"L",IF(ISBLANK(H494),"","A")),IF(H494="EE",IF(K494&gt;=3,IF(J494&gt;=5,"H","A"),IF(K494&gt;=2,IF(J494&gt;=16,"H",IF(J494&lt;=4,"L","A")),IF(J494&lt;=15,"L","A"))),IF(OR(H494="SE",H494="CE"),IF(K494&gt;=4,IF(J494&gt;=6,"H","A"),IF(K494&gt;=2,IF(J494&gt;=20,"H",IF(J494&lt;=5,"L","A")),IF(J494&lt;=19,"L","A"))),IF(OR(H494="ALI",H494="AIE"),IF(K494&gt;=6,IF(J494&gt;=20,"H","A"),IF(K494&gt;=2,IF(J494&gt;=51,"H",IF(J494&lt;=19,"L","A")),IF(J494&lt;=50,"L","A")))))))</f>
        <v/>
      </c>
      <c r="N494" s="52">
        <f>IF(M494="L","Baixa",IF(M494="A","Média",IF(M494="","","Alta")))</f>
        <v/>
      </c>
      <c r="O494" s="53">
        <f>IF(ISBLANK(H494),"",IF(H494="ALI",IF(M494="L",7,IF(M494="A",10,15)),IF(H494="AIE",IF(M494="L",5,IF(M494="A",7,10)),IF(H494="SE",IF(M494="L",4,IF(M494="A",5,7)),IF(OR(H494="EE",H494="CE"),IF(M494="L",3,IF(M494="A",4,6)))))))</f>
        <v/>
      </c>
      <c r="P494" s="54">
        <f>IF(I494="I",O494*Contagem!$W$15,IF(I494="E",O494*Contagem!$W$17,IF(I494="A",O494*Contagem!$W$16,IF(I494="T",O494*Contagem!$W$18,""))))</f>
        <v/>
      </c>
      <c r="Q494" s="55" t="n"/>
    </row>
    <row r="495" ht="12" customHeight="1" s="73">
      <c r="A495" s="14">
        <f>IF(H495="",IF(C495="",A494,A494+1),A494)</f>
        <v/>
      </c>
      <c r="B495" s="48">
        <f>IF(A495=A494,"",CONCATENATE("F",A495))</f>
        <v/>
      </c>
      <c r="C495" s="85" t="n"/>
      <c r="D495" s="142" t="n"/>
      <c r="E495" s="142" t="n"/>
      <c r="F495" s="142" t="n"/>
      <c r="G495" s="143" t="n"/>
      <c r="H495" s="56" t="n"/>
      <c r="I495" s="57" t="n"/>
      <c r="J495" s="56" t="n"/>
      <c r="K495" s="56" t="n"/>
      <c r="L495" s="50">
        <f>CONCATENATE(H495,M495)</f>
        <v/>
      </c>
      <c r="M495" s="51">
        <f>IF(OR(ISBLANK(J495),ISBLANK(K495)),IF(OR(H495="ALI",H495="AIE"),"L",IF(ISBLANK(H495),"","A")),IF(H495="EE",IF(K495&gt;=3,IF(J495&gt;=5,"H","A"),IF(K495&gt;=2,IF(J495&gt;=16,"H",IF(J495&lt;=4,"L","A")),IF(J495&lt;=15,"L","A"))),IF(OR(H495="SE",H495="CE"),IF(K495&gt;=4,IF(J495&gt;=6,"H","A"),IF(K495&gt;=2,IF(J495&gt;=20,"H",IF(J495&lt;=5,"L","A")),IF(J495&lt;=19,"L","A"))),IF(OR(H495="ALI",H495="AIE"),IF(K495&gt;=6,IF(J495&gt;=20,"H","A"),IF(K495&gt;=2,IF(J495&gt;=51,"H",IF(J495&lt;=19,"L","A")),IF(J495&lt;=50,"L","A")))))))</f>
        <v/>
      </c>
      <c r="N495" s="52">
        <f>IF(M495="L","Baixa",IF(M495="A","Média",IF(M495="","","Alta")))</f>
        <v/>
      </c>
      <c r="O495" s="53">
        <f>IF(ISBLANK(H495),"",IF(H495="ALI",IF(M495="L",7,IF(M495="A",10,15)),IF(H495="AIE",IF(M495="L",5,IF(M495="A",7,10)),IF(H495="SE",IF(M495="L",4,IF(M495="A",5,7)),IF(OR(H495="EE",H495="CE"),IF(M495="L",3,IF(M495="A",4,6)))))))</f>
        <v/>
      </c>
      <c r="P495" s="54">
        <f>IF(I495="I",O495*Contagem!$W$15,IF(I495="E",O495*Contagem!$W$17,IF(I495="A",O495*Contagem!$W$16,IF(I495="T",O495*Contagem!$W$18,""))))</f>
        <v/>
      </c>
      <c r="Q495" s="55" t="n"/>
    </row>
    <row r="496" ht="12" customHeight="1" s="73">
      <c r="A496" s="14">
        <f>IF(H496="",IF(C496="",A495,A495+1),A495)</f>
        <v/>
      </c>
      <c r="B496" s="48">
        <f>IF(A496=A495,"",CONCATENATE("F",A496))</f>
        <v/>
      </c>
      <c r="C496" s="85" t="n"/>
      <c r="D496" s="142" t="n"/>
      <c r="E496" s="142" t="n"/>
      <c r="F496" s="142" t="n"/>
      <c r="G496" s="143" t="n"/>
      <c r="H496" s="56" t="n"/>
      <c r="I496" s="57" t="n"/>
      <c r="J496" s="56" t="n"/>
      <c r="K496" s="56" t="n"/>
      <c r="L496" s="50">
        <f>CONCATENATE(H496,M496)</f>
        <v/>
      </c>
      <c r="M496" s="51">
        <f>IF(OR(ISBLANK(J496),ISBLANK(K496)),IF(OR(H496="ALI",H496="AIE"),"L",IF(ISBLANK(H496),"","A")),IF(H496="EE",IF(K496&gt;=3,IF(J496&gt;=5,"H","A"),IF(K496&gt;=2,IF(J496&gt;=16,"H",IF(J496&lt;=4,"L","A")),IF(J496&lt;=15,"L","A"))),IF(OR(H496="SE",H496="CE"),IF(K496&gt;=4,IF(J496&gt;=6,"H","A"),IF(K496&gt;=2,IF(J496&gt;=20,"H",IF(J496&lt;=5,"L","A")),IF(J496&lt;=19,"L","A"))),IF(OR(H496="ALI",H496="AIE"),IF(K496&gt;=6,IF(J496&gt;=20,"H","A"),IF(K496&gt;=2,IF(J496&gt;=51,"H",IF(J496&lt;=19,"L","A")),IF(J496&lt;=50,"L","A")))))))</f>
        <v/>
      </c>
      <c r="N496" s="52">
        <f>IF(M496="L","Baixa",IF(M496="A","Média",IF(M496="","","Alta")))</f>
        <v/>
      </c>
      <c r="O496" s="53">
        <f>IF(ISBLANK(H496),"",IF(H496="ALI",IF(M496="L",7,IF(M496="A",10,15)),IF(H496="AIE",IF(M496="L",5,IF(M496="A",7,10)),IF(H496="SE",IF(M496="L",4,IF(M496="A",5,7)),IF(OR(H496="EE",H496="CE"),IF(M496="L",3,IF(M496="A",4,6)))))))</f>
        <v/>
      </c>
      <c r="P496" s="54">
        <f>IF(I496="I",O496*Contagem!$W$15,IF(I496="E",O496*Contagem!$W$17,IF(I496="A",O496*Contagem!$W$16,IF(I496="T",O496*Contagem!$W$18,""))))</f>
        <v/>
      </c>
      <c r="Q496" s="55" t="n"/>
    </row>
    <row r="497" ht="12" customHeight="1" s="73">
      <c r="A497" s="14">
        <f>IF(H497="",IF(C497="",A496,A496+1),A496)</f>
        <v/>
      </c>
      <c r="B497" s="48">
        <f>IF(A497=A496,"",CONCATENATE("F",A497))</f>
        <v/>
      </c>
      <c r="C497" s="85" t="n"/>
      <c r="D497" s="142" t="n"/>
      <c r="E497" s="142" t="n"/>
      <c r="F497" s="142" t="n"/>
      <c r="G497" s="143" t="n"/>
      <c r="H497" s="56" t="n"/>
      <c r="I497" s="57" t="n"/>
      <c r="J497" s="56" t="n"/>
      <c r="K497" s="56" t="n"/>
      <c r="L497" s="50">
        <f>CONCATENATE(H497,M497)</f>
        <v/>
      </c>
      <c r="M497" s="51">
        <f>IF(OR(ISBLANK(J497),ISBLANK(K497)),IF(OR(H497="ALI",H497="AIE"),"L",IF(ISBLANK(H497),"","A")),IF(H497="EE",IF(K497&gt;=3,IF(J497&gt;=5,"H","A"),IF(K497&gt;=2,IF(J497&gt;=16,"H",IF(J497&lt;=4,"L","A")),IF(J497&lt;=15,"L","A"))),IF(OR(H497="SE",H497="CE"),IF(K497&gt;=4,IF(J497&gt;=6,"H","A"),IF(K497&gt;=2,IF(J497&gt;=20,"H",IF(J497&lt;=5,"L","A")),IF(J497&lt;=19,"L","A"))),IF(OR(H497="ALI",H497="AIE"),IF(K497&gt;=6,IF(J497&gt;=20,"H","A"),IF(K497&gt;=2,IF(J497&gt;=51,"H",IF(J497&lt;=19,"L","A")),IF(J497&lt;=50,"L","A")))))))</f>
        <v/>
      </c>
      <c r="N497" s="52">
        <f>IF(M497="L","Baixa",IF(M497="A","Média",IF(M497="","","Alta")))</f>
        <v/>
      </c>
      <c r="O497" s="53">
        <f>IF(ISBLANK(H497),"",IF(H497="ALI",IF(M497="L",7,IF(M497="A",10,15)),IF(H497="AIE",IF(M497="L",5,IF(M497="A",7,10)),IF(H497="SE",IF(M497="L",4,IF(M497="A",5,7)),IF(OR(H497="EE",H497="CE"),IF(M497="L",3,IF(M497="A",4,6)))))))</f>
        <v/>
      </c>
      <c r="P497" s="54">
        <f>IF(I497="I",O497*Contagem!$W$15,IF(I497="E",O497*Contagem!$W$17,IF(I497="A",O497*Contagem!$W$16,IF(I497="T",O497*Contagem!$W$18,""))))</f>
        <v/>
      </c>
      <c r="Q497" s="55" t="n"/>
    </row>
    <row r="498" ht="12" customHeight="1" s="73">
      <c r="A498" s="14">
        <f>IF(H498="",IF(C498="",A497,A497+1),A497)</f>
        <v/>
      </c>
      <c r="B498" s="48">
        <f>IF(A498=A497,"",CONCATENATE("F",A498))</f>
        <v/>
      </c>
      <c r="C498" s="85" t="n"/>
      <c r="D498" s="142" t="n"/>
      <c r="E498" s="142" t="n"/>
      <c r="F498" s="142" t="n"/>
      <c r="G498" s="143" t="n"/>
      <c r="H498" s="56" t="n"/>
      <c r="I498" s="57" t="n"/>
      <c r="J498" s="56" t="n"/>
      <c r="K498" s="56" t="n"/>
      <c r="L498" s="50">
        <f>CONCATENATE(H498,M498)</f>
        <v/>
      </c>
      <c r="M498" s="51">
        <f>IF(OR(ISBLANK(J498),ISBLANK(K498)),IF(OR(H498="ALI",H498="AIE"),"L",IF(ISBLANK(H498),"","A")),IF(H498="EE",IF(K498&gt;=3,IF(J498&gt;=5,"H","A"),IF(K498&gt;=2,IF(J498&gt;=16,"H",IF(J498&lt;=4,"L","A")),IF(J498&lt;=15,"L","A"))),IF(OR(H498="SE",H498="CE"),IF(K498&gt;=4,IF(J498&gt;=6,"H","A"),IF(K498&gt;=2,IF(J498&gt;=20,"H",IF(J498&lt;=5,"L","A")),IF(J498&lt;=19,"L","A"))),IF(OR(H498="ALI",H498="AIE"),IF(K498&gt;=6,IF(J498&gt;=20,"H","A"),IF(K498&gt;=2,IF(J498&gt;=51,"H",IF(J498&lt;=19,"L","A")),IF(J498&lt;=50,"L","A")))))))</f>
        <v/>
      </c>
      <c r="N498" s="52">
        <f>IF(M498="L","Baixa",IF(M498="A","Média",IF(M498="","","Alta")))</f>
        <v/>
      </c>
      <c r="O498" s="53">
        <f>IF(ISBLANK(H498),"",IF(H498="ALI",IF(M498="L",7,IF(M498="A",10,15)),IF(H498="AIE",IF(M498="L",5,IF(M498="A",7,10)),IF(H498="SE",IF(M498="L",4,IF(M498="A",5,7)),IF(OR(H498="EE",H498="CE"),IF(M498="L",3,IF(M498="A",4,6)))))))</f>
        <v/>
      </c>
      <c r="P498" s="54">
        <f>IF(I498="I",O498*Contagem!$W$15,IF(I498="E",O498*Contagem!$W$17,IF(I498="A",O498*Contagem!$W$16,IF(I498="T",O498*Contagem!$W$18,""))))</f>
        <v/>
      </c>
      <c r="Q498" s="55" t="n"/>
    </row>
    <row r="499" ht="12" customHeight="1" s="73">
      <c r="A499" s="14">
        <f>IF(H499="",IF(C499="",A498,A498+1),A498)</f>
        <v/>
      </c>
      <c r="B499" s="48">
        <f>IF(A499=A498,"",CONCATENATE("F",A499))</f>
        <v/>
      </c>
      <c r="C499" s="85" t="n"/>
      <c r="D499" s="142" t="n"/>
      <c r="E499" s="142" t="n"/>
      <c r="F499" s="142" t="n"/>
      <c r="G499" s="143" t="n"/>
      <c r="H499" s="56" t="n"/>
      <c r="I499" s="57" t="n"/>
      <c r="J499" s="56" t="n"/>
      <c r="K499" s="56" t="n"/>
      <c r="L499" s="50">
        <f>CONCATENATE(H499,M499)</f>
        <v/>
      </c>
      <c r="M499" s="51">
        <f>IF(OR(ISBLANK(J499),ISBLANK(K499)),IF(OR(H499="ALI",H499="AIE"),"L",IF(ISBLANK(H499),"","A")),IF(H499="EE",IF(K499&gt;=3,IF(J499&gt;=5,"H","A"),IF(K499&gt;=2,IF(J499&gt;=16,"H",IF(J499&lt;=4,"L","A")),IF(J499&lt;=15,"L","A"))),IF(OR(H499="SE",H499="CE"),IF(K499&gt;=4,IF(J499&gt;=6,"H","A"),IF(K499&gt;=2,IF(J499&gt;=20,"H",IF(J499&lt;=5,"L","A")),IF(J499&lt;=19,"L","A"))),IF(OR(H499="ALI",H499="AIE"),IF(K499&gt;=6,IF(J499&gt;=20,"H","A"),IF(K499&gt;=2,IF(J499&gt;=51,"H",IF(J499&lt;=19,"L","A")),IF(J499&lt;=50,"L","A")))))))</f>
        <v/>
      </c>
      <c r="N499" s="52">
        <f>IF(M499="L","Baixa",IF(M499="A","Média",IF(M499="","","Alta")))</f>
        <v/>
      </c>
      <c r="O499" s="53">
        <f>IF(ISBLANK(H499),"",IF(H499="ALI",IF(M499="L",7,IF(M499="A",10,15)),IF(H499="AIE",IF(M499="L",5,IF(M499="A",7,10)),IF(H499="SE",IF(M499="L",4,IF(M499="A",5,7)),IF(OR(H499="EE",H499="CE"),IF(M499="L",3,IF(M499="A",4,6)))))))</f>
        <v/>
      </c>
      <c r="P499" s="54">
        <f>IF(I499="I",O499*Contagem!$W$15,IF(I499="E",O499*Contagem!$W$17,IF(I499="A",O499*Contagem!$W$16,IF(I499="T",O499*Contagem!$W$18,""))))</f>
        <v/>
      </c>
      <c r="Q499" s="55" t="n"/>
    </row>
    <row r="500" ht="12" customHeight="1" s="73">
      <c r="A500" s="14">
        <f>IF(H500="",IF(C500="",A499,A499+1),A499)</f>
        <v/>
      </c>
      <c r="B500" s="48">
        <f>IF(A500=A499,"",CONCATENATE("F",A500))</f>
        <v/>
      </c>
      <c r="C500" s="85" t="n"/>
      <c r="D500" s="142" t="n"/>
      <c r="E500" s="142" t="n"/>
      <c r="F500" s="142" t="n"/>
      <c r="G500" s="143" t="n"/>
      <c r="H500" s="56" t="n"/>
      <c r="I500" s="57" t="n"/>
      <c r="J500" s="56" t="n"/>
      <c r="K500" s="56" t="n"/>
      <c r="L500" s="50">
        <f>CONCATENATE(H500,M500)</f>
        <v/>
      </c>
      <c r="M500" s="51">
        <f>IF(OR(ISBLANK(J500),ISBLANK(K500)),IF(OR(H500="ALI",H500="AIE"),"L",IF(ISBLANK(H500),"","A")),IF(H500="EE",IF(K500&gt;=3,IF(J500&gt;=5,"H","A"),IF(K500&gt;=2,IF(J500&gt;=16,"H",IF(J500&lt;=4,"L","A")),IF(J500&lt;=15,"L","A"))),IF(OR(H500="SE",H500="CE"),IF(K500&gt;=4,IF(J500&gt;=6,"H","A"),IF(K500&gt;=2,IF(J500&gt;=20,"H",IF(J500&lt;=5,"L","A")),IF(J500&lt;=19,"L","A"))),IF(OR(H500="ALI",H500="AIE"),IF(K500&gt;=6,IF(J500&gt;=20,"H","A"),IF(K500&gt;=2,IF(J500&gt;=51,"H",IF(J500&lt;=19,"L","A")),IF(J500&lt;=50,"L","A")))))))</f>
        <v/>
      </c>
      <c r="N500" s="52">
        <f>IF(M500="L","Baixa",IF(M500="A","Média",IF(M500="","","Alta")))</f>
        <v/>
      </c>
      <c r="O500" s="53">
        <f>IF(ISBLANK(H500),"",IF(H500="ALI",IF(M500="L",7,IF(M500="A",10,15)),IF(H500="AIE",IF(M500="L",5,IF(M500="A",7,10)),IF(H500="SE",IF(M500="L",4,IF(M500="A",5,7)),IF(OR(H500="EE",H500="CE"),IF(M500="L",3,IF(M500="A",4,6)))))))</f>
        <v/>
      </c>
      <c r="P500" s="54">
        <f>IF(I500="I",O500*Contagem!$W$15,IF(I500="E",O500*Contagem!$W$17,IF(I500="A",O500*Contagem!$W$16,IF(I500="T",O500*Contagem!$W$18,""))))</f>
        <v/>
      </c>
      <c r="Q500" s="55" t="n"/>
    </row>
    <row r="501" ht="12" customHeight="1" s="73">
      <c r="A501" s="14">
        <f>IF(H501="",IF(C501="",A500,A500+1),A500)</f>
        <v/>
      </c>
      <c r="B501" s="48">
        <f>IF(A501=A500,"",CONCATENATE("F",A501))</f>
        <v/>
      </c>
      <c r="C501" s="85" t="n"/>
      <c r="D501" s="142" t="n"/>
      <c r="E501" s="142" t="n"/>
      <c r="F501" s="142" t="n"/>
      <c r="G501" s="143" t="n"/>
      <c r="H501" s="56" t="n"/>
      <c r="I501" s="57" t="n"/>
      <c r="J501" s="56" t="n"/>
      <c r="K501" s="56" t="n"/>
      <c r="L501" s="50">
        <f>CONCATENATE(H501,M501)</f>
        <v/>
      </c>
      <c r="M501" s="51">
        <f>IF(OR(ISBLANK(J501),ISBLANK(K501)),IF(OR(H501="ALI",H501="AIE"),"L",IF(ISBLANK(H501),"","A")),IF(H501="EE",IF(K501&gt;=3,IF(J501&gt;=5,"H","A"),IF(K501&gt;=2,IF(J501&gt;=16,"H",IF(J501&lt;=4,"L","A")),IF(J501&lt;=15,"L","A"))),IF(OR(H501="SE",H501="CE"),IF(K501&gt;=4,IF(J501&gt;=6,"H","A"),IF(K501&gt;=2,IF(J501&gt;=20,"H",IF(J501&lt;=5,"L","A")),IF(J501&lt;=19,"L","A"))),IF(OR(H501="ALI",H501="AIE"),IF(K501&gt;=6,IF(J501&gt;=20,"H","A"),IF(K501&gt;=2,IF(J501&gt;=51,"H",IF(J501&lt;=19,"L","A")),IF(J501&lt;=50,"L","A")))))))</f>
        <v/>
      </c>
      <c r="N501" s="52">
        <f>IF(M501="L","Baixa",IF(M501="A","Média",IF(M501="","","Alta")))</f>
        <v/>
      </c>
      <c r="O501" s="53">
        <f>IF(ISBLANK(H501),"",IF(H501="ALI",IF(M501="L",7,IF(M501="A",10,15)),IF(H501="AIE",IF(M501="L",5,IF(M501="A",7,10)),IF(H501="SE",IF(M501="L",4,IF(M501="A",5,7)),IF(OR(H501="EE",H501="CE"),IF(M501="L",3,IF(M501="A",4,6)))))))</f>
        <v/>
      </c>
      <c r="P501" s="54">
        <f>IF(I501="I",O501*Contagem!$W$15,IF(I501="E",O501*Contagem!$W$17,IF(I501="A",O501*Contagem!$W$16,IF(I501="T",O501*Contagem!$W$18,""))))</f>
        <v/>
      </c>
      <c r="Q501" s="55" t="n"/>
    </row>
    <row r="502" ht="12" customHeight="1" s="73">
      <c r="A502" s="14">
        <f>IF(H502="",IF(C502="",A501,A501+1),A501)</f>
        <v/>
      </c>
      <c r="B502" s="48">
        <f>IF(A502=A501,"",CONCATENATE("F",A502))</f>
        <v/>
      </c>
      <c r="C502" s="85" t="n"/>
      <c r="D502" s="142" t="n"/>
      <c r="E502" s="142" t="n"/>
      <c r="F502" s="142" t="n"/>
      <c r="G502" s="143" t="n"/>
      <c r="H502" s="56" t="n"/>
      <c r="I502" s="57" t="n"/>
      <c r="J502" s="56" t="n"/>
      <c r="K502" s="56" t="n"/>
      <c r="L502" s="50">
        <f>CONCATENATE(H502,M502)</f>
        <v/>
      </c>
      <c r="M502" s="51">
        <f>IF(OR(ISBLANK(J502),ISBLANK(K502)),IF(OR(H502="ALI",H502="AIE"),"L",IF(ISBLANK(H502),"","A")),IF(H502="EE",IF(K502&gt;=3,IF(J502&gt;=5,"H","A"),IF(K502&gt;=2,IF(J502&gt;=16,"H",IF(J502&lt;=4,"L","A")),IF(J502&lt;=15,"L","A"))),IF(OR(H502="SE",H502="CE"),IF(K502&gt;=4,IF(J502&gt;=6,"H","A"),IF(K502&gt;=2,IF(J502&gt;=20,"H",IF(J502&lt;=5,"L","A")),IF(J502&lt;=19,"L","A"))),IF(OR(H502="ALI",H502="AIE"),IF(K502&gt;=6,IF(J502&gt;=20,"H","A"),IF(K502&gt;=2,IF(J502&gt;=51,"H",IF(J502&lt;=19,"L","A")),IF(J502&lt;=50,"L","A")))))))</f>
        <v/>
      </c>
      <c r="N502" s="52">
        <f>IF(M502="L","Baixa",IF(M502="A","Média",IF(M502="","","Alta")))</f>
        <v/>
      </c>
      <c r="O502" s="53">
        <f>IF(ISBLANK(H502),"",IF(H502="ALI",IF(M502="L",7,IF(M502="A",10,15)),IF(H502="AIE",IF(M502="L",5,IF(M502="A",7,10)),IF(H502="SE",IF(M502="L",4,IF(M502="A",5,7)),IF(OR(H502="EE",H502="CE"),IF(M502="L",3,IF(M502="A",4,6)))))))</f>
        <v/>
      </c>
      <c r="P502" s="54">
        <f>IF(I502="I",O502*Contagem!$W$15,IF(I502="E",O502*Contagem!$W$17,IF(I502="A",O502*Contagem!$W$16,IF(I502="T",O502*Contagem!$W$18,""))))</f>
        <v/>
      </c>
      <c r="Q502" s="55" t="n"/>
    </row>
    <row r="503" ht="12" customHeight="1" s="73">
      <c r="A503" s="14">
        <f>IF(H503="",IF(C503="",A502,A502+1),A502)</f>
        <v/>
      </c>
      <c r="B503" s="48">
        <f>IF(A503=A502,"",CONCATENATE("F",A503))</f>
        <v/>
      </c>
      <c r="C503" s="85" t="n"/>
      <c r="D503" s="142" t="n"/>
      <c r="E503" s="142" t="n"/>
      <c r="F503" s="142" t="n"/>
      <c r="G503" s="143" t="n"/>
      <c r="H503" s="56" t="n"/>
      <c r="I503" s="57" t="n"/>
      <c r="J503" s="56" t="n"/>
      <c r="K503" s="56" t="n"/>
      <c r="L503" s="50">
        <f>CONCATENATE(H503,M503)</f>
        <v/>
      </c>
      <c r="M503" s="51">
        <f>IF(OR(ISBLANK(J503),ISBLANK(K503)),IF(OR(H503="ALI",H503="AIE"),"L",IF(ISBLANK(H503),"","A")),IF(H503="EE",IF(K503&gt;=3,IF(J503&gt;=5,"H","A"),IF(K503&gt;=2,IF(J503&gt;=16,"H",IF(J503&lt;=4,"L","A")),IF(J503&lt;=15,"L","A"))),IF(OR(H503="SE",H503="CE"),IF(K503&gt;=4,IF(J503&gt;=6,"H","A"),IF(K503&gt;=2,IF(J503&gt;=20,"H",IF(J503&lt;=5,"L","A")),IF(J503&lt;=19,"L","A"))),IF(OR(H503="ALI",H503="AIE"),IF(K503&gt;=6,IF(J503&gt;=20,"H","A"),IF(K503&gt;=2,IF(J503&gt;=51,"H",IF(J503&lt;=19,"L","A")),IF(J503&lt;=50,"L","A")))))))</f>
        <v/>
      </c>
      <c r="N503" s="52">
        <f>IF(M503="L","Baixa",IF(M503="A","Média",IF(M503="","","Alta")))</f>
        <v/>
      </c>
      <c r="O503" s="53">
        <f>IF(ISBLANK(H503),"",IF(H503="ALI",IF(M503="L",7,IF(M503="A",10,15)),IF(H503="AIE",IF(M503="L",5,IF(M503="A",7,10)),IF(H503="SE",IF(M503="L",4,IF(M503="A",5,7)),IF(OR(H503="EE",H503="CE"),IF(M503="L",3,IF(M503="A",4,6)))))))</f>
        <v/>
      </c>
      <c r="P503" s="54">
        <f>IF(I503="I",O503*Contagem!$W$15,IF(I503="E",O503*Contagem!$W$17,IF(I503="A",O503*Contagem!$W$16,IF(I503="T",O503*Contagem!$W$18,""))))</f>
        <v/>
      </c>
      <c r="Q503" s="55" t="n"/>
    </row>
    <row r="504" ht="12" customHeight="1" s="73">
      <c r="A504" s="14">
        <f>IF(H504="",IF(C504="",A503,A503+1),A503)</f>
        <v/>
      </c>
      <c r="B504" s="48">
        <f>IF(A504=A503,"",CONCATENATE("F",A504))</f>
        <v/>
      </c>
      <c r="C504" s="85" t="n"/>
      <c r="D504" s="142" t="n"/>
      <c r="E504" s="142" t="n"/>
      <c r="F504" s="142" t="n"/>
      <c r="G504" s="143" t="n"/>
      <c r="H504" s="56" t="n"/>
      <c r="I504" s="57" t="n"/>
      <c r="J504" s="56" t="n"/>
      <c r="K504" s="56" t="n"/>
      <c r="L504" s="50">
        <f>CONCATENATE(H504,M504)</f>
        <v/>
      </c>
      <c r="M504" s="51">
        <f>IF(OR(ISBLANK(J504),ISBLANK(K504)),IF(OR(H504="ALI",H504="AIE"),"L",IF(ISBLANK(H504),"","A")),IF(H504="EE",IF(K504&gt;=3,IF(J504&gt;=5,"H","A"),IF(K504&gt;=2,IF(J504&gt;=16,"H",IF(J504&lt;=4,"L","A")),IF(J504&lt;=15,"L","A"))),IF(OR(H504="SE",H504="CE"),IF(K504&gt;=4,IF(J504&gt;=6,"H","A"),IF(K504&gt;=2,IF(J504&gt;=20,"H",IF(J504&lt;=5,"L","A")),IF(J504&lt;=19,"L","A"))),IF(OR(H504="ALI",H504="AIE"),IF(K504&gt;=6,IF(J504&gt;=20,"H","A"),IF(K504&gt;=2,IF(J504&gt;=51,"H",IF(J504&lt;=19,"L","A")),IF(J504&lt;=50,"L","A")))))))</f>
        <v/>
      </c>
      <c r="N504" s="52">
        <f>IF(M504="L","Baixa",IF(M504="A","Média",IF(M504="","","Alta")))</f>
        <v/>
      </c>
      <c r="O504" s="53">
        <f>IF(ISBLANK(H504),"",IF(H504="ALI",IF(M504="L",7,IF(M504="A",10,15)),IF(H504="AIE",IF(M504="L",5,IF(M504="A",7,10)),IF(H504="SE",IF(M504="L",4,IF(M504="A",5,7)),IF(OR(H504="EE",H504="CE"),IF(M504="L",3,IF(M504="A",4,6)))))))</f>
        <v/>
      </c>
      <c r="P504" s="54">
        <f>IF(I504="I",O504*Contagem!$W$15,IF(I504="E",O504*Contagem!$W$17,IF(I504="A",O504*Contagem!$W$16,IF(I504="T",O504*Contagem!$W$18,""))))</f>
        <v/>
      </c>
      <c r="Q504" s="55" t="n"/>
    </row>
    <row r="505" ht="12" customHeight="1" s="73">
      <c r="A505" s="14">
        <f>IF(H505="",IF(C505="",A504,A504+1),A504)</f>
        <v/>
      </c>
      <c r="B505" s="48">
        <f>IF(A505=A504,"",CONCATENATE("F",A505))</f>
        <v/>
      </c>
      <c r="C505" s="85" t="n"/>
      <c r="D505" s="142" t="n"/>
      <c r="E505" s="142" t="n"/>
      <c r="F505" s="142" t="n"/>
      <c r="G505" s="143" t="n"/>
      <c r="H505" s="56" t="n"/>
      <c r="I505" s="57" t="n"/>
      <c r="J505" s="56" t="n"/>
      <c r="K505" s="56" t="n"/>
      <c r="L505" s="50">
        <f>CONCATENATE(H505,M505)</f>
        <v/>
      </c>
      <c r="M505" s="51">
        <f>IF(OR(ISBLANK(J505),ISBLANK(K505)),IF(OR(H505="ALI",H505="AIE"),"L",IF(ISBLANK(H505),"","A")),IF(H505="EE",IF(K505&gt;=3,IF(J505&gt;=5,"H","A"),IF(K505&gt;=2,IF(J505&gt;=16,"H",IF(J505&lt;=4,"L","A")),IF(J505&lt;=15,"L","A"))),IF(OR(H505="SE",H505="CE"),IF(K505&gt;=4,IF(J505&gt;=6,"H","A"),IF(K505&gt;=2,IF(J505&gt;=20,"H",IF(J505&lt;=5,"L","A")),IF(J505&lt;=19,"L","A"))),IF(OR(H505="ALI",H505="AIE"),IF(K505&gt;=6,IF(J505&gt;=20,"H","A"),IF(K505&gt;=2,IF(J505&gt;=51,"H",IF(J505&lt;=19,"L","A")),IF(J505&lt;=50,"L","A")))))))</f>
        <v/>
      </c>
      <c r="N505" s="52">
        <f>IF(M505="L","Baixa",IF(M505="A","Média",IF(M505="","","Alta")))</f>
        <v/>
      </c>
      <c r="O505" s="53">
        <f>IF(ISBLANK(H505),"",IF(H505="ALI",IF(M505="L",7,IF(M505="A",10,15)),IF(H505="AIE",IF(M505="L",5,IF(M505="A",7,10)),IF(H505="SE",IF(M505="L",4,IF(M505="A",5,7)),IF(OR(H505="EE",H505="CE"),IF(M505="L",3,IF(M505="A",4,6)))))))</f>
        <v/>
      </c>
      <c r="P505" s="54">
        <f>IF(I505="I",O505*Contagem!$W$15,IF(I505="E",O505*Contagem!$W$17,IF(I505="A",O505*Contagem!$W$16,IF(I505="T",O505*Contagem!$W$18,""))))</f>
        <v/>
      </c>
      <c r="Q505" s="55" t="n"/>
    </row>
    <row r="506" ht="12" customHeight="1" s="73">
      <c r="A506" s="14">
        <f>IF(H506="",IF(C506="",A505,A505+1),A505)</f>
        <v/>
      </c>
      <c r="B506" s="48">
        <f>IF(A506=A505,"",CONCATENATE("F",A506))</f>
        <v/>
      </c>
      <c r="C506" s="85" t="n"/>
      <c r="D506" s="142" t="n"/>
      <c r="E506" s="142" t="n"/>
      <c r="F506" s="142" t="n"/>
      <c r="G506" s="143" t="n"/>
      <c r="H506" s="56" t="n"/>
      <c r="I506" s="57" t="n"/>
      <c r="J506" s="56" t="n"/>
      <c r="K506" s="56" t="n"/>
      <c r="L506" s="50">
        <f>CONCATENATE(H506,M506)</f>
        <v/>
      </c>
      <c r="M506" s="51">
        <f>IF(OR(ISBLANK(J506),ISBLANK(K506)),IF(OR(H506="ALI",H506="AIE"),"L",IF(ISBLANK(H506),"","A")),IF(H506="EE",IF(K506&gt;=3,IF(J506&gt;=5,"H","A"),IF(K506&gt;=2,IF(J506&gt;=16,"H",IF(J506&lt;=4,"L","A")),IF(J506&lt;=15,"L","A"))),IF(OR(H506="SE",H506="CE"),IF(K506&gt;=4,IF(J506&gt;=6,"H","A"),IF(K506&gt;=2,IF(J506&gt;=20,"H",IF(J506&lt;=5,"L","A")),IF(J506&lt;=19,"L","A"))),IF(OR(H506="ALI",H506="AIE"),IF(K506&gt;=6,IF(J506&gt;=20,"H","A"),IF(K506&gt;=2,IF(J506&gt;=51,"H",IF(J506&lt;=19,"L","A")),IF(J506&lt;=50,"L","A")))))))</f>
        <v/>
      </c>
      <c r="N506" s="52">
        <f>IF(M506="L","Baixa",IF(M506="A","Média",IF(M506="","","Alta")))</f>
        <v/>
      </c>
      <c r="O506" s="53">
        <f>IF(ISBLANK(H506),"",IF(H506="ALI",IF(M506="L",7,IF(M506="A",10,15)),IF(H506="AIE",IF(M506="L",5,IF(M506="A",7,10)),IF(H506="SE",IF(M506="L",4,IF(M506="A",5,7)),IF(OR(H506="EE",H506="CE"),IF(M506="L",3,IF(M506="A",4,6)))))))</f>
        <v/>
      </c>
      <c r="P506" s="54">
        <f>IF(I506="I",O506*Contagem!$W$15,IF(I506="E",O506*Contagem!$W$17,IF(I506="A",O506*Contagem!$W$16,IF(I506="T",O506*Contagem!$W$18,""))))</f>
        <v/>
      </c>
      <c r="Q506" s="55" t="n"/>
    </row>
    <row r="507" ht="12" customHeight="1" s="73">
      <c r="A507" s="14">
        <f>IF(H507="",IF(C507="",A506,A506+1),A506)</f>
        <v/>
      </c>
      <c r="B507" s="48">
        <f>IF(A507=A506,"",CONCATENATE("F",A507))</f>
        <v/>
      </c>
      <c r="C507" s="85" t="n"/>
      <c r="D507" s="142" t="n"/>
      <c r="E507" s="142" t="n"/>
      <c r="F507" s="142" t="n"/>
      <c r="G507" s="143" t="n"/>
      <c r="H507" s="56" t="n"/>
      <c r="I507" s="57" t="n"/>
      <c r="J507" s="56" t="n"/>
      <c r="K507" s="56" t="n"/>
      <c r="L507" s="50">
        <f>CONCATENATE(H507,M507)</f>
        <v/>
      </c>
      <c r="M507" s="51">
        <f>IF(OR(ISBLANK(J507),ISBLANK(K507)),IF(OR(H507="ALI",H507="AIE"),"L",IF(ISBLANK(H507),"","A")),IF(H507="EE",IF(K507&gt;=3,IF(J507&gt;=5,"H","A"),IF(K507&gt;=2,IF(J507&gt;=16,"H",IF(J507&lt;=4,"L","A")),IF(J507&lt;=15,"L","A"))),IF(OR(H507="SE",H507="CE"),IF(K507&gt;=4,IF(J507&gt;=6,"H","A"),IF(K507&gt;=2,IF(J507&gt;=20,"H",IF(J507&lt;=5,"L","A")),IF(J507&lt;=19,"L","A"))),IF(OR(H507="ALI",H507="AIE"),IF(K507&gt;=6,IF(J507&gt;=20,"H","A"),IF(K507&gt;=2,IF(J507&gt;=51,"H",IF(J507&lt;=19,"L","A")),IF(J507&lt;=50,"L","A")))))))</f>
        <v/>
      </c>
      <c r="N507" s="52">
        <f>IF(M507="L","Baixa",IF(M507="A","Média",IF(M507="","","Alta")))</f>
        <v/>
      </c>
      <c r="O507" s="53">
        <f>IF(ISBLANK(H507),"",IF(H507="ALI",IF(M507="L",7,IF(M507="A",10,15)),IF(H507="AIE",IF(M507="L",5,IF(M507="A",7,10)),IF(H507="SE",IF(M507="L",4,IF(M507="A",5,7)),IF(OR(H507="EE",H507="CE"),IF(M507="L",3,IF(M507="A",4,6)))))))</f>
        <v/>
      </c>
      <c r="P507" s="54">
        <f>IF(I507="I",O507*Contagem!$W$15,IF(I507="E",O507*Contagem!$W$17,IF(I507="A",O507*Contagem!$W$16,IF(I507="T",O507*Contagem!$W$18,""))))</f>
        <v/>
      </c>
      <c r="Q507" s="55" t="n"/>
    </row>
    <row r="508" ht="12" customHeight="1" s="73">
      <c r="A508" s="14">
        <f>IF(H508="",IF(C508="",A507,A507+1),A507)</f>
        <v/>
      </c>
      <c r="B508" s="48">
        <f>IF(A508=A507,"",CONCATENATE("F",A508))</f>
        <v/>
      </c>
      <c r="C508" s="85" t="n"/>
      <c r="D508" s="142" t="n"/>
      <c r="E508" s="142" t="n"/>
      <c r="F508" s="142" t="n"/>
      <c r="G508" s="143" t="n"/>
      <c r="H508" s="56" t="n"/>
      <c r="I508" s="57" t="n"/>
      <c r="J508" s="56" t="n"/>
      <c r="K508" s="56" t="n"/>
      <c r="L508" s="50">
        <f>CONCATENATE(H508,M508)</f>
        <v/>
      </c>
      <c r="M508" s="51">
        <f>IF(OR(ISBLANK(J508),ISBLANK(K508)),IF(OR(H508="ALI",H508="AIE"),"L",IF(ISBLANK(H508),"","A")),IF(H508="EE",IF(K508&gt;=3,IF(J508&gt;=5,"H","A"),IF(K508&gt;=2,IF(J508&gt;=16,"H",IF(J508&lt;=4,"L","A")),IF(J508&lt;=15,"L","A"))),IF(OR(H508="SE",H508="CE"),IF(K508&gt;=4,IF(J508&gt;=6,"H","A"),IF(K508&gt;=2,IF(J508&gt;=20,"H",IF(J508&lt;=5,"L","A")),IF(J508&lt;=19,"L","A"))),IF(OR(H508="ALI",H508="AIE"),IF(K508&gt;=6,IF(J508&gt;=20,"H","A"),IF(K508&gt;=2,IF(J508&gt;=51,"H",IF(J508&lt;=19,"L","A")),IF(J508&lt;=50,"L","A")))))))</f>
        <v/>
      </c>
      <c r="N508" s="52">
        <f>IF(M508="L","Baixa",IF(M508="A","Média",IF(M508="","","Alta")))</f>
        <v/>
      </c>
      <c r="O508" s="53">
        <f>IF(ISBLANK(H508),"",IF(H508="ALI",IF(M508="L",7,IF(M508="A",10,15)),IF(H508="AIE",IF(M508="L",5,IF(M508="A",7,10)),IF(H508="SE",IF(M508="L",4,IF(M508="A",5,7)),IF(OR(H508="EE",H508="CE"),IF(M508="L",3,IF(M508="A",4,6)))))))</f>
        <v/>
      </c>
      <c r="P508" s="54">
        <f>IF(I508="I",O508*Contagem!$W$15,IF(I508="E",O508*Contagem!$W$17,IF(I508="A",O508*Contagem!$W$16,IF(I508="T",O508*Contagem!$W$18,""))))</f>
        <v/>
      </c>
      <c r="Q508" s="55" t="n"/>
    </row>
    <row r="509" ht="12" customHeight="1" s="73">
      <c r="A509" s="14">
        <f>IF(H509="",IF(C509="",A508,A508+1),A508)</f>
        <v/>
      </c>
      <c r="B509" s="48">
        <f>IF(A509=A508,"",CONCATENATE("F",A509))</f>
        <v/>
      </c>
      <c r="C509" s="85" t="n"/>
      <c r="D509" s="142" t="n"/>
      <c r="E509" s="142" t="n"/>
      <c r="F509" s="142" t="n"/>
      <c r="G509" s="143" t="n"/>
      <c r="H509" s="56" t="n"/>
      <c r="I509" s="57" t="n"/>
      <c r="J509" s="56" t="n"/>
      <c r="K509" s="56" t="n"/>
      <c r="L509" s="50">
        <f>CONCATENATE(H509,M509)</f>
        <v/>
      </c>
      <c r="M509" s="51">
        <f>IF(OR(ISBLANK(J509),ISBLANK(K509)),IF(OR(H509="ALI",H509="AIE"),"L",IF(ISBLANK(H509),"","A")),IF(H509="EE",IF(K509&gt;=3,IF(J509&gt;=5,"H","A"),IF(K509&gt;=2,IF(J509&gt;=16,"H",IF(J509&lt;=4,"L","A")),IF(J509&lt;=15,"L","A"))),IF(OR(H509="SE",H509="CE"),IF(K509&gt;=4,IF(J509&gt;=6,"H","A"),IF(K509&gt;=2,IF(J509&gt;=20,"H",IF(J509&lt;=5,"L","A")),IF(J509&lt;=19,"L","A"))),IF(OR(H509="ALI",H509="AIE"),IF(K509&gt;=6,IF(J509&gt;=20,"H","A"),IF(K509&gt;=2,IF(J509&gt;=51,"H",IF(J509&lt;=19,"L","A")),IF(J509&lt;=50,"L","A")))))))</f>
        <v/>
      </c>
      <c r="N509" s="52">
        <f>IF(M509="L","Baixa",IF(M509="A","Média",IF(M509="","","Alta")))</f>
        <v/>
      </c>
      <c r="O509" s="53">
        <f>IF(ISBLANK(H509),"",IF(H509="ALI",IF(M509="L",7,IF(M509="A",10,15)),IF(H509="AIE",IF(M509="L",5,IF(M509="A",7,10)),IF(H509="SE",IF(M509="L",4,IF(M509="A",5,7)),IF(OR(H509="EE",H509="CE"),IF(M509="L",3,IF(M509="A",4,6)))))))</f>
        <v/>
      </c>
      <c r="P509" s="54">
        <f>IF(I509="I",O509*Contagem!$W$15,IF(I509="E",O509*Contagem!$W$17,IF(I509="A",O509*Contagem!$W$16,IF(I509="T",O509*Contagem!$W$18,""))))</f>
        <v/>
      </c>
      <c r="Q509" s="55" t="n"/>
    </row>
    <row r="510" ht="12" customHeight="1" s="73">
      <c r="A510" s="14">
        <f>IF(H510="",IF(C510="",A509,A509+1),A509)</f>
        <v/>
      </c>
      <c r="B510" s="48">
        <f>IF(A510=A509,"",CONCATENATE("F",A510))</f>
        <v/>
      </c>
      <c r="C510" s="85" t="n"/>
      <c r="D510" s="142" t="n"/>
      <c r="E510" s="142" t="n"/>
      <c r="F510" s="142" t="n"/>
      <c r="G510" s="143" t="n"/>
      <c r="H510" s="56" t="n"/>
      <c r="I510" s="57" t="n"/>
      <c r="J510" s="56" t="n"/>
      <c r="K510" s="56" t="n"/>
      <c r="L510" s="50">
        <f>CONCATENATE(H510,M510)</f>
        <v/>
      </c>
      <c r="M510" s="51">
        <f>IF(OR(ISBLANK(J510),ISBLANK(K510)),IF(OR(H510="ALI",H510="AIE"),"L",IF(ISBLANK(H510),"","A")),IF(H510="EE",IF(K510&gt;=3,IF(J510&gt;=5,"H","A"),IF(K510&gt;=2,IF(J510&gt;=16,"H",IF(J510&lt;=4,"L","A")),IF(J510&lt;=15,"L","A"))),IF(OR(H510="SE",H510="CE"),IF(K510&gt;=4,IF(J510&gt;=6,"H","A"),IF(K510&gt;=2,IF(J510&gt;=20,"H",IF(J510&lt;=5,"L","A")),IF(J510&lt;=19,"L","A"))),IF(OR(H510="ALI",H510="AIE"),IF(K510&gt;=6,IF(J510&gt;=20,"H","A"),IF(K510&gt;=2,IF(J510&gt;=51,"H",IF(J510&lt;=19,"L","A")),IF(J510&lt;=50,"L","A")))))))</f>
        <v/>
      </c>
      <c r="N510" s="52">
        <f>IF(M510="L","Baixa",IF(M510="A","Média",IF(M510="","","Alta")))</f>
        <v/>
      </c>
      <c r="O510" s="53">
        <f>IF(ISBLANK(H510),"",IF(H510="ALI",IF(M510="L",7,IF(M510="A",10,15)),IF(H510="AIE",IF(M510="L",5,IF(M510="A",7,10)),IF(H510="SE",IF(M510="L",4,IF(M510="A",5,7)),IF(OR(H510="EE",H510="CE"),IF(M510="L",3,IF(M510="A",4,6)))))))</f>
        <v/>
      </c>
      <c r="P510" s="54">
        <f>IF(I510="I",O510*Contagem!$W$15,IF(I510="E",O510*Contagem!$W$17,IF(I510="A",O510*Contagem!$W$16,IF(I510="T",O510*Contagem!$W$18,""))))</f>
        <v/>
      </c>
      <c r="Q510" s="55" t="n"/>
    </row>
    <row r="511" ht="12" customHeight="1" s="73">
      <c r="A511" s="14">
        <f>IF(H511="",IF(C511="",A510,A510+1),A510)</f>
        <v/>
      </c>
      <c r="B511" s="48">
        <f>IF(A511=A510,"",CONCATENATE("F",A511))</f>
        <v/>
      </c>
      <c r="C511" s="85" t="n"/>
      <c r="D511" s="142" t="n"/>
      <c r="E511" s="142" t="n"/>
      <c r="F511" s="142" t="n"/>
      <c r="G511" s="143" t="n"/>
      <c r="H511" s="56" t="n"/>
      <c r="I511" s="57" t="n"/>
      <c r="J511" s="56" t="n"/>
      <c r="K511" s="56" t="n"/>
      <c r="L511" s="50">
        <f>CONCATENATE(H511,M511)</f>
        <v/>
      </c>
      <c r="M511" s="51">
        <f>IF(OR(ISBLANK(J511),ISBLANK(K511)),IF(OR(H511="ALI",H511="AIE"),"L",IF(ISBLANK(H511),"","A")),IF(H511="EE",IF(K511&gt;=3,IF(J511&gt;=5,"H","A"),IF(K511&gt;=2,IF(J511&gt;=16,"H",IF(J511&lt;=4,"L","A")),IF(J511&lt;=15,"L","A"))),IF(OR(H511="SE",H511="CE"),IF(K511&gt;=4,IF(J511&gt;=6,"H","A"),IF(K511&gt;=2,IF(J511&gt;=20,"H",IF(J511&lt;=5,"L","A")),IF(J511&lt;=19,"L","A"))),IF(OR(H511="ALI",H511="AIE"),IF(K511&gt;=6,IF(J511&gt;=20,"H","A"),IF(K511&gt;=2,IF(J511&gt;=51,"H",IF(J511&lt;=19,"L","A")),IF(J511&lt;=50,"L","A")))))))</f>
        <v/>
      </c>
      <c r="N511" s="52">
        <f>IF(M511="L","Baixa",IF(M511="A","Média",IF(M511="","","Alta")))</f>
        <v/>
      </c>
      <c r="O511" s="53">
        <f>IF(ISBLANK(H511),"",IF(H511="ALI",IF(M511="L",7,IF(M511="A",10,15)),IF(H511="AIE",IF(M511="L",5,IF(M511="A",7,10)),IF(H511="SE",IF(M511="L",4,IF(M511="A",5,7)),IF(OR(H511="EE",H511="CE"),IF(M511="L",3,IF(M511="A",4,6)))))))</f>
        <v/>
      </c>
      <c r="P511" s="54">
        <f>IF(I511="I",O511*Contagem!$W$15,IF(I511="E",O511*Contagem!$W$17,IF(I511="A",O511*Contagem!$W$16,IF(I511="T",O511*Contagem!$W$18,""))))</f>
        <v/>
      </c>
      <c r="Q511" s="55" t="n"/>
    </row>
    <row r="512" ht="12" customHeight="1" s="73">
      <c r="A512" s="14">
        <f>IF(H512="",IF(C512="",A511,A511+1),A511)</f>
        <v/>
      </c>
      <c r="B512" s="48">
        <f>IF(A512=A511,"",CONCATENATE("F",A512))</f>
        <v/>
      </c>
      <c r="C512" s="85" t="n"/>
      <c r="D512" s="142" t="n"/>
      <c r="E512" s="142" t="n"/>
      <c r="F512" s="142" t="n"/>
      <c r="G512" s="143" t="n"/>
      <c r="H512" s="56" t="n"/>
      <c r="I512" s="57" t="n"/>
      <c r="J512" s="56" t="n"/>
      <c r="K512" s="56" t="n"/>
      <c r="L512" s="50">
        <f>CONCATENATE(H512,M512)</f>
        <v/>
      </c>
      <c r="M512" s="51">
        <f>IF(OR(ISBLANK(J512),ISBLANK(K512)),IF(OR(H512="ALI",H512="AIE"),"L",IF(ISBLANK(H512),"","A")),IF(H512="EE",IF(K512&gt;=3,IF(J512&gt;=5,"H","A"),IF(K512&gt;=2,IF(J512&gt;=16,"H",IF(J512&lt;=4,"L","A")),IF(J512&lt;=15,"L","A"))),IF(OR(H512="SE",H512="CE"),IF(K512&gt;=4,IF(J512&gt;=6,"H","A"),IF(K512&gt;=2,IF(J512&gt;=20,"H",IF(J512&lt;=5,"L","A")),IF(J512&lt;=19,"L","A"))),IF(OR(H512="ALI",H512="AIE"),IF(K512&gt;=6,IF(J512&gt;=20,"H","A"),IF(K512&gt;=2,IF(J512&gt;=51,"H",IF(J512&lt;=19,"L","A")),IF(J512&lt;=50,"L","A")))))))</f>
        <v/>
      </c>
      <c r="N512" s="52">
        <f>IF(M512="L","Baixa",IF(M512="A","Média",IF(M512="","","Alta")))</f>
        <v/>
      </c>
      <c r="O512" s="53">
        <f>IF(ISBLANK(H512),"",IF(H512="ALI",IF(M512="L",7,IF(M512="A",10,15)),IF(H512="AIE",IF(M512="L",5,IF(M512="A",7,10)),IF(H512="SE",IF(M512="L",4,IF(M512="A",5,7)),IF(OR(H512="EE",H512="CE"),IF(M512="L",3,IF(M512="A",4,6)))))))</f>
        <v/>
      </c>
      <c r="P512" s="54">
        <f>IF(I512="I",O512*Contagem!$W$15,IF(I512="E",O512*Contagem!$W$17,IF(I512="A",O512*Contagem!$W$16,IF(I512="T",O512*Contagem!$W$18,""))))</f>
        <v/>
      </c>
      <c r="Q512" s="55" t="n"/>
    </row>
    <row r="513" ht="12" customHeight="1" s="73">
      <c r="A513" s="14">
        <f>IF(H513="",IF(C513="",A512,A512+1),A512)</f>
        <v/>
      </c>
      <c r="B513" s="48">
        <f>IF(A513=A512,"",CONCATENATE("F",A513))</f>
        <v/>
      </c>
      <c r="C513" s="85" t="n"/>
      <c r="D513" s="142" t="n"/>
      <c r="E513" s="142" t="n"/>
      <c r="F513" s="142" t="n"/>
      <c r="G513" s="143" t="n"/>
      <c r="H513" s="56" t="n"/>
      <c r="I513" s="57" t="n"/>
      <c r="J513" s="56" t="n"/>
      <c r="K513" s="56" t="n"/>
      <c r="L513" s="50">
        <f>CONCATENATE(H513,M513)</f>
        <v/>
      </c>
      <c r="M513" s="51">
        <f>IF(OR(ISBLANK(J513),ISBLANK(K513)),IF(OR(H513="ALI",H513="AIE"),"L",IF(ISBLANK(H513),"","A")),IF(H513="EE",IF(K513&gt;=3,IF(J513&gt;=5,"H","A"),IF(K513&gt;=2,IF(J513&gt;=16,"H",IF(J513&lt;=4,"L","A")),IF(J513&lt;=15,"L","A"))),IF(OR(H513="SE",H513="CE"),IF(K513&gt;=4,IF(J513&gt;=6,"H","A"),IF(K513&gt;=2,IF(J513&gt;=20,"H",IF(J513&lt;=5,"L","A")),IF(J513&lt;=19,"L","A"))),IF(OR(H513="ALI",H513="AIE"),IF(K513&gt;=6,IF(J513&gt;=20,"H","A"),IF(K513&gt;=2,IF(J513&gt;=51,"H",IF(J513&lt;=19,"L","A")),IF(J513&lt;=50,"L","A")))))))</f>
        <v/>
      </c>
      <c r="N513" s="52">
        <f>IF(M513="L","Baixa",IF(M513="A","Média",IF(M513="","","Alta")))</f>
        <v/>
      </c>
      <c r="O513" s="53">
        <f>IF(ISBLANK(H513),"",IF(H513="ALI",IF(M513="L",7,IF(M513="A",10,15)),IF(H513="AIE",IF(M513="L",5,IF(M513="A",7,10)),IF(H513="SE",IF(M513="L",4,IF(M513="A",5,7)),IF(OR(H513="EE",H513="CE"),IF(M513="L",3,IF(M513="A",4,6)))))))</f>
        <v/>
      </c>
      <c r="P513" s="54">
        <f>IF(I513="I",O513*Contagem!$W$15,IF(I513="E",O513*Contagem!$W$17,IF(I513="A",O513*Contagem!$W$16,IF(I513="T",O513*Contagem!$W$18,""))))</f>
        <v/>
      </c>
      <c r="Q513" s="55" t="n"/>
    </row>
    <row r="514" ht="12" customHeight="1" s="73">
      <c r="A514" s="14">
        <f>IF(H514="",IF(C514="",A513,A513+1),A513)</f>
        <v/>
      </c>
      <c r="B514" s="48">
        <f>IF(A514=A513,"",CONCATENATE("F",A514))</f>
        <v/>
      </c>
      <c r="C514" s="85" t="n"/>
      <c r="D514" s="142" t="n"/>
      <c r="E514" s="142" t="n"/>
      <c r="F514" s="142" t="n"/>
      <c r="G514" s="143" t="n"/>
      <c r="H514" s="56" t="n"/>
      <c r="I514" s="57" t="n"/>
      <c r="J514" s="56" t="n"/>
      <c r="K514" s="56" t="n"/>
      <c r="L514" s="50">
        <f>CONCATENATE(H514,M514)</f>
        <v/>
      </c>
      <c r="M514" s="51">
        <f>IF(OR(ISBLANK(J514),ISBLANK(K514)),IF(OR(H514="ALI",H514="AIE"),"L",IF(ISBLANK(H514),"","A")),IF(H514="EE",IF(K514&gt;=3,IF(J514&gt;=5,"H","A"),IF(K514&gt;=2,IF(J514&gt;=16,"H",IF(J514&lt;=4,"L","A")),IF(J514&lt;=15,"L","A"))),IF(OR(H514="SE",H514="CE"),IF(K514&gt;=4,IF(J514&gt;=6,"H","A"),IF(K514&gt;=2,IF(J514&gt;=20,"H",IF(J514&lt;=5,"L","A")),IF(J514&lt;=19,"L","A"))),IF(OR(H514="ALI",H514="AIE"),IF(K514&gt;=6,IF(J514&gt;=20,"H","A"),IF(K514&gt;=2,IF(J514&gt;=51,"H",IF(J514&lt;=19,"L","A")),IF(J514&lt;=50,"L","A")))))))</f>
        <v/>
      </c>
      <c r="N514" s="52">
        <f>IF(M514="L","Baixa",IF(M514="A","Média",IF(M514="","","Alta")))</f>
        <v/>
      </c>
      <c r="O514" s="53">
        <f>IF(ISBLANK(H514),"",IF(H514="ALI",IF(M514="L",7,IF(M514="A",10,15)),IF(H514="AIE",IF(M514="L",5,IF(M514="A",7,10)),IF(H514="SE",IF(M514="L",4,IF(M514="A",5,7)),IF(OR(H514="EE",H514="CE"),IF(M514="L",3,IF(M514="A",4,6)))))))</f>
        <v/>
      </c>
      <c r="P514" s="54">
        <f>IF(I514="I",O514*Contagem!$W$15,IF(I514="E",O514*Contagem!$W$17,IF(I514="A",O514*Contagem!$W$16,IF(I514="T",O514*Contagem!$W$18,""))))</f>
        <v/>
      </c>
      <c r="Q514" s="55" t="n"/>
    </row>
    <row r="515" ht="12" customHeight="1" s="73">
      <c r="A515" s="14">
        <f>IF(H515="",IF(C515="",A514,A514+1),A514)</f>
        <v/>
      </c>
      <c r="B515" s="48">
        <f>IF(A515=A514,"",CONCATENATE("F",A515))</f>
        <v/>
      </c>
      <c r="C515" s="85" t="n"/>
      <c r="D515" s="142" t="n"/>
      <c r="E515" s="142" t="n"/>
      <c r="F515" s="142" t="n"/>
      <c r="G515" s="143" t="n"/>
      <c r="H515" s="56" t="n"/>
      <c r="I515" s="57" t="n"/>
      <c r="J515" s="56" t="n"/>
      <c r="K515" s="56" t="n"/>
      <c r="L515" s="50">
        <f>CONCATENATE(H515,M515)</f>
        <v/>
      </c>
      <c r="M515" s="51">
        <f>IF(OR(ISBLANK(J515),ISBLANK(K515)),IF(OR(H515="ALI",H515="AIE"),"L",IF(ISBLANK(H515),"","A")),IF(H515="EE",IF(K515&gt;=3,IF(J515&gt;=5,"H","A"),IF(K515&gt;=2,IF(J515&gt;=16,"H",IF(J515&lt;=4,"L","A")),IF(J515&lt;=15,"L","A"))),IF(OR(H515="SE",H515="CE"),IF(K515&gt;=4,IF(J515&gt;=6,"H","A"),IF(K515&gt;=2,IF(J515&gt;=20,"H",IF(J515&lt;=5,"L","A")),IF(J515&lt;=19,"L","A"))),IF(OR(H515="ALI",H515="AIE"),IF(K515&gt;=6,IF(J515&gt;=20,"H","A"),IF(K515&gt;=2,IF(J515&gt;=51,"H",IF(J515&lt;=19,"L","A")),IF(J515&lt;=50,"L","A")))))))</f>
        <v/>
      </c>
      <c r="N515" s="52">
        <f>IF(M515="L","Baixa",IF(M515="A","Média",IF(M515="","","Alta")))</f>
        <v/>
      </c>
      <c r="O515" s="53">
        <f>IF(ISBLANK(H515),"",IF(H515="ALI",IF(M515="L",7,IF(M515="A",10,15)),IF(H515="AIE",IF(M515="L",5,IF(M515="A",7,10)),IF(H515="SE",IF(M515="L",4,IF(M515="A",5,7)),IF(OR(H515="EE",H515="CE"),IF(M515="L",3,IF(M515="A",4,6)))))))</f>
        <v/>
      </c>
      <c r="P515" s="54">
        <f>IF(I515="I",O515*Contagem!$W$15,IF(I515="E",O515*Contagem!$W$17,IF(I515="A",O515*Contagem!$W$16,IF(I515="T",O515*Contagem!$W$18,""))))</f>
        <v/>
      </c>
      <c r="Q515" s="55" t="n"/>
    </row>
    <row r="516" ht="12" customHeight="1" s="73">
      <c r="A516" s="14">
        <f>IF(H516="",IF(C516="",A515,A515+1),A515)</f>
        <v/>
      </c>
      <c r="B516" s="48">
        <f>IF(A516=A515,"",CONCATENATE("F",A516))</f>
        <v/>
      </c>
      <c r="C516" s="85" t="n"/>
      <c r="D516" s="142" t="n"/>
      <c r="E516" s="142" t="n"/>
      <c r="F516" s="142" t="n"/>
      <c r="G516" s="143" t="n"/>
      <c r="H516" s="56" t="n"/>
      <c r="I516" s="57" t="n"/>
      <c r="J516" s="56" t="n"/>
      <c r="K516" s="56" t="n"/>
      <c r="L516" s="50">
        <f>CONCATENATE(H516,M516)</f>
        <v/>
      </c>
      <c r="M516" s="51">
        <f>IF(OR(ISBLANK(J516),ISBLANK(K516)),IF(OR(H516="ALI",H516="AIE"),"L",IF(ISBLANK(H516),"","A")),IF(H516="EE",IF(K516&gt;=3,IF(J516&gt;=5,"H","A"),IF(K516&gt;=2,IF(J516&gt;=16,"H",IF(J516&lt;=4,"L","A")),IF(J516&lt;=15,"L","A"))),IF(OR(H516="SE",H516="CE"),IF(K516&gt;=4,IF(J516&gt;=6,"H","A"),IF(K516&gt;=2,IF(J516&gt;=20,"H",IF(J516&lt;=5,"L","A")),IF(J516&lt;=19,"L","A"))),IF(OR(H516="ALI",H516="AIE"),IF(K516&gt;=6,IF(J516&gt;=20,"H","A"),IF(K516&gt;=2,IF(J516&gt;=51,"H",IF(J516&lt;=19,"L","A")),IF(J516&lt;=50,"L","A")))))))</f>
        <v/>
      </c>
      <c r="N516" s="52">
        <f>IF(M516="L","Baixa",IF(M516="A","Média",IF(M516="","","Alta")))</f>
        <v/>
      </c>
      <c r="O516" s="53">
        <f>IF(ISBLANK(H516),"",IF(H516="ALI",IF(M516="L",7,IF(M516="A",10,15)),IF(H516="AIE",IF(M516="L",5,IF(M516="A",7,10)),IF(H516="SE",IF(M516="L",4,IF(M516="A",5,7)),IF(OR(H516="EE",H516="CE"),IF(M516="L",3,IF(M516="A",4,6)))))))</f>
        <v/>
      </c>
      <c r="P516" s="54">
        <f>IF(I516="I",O516*Contagem!$W$15,IF(I516="E",O516*Contagem!$W$17,IF(I516="A",O516*Contagem!$W$16,IF(I516="T",O516*Contagem!$W$18,""))))</f>
        <v/>
      </c>
      <c r="Q516" s="55" t="n"/>
    </row>
    <row r="517" ht="12" customHeight="1" s="73">
      <c r="A517" s="14">
        <f>IF(H517="",IF(C517="",A516,A516+1),A516)</f>
        <v/>
      </c>
      <c r="B517" s="48">
        <f>IF(A517=A516,"",CONCATENATE("F",A517))</f>
        <v/>
      </c>
      <c r="C517" s="85" t="n"/>
      <c r="D517" s="142" t="n"/>
      <c r="E517" s="142" t="n"/>
      <c r="F517" s="142" t="n"/>
      <c r="G517" s="143" t="n"/>
      <c r="H517" s="56" t="n"/>
      <c r="I517" s="57" t="n"/>
      <c r="J517" s="56" t="n"/>
      <c r="K517" s="56" t="n"/>
      <c r="L517" s="50">
        <f>CONCATENATE(H517,M517)</f>
        <v/>
      </c>
      <c r="M517" s="51">
        <f>IF(OR(ISBLANK(J517),ISBLANK(K517)),IF(OR(H517="ALI",H517="AIE"),"L",IF(ISBLANK(H517),"","A")),IF(H517="EE",IF(K517&gt;=3,IF(J517&gt;=5,"H","A"),IF(K517&gt;=2,IF(J517&gt;=16,"H",IF(J517&lt;=4,"L","A")),IF(J517&lt;=15,"L","A"))),IF(OR(H517="SE",H517="CE"),IF(K517&gt;=4,IF(J517&gt;=6,"H","A"),IF(K517&gt;=2,IF(J517&gt;=20,"H",IF(J517&lt;=5,"L","A")),IF(J517&lt;=19,"L","A"))),IF(OR(H517="ALI",H517="AIE"),IF(K517&gt;=6,IF(J517&gt;=20,"H","A"),IF(K517&gt;=2,IF(J517&gt;=51,"H",IF(J517&lt;=19,"L","A")),IF(J517&lt;=50,"L","A")))))))</f>
        <v/>
      </c>
      <c r="N517" s="52">
        <f>IF(M517="L","Baixa",IF(M517="A","Média",IF(M517="","","Alta")))</f>
        <v/>
      </c>
      <c r="O517" s="53">
        <f>IF(ISBLANK(H517),"",IF(H517="ALI",IF(M517="L",7,IF(M517="A",10,15)),IF(H517="AIE",IF(M517="L",5,IF(M517="A",7,10)),IF(H517="SE",IF(M517="L",4,IF(M517="A",5,7)),IF(OR(H517="EE",H517="CE"),IF(M517="L",3,IF(M517="A",4,6)))))))</f>
        <v/>
      </c>
      <c r="P517" s="54">
        <f>IF(I517="I",O517*Contagem!$W$15,IF(I517="E",O517*Contagem!$W$17,IF(I517="A",O517*Contagem!$W$16,IF(I517="T",O517*Contagem!$W$18,""))))</f>
        <v/>
      </c>
      <c r="Q517" s="55" t="n"/>
    </row>
    <row r="518" ht="12" customHeight="1" s="73">
      <c r="A518" s="14">
        <f>IF(H518="",IF(C518="",A517,A517+1),A517)</f>
        <v/>
      </c>
      <c r="B518" s="48">
        <f>IF(A518=A517,"",CONCATENATE("F",A518))</f>
        <v/>
      </c>
      <c r="C518" s="85" t="n"/>
      <c r="D518" s="142" t="n"/>
      <c r="E518" s="142" t="n"/>
      <c r="F518" s="142" t="n"/>
      <c r="G518" s="143" t="n"/>
      <c r="H518" s="56" t="n"/>
      <c r="I518" s="57" t="n"/>
      <c r="J518" s="56" t="n"/>
      <c r="K518" s="56" t="n"/>
      <c r="L518" s="50">
        <f>CONCATENATE(H518,M518)</f>
        <v/>
      </c>
      <c r="M518" s="51">
        <f>IF(OR(ISBLANK(J518),ISBLANK(K518)),IF(OR(H518="ALI",H518="AIE"),"L",IF(ISBLANK(H518),"","A")),IF(H518="EE",IF(K518&gt;=3,IF(J518&gt;=5,"H","A"),IF(K518&gt;=2,IF(J518&gt;=16,"H",IF(J518&lt;=4,"L","A")),IF(J518&lt;=15,"L","A"))),IF(OR(H518="SE",H518="CE"),IF(K518&gt;=4,IF(J518&gt;=6,"H","A"),IF(K518&gt;=2,IF(J518&gt;=20,"H",IF(J518&lt;=5,"L","A")),IF(J518&lt;=19,"L","A"))),IF(OR(H518="ALI",H518="AIE"),IF(K518&gt;=6,IF(J518&gt;=20,"H","A"),IF(K518&gt;=2,IF(J518&gt;=51,"H",IF(J518&lt;=19,"L","A")),IF(J518&lt;=50,"L","A")))))))</f>
        <v/>
      </c>
      <c r="N518" s="52">
        <f>IF(M518="L","Baixa",IF(M518="A","Média",IF(M518="","","Alta")))</f>
        <v/>
      </c>
      <c r="O518" s="53">
        <f>IF(ISBLANK(H518),"",IF(H518="ALI",IF(M518="L",7,IF(M518="A",10,15)),IF(H518="AIE",IF(M518="L",5,IF(M518="A",7,10)),IF(H518="SE",IF(M518="L",4,IF(M518="A",5,7)),IF(OR(H518="EE",H518="CE"),IF(M518="L",3,IF(M518="A",4,6)))))))</f>
        <v/>
      </c>
      <c r="P518" s="54">
        <f>IF(I518="I",O518*Contagem!$W$15,IF(I518="E",O518*Contagem!$W$17,IF(I518="A",O518*Contagem!$W$16,IF(I518="T",O518*Contagem!$W$18,""))))</f>
        <v/>
      </c>
      <c r="Q518" s="55" t="n"/>
    </row>
    <row r="519" ht="12" customHeight="1" s="73">
      <c r="A519" s="14">
        <f>IF(H519="",IF(C519="",A518,A518+1),A518)</f>
        <v/>
      </c>
      <c r="B519" s="48">
        <f>IF(A519=A518,"",CONCATENATE("F",A519))</f>
        <v/>
      </c>
      <c r="C519" s="85" t="n"/>
      <c r="D519" s="142" t="n"/>
      <c r="E519" s="142" t="n"/>
      <c r="F519" s="142" t="n"/>
      <c r="G519" s="143" t="n"/>
      <c r="H519" s="56" t="n"/>
      <c r="I519" s="57" t="n"/>
      <c r="J519" s="56" t="n"/>
      <c r="K519" s="56" t="n"/>
      <c r="L519" s="50">
        <f>CONCATENATE(H519,M519)</f>
        <v/>
      </c>
      <c r="M519" s="51">
        <f>IF(OR(ISBLANK(J519),ISBLANK(K519)),IF(OR(H519="ALI",H519="AIE"),"L",IF(ISBLANK(H519),"","A")),IF(H519="EE",IF(K519&gt;=3,IF(J519&gt;=5,"H","A"),IF(K519&gt;=2,IF(J519&gt;=16,"H",IF(J519&lt;=4,"L","A")),IF(J519&lt;=15,"L","A"))),IF(OR(H519="SE",H519="CE"),IF(K519&gt;=4,IF(J519&gt;=6,"H","A"),IF(K519&gt;=2,IF(J519&gt;=20,"H",IF(J519&lt;=5,"L","A")),IF(J519&lt;=19,"L","A"))),IF(OR(H519="ALI",H519="AIE"),IF(K519&gt;=6,IF(J519&gt;=20,"H","A"),IF(K519&gt;=2,IF(J519&gt;=51,"H",IF(J519&lt;=19,"L","A")),IF(J519&lt;=50,"L","A")))))))</f>
        <v/>
      </c>
      <c r="N519" s="52">
        <f>IF(M519="L","Baixa",IF(M519="A","Média",IF(M519="","","Alta")))</f>
        <v/>
      </c>
      <c r="O519" s="53">
        <f>IF(ISBLANK(H519),"",IF(H519="ALI",IF(M519="L",7,IF(M519="A",10,15)),IF(H519="AIE",IF(M519="L",5,IF(M519="A",7,10)),IF(H519="SE",IF(M519="L",4,IF(M519="A",5,7)),IF(OR(H519="EE",H519="CE"),IF(M519="L",3,IF(M519="A",4,6)))))))</f>
        <v/>
      </c>
      <c r="P519" s="54">
        <f>IF(I519="I",O519*Contagem!$W$15,IF(I519="E",O519*Contagem!$W$17,IF(I519="A",O519*Contagem!$W$16,IF(I519="T",O519*Contagem!$W$18,""))))</f>
        <v/>
      </c>
      <c r="Q519" s="55" t="n"/>
    </row>
    <row r="520" ht="12" customHeight="1" s="73">
      <c r="A520" s="14">
        <f>IF(H520="",IF(C520="",A519,A519+1),A519)</f>
        <v/>
      </c>
      <c r="B520" s="48">
        <f>IF(A520=A519,"",CONCATENATE("F",A520))</f>
        <v/>
      </c>
      <c r="C520" s="85" t="n"/>
      <c r="D520" s="142" t="n"/>
      <c r="E520" s="142" t="n"/>
      <c r="F520" s="142" t="n"/>
      <c r="G520" s="143" t="n"/>
      <c r="H520" s="56" t="n"/>
      <c r="I520" s="57" t="n"/>
      <c r="J520" s="56" t="n"/>
      <c r="K520" s="56" t="n"/>
      <c r="L520" s="50">
        <f>CONCATENATE(H520,M520)</f>
        <v/>
      </c>
      <c r="M520" s="51">
        <f>IF(OR(ISBLANK(J520),ISBLANK(K520)),IF(OR(H520="ALI",H520="AIE"),"L",IF(ISBLANK(H520),"","A")),IF(H520="EE",IF(K520&gt;=3,IF(J520&gt;=5,"H","A"),IF(K520&gt;=2,IF(J520&gt;=16,"H",IF(J520&lt;=4,"L","A")),IF(J520&lt;=15,"L","A"))),IF(OR(H520="SE",H520="CE"),IF(K520&gt;=4,IF(J520&gt;=6,"H","A"),IF(K520&gt;=2,IF(J520&gt;=20,"H",IF(J520&lt;=5,"L","A")),IF(J520&lt;=19,"L","A"))),IF(OR(H520="ALI",H520="AIE"),IF(K520&gt;=6,IF(J520&gt;=20,"H","A"),IF(K520&gt;=2,IF(J520&gt;=51,"H",IF(J520&lt;=19,"L","A")),IF(J520&lt;=50,"L","A")))))))</f>
        <v/>
      </c>
      <c r="N520" s="52">
        <f>IF(M520="L","Baixa",IF(M520="A","Média",IF(M520="","","Alta")))</f>
        <v/>
      </c>
      <c r="O520" s="53">
        <f>IF(ISBLANK(H520),"",IF(H520="ALI",IF(M520="L",7,IF(M520="A",10,15)),IF(H520="AIE",IF(M520="L",5,IF(M520="A",7,10)),IF(H520="SE",IF(M520="L",4,IF(M520="A",5,7)),IF(OR(H520="EE",H520="CE"),IF(M520="L",3,IF(M520="A",4,6)))))))</f>
        <v/>
      </c>
      <c r="P520" s="54">
        <f>IF(I520="I",O520*Contagem!$W$15,IF(I520="E",O520*Contagem!$W$17,IF(I520="A",O520*Contagem!$W$16,IF(I520="T",O520*Contagem!$W$18,""))))</f>
        <v/>
      </c>
      <c r="Q520" s="55" t="n"/>
    </row>
    <row r="521" ht="12" customHeight="1" s="73">
      <c r="A521" s="14">
        <f>IF(H521="",IF(C521="",A520,A520+1),A520)</f>
        <v/>
      </c>
      <c r="B521" s="48">
        <f>IF(A521=A520,"",CONCATENATE("F",A521))</f>
        <v/>
      </c>
      <c r="C521" s="85" t="n"/>
      <c r="D521" s="142" t="n"/>
      <c r="E521" s="142" t="n"/>
      <c r="F521" s="142" t="n"/>
      <c r="G521" s="143" t="n"/>
      <c r="H521" s="56" t="n"/>
      <c r="I521" s="57" t="n"/>
      <c r="J521" s="56" t="n"/>
      <c r="K521" s="56" t="n"/>
      <c r="L521" s="50">
        <f>CONCATENATE(H521,M521)</f>
        <v/>
      </c>
      <c r="M521" s="51">
        <f>IF(OR(ISBLANK(J521),ISBLANK(K521)),IF(OR(H521="ALI",H521="AIE"),"L",IF(ISBLANK(H521),"","A")),IF(H521="EE",IF(K521&gt;=3,IF(J521&gt;=5,"H","A"),IF(K521&gt;=2,IF(J521&gt;=16,"H",IF(J521&lt;=4,"L","A")),IF(J521&lt;=15,"L","A"))),IF(OR(H521="SE",H521="CE"),IF(K521&gt;=4,IF(J521&gt;=6,"H","A"),IF(K521&gt;=2,IF(J521&gt;=20,"H",IF(J521&lt;=5,"L","A")),IF(J521&lt;=19,"L","A"))),IF(OR(H521="ALI",H521="AIE"),IF(K521&gt;=6,IF(J521&gt;=20,"H","A"),IF(K521&gt;=2,IF(J521&gt;=51,"H",IF(J521&lt;=19,"L","A")),IF(J521&lt;=50,"L","A")))))))</f>
        <v/>
      </c>
      <c r="N521" s="52">
        <f>IF(M521="L","Baixa",IF(M521="A","Média",IF(M521="","","Alta")))</f>
        <v/>
      </c>
      <c r="O521" s="53">
        <f>IF(ISBLANK(H521),"",IF(H521="ALI",IF(M521="L",7,IF(M521="A",10,15)),IF(H521="AIE",IF(M521="L",5,IF(M521="A",7,10)),IF(H521="SE",IF(M521="L",4,IF(M521="A",5,7)),IF(OR(H521="EE",H521="CE"),IF(M521="L",3,IF(M521="A",4,6)))))))</f>
        <v/>
      </c>
      <c r="P521" s="54">
        <f>IF(I521="I",O521*Contagem!$W$15,IF(I521="E",O521*Contagem!$W$17,IF(I521="A",O521*Contagem!$W$16,IF(I521="T",O521*Contagem!$W$18,""))))</f>
        <v/>
      </c>
      <c r="Q521" s="55" t="n"/>
    </row>
    <row r="522" ht="12" customHeight="1" s="73">
      <c r="A522" s="14">
        <f>IF(H522="",IF(C522="",A521,A521+1),A521)</f>
        <v/>
      </c>
      <c r="B522" s="48">
        <f>IF(A522=A521,"",CONCATENATE("F",A522))</f>
        <v/>
      </c>
      <c r="C522" s="85" t="n"/>
      <c r="D522" s="142" t="n"/>
      <c r="E522" s="142" t="n"/>
      <c r="F522" s="142" t="n"/>
      <c r="G522" s="143" t="n"/>
      <c r="H522" s="56" t="n"/>
      <c r="I522" s="57" t="n"/>
      <c r="J522" s="56" t="n"/>
      <c r="K522" s="56" t="n"/>
      <c r="L522" s="50">
        <f>CONCATENATE(H522,M522)</f>
        <v/>
      </c>
      <c r="M522" s="51">
        <f>IF(OR(ISBLANK(J522),ISBLANK(K522)),IF(OR(H522="ALI",H522="AIE"),"L",IF(ISBLANK(H522),"","A")),IF(H522="EE",IF(K522&gt;=3,IF(J522&gt;=5,"H","A"),IF(K522&gt;=2,IF(J522&gt;=16,"H",IF(J522&lt;=4,"L","A")),IF(J522&lt;=15,"L","A"))),IF(OR(H522="SE",H522="CE"),IF(K522&gt;=4,IF(J522&gt;=6,"H","A"),IF(K522&gt;=2,IF(J522&gt;=20,"H",IF(J522&lt;=5,"L","A")),IF(J522&lt;=19,"L","A"))),IF(OR(H522="ALI",H522="AIE"),IF(K522&gt;=6,IF(J522&gt;=20,"H","A"),IF(K522&gt;=2,IF(J522&gt;=51,"H",IF(J522&lt;=19,"L","A")),IF(J522&lt;=50,"L","A")))))))</f>
        <v/>
      </c>
      <c r="N522" s="52">
        <f>IF(M522="L","Baixa",IF(M522="A","Média",IF(M522="","","Alta")))</f>
        <v/>
      </c>
      <c r="O522" s="53">
        <f>IF(ISBLANK(H522),"",IF(H522="ALI",IF(M522="L",7,IF(M522="A",10,15)),IF(H522="AIE",IF(M522="L",5,IF(M522="A",7,10)),IF(H522="SE",IF(M522="L",4,IF(M522="A",5,7)),IF(OR(H522="EE",H522="CE"),IF(M522="L",3,IF(M522="A",4,6)))))))</f>
        <v/>
      </c>
      <c r="P522" s="54">
        <f>IF(I522="I",O522*Contagem!$W$15,IF(I522="E",O522*Contagem!$W$17,IF(I522="A",O522*Contagem!$W$16,IF(I522="T",O522*Contagem!$W$18,""))))</f>
        <v/>
      </c>
      <c r="Q522" s="55" t="n"/>
    </row>
    <row r="523" ht="12" customHeight="1" s="73">
      <c r="A523" s="14">
        <f>IF(H523="",IF(C523="",A522,A522+1),A522)</f>
        <v/>
      </c>
      <c r="B523" s="48">
        <f>IF(A523=A522,"",CONCATENATE("F",A523))</f>
        <v/>
      </c>
      <c r="C523" s="85" t="n"/>
      <c r="D523" s="142" t="n"/>
      <c r="E523" s="142" t="n"/>
      <c r="F523" s="142" t="n"/>
      <c r="G523" s="143" t="n"/>
      <c r="H523" s="56" t="n"/>
      <c r="I523" s="57" t="n"/>
      <c r="J523" s="56" t="n"/>
      <c r="K523" s="56" t="n"/>
      <c r="L523" s="50">
        <f>CONCATENATE(H523,M523)</f>
        <v/>
      </c>
      <c r="M523" s="51">
        <f>IF(OR(ISBLANK(J523),ISBLANK(K523)),IF(OR(H523="ALI",H523="AIE"),"L",IF(ISBLANK(H523),"","A")),IF(H523="EE",IF(K523&gt;=3,IF(J523&gt;=5,"H","A"),IF(K523&gt;=2,IF(J523&gt;=16,"H",IF(J523&lt;=4,"L","A")),IF(J523&lt;=15,"L","A"))),IF(OR(H523="SE",H523="CE"),IF(K523&gt;=4,IF(J523&gt;=6,"H","A"),IF(K523&gt;=2,IF(J523&gt;=20,"H",IF(J523&lt;=5,"L","A")),IF(J523&lt;=19,"L","A"))),IF(OR(H523="ALI",H523="AIE"),IF(K523&gt;=6,IF(J523&gt;=20,"H","A"),IF(K523&gt;=2,IF(J523&gt;=51,"H",IF(J523&lt;=19,"L","A")),IF(J523&lt;=50,"L","A")))))))</f>
        <v/>
      </c>
      <c r="N523" s="52">
        <f>IF(M523="L","Baixa",IF(M523="A","Média",IF(M523="","","Alta")))</f>
        <v/>
      </c>
      <c r="O523" s="53">
        <f>IF(ISBLANK(H523),"",IF(H523="ALI",IF(M523="L",7,IF(M523="A",10,15)),IF(H523="AIE",IF(M523="L",5,IF(M523="A",7,10)),IF(H523="SE",IF(M523="L",4,IF(M523="A",5,7)),IF(OR(H523="EE",H523="CE"),IF(M523="L",3,IF(M523="A",4,6)))))))</f>
        <v/>
      </c>
      <c r="P523" s="54">
        <f>IF(I523="I",O523*Contagem!$W$15,IF(I523="E",O523*Contagem!$W$17,IF(I523="A",O523*Contagem!$W$16,IF(I523="T",O523*Contagem!$W$18,""))))</f>
        <v/>
      </c>
      <c r="Q523" s="55" t="n"/>
    </row>
    <row r="524" ht="12" customHeight="1" s="73">
      <c r="A524" s="14">
        <f>IF(H524="",IF(C524="",A523,A523+1),A523)</f>
        <v/>
      </c>
      <c r="B524" s="48">
        <f>IF(A524=A523,"",CONCATENATE("F",A524))</f>
        <v/>
      </c>
      <c r="C524" s="85" t="n"/>
      <c r="D524" s="142" t="n"/>
      <c r="E524" s="142" t="n"/>
      <c r="F524" s="142" t="n"/>
      <c r="G524" s="143" t="n"/>
      <c r="H524" s="56" t="n"/>
      <c r="I524" s="57" t="n"/>
      <c r="J524" s="56" t="n"/>
      <c r="K524" s="56" t="n"/>
      <c r="L524" s="50">
        <f>CONCATENATE(H524,M524)</f>
        <v/>
      </c>
      <c r="M524" s="51">
        <f>IF(OR(ISBLANK(J524),ISBLANK(K524)),IF(OR(H524="ALI",H524="AIE"),"L",IF(ISBLANK(H524),"","A")),IF(H524="EE",IF(K524&gt;=3,IF(J524&gt;=5,"H","A"),IF(K524&gt;=2,IF(J524&gt;=16,"H",IF(J524&lt;=4,"L","A")),IF(J524&lt;=15,"L","A"))),IF(OR(H524="SE",H524="CE"),IF(K524&gt;=4,IF(J524&gt;=6,"H","A"),IF(K524&gt;=2,IF(J524&gt;=20,"H",IF(J524&lt;=5,"L","A")),IF(J524&lt;=19,"L","A"))),IF(OR(H524="ALI",H524="AIE"),IF(K524&gt;=6,IF(J524&gt;=20,"H","A"),IF(K524&gt;=2,IF(J524&gt;=51,"H",IF(J524&lt;=19,"L","A")),IF(J524&lt;=50,"L","A")))))))</f>
        <v/>
      </c>
      <c r="N524" s="52">
        <f>IF(M524="L","Baixa",IF(M524="A","Média",IF(M524="","","Alta")))</f>
        <v/>
      </c>
      <c r="O524" s="53">
        <f>IF(ISBLANK(H524),"",IF(H524="ALI",IF(M524="L",7,IF(M524="A",10,15)),IF(H524="AIE",IF(M524="L",5,IF(M524="A",7,10)),IF(H524="SE",IF(M524="L",4,IF(M524="A",5,7)),IF(OR(H524="EE",H524="CE"),IF(M524="L",3,IF(M524="A",4,6)))))))</f>
        <v/>
      </c>
      <c r="P524" s="54">
        <f>IF(I524="I",O524*Contagem!$W$15,IF(I524="E",O524*Contagem!$W$17,IF(I524="A",O524*Contagem!$W$16,IF(I524="T",O524*Contagem!$W$18,""))))</f>
        <v/>
      </c>
      <c r="Q524" s="55" t="n"/>
    </row>
    <row r="525" ht="12" customHeight="1" s="73">
      <c r="A525" s="14">
        <f>IF(H525="",IF(C525="",A524,A524+1),A524)</f>
        <v/>
      </c>
      <c r="B525" s="48">
        <f>IF(A525=A524,"",CONCATENATE("F",A525))</f>
        <v/>
      </c>
      <c r="C525" s="85" t="n"/>
      <c r="D525" s="142" t="n"/>
      <c r="E525" s="142" t="n"/>
      <c r="F525" s="142" t="n"/>
      <c r="G525" s="143" t="n"/>
      <c r="H525" s="56" t="n"/>
      <c r="I525" s="57" t="n"/>
      <c r="J525" s="56" t="n"/>
      <c r="K525" s="56" t="n"/>
      <c r="L525" s="50">
        <f>CONCATENATE(H525,M525)</f>
        <v/>
      </c>
      <c r="M525" s="51">
        <f>IF(OR(ISBLANK(J525),ISBLANK(K525)),IF(OR(H525="ALI",H525="AIE"),"L",IF(ISBLANK(H525),"","A")),IF(H525="EE",IF(K525&gt;=3,IF(J525&gt;=5,"H","A"),IF(K525&gt;=2,IF(J525&gt;=16,"H",IF(J525&lt;=4,"L","A")),IF(J525&lt;=15,"L","A"))),IF(OR(H525="SE",H525="CE"),IF(K525&gt;=4,IF(J525&gt;=6,"H","A"),IF(K525&gt;=2,IF(J525&gt;=20,"H",IF(J525&lt;=5,"L","A")),IF(J525&lt;=19,"L","A"))),IF(OR(H525="ALI",H525="AIE"),IF(K525&gt;=6,IF(J525&gt;=20,"H","A"),IF(K525&gt;=2,IF(J525&gt;=51,"H",IF(J525&lt;=19,"L","A")),IF(J525&lt;=50,"L","A")))))))</f>
        <v/>
      </c>
      <c r="N525" s="52">
        <f>IF(M525="L","Baixa",IF(M525="A","Média",IF(M525="","","Alta")))</f>
        <v/>
      </c>
      <c r="O525" s="53">
        <f>IF(ISBLANK(H525),"",IF(H525="ALI",IF(M525="L",7,IF(M525="A",10,15)),IF(H525="AIE",IF(M525="L",5,IF(M525="A",7,10)),IF(H525="SE",IF(M525="L",4,IF(M525="A",5,7)),IF(OR(H525="EE",H525="CE"),IF(M525="L",3,IF(M525="A",4,6)))))))</f>
        <v/>
      </c>
      <c r="P525" s="54">
        <f>IF(I525="I",O525*Contagem!$W$15,IF(I525="E",O525*Contagem!$W$17,IF(I525="A",O525*Contagem!$W$16,IF(I525="T",O525*Contagem!$W$18,""))))</f>
        <v/>
      </c>
      <c r="Q525" s="55" t="n"/>
    </row>
    <row r="526" ht="12" customHeight="1" s="73">
      <c r="A526" s="14">
        <f>IF(H526="",IF(C526="",A525,A525+1),A525)</f>
        <v/>
      </c>
      <c r="B526" s="48">
        <f>IF(A526=A525,"",CONCATENATE("F",A526))</f>
        <v/>
      </c>
      <c r="C526" s="85" t="n"/>
      <c r="D526" s="142" t="n"/>
      <c r="E526" s="142" t="n"/>
      <c r="F526" s="142" t="n"/>
      <c r="G526" s="143" t="n"/>
      <c r="H526" s="56" t="n"/>
      <c r="I526" s="57" t="n"/>
      <c r="J526" s="56" t="n"/>
      <c r="K526" s="56" t="n"/>
      <c r="L526" s="50">
        <f>CONCATENATE(H526,M526)</f>
        <v/>
      </c>
      <c r="M526" s="51">
        <f>IF(OR(ISBLANK(J526),ISBLANK(K526)),IF(OR(H526="ALI",H526="AIE"),"L",IF(ISBLANK(H526),"","A")),IF(H526="EE",IF(K526&gt;=3,IF(J526&gt;=5,"H","A"),IF(K526&gt;=2,IF(J526&gt;=16,"H",IF(J526&lt;=4,"L","A")),IF(J526&lt;=15,"L","A"))),IF(OR(H526="SE",H526="CE"),IF(K526&gt;=4,IF(J526&gt;=6,"H","A"),IF(K526&gt;=2,IF(J526&gt;=20,"H",IF(J526&lt;=5,"L","A")),IF(J526&lt;=19,"L","A"))),IF(OR(H526="ALI",H526="AIE"),IF(K526&gt;=6,IF(J526&gt;=20,"H","A"),IF(K526&gt;=2,IF(J526&gt;=51,"H",IF(J526&lt;=19,"L","A")),IF(J526&lt;=50,"L","A")))))))</f>
        <v/>
      </c>
      <c r="N526" s="52">
        <f>IF(M526="L","Baixa",IF(M526="A","Média",IF(M526="","","Alta")))</f>
        <v/>
      </c>
      <c r="O526" s="53">
        <f>IF(ISBLANK(H526),"",IF(H526="ALI",IF(M526="L",7,IF(M526="A",10,15)),IF(H526="AIE",IF(M526="L",5,IF(M526="A",7,10)),IF(H526="SE",IF(M526="L",4,IF(M526="A",5,7)),IF(OR(H526="EE",H526="CE"),IF(M526="L",3,IF(M526="A",4,6)))))))</f>
        <v/>
      </c>
      <c r="P526" s="54">
        <f>IF(I526="I",O526*Contagem!$W$15,IF(I526="E",O526*Contagem!$W$17,IF(I526="A",O526*Contagem!$W$16,IF(I526="T",O526*Contagem!$W$18,""))))</f>
        <v/>
      </c>
      <c r="Q526" s="55" t="n"/>
    </row>
    <row r="527" ht="12" customHeight="1" s="73">
      <c r="A527" s="14">
        <f>IF(H527="",IF(C527="",A526,A526+1),A526)</f>
        <v/>
      </c>
      <c r="B527" s="48">
        <f>IF(A527=A526,"",CONCATENATE("F",A527))</f>
        <v/>
      </c>
      <c r="C527" s="85" t="n"/>
      <c r="D527" s="142" t="n"/>
      <c r="E527" s="142" t="n"/>
      <c r="F527" s="142" t="n"/>
      <c r="G527" s="143" t="n"/>
      <c r="H527" s="56" t="n"/>
      <c r="I527" s="57" t="n"/>
      <c r="J527" s="56" t="n"/>
      <c r="K527" s="56" t="n"/>
      <c r="L527" s="50">
        <f>CONCATENATE(H527,M527)</f>
        <v/>
      </c>
      <c r="M527" s="51">
        <f>IF(OR(ISBLANK(J527),ISBLANK(K527)),IF(OR(H527="ALI",H527="AIE"),"L",IF(ISBLANK(H527),"","A")),IF(H527="EE",IF(K527&gt;=3,IF(J527&gt;=5,"H","A"),IF(K527&gt;=2,IF(J527&gt;=16,"H",IF(J527&lt;=4,"L","A")),IF(J527&lt;=15,"L","A"))),IF(OR(H527="SE",H527="CE"),IF(K527&gt;=4,IF(J527&gt;=6,"H","A"),IF(K527&gt;=2,IF(J527&gt;=20,"H",IF(J527&lt;=5,"L","A")),IF(J527&lt;=19,"L","A"))),IF(OR(H527="ALI",H527="AIE"),IF(K527&gt;=6,IF(J527&gt;=20,"H","A"),IF(K527&gt;=2,IF(J527&gt;=51,"H",IF(J527&lt;=19,"L","A")),IF(J527&lt;=50,"L","A")))))))</f>
        <v/>
      </c>
      <c r="N527" s="52">
        <f>IF(M527="L","Baixa",IF(M527="A","Média",IF(M527="","","Alta")))</f>
        <v/>
      </c>
      <c r="O527" s="53">
        <f>IF(ISBLANK(H527),"",IF(H527="ALI",IF(M527="L",7,IF(M527="A",10,15)),IF(H527="AIE",IF(M527="L",5,IF(M527="A",7,10)),IF(H527="SE",IF(M527="L",4,IF(M527="A",5,7)),IF(OR(H527="EE",H527="CE"),IF(M527="L",3,IF(M527="A",4,6)))))))</f>
        <v/>
      </c>
      <c r="P527" s="54">
        <f>IF(I527="I",O527*Contagem!$W$15,IF(I527="E",O527*Contagem!$W$17,IF(I527="A",O527*Contagem!$W$16,IF(I527="T",O527*Contagem!$W$18,""))))</f>
        <v/>
      </c>
      <c r="Q527" s="55" t="n"/>
    </row>
    <row r="528" ht="12" customHeight="1" s="73">
      <c r="A528" s="14">
        <f>IF(H528="",IF(C528="",A527,A527+1),A527)</f>
        <v/>
      </c>
      <c r="B528" s="48">
        <f>IF(A528=A527,"",CONCATENATE("F",A528))</f>
        <v/>
      </c>
      <c r="C528" s="85" t="n"/>
      <c r="D528" s="142" t="n"/>
      <c r="E528" s="142" t="n"/>
      <c r="F528" s="142" t="n"/>
      <c r="G528" s="143" t="n"/>
      <c r="H528" s="56" t="n"/>
      <c r="I528" s="57" t="n"/>
      <c r="J528" s="56" t="n"/>
      <c r="K528" s="56" t="n"/>
      <c r="L528" s="50">
        <f>CONCATENATE(H528,M528)</f>
        <v/>
      </c>
      <c r="M528" s="51">
        <f>IF(OR(ISBLANK(J528),ISBLANK(K528)),IF(OR(H528="ALI",H528="AIE"),"L",IF(ISBLANK(H528),"","A")),IF(H528="EE",IF(K528&gt;=3,IF(J528&gt;=5,"H","A"),IF(K528&gt;=2,IF(J528&gt;=16,"H",IF(J528&lt;=4,"L","A")),IF(J528&lt;=15,"L","A"))),IF(OR(H528="SE",H528="CE"),IF(K528&gt;=4,IF(J528&gt;=6,"H","A"),IF(K528&gt;=2,IF(J528&gt;=20,"H",IF(J528&lt;=5,"L","A")),IF(J528&lt;=19,"L","A"))),IF(OR(H528="ALI",H528="AIE"),IF(K528&gt;=6,IF(J528&gt;=20,"H","A"),IF(K528&gt;=2,IF(J528&gt;=51,"H",IF(J528&lt;=19,"L","A")),IF(J528&lt;=50,"L","A")))))))</f>
        <v/>
      </c>
      <c r="N528" s="52">
        <f>IF(M528="L","Baixa",IF(M528="A","Média",IF(M528="","","Alta")))</f>
        <v/>
      </c>
      <c r="O528" s="53">
        <f>IF(ISBLANK(H528),"",IF(H528="ALI",IF(M528="L",7,IF(M528="A",10,15)),IF(H528="AIE",IF(M528="L",5,IF(M528="A",7,10)),IF(H528="SE",IF(M528="L",4,IF(M528="A",5,7)),IF(OR(H528="EE",H528="CE"),IF(M528="L",3,IF(M528="A",4,6)))))))</f>
        <v/>
      </c>
      <c r="P528" s="54">
        <f>IF(I528="I",O528*Contagem!$W$15,IF(I528="E",O528*Contagem!$W$17,IF(I528="A",O528*Contagem!$W$16,IF(I528="T",O528*Contagem!$W$18,""))))</f>
        <v/>
      </c>
      <c r="Q528" s="55" t="n"/>
    </row>
    <row r="529" ht="12" customHeight="1" s="73">
      <c r="A529" s="14">
        <f>IF(H529="",IF(C529="",A528,A528+1),A528)</f>
        <v/>
      </c>
      <c r="B529" s="48">
        <f>IF(A529=A528,"",CONCATENATE("F",A529))</f>
        <v/>
      </c>
      <c r="C529" s="85" t="n"/>
      <c r="D529" s="142" t="n"/>
      <c r="E529" s="142" t="n"/>
      <c r="F529" s="142" t="n"/>
      <c r="G529" s="143" t="n"/>
      <c r="H529" s="56" t="n"/>
      <c r="I529" s="57" t="n"/>
      <c r="J529" s="56" t="n"/>
      <c r="K529" s="56" t="n"/>
      <c r="L529" s="50">
        <f>CONCATENATE(H529,M529)</f>
        <v/>
      </c>
      <c r="M529" s="51">
        <f>IF(OR(ISBLANK(J529),ISBLANK(K529)),IF(OR(H529="ALI",H529="AIE"),"L",IF(ISBLANK(H529),"","A")),IF(H529="EE",IF(K529&gt;=3,IF(J529&gt;=5,"H","A"),IF(K529&gt;=2,IF(J529&gt;=16,"H",IF(J529&lt;=4,"L","A")),IF(J529&lt;=15,"L","A"))),IF(OR(H529="SE",H529="CE"),IF(K529&gt;=4,IF(J529&gt;=6,"H","A"),IF(K529&gt;=2,IF(J529&gt;=20,"H",IF(J529&lt;=5,"L","A")),IF(J529&lt;=19,"L","A"))),IF(OR(H529="ALI",H529="AIE"),IF(K529&gt;=6,IF(J529&gt;=20,"H","A"),IF(K529&gt;=2,IF(J529&gt;=51,"H",IF(J529&lt;=19,"L","A")),IF(J529&lt;=50,"L","A")))))))</f>
        <v/>
      </c>
      <c r="N529" s="52">
        <f>IF(M529="L","Baixa",IF(M529="A","Média",IF(M529="","","Alta")))</f>
        <v/>
      </c>
      <c r="O529" s="53">
        <f>IF(ISBLANK(H529),"",IF(H529="ALI",IF(M529="L",7,IF(M529="A",10,15)),IF(H529="AIE",IF(M529="L",5,IF(M529="A",7,10)),IF(H529="SE",IF(M529="L",4,IF(M529="A",5,7)),IF(OR(H529="EE",H529="CE"),IF(M529="L",3,IF(M529="A",4,6)))))))</f>
        <v/>
      </c>
      <c r="P529" s="54">
        <f>IF(I529="I",O529*Contagem!$W$15,IF(I529="E",O529*Contagem!$W$17,IF(I529="A",O529*Contagem!$W$16,IF(I529="T",O529*Contagem!$W$18,""))))</f>
        <v/>
      </c>
      <c r="Q529" s="55" t="n"/>
    </row>
    <row r="530" ht="12" customHeight="1" s="73">
      <c r="A530" s="14">
        <f>IF(H530="",IF(C530="",A529,A529+1),A529)</f>
        <v/>
      </c>
      <c r="B530" s="48">
        <f>IF(A530=A529,"",CONCATENATE("F",A530))</f>
        <v/>
      </c>
      <c r="C530" s="85" t="n"/>
      <c r="D530" s="142" t="n"/>
      <c r="E530" s="142" t="n"/>
      <c r="F530" s="142" t="n"/>
      <c r="G530" s="143" t="n"/>
      <c r="H530" s="56" t="n"/>
      <c r="I530" s="57" t="n"/>
      <c r="J530" s="56" t="n"/>
      <c r="K530" s="56" t="n"/>
      <c r="L530" s="50">
        <f>CONCATENATE(H530,M530)</f>
        <v/>
      </c>
      <c r="M530" s="51">
        <f>IF(OR(ISBLANK(J530),ISBLANK(K530)),IF(OR(H530="ALI",H530="AIE"),"L",IF(ISBLANK(H530),"","A")),IF(H530="EE",IF(K530&gt;=3,IF(J530&gt;=5,"H","A"),IF(K530&gt;=2,IF(J530&gt;=16,"H",IF(J530&lt;=4,"L","A")),IF(J530&lt;=15,"L","A"))),IF(OR(H530="SE",H530="CE"),IF(K530&gt;=4,IF(J530&gt;=6,"H","A"),IF(K530&gt;=2,IF(J530&gt;=20,"H",IF(J530&lt;=5,"L","A")),IF(J530&lt;=19,"L","A"))),IF(OR(H530="ALI",H530="AIE"),IF(K530&gt;=6,IF(J530&gt;=20,"H","A"),IF(K530&gt;=2,IF(J530&gt;=51,"H",IF(J530&lt;=19,"L","A")),IF(J530&lt;=50,"L","A")))))))</f>
        <v/>
      </c>
      <c r="N530" s="52">
        <f>IF(M530="L","Baixa",IF(M530="A","Média",IF(M530="","","Alta")))</f>
        <v/>
      </c>
      <c r="O530" s="53">
        <f>IF(ISBLANK(H530),"",IF(H530="ALI",IF(M530="L",7,IF(M530="A",10,15)),IF(H530="AIE",IF(M530="L",5,IF(M530="A",7,10)),IF(H530="SE",IF(M530="L",4,IF(M530="A",5,7)),IF(OR(H530="EE",H530="CE"),IF(M530="L",3,IF(M530="A",4,6)))))))</f>
        <v/>
      </c>
      <c r="P530" s="54">
        <f>IF(I530="I",O530*Contagem!$W$15,IF(I530="E",O530*Contagem!$W$17,IF(I530="A",O530*Contagem!$W$16,IF(I530="T",O530*Contagem!$W$18,""))))</f>
        <v/>
      </c>
      <c r="Q530" s="55" t="n"/>
    </row>
    <row r="531" ht="12" customHeight="1" s="73">
      <c r="A531" s="14">
        <f>IF(H531="",IF(C531="",A530,A530+1),A530)</f>
        <v/>
      </c>
      <c r="B531" s="48">
        <f>IF(A531=A530,"",CONCATENATE("F",A531))</f>
        <v/>
      </c>
      <c r="C531" s="85" t="n"/>
      <c r="D531" s="142" t="n"/>
      <c r="E531" s="142" t="n"/>
      <c r="F531" s="142" t="n"/>
      <c r="G531" s="143" t="n"/>
      <c r="H531" s="56" t="n"/>
      <c r="I531" s="57" t="n"/>
      <c r="J531" s="56" t="n"/>
      <c r="K531" s="56" t="n"/>
      <c r="L531" s="50">
        <f>CONCATENATE(H531,M531)</f>
        <v/>
      </c>
      <c r="M531" s="51">
        <f>IF(OR(ISBLANK(J531),ISBLANK(K531)),IF(OR(H531="ALI",H531="AIE"),"L",IF(ISBLANK(H531),"","A")),IF(H531="EE",IF(K531&gt;=3,IF(J531&gt;=5,"H","A"),IF(K531&gt;=2,IF(J531&gt;=16,"H",IF(J531&lt;=4,"L","A")),IF(J531&lt;=15,"L","A"))),IF(OR(H531="SE",H531="CE"),IF(K531&gt;=4,IF(J531&gt;=6,"H","A"),IF(K531&gt;=2,IF(J531&gt;=20,"H",IF(J531&lt;=5,"L","A")),IF(J531&lt;=19,"L","A"))),IF(OR(H531="ALI",H531="AIE"),IF(K531&gt;=6,IF(J531&gt;=20,"H","A"),IF(K531&gt;=2,IF(J531&gt;=51,"H",IF(J531&lt;=19,"L","A")),IF(J531&lt;=50,"L","A")))))))</f>
        <v/>
      </c>
      <c r="N531" s="52">
        <f>IF(M531="L","Baixa",IF(M531="A","Média",IF(M531="","","Alta")))</f>
        <v/>
      </c>
      <c r="O531" s="53">
        <f>IF(ISBLANK(H531),"",IF(H531="ALI",IF(M531="L",7,IF(M531="A",10,15)),IF(H531="AIE",IF(M531="L",5,IF(M531="A",7,10)),IF(H531="SE",IF(M531="L",4,IF(M531="A",5,7)),IF(OR(H531="EE",H531="CE"),IF(M531="L",3,IF(M531="A",4,6)))))))</f>
        <v/>
      </c>
      <c r="P531" s="54">
        <f>IF(I531="I",O531*Contagem!$W$15,IF(I531="E",O531*Contagem!$W$17,IF(I531="A",O531*Contagem!$W$16,IF(I531="T",O531*Contagem!$W$18,""))))</f>
        <v/>
      </c>
      <c r="Q531" s="55" t="n"/>
    </row>
    <row r="532" ht="12" customHeight="1" s="73">
      <c r="A532" s="14">
        <f>IF(H532="",IF(C532="",A531,A531+1),A531)</f>
        <v/>
      </c>
      <c r="B532" s="48">
        <f>IF(A532=A531,"",CONCATENATE("F",A532))</f>
        <v/>
      </c>
      <c r="C532" s="85" t="n"/>
      <c r="D532" s="142" t="n"/>
      <c r="E532" s="142" t="n"/>
      <c r="F532" s="142" t="n"/>
      <c r="G532" s="143" t="n"/>
      <c r="H532" s="56" t="n"/>
      <c r="I532" s="57" t="n"/>
      <c r="J532" s="56" t="n"/>
      <c r="K532" s="56" t="n"/>
      <c r="L532" s="50">
        <f>CONCATENATE(H532,M532)</f>
        <v/>
      </c>
      <c r="M532" s="51">
        <f>IF(OR(ISBLANK(J532),ISBLANK(K532)),IF(OR(H532="ALI",H532="AIE"),"L",IF(ISBLANK(H532),"","A")),IF(H532="EE",IF(K532&gt;=3,IF(J532&gt;=5,"H","A"),IF(K532&gt;=2,IF(J532&gt;=16,"H",IF(J532&lt;=4,"L","A")),IF(J532&lt;=15,"L","A"))),IF(OR(H532="SE",H532="CE"),IF(K532&gt;=4,IF(J532&gt;=6,"H","A"),IF(K532&gt;=2,IF(J532&gt;=20,"H",IF(J532&lt;=5,"L","A")),IF(J532&lt;=19,"L","A"))),IF(OR(H532="ALI",H532="AIE"),IF(K532&gt;=6,IF(J532&gt;=20,"H","A"),IF(K532&gt;=2,IF(J532&gt;=51,"H",IF(J532&lt;=19,"L","A")),IF(J532&lt;=50,"L","A")))))))</f>
        <v/>
      </c>
      <c r="N532" s="52">
        <f>IF(M532="L","Baixa",IF(M532="A","Média",IF(M532="","","Alta")))</f>
        <v/>
      </c>
      <c r="O532" s="53">
        <f>IF(ISBLANK(H532),"",IF(H532="ALI",IF(M532="L",7,IF(M532="A",10,15)),IF(H532="AIE",IF(M532="L",5,IF(M532="A",7,10)),IF(H532="SE",IF(M532="L",4,IF(M532="A",5,7)),IF(OR(H532="EE",H532="CE"),IF(M532="L",3,IF(M532="A",4,6)))))))</f>
        <v/>
      </c>
      <c r="P532" s="54">
        <f>IF(I532="I",O532*Contagem!$W$15,IF(I532="E",O532*Contagem!$W$17,IF(I532="A",O532*Contagem!$W$16,IF(I532="T",O532*Contagem!$W$18,""))))</f>
        <v/>
      </c>
      <c r="Q532" s="55" t="n"/>
    </row>
    <row r="533" ht="12" customHeight="1" s="73">
      <c r="A533" s="14">
        <f>IF(H533="",IF(C533="",A532,A532+1),A532)</f>
        <v/>
      </c>
      <c r="B533" s="48">
        <f>IF(A533=A532,"",CONCATENATE("F",A533))</f>
        <v/>
      </c>
      <c r="C533" s="85" t="n"/>
      <c r="D533" s="142" t="n"/>
      <c r="E533" s="142" t="n"/>
      <c r="F533" s="142" t="n"/>
      <c r="G533" s="143" t="n"/>
      <c r="H533" s="56" t="n"/>
      <c r="I533" s="57" t="n"/>
      <c r="J533" s="56" t="n"/>
      <c r="K533" s="56" t="n"/>
      <c r="L533" s="50">
        <f>CONCATENATE(H533,M533)</f>
        <v/>
      </c>
      <c r="M533" s="51">
        <f>IF(OR(ISBLANK(J533),ISBLANK(K533)),IF(OR(H533="ALI",H533="AIE"),"L",IF(ISBLANK(H533),"","A")),IF(H533="EE",IF(K533&gt;=3,IF(J533&gt;=5,"H","A"),IF(K533&gt;=2,IF(J533&gt;=16,"H",IF(J533&lt;=4,"L","A")),IF(J533&lt;=15,"L","A"))),IF(OR(H533="SE",H533="CE"),IF(K533&gt;=4,IF(J533&gt;=6,"H","A"),IF(K533&gt;=2,IF(J533&gt;=20,"H",IF(J533&lt;=5,"L","A")),IF(J533&lt;=19,"L","A"))),IF(OR(H533="ALI",H533="AIE"),IF(K533&gt;=6,IF(J533&gt;=20,"H","A"),IF(K533&gt;=2,IF(J533&gt;=51,"H",IF(J533&lt;=19,"L","A")),IF(J533&lt;=50,"L","A")))))))</f>
        <v/>
      </c>
      <c r="N533" s="52">
        <f>IF(M533="L","Baixa",IF(M533="A","Média",IF(M533="","","Alta")))</f>
        <v/>
      </c>
      <c r="O533" s="53">
        <f>IF(ISBLANK(H533),"",IF(H533="ALI",IF(M533="L",7,IF(M533="A",10,15)),IF(H533="AIE",IF(M533="L",5,IF(M533="A",7,10)),IF(H533="SE",IF(M533="L",4,IF(M533="A",5,7)),IF(OR(H533="EE",H533="CE"),IF(M533="L",3,IF(M533="A",4,6)))))))</f>
        <v/>
      </c>
      <c r="P533" s="54">
        <f>IF(I533="I",O533*Contagem!$W$15,IF(I533="E",O533*Contagem!$W$17,IF(I533="A",O533*Contagem!$W$16,IF(I533="T",O533*Contagem!$W$18,""))))</f>
        <v/>
      </c>
      <c r="Q533" s="55" t="n"/>
    </row>
    <row r="534" ht="12" customHeight="1" s="73">
      <c r="A534" s="14">
        <f>IF(H534="",IF(C534="",A533,A533+1),A533)</f>
        <v/>
      </c>
      <c r="B534" s="48">
        <f>IF(A534=A533,"",CONCATENATE("F",A534))</f>
        <v/>
      </c>
      <c r="C534" s="85" t="n"/>
      <c r="D534" s="142" t="n"/>
      <c r="E534" s="142" t="n"/>
      <c r="F534" s="142" t="n"/>
      <c r="G534" s="143" t="n"/>
      <c r="H534" s="56" t="n"/>
      <c r="I534" s="57" t="n"/>
      <c r="J534" s="56" t="n"/>
      <c r="K534" s="56" t="n"/>
      <c r="L534" s="50">
        <f>CONCATENATE(H534,M534)</f>
        <v/>
      </c>
      <c r="M534" s="51">
        <f>IF(OR(ISBLANK(J534),ISBLANK(K534)),IF(OR(H534="ALI",H534="AIE"),"L",IF(ISBLANK(H534),"","A")),IF(H534="EE",IF(K534&gt;=3,IF(J534&gt;=5,"H","A"),IF(K534&gt;=2,IF(J534&gt;=16,"H",IF(J534&lt;=4,"L","A")),IF(J534&lt;=15,"L","A"))),IF(OR(H534="SE",H534="CE"),IF(K534&gt;=4,IF(J534&gt;=6,"H","A"),IF(K534&gt;=2,IF(J534&gt;=20,"H",IF(J534&lt;=5,"L","A")),IF(J534&lt;=19,"L","A"))),IF(OR(H534="ALI",H534="AIE"),IF(K534&gt;=6,IF(J534&gt;=20,"H","A"),IF(K534&gt;=2,IF(J534&gt;=51,"H",IF(J534&lt;=19,"L","A")),IF(J534&lt;=50,"L","A")))))))</f>
        <v/>
      </c>
      <c r="N534" s="52">
        <f>IF(M534="L","Baixa",IF(M534="A","Média",IF(M534="","","Alta")))</f>
        <v/>
      </c>
      <c r="O534" s="53">
        <f>IF(ISBLANK(H534),"",IF(H534="ALI",IF(M534="L",7,IF(M534="A",10,15)),IF(H534="AIE",IF(M534="L",5,IF(M534="A",7,10)),IF(H534="SE",IF(M534="L",4,IF(M534="A",5,7)),IF(OR(H534="EE",H534="CE"),IF(M534="L",3,IF(M534="A",4,6)))))))</f>
        <v/>
      </c>
      <c r="P534" s="54">
        <f>IF(I534="I",O534*Contagem!$W$15,IF(I534="E",O534*Contagem!$W$17,IF(I534="A",O534*Contagem!$W$16,IF(I534="T",O534*Contagem!$W$18,""))))</f>
        <v/>
      </c>
      <c r="Q534" s="55" t="n"/>
    </row>
    <row r="535" ht="12" customHeight="1" s="73">
      <c r="A535" s="14">
        <f>IF(H535="",IF(C535="",A534,A534+1),A534)</f>
        <v/>
      </c>
      <c r="B535" s="48">
        <f>IF(A535=A534,"",CONCATENATE("F",A535))</f>
        <v/>
      </c>
      <c r="C535" s="85" t="n"/>
      <c r="D535" s="142" t="n"/>
      <c r="E535" s="142" t="n"/>
      <c r="F535" s="142" t="n"/>
      <c r="G535" s="143" t="n"/>
      <c r="H535" s="56" t="n"/>
      <c r="I535" s="57" t="n"/>
      <c r="J535" s="56" t="n"/>
      <c r="K535" s="56" t="n"/>
      <c r="L535" s="50">
        <f>CONCATENATE(H535,M535)</f>
        <v/>
      </c>
      <c r="M535" s="51">
        <f>IF(OR(ISBLANK(J535),ISBLANK(K535)),IF(OR(H535="ALI",H535="AIE"),"L",IF(ISBLANK(H535),"","A")),IF(H535="EE",IF(K535&gt;=3,IF(J535&gt;=5,"H","A"),IF(K535&gt;=2,IF(J535&gt;=16,"H",IF(J535&lt;=4,"L","A")),IF(J535&lt;=15,"L","A"))),IF(OR(H535="SE",H535="CE"),IF(K535&gt;=4,IF(J535&gt;=6,"H","A"),IF(K535&gt;=2,IF(J535&gt;=20,"H",IF(J535&lt;=5,"L","A")),IF(J535&lt;=19,"L","A"))),IF(OR(H535="ALI",H535="AIE"),IF(K535&gt;=6,IF(J535&gt;=20,"H","A"),IF(K535&gt;=2,IF(J535&gt;=51,"H",IF(J535&lt;=19,"L","A")),IF(J535&lt;=50,"L","A")))))))</f>
        <v/>
      </c>
      <c r="N535" s="52">
        <f>IF(M535="L","Baixa",IF(M535="A","Média",IF(M535="","","Alta")))</f>
        <v/>
      </c>
      <c r="O535" s="53">
        <f>IF(ISBLANK(H535),"",IF(H535="ALI",IF(M535="L",7,IF(M535="A",10,15)),IF(H535="AIE",IF(M535="L",5,IF(M535="A",7,10)),IF(H535="SE",IF(M535="L",4,IF(M535="A",5,7)),IF(OR(H535="EE",H535="CE"),IF(M535="L",3,IF(M535="A",4,6)))))))</f>
        <v/>
      </c>
      <c r="P535" s="54">
        <f>IF(I535="I",O535*Contagem!$W$15,IF(I535="E",O535*Contagem!$W$17,IF(I535="A",O535*Contagem!$W$16,IF(I535="T",O535*Contagem!$W$18,""))))</f>
        <v/>
      </c>
      <c r="Q535" s="55" t="n"/>
    </row>
    <row r="536" ht="12" customHeight="1" s="73">
      <c r="A536" s="14">
        <f>IF(H536="",IF(C536="",A535,A535+1),A535)</f>
        <v/>
      </c>
      <c r="B536" s="48">
        <f>IF(A536=A535,"",CONCATENATE("F",A536))</f>
        <v/>
      </c>
      <c r="C536" s="85" t="n"/>
      <c r="D536" s="142" t="n"/>
      <c r="E536" s="142" t="n"/>
      <c r="F536" s="142" t="n"/>
      <c r="G536" s="143" t="n"/>
      <c r="H536" s="56" t="n"/>
      <c r="I536" s="57" t="n"/>
      <c r="J536" s="56" t="n"/>
      <c r="K536" s="56" t="n"/>
      <c r="L536" s="50">
        <f>CONCATENATE(H536,M536)</f>
        <v/>
      </c>
      <c r="M536" s="51">
        <f>IF(OR(ISBLANK(J536),ISBLANK(K536)),IF(OR(H536="ALI",H536="AIE"),"L",IF(ISBLANK(H536),"","A")),IF(H536="EE",IF(K536&gt;=3,IF(J536&gt;=5,"H","A"),IF(K536&gt;=2,IF(J536&gt;=16,"H",IF(J536&lt;=4,"L","A")),IF(J536&lt;=15,"L","A"))),IF(OR(H536="SE",H536="CE"),IF(K536&gt;=4,IF(J536&gt;=6,"H","A"),IF(K536&gt;=2,IF(J536&gt;=20,"H",IF(J536&lt;=5,"L","A")),IF(J536&lt;=19,"L","A"))),IF(OR(H536="ALI",H536="AIE"),IF(K536&gt;=6,IF(J536&gt;=20,"H","A"),IF(K536&gt;=2,IF(J536&gt;=51,"H",IF(J536&lt;=19,"L","A")),IF(J536&lt;=50,"L","A")))))))</f>
        <v/>
      </c>
      <c r="N536" s="52">
        <f>IF(M536="L","Baixa",IF(M536="A","Média",IF(M536="","","Alta")))</f>
        <v/>
      </c>
      <c r="O536" s="53">
        <f>IF(ISBLANK(H536),"",IF(H536="ALI",IF(M536="L",7,IF(M536="A",10,15)),IF(H536="AIE",IF(M536="L",5,IF(M536="A",7,10)),IF(H536="SE",IF(M536="L",4,IF(M536="A",5,7)),IF(OR(H536="EE",H536="CE"),IF(M536="L",3,IF(M536="A",4,6)))))))</f>
        <v/>
      </c>
      <c r="P536" s="54">
        <f>IF(I536="I",O536*Contagem!$W$15,IF(I536="E",O536*Contagem!$W$17,IF(I536="A",O536*Contagem!$W$16,IF(I536="T",O536*Contagem!$W$18,""))))</f>
        <v/>
      </c>
      <c r="Q536" s="55" t="n"/>
    </row>
    <row r="537" ht="12" customHeight="1" s="73">
      <c r="A537" s="14">
        <f>IF(H537="",IF(C537="",A536,A536+1),A536)</f>
        <v/>
      </c>
      <c r="B537" s="48">
        <f>IF(A537=A536,"",CONCATENATE("F",A537))</f>
        <v/>
      </c>
      <c r="C537" s="85" t="n"/>
      <c r="D537" s="142" t="n"/>
      <c r="E537" s="142" t="n"/>
      <c r="F537" s="142" t="n"/>
      <c r="G537" s="143" t="n"/>
      <c r="H537" s="56" t="n"/>
      <c r="I537" s="57" t="n"/>
      <c r="J537" s="56" t="n"/>
      <c r="K537" s="56" t="n"/>
      <c r="L537" s="50">
        <f>CONCATENATE(H537,M537)</f>
        <v/>
      </c>
      <c r="M537" s="51">
        <f>IF(OR(ISBLANK(J537),ISBLANK(K537)),IF(OR(H537="ALI",H537="AIE"),"L",IF(ISBLANK(H537),"","A")),IF(H537="EE",IF(K537&gt;=3,IF(J537&gt;=5,"H","A"),IF(K537&gt;=2,IF(J537&gt;=16,"H",IF(J537&lt;=4,"L","A")),IF(J537&lt;=15,"L","A"))),IF(OR(H537="SE",H537="CE"),IF(K537&gt;=4,IF(J537&gt;=6,"H","A"),IF(K537&gt;=2,IF(J537&gt;=20,"H",IF(J537&lt;=5,"L","A")),IF(J537&lt;=19,"L","A"))),IF(OR(H537="ALI",H537="AIE"),IF(K537&gt;=6,IF(J537&gt;=20,"H","A"),IF(K537&gt;=2,IF(J537&gt;=51,"H",IF(J537&lt;=19,"L","A")),IF(J537&lt;=50,"L","A")))))))</f>
        <v/>
      </c>
      <c r="N537" s="52">
        <f>IF(M537="L","Baixa",IF(M537="A","Média",IF(M537="","","Alta")))</f>
        <v/>
      </c>
      <c r="O537" s="53">
        <f>IF(ISBLANK(H537),"",IF(H537="ALI",IF(M537="L",7,IF(M537="A",10,15)),IF(H537="AIE",IF(M537="L",5,IF(M537="A",7,10)),IF(H537="SE",IF(M537="L",4,IF(M537="A",5,7)),IF(OR(H537="EE",H537="CE"),IF(M537="L",3,IF(M537="A",4,6)))))))</f>
        <v/>
      </c>
      <c r="P537" s="54">
        <f>IF(I537="I",O537*Contagem!$W$15,IF(I537="E",O537*Contagem!$W$17,IF(I537="A",O537*Contagem!$W$16,IF(I537="T",O537*Contagem!$W$18,""))))</f>
        <v/>
      </c>
      <c r="Q537" s="55" t="n"/>
    </row>
    <row r="538" ht="12" customHeight="1" s="73">
      <c r="A538" s="14">
        <f>IF(H538="",IF(C538="",A537,A537+1),A537)</f>
        <v/>
      </c>
      <c r="B538" s="48">
        <f>IF(A538=A537,"",CONCATENATE("F",A538))</f>
        <v/>
      </c>
      <c r="C538" s="85" t="n"/>
      <c r="D538" s="142" t="n"/>
      <c r="E538" s="142" t="n"/>
      <c r="F538" s="142" t="n"/>
      <c r="G538" s="143" t="n"/>
      <c r="H538" s="56" t="n"/>
      <c r="I538" s="57" t="n"/>
      <c r="J538" s="56" t="n"/>
      <c r="K538" s="56" t="n"/>
      <c r="L538" s="50">
        <f>CONCATENATE(H538,M538)</f>
        <v/>
      </c>
      <c r="M538" s="51">
        <f>IF(OR(ISBLANK(J538),ISBLANK(K538)),IF(OR(H538="ALI",H538="AIE"),"L",IF(ISBLANK(H538),"","A")),IF(H538="EE",IF(K538&gt;=3,IF(J538&gt;=5,"H","A"),IF(K538&gt;=2,IF(J538&gt;=16,"H",IF(J538&lt;=4,"L","A")),IF(J538&lt;=15,"L","A"))),IF(OR(H538="SE",H538="CE"),IF(K538&gt;=4,IF(J538&gt;=6,"H","A"),IF(K538&gt;=2,IF(J538&gt;=20,"H",IF(J538&lt;=5,"L","A")),IF(J538&lt;=19,"L","A"))),IF(OR(H538="ALI",H538="AIE"),IF(K538&gt;=6,IF(J538&gt;=20,"H","A"),IF(K538&gt;=2,IF(J538&gt;=51,"H",IF(J538&lt;=19,"L","A")),IF(J538&lt;=50,"L","A")))))))</f>
        <v/>
      </c>
      <c r="N538" s="52">
        <f>IF(M538="L","Baixa",IF(M538="A","Média",IF(M538="","","Alta")))</f>
        <v/>
      </c>
      <c r="O538" s="53">
        <f>IF(ISBLANK(H538),"",IF(H538="ALI",IF(M538="L",7,IF(M538="A",10,15)),IF(H538="AIE",IF(M538="L",5,IF(M538="A",7,10)),IF(H538="SE",IF(M538="L",4,IF(M538="A",5,7)),IF(OR(H538="EE",H538="CE"),IF(M538="L",3,IF(M538="A",4,6)))))))</f>
        <v/>
      </c>
      <c r="P538" s="54">
        <f>IF(I538="I",O538*Contagem!$W$15,IF(I538="E",O538*Contagem!$W$17,IF(I538="A",O538*Contagem!$W$16,IF(I538="T",O538*Contagem!$W$18,""))))</f>
        <v/>
      </c>
      <c r="Q538" s="55" t="n"/>
    </row>
    <row r="539" ht="12" customHeight="1" s="73">
      <c r="A539" s="14">
        <f>IF(H539="",IF(C539="",A538,A538+1),A538)</f>
        <v/>
      </c>
      <c r="B539" s="48">
        <f>IF(A539=A538,"",CONCATENATE("F",A539))</f>
        <v/>
      </c>
      <c r="C539" s="85" t="n"/>
      <c r="D539" s="142" t="n"/>
      <c r="E539" s="142" t="n"/>
      <c r="F539" s="142" t="n"/>
      <c r="G539" s="143" t="n"/>
      <c r="H539" s="56" t="n"/>
      <c r="I539" s="57" t="n"/>
      <c r="J539" s="56" t="n"/>
      <c r="K539" s="56" t="n"/>
      <c r="L539" s="50">
        <f>CONCATENATE(H539,M539)</f>
        <v/>
      </c>
      <c r="M539" s="51">
        <f>IF(OR(ISBLANK(J539),ISBLANK(K539)),IF(OR(H539="ALI",H539="AIE"),"L",IF(ISBLANK(H539),"","A")),IF(H539="EE",IF(K539&gt;=3,IF(J539&gt;=5,"H","A"),IF(K539&gt;=2,IF(J539&gt;=16,"H",IF(J539&lt;=4,"L","A")),IF(J539&lt;=15,"L","A"))),IF(OR(H539="SE",H539="CE"),IF(K539&gt;=4,IF(J539&gt;=6,"H","A"),IF(K539&gt;=2,IF(J539&gt;=20,"H",IF(J539&lt;=5,"L","A")),IF(J539&lt;=19,"L","A"))),IF(OR(H539="ALI",H539="AIE"),IF(K539&gt;=6,IF(J539&gt;=20,"H","A"),IF(K539&gt;=2,IF(J539&gt;=51,"H",IF(J539&lt;=19,"L","A")),IF(J539&lt;=50,"L","A")))))))</f>
        <v/>
      </c>
      <c r="N539" s="52">
        <f>IF(M539="L","Baixa",IF(M539="A","Média",IF(M539="","","Alta")))</f>
        <v/>
      </c>
      <c r="O539" s="53">
        <f>IF(ISBLANK(H539),"",IF(H539="ALI",IF(M539="L",7,IF(M539="A",10,15)),IF(H539="AIE",IF(M539="L",5,IF(M539="A",7,10)),IF(H539="SE",IF(M539="L",4,IF(M539="A",5,7)),IF(OR(H539="EE",H539="CE"),IF(M539="L",3,IF(M539="A",4,6)))))))</f>
        <v/>
      </c>
      <c r="P539" s="54">
        <f>IF(I539="I",O539*Contagem!$W$15,IF(I539="E",O539*Contagem!$W$17,IF(I539="A",O539*Contagem!$W$16,IF(I539="T",O539*Contagem!$W$18,""))))</f>
        <v/>
      </c>
      <c r="Q539" s="55" t="n"/>
    </row>
    <row r="540" ht="12" customHeight="1" s="73">
      <c r="A540" s="14">
        <f>IF(H540="",IF(C540="",A539,A539+1),A539)</f>
        <v/>
      </c>
      <c r="B540" s="48">
        <f>IF(A540=A539,"",CONCATENATE("F",A540))</f>
        <v/>
      </c>
      <c r="C540" s="85" t="n"/>
      <c r="D540" s="142" t="n"/>
      <c r="E540" s="142" t="n"/>
      <c r="F540" s="142" t="n"/>
      <c r="G540" s="143" t="n"/>
      <c r="H540" s="56" t="n"/>
      <c r="I540" s="57" t="n"/>
      <c r="J540" s="56" t="n"/>
      <c r="K540" s="56" t="n"/>
      <c r="L540" s="50">
        <f>CONCATENATE(H540,M540)</f>
        <v/>
      </c>
      <c r="M540" s="51">
        <f>IF(OR(ISBLANK(J540),ISBLANK(K540)),IF(OR(H540="ALI",H540="AIE"),"L",IF(ISBLANK(H540),"","A")),IF(H540="EE",IF(K540&gt;=3,IF(J540&gt;=5,"H","A"),IF(K540&gt;=2,IF(J540&gt;=16,"H",IF(J540&lt;=4,"L","A")),IF(J540&lt;=15,"L","A"))),IF(OR(H540="SE",H540="CE"),IF(K540&gt;=4,IF(J540&gt;=6,"H","A"),IF(K540&gt;=2,IF(J540&gt;=20,"H",IF(J540&lt;=5,"L","A")),IF(J540&lt;=19,"L","A"))),IF(OR(H540="ALI",H540="AIE"),IF(K540&gt;=6,IF(J540&gt;=20,"H","A"),IF(K540&gt;=2,IF(J540&gt;=51,"H",IF(J540&lt;=19,"L","A")),IF(J540&lt;=50,"L","A")))))))</f>
        <v/>
      </c>
      <c r="N540" s="52">
        <f>IF(M540="L","Baixa",IF(M540="A","Média",IF(M540="","","Alta")))</f>
        <v/>
      </c>
      <c r="O540" s="53">
        <f>IF(ISBLANK(H540),"",IF(H540="ALI",IF(M540="L",7,IF(M540="A",10,15)),IF(H540="AIE",IF(M540="L",5,IF(M540="A",7,10)),IF(H540="SE",IF(M540="L",4,IF(M540="A",5,7)),IF(OR(H540="EE",H540="CE"),IF(M540="L",3,IF(M540="A",4,6)))))))</f>
        <v/>
      </c>
      <c r="P540" s="54">
        <f>IF(I540="I",O540*Contagem!$W$15,IF(I540="E",O540*Contagem!$W$17,IF(I540="A",O540*Contagem!$W$16,IF(I540="T",O540*Contagem!$W$18,""))))</f>
        <v/>
      </c>
      <c r="Q540" s="55" t="n"/>
    </row>
    <row r="541" ht="12" customHeight="1" s="73">
      <c r="A541" s="14">
        <f>IF(H541="",IF(C541="",A540,A540+1),A540)</f>
        <v/>
      </c>
      <c r="B541" s="48">
        <f>IF(A541=A540,"",CONCATENATE("F",A541))</f>
        <v/>
      </c>
      <c r="C541" s="85" t="n"/>
      <c r="D541" s="142" t="n"/>
      <c r="E541" s="142" t="n"/>
      <c r="F541" s="142" t="n"/>
      <c r="G541" s="143" t="n"/>
      <c r="H541" s="56" t="n"/>
      <c r="I541" s="57" t="n"/>
      <c r="J541" s="56" t="n"/>
      <c r="K541" s="56" t="n"/>
      <c r="L541" s="50">
        <f>CONCATENATE(H541,M541)</f>
        <v/>
      </c>
      <c r="M541" s="51">
        <f>IF(OR(ISBLANK(J541),ISBLANK(K541)),IF(OR(H541="ALI",H541="AIE"),"L",IF(ISBLANK(H541),"","A")),IF(H541="EE",IF(K541&gt;=3,IF(J541&gt;=5,"H","A"),IF(K541&gt;=2,IF(J541&gt;=16,"H",IF(J541&lt;=4,"L","A")),IF(J541&lt;=15,"L","A"))),IF(OR(H541="SE",H541="CE"),IF(K541&gt;=4,IF(J541&gt;=6,"H","A"),IF(K541&gt;=2,IF(J541&gt;=20,"H",IF(J541&lt;=5,"L","A")),IF(J541&lt;=19,"L","A"))),IF(OR(H541="ALI",H541="AIE"),IF(K541&gt;=6,IF(J541&gt;=20,"H","A"),IF(K541&gt;=2,IF(J541&gt;=51,"H",IF(J541&lt;=19,"L","A")),IF(J541&lt;=50,"L","A")))))))</f>
        <v/>
      </c>
      <c r="N541" s="52">
        <f>IF(M541="L","Baixa",IF(M541="A","Média",IF(M541="","","Alta")))</f>
        <v/>
      </c>
      <c r="O541" s="53">
        <f>IF(ISBLANK(H541),"",IF(H541="ALI",IF(M541="L",7,IF(M541="A",10,15)),IF(H541="AIE",IF(M541="L",5,IF(M541="A",7,10)),IF(H541="SE",IF(M541="L",4,IF(M541="A",5,7)),IF(OR(H541="EE",H541="CE"),IF(M541="L",3,IF(M541="A",4,6)))))))</f>
        <v/>
      </c>
      <c r="P541" s="54">
        <f>IF(I541="I",O541*Contagem!$W$15,IF(I541="E",O541*Contagem!$W$17,IF(I541="A",O541*Contagem!$W$16,IF(I541="T",O541*Contagem!$W$18,""))))</f>
        <v/>
      </c>
      <c r="Q541" s="55" t="n"/>
    </row>
    <row r="542" ht="12" customHeight="1" s="73">
      <c r="A542" s="14">
        <f>IF(H542="",IF(C542="",A541,A541+1),A541)</f>
        <v/>
      </c>
      <c r="B542" s="48">
        <f>IF(A542=A541,"",CONCATENATE("F",A542))</f>
        <v/>
      </c>
      <c r="C542" s="85" t="n"/>
      <c r="D542" s="142" t="n"/>
      <c r="E542" s="142" t="n"/>
      <c r="F542" s="142" t="n"/>
      <c r="G542" s="143" t="n"/>
      <c r="H542" s="56" t="n"/>
      <c r="I542" s="57" t="n"/>
      <c r="J542" s="56" t="n"/>
      <c r="K542" s="56" t="n"/>
      <c r="L542" s="50">
        <f>CONCATENATE(H542,M542)</f>
        <v/>
      </c>
      <c r="M542" s="51">
        <f>IF(OR(ISBLANK(J542),ISBLANK(K542)),IF(OR(H542="ALI",H542="AIE"),"L",IF(ISBLANK(H542),"","A")),IF(H542="EE",IF(K542&gt;=3,IF(J542&gt;=5,"H","A"),IF(K542&gt;=2,IF(J542&gt;=16,"H",IF(J542&lt;=4,"L","A")),IF(J542&lt;=15,"L","A"))),IF(OR(H542="SE",H542="CE"),IF(K542&gt;=4,IF(J542&gt;=6,"H","A"),IF(K542&gt;=2,IF(J542&gt;=20,"H",IF(J542&lt;=5,"L","A")),IF(J542&lt;=19,"L","A"))),IF(OR(H542="ALI",H542="AIE"),IF(K542&gt;=6,IF(J542&gt;=20,"H","A"),IF(K542&gt;=2,IF(J542&gt;=51,"H",IF(J542&lt;=19,"L","A")),IF(J542&lt;=50,"L","A")))))))</f>
        <v/>
      </c>
      <c r="N542" s="52">
        <f>IF(M542="L","Baixa",IF(M542="A","Média",IF(M542="","","Alta")))</f>
        <v/>
      </c>
      <c r="O542" s="53">
        <f>IF(ISBLANK(H542),"",IF(H542="ALI",IF(M542="L",7,IF(M542="A",10,15)),IF(H542="AIE",IF(M542="L",5,IF(M542="A",7,10)),IF(H542="SE",IF(M542="L",4,IF(M542="A",5,7)),IF(OR(H542="EE",H542="CE"),IF(M542="L",3,IF(M542="A",4,6)))))))</f>
        <v/>
      </c>
      <c r="P542" s="54">
        <f>IF(I542="I",O542*Contagem!$W$15,IF(I542="E",O542*Contagem!$W$17,IF(I542="A",O542*Contagem!$W$16,IF(I542="T",O542*Contagem!$W$18,""))))</f>
        <v/>
      </c>
      <c r="Q542" s="55" t="n"/>
    </row>
    <row r="543" ht="12" customHeight="1" s="73">
      <c r="A543" s="14">
        <f>IF(H543="",IF(C543="",A542,A542+1),A542)</f>
        <v/>
      </c>
      <c r="B543" s="48">
        <f>IF(A543=A542,"",CONCATENATE("F",A543))</f>
        <v/>
      </c>
      <c r="C543" s="85" t="n"/>
      <c r="D543" s="142" t="n"/>
      <c r="E543" s="142" t="n"/>
      <c r="F543" s="142" t="n"/>
      <c r="G543" s="143" t="n"/>
      <c r="H543" s="56" t="n"/>
      <c r="I543" s="57" t="n"/>
      <c r="J543" s="56" t="n"/>
      <c r="K543" s="56" t="n"/>
      <c r="L543" s="50">
        <f>CONCATENATE(H543,M543)</f>
        <v/>
      </c>
      <c r="M543" s="51">
        <f>IF(OR(ISBLANK(J543),ISBLANK(K543)),IF(OR(H543="ALI",H543="AIE"),"L",IF(ISBLANK(H543),"","A")),IF(H543="EE",IF(K543&gt;=3,IF(J543&gt;=5,"H","A"),IF(K543&gt;=2,IF(J543&gt;=16,"H",IF(J543&lt;=4,"L","A")),IF(J543&lt;=15,"L","A"))),IF(OR(H543="SE",H543="CE"),IF(K543&gt;=4,IF(J543&gt;=6,"H","A"),IF(K543&gt;=2,IF(J543&gt;=20,"H",IF(J543&lt;=5,"L","A")),IF(J543&lt;=19,"L","A"))),IF(OR(H543="ALI",H543="AIE"),IF(K543&gt;=6,IF(J543&gt;=20,"H","A"),IF(K543&gt;=2,IF(J543&gt;=51,"H",IF(J543&lt;=19,"L","A")),IF(J543&lt;=50,"L","A")))))))</f>
        <v/>
      </c>
      <c r="N543" s="52">
        <f>IF(M543="L","Baixa",IF(M543="A","Média",IF(M543="","","Alta")))</f>
        <v/>
      </c>
      <c r="O543" s="53">
        <f>IF(ISBLANK(H543),"",IF(H543="ALI",IF(M543="L",7,IF(M543="A",10,15)),IF(H543="AIE",IF(M543="L",5,IF(M543="A",7,10)),IF(H543="SE",IF(M543="L",4,IF(M543="A",5,7)),IF(OR(H543="EE",H543="CE"),IF(M543="L",3,IF(M543="A",4,6)))))))</f>
        <v/>
      </c>
      <c r="P543" s="54">
        <f>IF(I543="I",O543*Contagem!$W$15,IF(I543="E",O543*Contagem!$W$17,IF(I543="A",O543*Contagem!$W$16,IF(I543="T",O543*Contagem!$W$18,""))))</f>
        <v/>
      </c>
      <c r="Q543" s="55" t="n"/>
    </row>
    <row r="544" ht="12" customHeight="1" s="73">
      <c r="A544" s="14">
        <f>IF(H544="",IF(C544="",A543,A543+1),A543)</f>
        <v/>
      </c>
      <c r="B544" s="48">
        <f>IF(A544=A543,"",CONCATENATE("F",A544))</f>
        <v/>
      </c>
      <c r="C544" s="85" t="n"/>
      <c r="D544" s="142" t="n"/>
      <c r="E544" s="142" t="n"/>
      <c r="F544" s="142" t="n"/>
      <c r="G544" s="143" t="n"/>
      <c r="H544" s="56" t="n"/>
      <c r="I544" s="57" t="n"/>
      <c r="J544" s="56" t="n"/>
      <c r="K544" s="56" t="n"/>
      <c r="L544" s="50">
        <f>CONCATENATE(H544,M544)</f>
        <v/>
      </c>
      <c r="M544" s="51">
        <f>IF(OR(ISBLANK(J544),ISBLANK(K544)),IF(OR(H544="ALI",H544="AIE"),"L",IF(ISBLANK(H544),"","A")),IF(H544="EE",IF(K544&gt;=3,IF(J544&gt;=5,"H","A"),IF(K544&gt;=2,IF(J544&gt;=16,"H",IF(J544&lt;=4,"L","A")),IF(J544&lt;=15,"L","A"))),IF(OR(H544="SE",H544="CE"),IF(K544&gt;=4,IF(J544&gt;=6,"H","A"),IF(K544&gt;=2,IF(J544&gt;=20,"H",IF(J544&lt;=5,"L","A")),IF(J544&lt;=19,"L","A"))),IF(OR(H544="ALI",H544="AIE"),IF(K544&gt;=6,IF(J544&gt;=20,"H","A"),IF(K544&gt;=2,IF(J544&gt;=51,"H",IF(J544&lt;=19,"L","A")),IF(J544&lt;=50,"L","A")))))))</f>
        <v/>
      </c>
      <c r="N544" s="52">
        <f>IF(M544="L","Baixa",IF(M544="A","Média",IF(M544="","","Alta")))</f>
        <v/>
      </c>
      <c r="O544" s="53">
        <f>IF(ISBLANK(H544),"",IF(H544="ALI",IF(M544="L",7,IF(M544="A",10,15)),IF(H544="AIE",IF(M544="L",5,IF(M544="A",7,10)),IF(H544="SE",IF(M544="L",4,IF(M544="A",5,7)),IF(OR(H544="EE",H544="CE"),IF(M544="L",3,IF(M544="A",4,6)))))))</f>
        <v/>
      </c>
      <c r="P544" s="54">
        <f>IF(I544="I",O544*Contagem!$W$15,IF(I544="E",O544*Contagem!$W$17,IF(I544="A",O544*Contagem!$W$16,IF(I544="T",O544*Contagem!$W$18,""))))</f>
        <v/>
      </c>
      <c r="Q544" s="55" t="n"/>
    </row>
    <row r="545" ht="12" customHeight="1" s="73">
      <c r="A545" s="14">
        <f>IF(H545="",IF(C545="",A544,A544+1),A544)</f>
        <v/>
      </c>
      <c r="B545" s="48">
        <f>IF(A545=A544,"",CONCATENATE("F",A545))</f>
        <v/>
      </c>
      <c r="C545" s="85" t="n"/>
      <c r="D545" s="142" t="n"/>
      <c r="E545" s="142" t="n"/>
      <c r="F545" s="142" t="n"/>
      <c r="G545" s="143" t="n"/>
      <c r="H545" s="56" t="n"/>
      <c r="I545" s="57" t="n"/>
      <c r="J545" s="56" t="n"/>
      <c r="K545" s="56" t="n"/>
      <c r="L545" s="50">
        <f>CONCATENATE(H545,M545)</f>
        <v/>
      </c>
      <c r="M545" s="51">
        <f>IF(OR(ISBLANK(J545),ISBLANK(K545)),IF(OR(H545="ALI",H545="AIE"),"L",IF(ISBLANK(H545),"","A")),IF(H545="EE",IF(K545&gt;=3,IF(J545&gt;=5,"H","A"),IF(K545&gt;=2,IF(J545&gt;=16,"H",IF(J545&lt;=4,"L","A")),IF(J545&lt;=15,"L","A"))),IF(OR(H545="SE",H545="CE"),IF(K545&gt;=4,IF(J545&gt;=6,"H","A"),IF(K545&gt;=2,IF(J545&gt;=20,"H",IF(J545&lt;=5,"L","A")),IF(J545&lt;=19,"L","A"))),IF(OR(H545="ALI",H545="AIE"),IF(K545&gt;=6,IF(J545&gt;=20,"H","A"),IF(K545&gt;=2,IF(J545&gt;=51,"H",IF(J545&lt;=19,"L","A")),IF(J545&lt;=50,"L","A")))))))</f>
        <v/>
      </c>
      <c r="N545" s="52">
        <f>IF(M545="L","Baixa",IF(M545="A","Média",IF(M545="","","Alta")))</f>
        <v/>
      </c>
      <c r="O545" s="53">
        <f>IF(ISBLANK(H545),"",IF(H545="ALI",IF(M545="L",7,IF(M545="A",10,15)),IF(H545="AIE",IF(M545="L",5,IF(M545="A",7,10)),IF(H545="SE",IF(M545="L",4,IF(M545="A",5,7)),IF(OR(H545="EE",H545="CE"),IF(M545="L",3,IF(M545="A",4,6)))))))</f>
        <v/>
      </c>
      <c r="P545" s="54">
        <f>IF(I545="I",O545*Contagem!$W$15,IF(I545="E",O545*Contagem!$W$17,IF(I545="A",O545*Contagem!$W$16,IF(I545="T",O545*Contagem!$W$18,""))))</f>
        <v/>
      </c>
      <c r="Q545" s="55" t="n"/>
    </row>
    <row r="546" ht="12" customHeight="1" s="73">
      <c r="A546" s="14">
        <f>IF(H546="",IF(C546="",A545,A545+1),A545)</f>
        <v/>
      </c>
      <c r="B546" s="48">
        <f>IF(A546=A545,"",CONCATENATE("F",A546))</f>
        <v/>
      </c>
      <c r="C546" s="85" t="n"/>
      <c r="D546" s="142" t="n"/>
      <c r="E546" s="142" t="n"/>
      <c r="F546" s="142" t="n"/>
      <c r="G546" s="143" t="n"/>
      <c r="H546" s="56" t="n"/>
      <c r="I546" s="57" t="n"/>
      <c r="J546" s="56" t="n"/>
      <c r="K546" s="56" t="n"/>
      <c r="L546" s="50">
        <f>CONCATENATE(H546,M546)</f>
        <v/>
      </c>
      <c r="M546" s="51">
        <f>IF(OR(ISBLANK(J546),ISBLANK(K546)),IF(OR(H546="ALI",H546="AIE"),"L",IF(ISBLANK(H546),"","A")),IF(H546="EE",IF(K546&gt;=3,IF(J546&gt;=5,"H","A"),IF(K546&gt;=2,IF(J546&gt;=16,"H",IF(J546&lt;=4,"L","A")),IF(J546&lt;=15,"L","A"))),IF(OR(H546="SE",H546="CE"),IF(K546&gt;=4,IF(J546&gt;=6,"H","A"),IF(K546&gt;=2,IF(J546&gt;=20,"H",IF(J546&lt;=5,"L","A")),IF(J546&lt;=19,"L","A"))),IF(OR(H546="ALI",H546="AIE"),IF(K546&gt;=6,IF(J546&gt;=20,"H","A"),IF(K546&gt;=2,IF(J546&gt;=51,"H",IF(J546&lt;=19,"L","A")),IF(J546&lt;=50,"L","A")))))))</f>
        <v/>
      </c>
      <c r="N546" s="52">
        <f>IF(M546="L","Baixa",IF(M546="A","Média",IF(M546="","","Alta")))</f>
        <v/>
      </c>
      <c r="O546" s="53">
        <f>IF(ISBLANK(H546),"",IF(H546="ALI",IF(M546="L",7,IF(M546="A",10,15)),IF(H546="AIE",IF(M546="L",5,IF(M546="A",7,10)),IF(H546="SE",IF(M546="L",4,IF(M546="A",5,7)),IF(OR(H546="EE",H546="CE"),IF(M546="L",3,IF(M546="A",4,6)))))))</f>
        <v/>
      </c>
      <c r="P546" s="54">
        <f>IF(I546="I",O546*Contagem!$W$15,IF(I546="E",O546*Contagem!$W$17,IF(I546="A",O546*Contagem!$W$16,IF(I546="T",O546*Contagem!$W$18,""))))</f>
        <v/>
      </c>
      <c r="Q546" s="55" t="n"/>
    </row>
    <row r="547" ht="12" customHeight="1" s="73">
      <c r="A547" s="14">
        <f>IF(H547="",IF(C547="",A546,A546+1),A546)</f>
        <v/>
      </c>
      <c r="B547" s="48">
        <f>IF(A547=A546,"",CONCATENATE("F",A547))</f>
        <v/>
      </c>
      <c r="C547" s="85" t="n"/>
      <c r="D547" s="142" t="n"/>
      <c r="E547" s="142" t="n"/>
      <c r="F547" s="142" t="n"/>
      <c r="G547" s="143" t="n"/>
      <c r="H547" s="56" t="n"/>
      <c r="I547" s="57" t="n"/>
      <c r="J547" s="56" t="n"/>
      <c r="K547" s="56" t="n"/>
      <c r="L547" s="50">
        <f>CONCATENATE(H547,M547)</f>
        <v/>
      </c>
      <c r="M547" s="51">
        <f>IF(OR(ISBLANK(J547),ISBLANK(K547)),IF(OR(H547="ALI",H547="AIE"),"L",IF(ISBLANK(H547),"","A")),IF(H547="EE",IF(K547&gt;=3,IF(J547&gt;=5,"H","A"),IF(K547&gt;=2,IF(J547&gt;=16,"H",IF(J547&lt;=4,"L","A")),IF(J547&lt;=15,"L","A"))),IF(OR(H547="SE",H547="CE"),IF(K547&gt;=4,IF(J547&gt;=6,"H","A"),IF(K547&gt;=2,IF(J547&gt;=20,"H",IF(J547&lt;=5,"L","A")),IF(J547&lt;=19,"L","A"))),IF(OR(H547="ALI",H547="AIE"),IF(K547&gt;=6,IF(J547&gt;=20,"H","A"),IF(K547&gt;=2,IF(J547&gt;=51,"H",IF(J547&lt;=19,"L","A")),IF(J547&lt;=50,"L","A")))))))</f>
        <v/>
      </c>
      <c r="N547" s="52">
        <f>IF(M547="L","Baixa",IF(M547="A","Média",IF(M547="","","Alta")))</f>
        <v/>
      </c>
      <c r="O547" s="53">
        <f>IF(ISBLANK(H547),"",IF(H547="ALI",IF(M547="L",7,IF(M547="A",10,15)),IF(H547="AIE",IF(M547="L",5,IF(M547="A",7,10)),IF(H547="SE",IF(M547="L",4,IF(M547="A",5,7)),IF(OR(H547="EE",H547="CE"),IF(M547="L",3,IF(M547="A",4,6)))))))</f>
        <v/>
      </c>
      <c r="P547" s="54">
        <f>IF(I547="I",O547*Contagem!$W$15,IF(I547="E",O547*Contagem!$W$17,IF(I547="A",O547*Contagem!$W$16,IF(I547="T",O547*Contagem!$W$18,""))))</f>
        <v/>
      </c>
      <c r="Q547" s="55" t="n"/>
    </row>
    <row r="548" ht="12" customHeight="1" s="73">
      <c r="A548" s="14">
        <f>IF(H548="",IF(C548="",A547,A547+1),A547)</f>
        <v/>
      </c>
      <c r="B548" s="48">
        <f>IF(A548=A547,"",CONCATENATE("F",A548))</f>
        <v/>
      </c>
      <c r="C548" s="85" t="n"/>
      <c r="D548" s="142" t="n"/>
      <c r="E548" s="142" t="n"/>
      <c r="F548" s="142" t="n"/>
      <c r="G548" s="143" t="n"/>
      <c r="H548" s="56" t="n"/>
      <c r="I548" s="57" t="n"/>
      <c r="J548" s="56" t="n"/>
      <c r="K548" s="56" t="n"/>
      <c r="L548" s="50">
        <f>CONCATENATE(H548,M548)</f>
        <v/>
      </c>
      <c r="M548" s="51">
        <f>IF(OR(ISBLANK(J548),ISBLANK(K548)),IF(OR(H548="ALI",H548="AIE"),"L",IF(ISBLANK(H548),"","A")),IF(H548="EE",IF(K548&gt;=3,IF(J548&gt;=5,"H","A"),IF(K548&gt;=2,IF(J548&gt;=16,"H",IF(J548&lt;=4,"L","A")),IF(J548&lt;=15,"L","A"))),IF(OR(H548="SE",H548="CE"),IF(K548&gt;=4,IF(J548&gt;=6,"H","A"),IF(K548&gt;=2,IF(J548&gt;=20,"H",IF(J548&lt;=5,"L","A")),IF(J548&lt;=19,"L","A"))),IF(OR(H548="ALI",H548="AIE"),IF(K548&gt;=6,IF(J548&gt;=20,"H","A"),IF(K548&gt;=2,IF(J548&gt;=51,"H",IF(J548&lt;=19,"L","A")),IF(J548&lt;=50,"L","A")))))))</f>
        <v/>
      </c>
      <c r="N548" s="52">
        <f>IF(M548="L","Baixa",IF(M548="A","Média",IF(M548="","","Alta")))</f>
        <v/>
      </c>
      <c r="O548" s="53">
        <f>IF(ISBLANK(H548),"",IF(H548="ALI",IF(M548="L",7,IF(M548="A",10,15)),IF(H548="AIE",IF(M548="L",5,IF(M548="A",7,10)),IF(H548="SE",IF(M548="L",4,IF(M548="A",5,7)),IF(OR(H548="EE",H548="CE"),IF(M548="L",3,IF(M548="A",4,6)))))))</f>
        <v/>
      </c>
      <c r="P548" s="54">
        <f>IF(I548="I",O548*Contagem!$W$15,IF(I548="E",O548*Contagem!$W$17,IF(I548="A",O548*Contagem!$W$16,IF(I548="T",O548*Contagem!$W$18,""))))</f>
        <v/>
      </c>
      <c r="Q548" s="55" t="n"/>
    </row>
    <row r="549" ht="12" customHeight="1" s="73">
      <c r="A549" s="14">
        <f>IF(H549="",IF(C549="",A548,A548+1),A548)</f>
        <v/>
      </c>
      <c r="B549" s="48">
        <f>IF(A549=A548,"",CONCATENATE("F",A549))</f>
        <v/>
      </c>
      <c r="C549" s="85" t="n"/>
      <c r="D549" s="142" t="n"/>
      <c r="E549" s="142" t="n"/>
      <c r="F549" s="142" t="n"/>
      <c r="G549" s="143" t="n"/>
      <c r="H549" s="56" t="n"/>
      <c r="I549" s="57" t="n"/>
      <c r="J549" s="56" t="n"/>
      <c r="K549" s="56" t="n"/>
      <c r="L549" s="50">
        <f>CONCATENATE(H549,M549)</f>
        <v/>
      </c>
      <c r="M549" s="51">
        <f>IF(OR(ISBLANK(J549),ISBLANK(K549)),IF(OR(H549="ALI",H549="AIE"),"L",IF(ISBLANK(H549),"","A")),IF(H549="EE",IF(K549&gt;=3,IF(J549&gt;=5,"H","A"),IF(K549&gt;=2,IF(J549&gt;=16,"H",IF(J549&lt;=4,"L","A")),IF(J549&lt;=15,"L","A"))),IF(OR(H549="SE",H549="CE"),IF(K549&gt;=4,IF(J549&gt;=6,"H","A"),IF(K549&gt;=2,IF(J549&gt;=20,"H",IF(J549&lt;=5,"L","A")),IF(J549&lt;=19,"L","A"))),IF(OR(H549="ALI",H549="AIE"),IF(K549&gt;=6,IF(J549&gt;=20,"H","A"),IF(K549&gt;=2,IF(J549&gt;=51,"H",IF(J549&lt;=19,"L","A")),IF(J549&lt;=50,"L","A")))))))</f>
        <v/>
      </c>
      <c r="N549" s="52">
        <f>IF(M549="L","Baixa",IF(M549="A","Média",IF(M549="","","Alta")))</f>
        <v/>
      </c>
      <c r="O549" s="53">
        <f>IF(ISBLANK(H549),"",IF(H549="ALI",IF(M549="L",7,IF(M549="A",10,15)),IF(H549="AIE",IF(M549="L",5,IF(M549="A",7,10)),IF(H549="SE",IF(M549="L",4,IF(M549="A",5,7)),IF(OR(H549="EE",H549="CE"),IF(M549="L",3,IF(M549="A",4,6)))))))</f>
        <v/>
      </c>
      <c r="P549" s="54">
        <f>IF(I549="I",O549*Contagem!$W$15,IF(I549="E",O549*Contagem!$W$17,IF(I549="A",O549*Contagem!$W$16,IF(I549="T",O549*Contagem!$W$18,""))))</f>
        <v/>
      </c>
      <c r="Q549" s="55" t="n"/>
    </row>
    <row r="550" ht="12" customHeight="1" s="73">
      <c r="A550" s="14">
        <f>IF(H550="",IF(C550="",A549,A549+1),A549)</f>
        <v/>
      </c>
      <c r="B550" s="48">
        <f>IF(A550=A549,"",CONCATENATE("F",A550))</f>
        <v/>
      </c>
      <c r="C550" s="85" t="n"/>
      <c r="D550" s="142" t="n"/>
      <c r="E550" s="142" t="n"/>
      <c r="F550" s="142" t="n"/>
      <c r="G550" s="143" t="n"/>
      <c r="H550" s="56" t="n"/>
      <c r="I550" s="57" t="n"/>
      <c r="J550" s="56" t="n"/>
      <c r="K550" s="56" t="n"/>
      <c r="L550" s="50">
        <f>CONCATENATE(H550,M550)</f>
        <v/>
      </c>
      <c r="M550" s="51">
        <f>IF(OR(ISBLANK(J550),ISBLANK(K550)),IF(OR(H550="ALI",H550="AIE"),"L",IF(ISBLANK(H550),"","A")),IF(H550="EE",IF(K550&gt;=3,IF(J550&gt;=5,"H","A"),IF(K550&gt;=2,IF(J550&gt;=16,"H",IF(J550&lt;=4,"L","A")),IF(J550&lt;=15,"L","A"))),IF(OR(H550="SE",H550="CE"),IF(K550&gt;=4,IF(J550&gt;=6,"H","A"),IF(K550&gt;=2,IF(J550&gt;=20,"H",IF(J550&lt;=5,"L","A")),IF(J550&lt;=19,"L","A"))),IF(OR(H550="ALI",H550="AIE"),IF(K550&gt;=6,IF(J550&gt;=20,"H","A"),IF(K550&gt;=2,IF(J550&gt;=51,"H",IF(J550&lt;=19,"L","A")),IF(J550&lt;=50,"L","A")))))))</f>
        <v/>
      </c>
      <c r="N550" s="52">
        <f>IF(M550="L","Baixa",IF(M550="A","Média",IF(M550="","","Alta")))</f>
        <v/>
      </c>
      <c r="O550" s="53">
        <f>IF(ISBLANK(H550),"",IF(H550="ALI",IF(M550="L",7,IF(M550="A",10,15)),IF(H550="AIE",IF(M550="L",5,IF(M550="A",7,10)),IF(H550="SE",IF(M550="L",4,IF(M550="A",5,7)),IF(OR(H550="EE",H550="CE"),IF(M550="L",3,IF(M550="A",4,6)))))))</f>
        <v/>
      </c>
      <c r="P550" s="54">
        <f>IF(I550="I",O550*Contagem!$W$15,IF(I550="E",O550*Contagem!$W$17,IF(I550="A",O550*Contagem!$W$16,IF(I550="T",O550*Contagem!$W$18,""))))</f>
        <v/>
      </c>
      <c r="Q550" s="55" t="n"/>
    </row>
    <row r="551" ht="12" customHeight="1" s="73">
      <c r="A551" s="14">
        <f>IF(H551="",IF(C551="",A550,A550+1),A550)</f>
        <v/>
      </c>
      <c r="B551" s="48">
        <f>IF(A551=A550,"",CONCATENATE("F",A551))</f>
        <v/>
      </c>
      <c r="C551" s="85" t="n"/>
      <c r="D551" s="142" t="n"/>
      <c r="E551" s="142" t="n"/>
      <c r="F551" s="142" t="n"/>
      <c r="G551" s="143" t="n"/>
      <c r="H551" s="56" t="n"/>
      <c r="I551" s="57" t="n"/>
      <c r="J551" s="56" t="n"/>
      <c r="K551" s="56" t="n"/>
      <c r="L551" s="50">
        <f>CONCATENATE(H551,M551)</f>
        <v/>
      </c>
      <c r="M551" s="51">
        <f>IF(OR(ISBLANK(J551),ISBLANK(K551)),IF(OR(H551="ALI",H551="AIE"),"L",IF(ISBLANK(H551),"","A")),IF(H551="EE",IF(K551&gt;=3,IF(J551&gt;=5,"H","A"),IF(K551&gt;=2,IF(J551&gt;=16,"H",IF(J551&lt;=4,"L","A")),IF(J551&lt;=15,"L","A"))),IF(OR(H551="SE",H551="CE"),IF(K551&gt;=4,IF(J551&gt;=6,"H","A"),IF(K551&gt;=2,IF(J551&gt;=20,"H",IF(J551&lt;=5,"L","A")),IF(J551&lt;=19,"L","A"))),IF(OR(H551="ALI",H551="AIE"),IF(K551&gt;=6,IF(J551&gt;=20,"H","A"),IF(K551&gt;=2,IF(J551&gt;=51,"H",IF(J551&lt;=19,"L","A")),IF(J551&lt;=50,"L","A")))))))</f>
        <v/>
      </c>
      <c r="N551" s="52">
        <f>IF(M551="L","Baixa",IF(M551="A","Média",IF(M551="","","Alta")))</f>
        <v/>
      </c>
      <c r="O551" s="53">
        <f>IF(ISBLANK(H551),"",IF(H551="ALI",IF(M551="L",7,IF(M551="A",10,15)),IF(H551="AIE",IF(M551="L",5,IF(M551="A",7,10)),IF(H551="SE",IF(M551="L",4,IF(M551="A",5,7)),IF(OR(H551="EE",H551="CE"),IF(M551="L",3,IF(M551="A",4,6)))))))</f>
        <v/>
      </c>
      <c r="P551" s="54">
        <f>IF(I551="I",O551*Contagem!$W$15,IF(I551="E",O551*Contagem!$W$17,IF(I551="A",O551*Contagem!$W$16,IF(I551="T",O551*Contagem!$W$18,""))))</f>
        <v/>
      </c>
      <c r="Q551" s="55" t="n"/>
    </row>
    <row r="552" ht="12" customHeight="1" s="73">
      <c r="A552" s="14">
        <f>IF(H552="",IF(C552="",A551,A551+1),A551)</f>
        <v/>
      </c>
      <c r="B552" s="48">
        <f>IF(A552=A551,"",CONCATENATE("F",A552))</f>
        <v/>
      </c>
      <c r="C552" s="85" t="n"/>
      <c r="D552" s="142" t="n"/>
      <c r="E552" s="142" t="n"/>
      <c r="F552" s="142" t="n"/>
      <c r="G552" s="143" t="n"/>
      <c r="H552" s="56" t="n"/>
      <c r="I552" s="57" t="n"/>
      <c r="J552" s="56" t="n"/>
      <c r="K552" s="56" t="n"/>
      <c r="L552" s="50">
        <f>CONCATENATE(H552,M552)</f>
        <v/>
      </c>
      <c r="M552" s="51">
        <f>IF(OR(ISBLANK(J552),ISBLANK(K552)),IF(OR(H552="ALI",H552="AIE"),"L",IF(ISBLANK(H552),"","A")),IF(H552="EE",IF(K552&gt;=3,IF(J552&gt;=5,"H","A"),IF(K552&gt;=2,IF(J552&gt;=16,"H",IF(J552&lt;=4,"L","A")),IF(J552&lt;=15,"L","A"))),IF(OR(H552="SE",H552="CE"),IF(K552&gt;=4,IF(J552&gt;=6,"H","A"),IF(K552&gt;=2,IF(J552&gt;=20,"H",IF(J552&lt;=5,"L","A")),IF(J552&lt;=19,"L","A"))),IF(OR(H552="ALI",H552="AIE"),IF(K552&gt;=6,IF(J552&gt;=20,"H","A"),IF(K552&gt;=2,IF(J552&gt;=51,"H",IF(J552&lt;=19,"L","A")),IF(J552&lt;=50,"L","A")))))))</f>
        <v/>
      </c>
      <c r="N552" s="52">
        <f>IF(M552="L","Baixa",IF(M552="A","Média",IF(M552="","","Alta")))</f>
        <v/>
      </c>
      <c r="O552" s="53">
        <f>IF(ISBLANK(H552),"",IF(H552="ALI",IF(M552="L",7,IF(M552="A",10,15)),IF(H552="AIE",IF(M552="L",5,IF(M552="A",7,10)),IF(H552="SE",IF(M552="L",4,IF(M552="A",5,7)),IF(OR(H552="EE",H552="CE"),IF(M552="L",3,IF(M552="A",4,6)))))))</f>
        <v/>
      </c>
      <c r="P552" s="54">
        <f>IF(I552="I",O552*Contagem!$W$15,IF(I552="E",O552*Contagem!$W$17,IF(I552="A",O552*Contagem!$W$16,IF(I552="T",O552*Contagem!$W$18,""))))</f>
        <v/>
      </c>
      <c r="Q552" s="55" t="n"/>
    </row>
    <row r="553" ht="12" customHeight="1" s="73">
      <c r="A553" s="14">
        <f>IF(H553="",IF(C553="",A552,A552+1),A552)</f>
        <v/>
      </c>
      <c r="B553" s="48">
        <f>IF(A553=A552,"",CONCATENATE("F",A553))</f>
        <v/>
      </c>
      <c r="C553" s="85" t="n"/>
      <c r="D553" s="142" t="n"/>
      <c r="E553" s="142" t="n"/>
      <c r="F553" s="142" t="n"/>
      <c r="G553" s="143" t="n"/>
      <c r="H553" s="56" t="n"/>
      <c r="I553" s="57" t="n"/>
      <c r="J553" s="56" t="n"/>
      <c r="K553" s="56" t="n"/>
      <c r="L553" s="50">
        <f>CONCATENATE(H553,M553)</f>
        <v/>
      </c>
      <c r="M553" s="51">
        <f>IF(OR(ISBLANK(J553),ISBLANK(K553)),IF(OR(H553="ALI",H553="AIE"),"L",IF(ISBLANK(H553),"","A")),IF(H553="EE",IF(K553&gt;=3,IF(J553&gt;=5,"H","A"),IF(K553&gt;=2,IF(J553&gt;=16,"H",IF(J553&lt;=4,"L","A")),IF(J553&lt;=15,"L","A"))),IF(OR(H553="SE",H553="CE"),IF(K553&gt;=4,IF(J553&gt;=6,"H","A"),IF(K553&gt;=2,IF(J553&gt;=20,"H",IF(J553&lt;=5,"L","A")),IF(J553&lt;=19,"L","A"))),IF(OR(H553="ALI",H553="AIE"),IF(K553&gt;=6,IF(J553&gt;=20,"H","A"),IF(K553&gt;=2,IF(J553&gt;=51,"H",IF(J553&lt;=19,"L","A")),IF(J553&lt;=50,"L","A")))))))</f>
        <v/>
      </c>
      <c r="N553" s="52">
        <f>IF(M553="L","Baixa",IF(M553="A","Média",IF(M553="","","Alta")))</f>
        <v/>
      </c>
      <c r="O553" s="53">
        <f>IF(ISBLANK(H553),"",IF(H553="ALI",IF(M553="L",7,IF(M553="A",10,15)),IF(H553="AIE",IF(M553="L",5,IF(M553="A",7,10)),IF(H553="SE",IF(M553="L",4,IF(M553="A",5,7)),IF(OR(H553="EE",H553="CE"),IF(M553="L",3,IF(M553="A",4,6)))))))</f>
        <v/>
      </c>
      <c r="P553" s="54">
        <f>IF(I553="I",O553*Contagem!$W$15,IF(I553="E",O553*Contagem!$W$17,IF(I553="A",O553*Contagem!$W$16,IF(I553="T",O553*Contagem!$W$18,""))))</f>
        <v/>
      </c>
      <c r="Q553" s="55" t="n"/>
    </row>
    <row r="554" ht="12" customHeight="1" s="73">
      <c r="A554" s="14">
        <f>IF(H554="",IF(C554="",A553,A553+1),A553)</f>
        <v/>
      </c>
      <c r="B554" s="48">
        <f>IF(A554=A553,"",CONCATENATE("F",A554))</f>
        <v/>
      </c>
      <c r="C554" s="85" t="n"/>
      <c r="D554" s="142" t="n"/>
      <c r="E554" s="142" t="n"/>
      <c r="F554" s="142" t="n"/>
      <c r="G554" s="143" t="n"/>
      <c r="H554" s="56" t="n"/>
      <c r="I554" s="57" t="n"/>
      <c r="J554" s="56" t="n"/>
      <c r="K554" s="56" t="n"/>
      <c r="L554" s="50">
        <f>CONCATENATE(H554,M554)</f>
        <v/>
      </c>
      <c r="M554" s="51">
        <f>IF(OR(ISBLANK(J554),ISBLANK(K554)),IF(OR(H554="ALI",H554="AIE"),"L",IF(ISBLANK(H554),"","A")),IF(H554="EE",IF(K554&gt;=3,IF(J554&gt;=5,"H","A"),IF(K554&gt;=2,IF(J554&gt;=16,"H",IF(J554&lt;=4,"L","A")),IF(J554&lt;=15,"L","A"))),IF(OR(H554="SE",H554="CE"),IF(K554&gt;=4,IF(J554&gt;=6,"H","A"),IF(K554&gt;=2,IF(J554&gt;=20,"H",IF(J554&lt;=5,"L","A")),IF(J554&lt;=19,"L","A"))),IF(OR(H554="ALI",H554="AIE"),IF(K554&gt;=6,IF(J554&gt;=20,"H","A"),IF(K554&gt;=2,IF(J554&gt;=51,"H",IF(J554&lt;=19,"L","A")),IF(J554&lt;=50,"L","A")))))))</f>
        <v/>
      </c>
      <c r="N554" s="52">
        <f>IF(M554="L","Baixa",IF(M554="A","Média",IF(M554="","","Alta")))</f>
        <v/>
      </c>
      <c r="O554" s="53">
        <f>IF(ISBLANK(H554),"",IF(H554="ALI",IF(M554="L",7,IF(M554="A",10,15)),IF(H554="AIE",IF(M554="L",5,IF(M554="A",7,10)),IF(H554="SE",IF(M554="L",4,IF(M554="A",5,7)),IF(OR(H554="EE",H554="CE"),IF(M554="L",3,IF(M554="A",4,6)))))))</f>
        <v/>
      </c>
      <c r="P554" s="54">
        <f>IF(I554="I",O554*Contagem!$W$15,IF(I554="E",O554*Contagem!$W$17,IF(I554="A",O554*Contagem!$W$16,IF(I554="T",O554*Contagem!$W$18,""))))</f>
        <v/>
      </c>
      <c r="Q554" s="55" t="n"/>
    </row>
    <row r="555" ht="12" customHeight="1" s="73">
      <c r="A555" s="14">
        <f>IF(H555="",IF(C555="",A554,A554+1),A554)</f>
        <v/>
      </c>
      <c r="B555" s="48">
        <f>IF(A555=A554,"",CONCATENATE("F",A555))</f>
        <v/>
      </c>
      <c r="C555" s="85" t="n"/>
      <c r="D555" s="142" t="n"/>
      <c r="E555" s="142" t="n"/>
      <c r="F555" s="142" t="n"/>
      <c r="G555" s="143" t="n"/>
      <c r="H555" s="56" t="n"/>
      <c r="I555" s="57" t="n"/>
      <c r="J555" s="56" t="n"/>
      <c r="K555" s="56" t="n"/>
      <c r="L555" s="50">
        <f>CONCATENATE(H555,M555)</f>
        <v/>
      </c>
      <c r="M555" s="51">
        <f>IF(OR(ISBLANK(J555),ISBLANK(K555)),IF(OR(H555="ALI",H555="AIE"),"L",IF(ISBLANK(H555),"","A")),IF(H555="EE",IF(K555&gt;=3,IF(J555&gt;=5,"H","A"),IF(K555&gt;=2,IF(J555&gt;=16,"H",IF(J555&lt;=4,"L","A")),IF(J555&lt;=15,"L","A"))),IF(OR(H555="SE",H555="CE"),IF(K555&gt;=4,IF(J555&gt;=6,"H","A"),IF(K555&gt;=2,IF(J555&gt;=20,"H",IF(J555&lt;=5,"L","A")),IF(J555&lt;=19,"L","A"))),IF(OR(H555="ALI",H555="AIE"),IF(K555&gt;=6,IF(J555&gt;=20,"H","A"),IF(K555&gt;=2,IF(J555&gt;=51,"H",IF(J555&lt;=19,"L","A")),IF(J555&lt;=50,"L","A")))))))</f>
        <v/>
      </c>
      <c r="N555" s="52">
        <f>IF(M555="L","Baixa",IF(M555="A","Média",IF(M555="","","Alta")))</f>
        <v/>
      </c>
      <c r="O555" s="53">
        <f>IF(ISBLANK(H555),"",IF(H555="ALI",IF(M555="L",7,IF(M555="A",10,15)),IF(H555="AIE",IF(M555="L",5,IF(M555="A",7,10)),IF(H555="SE",IF(M555="L",4,IF(M555="A",5,7)),IF(OR(H555="EE",H555="CE"),IF(M555="L",3,IF(M555="A",4,6)))))))</f>
        <v/>
      </c>
      <c r="P555" s="54">
        <f>IF(I555="I",O555*Contagem!$W$15,IF(I555="E",O555*Contagem!$W$17,IF(I555="A",O555*Contagem!$W$16,IF(I555="T",O555*Contagem!$W$18,""))))</f>
        <v/>
      </c>
      <c r="Q555" s="55" t="n"/>
    </row>
    <row r="556" ht="12" customHeight="1" s="73">
      <c r="A556" s="14">
        <f>IF(H556="",IF(C556="",A555,A555+1),A555)</f>
        <v/>
      </c>
      <c r="B556" s="48">
        <f>IF(A556=A555,"",CONCATENATE("F",A556))</f>
        <v/>
      </c>
      <c r="C556" s="85" t="n"/>
      <c r="D556" s="142" t="n"/>
      <c r="E556" s="142" t="n"/>
      <c r="F556" s="142" t="n"/>
      <c r="G556" s="143" t="n"/>
      <c r="H556" s="56" t="n"/>
      <c r="I556" s="57" t="n"/>
      <c r="J556" s="56" t="n"/>
      <c r="K556" s="56" t="n"/>
      <c r="L556" s="50">
        <f>CONCATENATE(H556,M556)</f>
        <v/>
      </c>
      <c r="M556" s="51">
        <f>IF(OR(ISBLANK(J556),ISBLANK(K556)),IF(OR(H556="ALI",H556="AIE"),"L",IF(ISBLANK(H556),"","A")),IF(H556="EE",IF(K556&gt;=3,IF(J556&gt;=5,"H","A"),IF(K556&gt;=2,IF(J556&gt;=16,"H",IF(J556&lt;=4,"L","A")),IF(J556&lt;=15,"L","A"))),IF(OR(H556="SE",H556="CE"),IF(K556&gt;=4,IF(J556&gt;=6,"H","A"),IF(K556&gt;=2,IF(J556&gt;=20,"H",IF(J556&lt;=5,"L","A")),IF(J556&lt;=19,"L","A"))),IF(OR(H556="ALI",H556="AIE"),IF(K556&gt;=6,IF(J556&gt;=20,"H","A"),IF(K556&gt;=2,IF(J556&gt;=51,"H",IF(J556&lt;=19,"L","A")),IF(J556&lt;=50,"L","A")))))))</f>
        <v/>
      </c>
      <c r="N556" s="52">
        <f>IF(M556="L","Baixa",IF(M556="A","Média",IF(M556="","","Alta")))</f>
        <v/>
      </c>
      <c r="O556" s="53">
        <f>IF(ISBLANK(H556),"",IF(H556="ALI",IF(M556="L",7,IF(M556="A",10,15)),IF(H556="AIE",IF(M556="L",5,IF(M556="A",7,10)),IF(H556="SE",IF(M556="L",4,IF(M556="A",5,7)),IF(OR(H556="EE",H556="CE"),IF(M556="L",3,IF(M556="A",4,6)))))))</f>
        <v/>
      </c>
      <c r="P556" s="54">
        <f>IF(I556="I",O556*Contagem!$W$15,IF(I556="E",O556*Contagem!$W$17,IF(I556="A",O556*Contagem!$W$16,IF(I556="T",O556*Contagem!$W$18,""))))</f>
        <v/>
      </c>
      <c r="Q556" s="55" t="n"/>
    </row>
    <row r="557" ht="12" customHeight="1" s="73">
      <c r="A557" s="14">
        <f>IF(H557="",IF(C557="",A556,A556+1),A556)</f>
        <v/>
      </c>
      <c r="B557" s="48">
        <f>IF(A557=A556,"",CONCATENATE("F",A557))</f>
        <v/>
      </c>
      <c r="C557" s="85" t="n"/>
      <c r="D557" s="142" t="n"/>
      <c r="E557" s="142" t="n"/>
      <c r="F557" s="142" t="n"/>
      <c r="G557" s="143" t="n"/>
      <c r="H557" s="56" t="n"/>
      <c r="I557" s="57" t="n"/>
      <c r="J557" s="56" t="n"/>
      <c r="K557" s="56" t="n"/>
      <c r="L557" s="50">
        <f>CONCATENATE(H557,M557)</f>
        <v/>
      </c>
      <c r="M557" s="51">
        <f>IF(OR(ISBLANK(J557),ISBLANK(K557)),IF(OR(H557="ALI",H557="AIE"),"L",IF(ISBLANK(H557),"","A")),IF(H557="EE",IF(K557&gt;=3,IF(J557&gt;=5,"H","A"),IF(K557&gt;=2,IF(J557&gt;=16,"H",IF(J557&lt;=4,"L","A")),IF(J557&lt;=15,"L","A"))),IF(OR(H557="SE",H557="CE"),IF(K557&gt;=4,IF(J557&gt;=6,"H","A"),IF(K557&gt;=2,IF(J557&gt;=20,"H",IF(J557&lt;=5,"L","A")),IF(J557&lt;=19,"L","A"))),IF(OR(H557="ALI",H557="AIE"),IF(K557&gt;=6,IF(J557&gt;=20,"H","A"),IF(K557&gt;=2,IF(J557&gt;=51,"H",IF(J557&lt;=19,"L","A")),IF(J557&lt;=50,"L","A")))))))</f>
        <v/>
      </c>
      <c r="N557" s="52">
        <f>IF(M557="L","Baixa",IF(M557="A","Média",IF(M557="","","Alta")))</f>
        <v/>
      </c>
      <c r="O557" s="53">
        <f>IF(ISBLANK(H557),"",IF(H557="ALI",IF(M557="L",7,IF(M557="A",10,15)),IF(H557="AIE",IF(M557="L",5,IF(M557="A",7,10)),IF(H557="SE",IF(M557="L",4,IF(M557="A",5,7)),IF(OR(H557="EE",H557="CE"),IF(M557="L",3,IF(M557="A",4,6)))))))</f>
        <v/>
      </c>
      <c r="P557" s="54">
        <f>IF(I557="I",O557*Contagem!$W$15,IF(I557="E",O557*Contagem!$W$17,IF(I557="A",O557*Contagem!$W$16,IF(I557="T",O557*Contagem!$W$18,""))))</f>
        <v/>
      </c>
      <c r="Q557" s="55" t="n"/>
    </row>
    <row r="558" ht="12" customHeight="1" s="73">
      <c r="A558" s="14">
        <f>IF(H558="",IF(C558="",A557,A557+1),A557)</f>
        <v/>
      </c>
      <c r="B558" s="48">
        <f>IF(A558=A557,"",CONCATENATE("F",A558))</f>
        <v/>
      </c>
      <c r="C558" s="85" t="n"/>
      <c r="D558" s="142" t="n"/>
      <c r="E558" s="142" t="n"/>
      <c r="F558" s="142" t="n"/>
      <c r="G558" s="143" t="n"/>
      <c r="H558" s="56" t="n"/>
      <c r="I558" s="57" t="n"/>
      <c r="J558" s="56" t="n"/>
      <c r="K558" s="56" t="n"/>
      <c r="L558" s="50">
        <f>CONCATENATE(H558,M558)</f>
        <v/>
      </c>
      <c r="M558" s="51">
        <f>IF(OR(ISBLANK(J558),ISBLANK(K558)),IF(OR(H558="ALI",H558="AIE"),"L",IF(ISBLANK(H558),"","A")),IF(H558="EE",IF(K558&gt;=3,IF(J558&gt;=5,"H","A"),IF(K558&gt;=2,IF(J558&gt;=16,"H",IF(J558&lt;=4,"L","A")),IF(J558&lt;=15,"L","A"))),IF(OR(H558="SE",H558="CE"),IF(K558&gt;=4,IF(J558&gt;=6,"H","A"),IF(K558&gt;=2,IF(J558&gt;=20,"H",IF(J558&lt;=5,"L","A")),IF(J558&lt;=19,"L","A"))),IF(OR(H558="ALI",H558="AIE"),IF(K558&gt;=6,IF(J558&gt;=20,"H","A"),IF(K558&gt;=2,IF(J558&gt;=51,"H",IF(J558&lt;=19,"L","A")),IF(J558&lt;=50,"L","A")))))))</f>
        <v/>
      </c>
      <c r="N558" s="52">
        <f>IF(M558="L","Baixa",IF(M558="A","Média",IF(M558="","","Alta")))</f>
        <v/>
      </c>
      <c r="O558" s="53">
        <f>IF(ISBLANK(H558),"",IF(H558="ALI",IF(M558="L",7,IF(M558="A",10,15)),IF(H558="AIE",IF(M558="L",5,IF(M558="A",7,10)),IF(H558="SE",IF(M558="L",4,IF(M558="A",5,7)),IF(OR(H558="EE",H558="CE"),IF(M558="L",3,IF(M558="A",4,6)))))))</f>
        <v/>
      </c>
      <c r="P558" s="54">
        <f>IF(I558="I",O558*Contagem!$W$15,IF(I558="E",O558*Contagem!$W$17,IF(I558="A",O558*Contagem!$W$16,IF(I558="T",O558*Contagem!$W$18,""))))</f>
        <v/>
      </c>
      <c r="Q558" s="55" t="n"/>
    </row>
    <row r="559" ht="12" customHeight="1" s="73">
      <c r="A559" s="14">
        <f>IF(H559="",IF(C559="",A558,A558+1),A558)</f>
        <v/>
      </c>
      <c r="B559" s="48">
        <f>IF(A559=A558,"",CONCATENATE("F",A559))</f>
        <v/>
      </c>
      <c r="C559" s="85" t="n"/>
      <c r="D559" s="142" t="n"/>
      <c r="E559" s="142" t="n"/>
      <c r="F559" s="142" t="n"/>
      <c r="G559" s="143" t="n"/>
      <c r="H559" s="56" t="n"/>
      <c r="I559" s="57" t="n"/>
      <c r="J559" s="56" t="n"/>
      <c r="K559" s="56" t="n"/>
      <c r="L559" s="50">
        <f>CONCATENATE(H559,M559)</f>
        <v/>
      </c>
      <c r="M559" s="51">
        <f>IF(OR(ISBLANK(J559),ISBLANK(K559)),IF(OR(H559="ALI",H559="AIE"),"L",IF(ISBLANK(H559),"","A")),IF(H559="EE",IF(K559&gt;=3,IF(J559&gt;=5,"H","A"),IF(K559&gt;=2,IF(J559&gt;=16,"H",IF(J559&lt;=4,"L","A")),IF(J559&lt;=15,"L","A"))),IF(OR(H559="SE",H559="CE"),IF(K559&gt;=4,IF(J559&gt;=6,"H","A"),IF(K559&gt;=2,IF(J559&gt;=20,"H",IF(J559&lt;=5,"L","A")),IF(J559&lt;=19,"L","A"))),IF(OR(H559="ALI",H559="AIE"),IF(K559&gt;=6,IF(J559&gt;=20,"H","A"),IF(K559&gt;=2,IF(J559&gt;=51,"H",IF(J559&lt;=19,"L","A")),IF(J559&lt;=50,"L","A")))))))</f>
        <v/>
      </c>
      <c r="N559" s="52">
        <f>IF(M559="L","Baixa",IF(M559="A","Média",IF(M559="","","Alta")))</f>
        <v/>
      </c>
      <c r="O559" s="53">
        <f>IF(ISBLANK(H559),"",IF(H559="ALI",IF(M559="L",7,IF(M559="A",10,15)),IF(H559="AIE",IF(M559="L",5,IF(M559="A",7,10)),IF(H559="SE",IF(M559="L",4,IF(M559="A",5,7)),IF(OR(H559="EE",H559="CE"),IF(M559="L",3,IF(M559="A",4,6)))))))</f>
        <v/>
      </c>
      <c r="P559" s="54">
        <f>IF(I559="I",O559*Contagem!$W$15,IF(I559="E",O559*Contagem!$W$17,IF(I559="A",O559*Contagem!$W$16,IF(I559="T",O559*Contagem!$W$18,""))))</f>
        <v/>
      </c>
      <c r="Q559" s="55" t="n"/>
    </row>
    <row r="560" ht="12" customHeight="1" s="73">
      <c r="A560" s="14">
        <f>IF(H560="",IF(C560="",A559,A559+1),A559)</f>
        <v/>
      </c>
      <c r="B560" s="48">
        <f>IF(A560=A559,"",CONCATENATE("F",A560))</f>
        <v/>
      </c>
      <c r="C560" s="85" t="n"/>
      <c r="D560" s="142" t="n"/>
      <c r="E560" s="142" t="n"/>
      <c r="F560" s="142" t="n"/>
      <c r="G560" s="143" t="n"/>
      <c r="H560" s="56" t="n"/>
      <c r="I560" s="57" t="n"/>
      <c r="J560" s="56" t="n"/>
      <c r="K560" s="56" t="n"/>
      <c r="L560" s="50">
        <f>CONCATENATE(H560,M560)</f>
        <v/>
      </c>
      <c r="M560" s="51">
        <f>IF(OR(ISBLANK(J560),ISBLANK(K560)),IF(OR(H560="ALI",H560="AIE"),"L",IF(ISBLANK(H560),"","A")),IF(H560="EE",IF(K560&gt;=3,IF(J560&gt;=5,"H","A"),IF(K560&gt;=2,IF(J560&gt;=16,"H",IF(J560&lt;=4,"L","A")),IF(J560&lt;=15,"L","A"))),IF(OR(H560="SE",H560="CE"),IF(K560&gt;=4,IF(J560&gt;=6,"H","A"),IF(K560&gt;=2,IF(J560&gt;=20,"H",IF(J560&lt;=5,"L","A")),IF(J560&lt;=19,"L","A"))),IF(OR(H560="ALI",H560="AIE"),IF(K560&gt;=6,IF(J560&gt;=20,"H","A"),IF(K560&gt;=2,IF(J560&gt;=51,"H",IF(J560&lt;=19,"L","A")),IF(J560&lt;=50,"L","A")))))))</f>
        <v/>
      </c>
      <c r="N560" s="52">
        <f>IF(M560="L","Baixa",IF(M560="A","Média",IF(M560="","","Alta")))</f>
        <v/>
      </c>
      <c r="O560" s="53">
        <f>IF(ISBLANK(H560),"",IF(H560="ALI",IF(M560="L",7,IF(M560="A",10,15)),IF(H560="AIE",IF(M560="L",5,IF(M560="A",7,10)),IF(H560="SE",IF(M560="L",4,IF(M560="A",5,7)),IF(OR(H560="EE",H560="CE"),IF(M560="L",3,IF(M560="A",4,6)))))))</f>
        <v/>
      </c>
      <c r="P560" s="54">
        <f>IF(I560="I",O560*Contagem!$W$15,IF(I560="E",O560*Contagem!$W$17,IF(I560="A",O560*Contagem!$W$16,IF(I560="T",O560*Contagem!$W$18,""))))</f>
        <v/>
      </c>
      <c r="Q560" s="55" t="n"/>
    </row>
    <row r="561" ht="12" customHeight="1" s="73">
      <c r="A561" s="14">
        <f>IF(H561="",IF(C561="",A560,A560+1),A560)</f>
        <v/>
      </c>
      <c r="B561" s="48">
        <f>IF(A561=A560,"",CONCATENATE("F",A561))</f>
        <v/>
      </c>
      <c r="C561" s="85" t="n"/>
      <c r="D561" s="142" t="n"/>
      <c r="E561" s="142" t="n"/>
      <c r="F561" s="142" t="n"/>
      <c r="G561" s="143" t="n"/>
      <c r="H561" s="56" t="n"/>
      <c r="I561" s="57" t="n"/>
      <c r="J561" s="56" t="n"/>
      <c r="K561" s="56" t="n"/>
      <c r="L561" s="50">
        <f>CONCATENATE(H561,M561)</f>
        <v/>
      </c>
      <c r="M561" s="51">
        <f>IF(OR(ISBLANK(J561),ISBLANK(K561)),IF(OR(H561="ALI",H561="AIE"),"L",IF(ISBLANK(H561),"","A")),IF(H561="EE",IF(K561&gt;=3,IF(J561&gt;=5,"H","A"),IF(K561&gt;=2,IF(J561&gt;=16,"H",IF(J561&lt;=4,"L","A")),IF(J561&lt;=15,"L","A"))),IF(OR(H561="SE",H561="CE"),IF(K561&gt;=4,IF(J561&gt;=6,"H","A"),IF(K561&gt;=2,IF(J561&gt;=20,"H",IF(J561&lt;=5,"L","A")),IF(J561&lt;=19,"L","A"))),IF(OR(H561="ALI",H561="AIE"),IF(K561&gt;=6,IF(J561&gt;=20,"H","A"),IF(K561&gt;=2,IF(J561&gt;=51,"H",IF(J561&lt;=19,"L","A")),IF(J561&lt;=50,"L","A")))))))</f>
        <v/>
      </c>
      <c r="N561" s="52">
        <f>IF(M561="L","Baixa",IF(M561="A","Média",IF(M561="","","Alta")))</f>
        <v/>
      </c>
      <c r="O561" s="53">
        <f>IF(ISBLANK(H561),"",IF(H561="ALI",IF(M561="L",7,IF(M561="A",10,15)),IF(H561="AIE",IF(M561="L",5,IF(M561="A",7,10)),IF(H561="SE",IF(M561="L",4,IF(M561="A",5,7)),IF(OR(H561="EE",H561="CE"),IF(M561="L",3,IF(M561="A",4,6)))))))</f>
        <v/>
      </c>
      <c r="P561" s="54">
        <f>IF(I561="I",O561*Contagem!$W$15,IF(I561="E",O561*Contagem!$W$17,IF(I561="A",O561*Contagem!$W$16,IF(I561="T",O561*Contagem!$W$18,""))))</f>
        <v/>
      </c>
      <c r="Q561" s="55" t="n"/>
    </row>
    <row r="562" ht="12" customHeight="1" s="73">
      <c r="A562" s="14">
        <f>IF(H562="",IF(C562="",A561,A561+1),A561)</f>
        <v/>
      </c>
      <c r="B562" s="48">
        <f>IF(A562=A561,"",CONCATENATE("F",A562))</f>
        <v/>
      </c>
      <c r="C562" s="85" t="n"/>
      <c r="D562" s="142" t="n"/>
      <c r="E562" s="142" t="n"/>
      <c r="F562" s="142" t="n"/>
      <c r="G562" s="143" t="n"/>
      <c r="H562" s="56" t="n"/>
      <c r="I562" s="57" t="n"/>
      <c r="J562" s="56" t="n"/>
      <c r="K562" s="56" t="n"/>
      <c r="L562" s="50">
        <f>CONCATENATE(H562,M562)</f>
        <v/>
      </c>
      <c r="M562" s="51">
        <f>IF(OR(ISBLANK(J562),ISBLANK(K562)),IF(OR(H562="ALI",H562="AIE"),"L",IF(ISBLANK(H562),"","A")),IF(H562="EE",IF(K562&gt;=3,IF(J562&gt;=5,"H","A"),IF(K562&gt;=2,IF(J562&gt;=16,"H",IF(J562&lt;=4,"L","A")),IF(J562&lt;=15,"L","A"))),IF(OR(H562="SE",H562="CE"),IF(K562&gt;=4,IF(J562&gt;=6,"H","A"),IF(K562&gt;=2,IF(J562&gt;=20,"H",IF(J562&lt;=5,"L","A")),IF(J562&lt;=19,"L","A"))),IF(OR(H562="ALI",H562="AIE"),IF(K562&gt;=6,IF(J562&gt;=20,"H","A"),IF(K562&gt;=2,IF(J562&gt;=51,"H",IF(J562&lt;=19,"L","A")),IF(J562&lt;=50,"L","A")))))))</f>
        <v/>
      </c>
      <c r="N562" s="52">
        <f>IF(M562="L","Baixa",IF(M562="A","Média",IF(M562="","","Alta")))</f>
        <v/>
      </c>
      <c r="O562" s="53">
        <f>IF(ISBLANK(H562),"",IF(H562="ALI",IF(M562="L",7,IF(M562="A",10,15)),IF(H562="AIE",IF(M562="L",5,IF(M562="A",7,10)),IF(H562="SE",IF(M562="L",4,IF(M562="A",5,7)),IF(OR(H562="EE",H562="CE"),IF(M562="L",3,IF(M562="A",4,6)))))))</f>
        <v/>
      </c>
      <c r="P562" s="54">
        <f>IF(I562="I",O562*Contagem!$W$15,IF(I562="E",O562*Contagem!$W$17,IF(I562="A",O562*Contagem!$W$16,IF(I562="T",O562*Contagem!$W$18,""))))</f>
        <v/>
      </c>
      <c r="Q562" s="55" t="n"/>
    </row>
    <row r="563" ht="12" customHeight="1" s="73">
      <c r="A563" s="14">
        <f>IF(H563="",IF(C563="",A562,A562+1),A562)</f>
        <v/>
      </c>
      <c r="B563" s="48">
        <f>IF(A563=A562,"",CONCATENATE("F",A563))</f>
        <v/>
      </c>
      <c r="C563" s="85" t="n"/>
      <c r="D563" s="142" t="n"/>
      <c r="E563" s="142" t="n"/>
      <c r="F563" s="142" t="n"/>
      <c r="G563" s="143" t="n"/>
      <c r="H563" s="56" t="n"/>
      <c r="I563" s="57" t="n"/>
      <c r="J563" s="56" t="n"/>
      <c r="K563" s="56" t="n"/>
      <c r="L563" s="50">
        <f>CONCATENATE(H563,M563)</f>
        <v/>
      </c>
      <c r="M563" s="51">
        <f>IF(OR(ISBLANK(J563),ISBLANK(K563)),IF(OR(H563="ALI",H563="AIE"),"L",IF(ISBLANK(H563),"","A")),IF(H563="EE",IF(K563&gt;=3,IF(J563&gt;=5,"H","A"),IF(K563&gt;=2,IF(J563&gt;=16,"H",IF(J563&lt;=4,"L","A")),IF(J563&lt;=15,"L","A"))),IF(OR(H563="SE",H563="CE"),IF(K563&gt;=4,IF(J563&gt;=6,"H","A"),IF(K563&gt;=2,IF(J563&gt;=20,"H",IF(J563&lt;=5,"L","A")),IF(J563&lt;=19,"L","A"))),IF(OR(H563="ALI",H563="AIE"),IF(K563&gt;=6,IF(J563&gt;=20,"H","A"),IF(K563&gt;=2,IF(J563&gt;=51,"H",IF(J563&lt;=19,"L","A")),IF(J563&lt;=50,"L","A")))))))</f>
        <v/>
      </c>
      <c r="N563" s="52">
        <f>IF(M563="L","Baixa",IF(M563="A","Média",IF(M563="","","Alta")))</f>
        <v/>
      </c>
      <c r="O563" s="53">
        <f>IF(ISBLANK(H563),"",IF(H563="ALI",IF(M563="L",7,IF(M563="A",10,15)),IF(H563="AIE",IF(M563="L",5,IF(M563="A",7,10)),IF(H563="SE",IF(M563="L",4,IF(M563="A",5,7)),IF(OR(H563="EE",H563="CE"),IF(M563="L",3,IF(M563="A",4,6)))))))</f>
        <v/>
      </c>
      <c r="P563" s="54">
        <f>IF(I563="I",O563*Contagem!$W$15,IF(I563="E",O563*Contagem!$W$17,IF(I563="A",O563*Contagem!$W$16,IF(I563="T",O563*Contagem!$W$18,""))))</f>
        <v/>
      </c>
      <c r="Q563" s="55" t="n"/>
    </row>
    <row r="564" ht="12" customHeight="1" s="73">
      <c r="A564" s="14">
        <f>IF(H564="",IF(C564="",A563,A563+1),A563)</f>
        <v/>
      </c>
      <c r="B564" s="48">
        <f>IF(A564=A563,"",CONCATENATE("F",A564))</f>
        <v/>
      </c>
      <c r="C564" s="85" t="n"/>
      <c r="D564" s="142" t="n"/>
      <c r="E564" s="142" t="n"/>
      <c r="F564" s="142" t="n"/>
      <c r="G564" s="143" t="n"/>
      <c r="H564" s="56" t="n"/>
      <c r="I564" s="57" t="n"/>
      <c r="J564" s="56" t="n"/>
      <c r="K564" s="56" t="n"/>
      <c r="L564" s="50">
        <f>CONCATENATE(H564,M564)</f>
        <v/>
      </c>
      <c r="M564" s="51">
        <f>IF(OR(ISBLANK(J564),ISBLANK(K564)),IF(OR(H564="ALI",H564="AIE"),"L",IF(ISBLANK(H564),"","A")),IF(H564="EE",IF(K564&gt;=3,IF(J564&gt;=5,"H","A"),IF(K564&gt;=2,IF(J564&gt;=16,"H",IF(J564&lt;=4,"L","A")),IF(J564&lt;=15,"L","A"))),IF(OR(H564="SE",H564="CE"),IF(K564&gt;=4,IF(J564&gt;=6,"H","A"),IF(K564&gt;=2,IF(J564&gt;=20,"H",IF(J564&lt;=5,"L","A")),IF(J564&lt;=19,"L","A"))),IF(OR(H564="ALI",H564="AIE"),IF(K564&gt;=6,IF(J564&gt;=20,"H","A"),IF(K564&gt;=2,IF(J564&gt;=51,"H",IF(J564&lt;=19,"L","A")),IF(J564&lt;=50,"L","A")))))))</f>
        <v/>
      </c>
      <c r="N564" s="52">
        <f>IF(M564="L","Baixa",IF(M564="A","Média",IF(M564="","","Alta")))</f>
        <v/>
      </c>
      <c r="O564" s="53">
        <f>IF(ISBLANK(H564),"",IF(H564="ALI",IF(M564="L",7,IF(M564="A",10,15)),IF(H564="AIE",IF(M564="L",5,IF(M564="A",7,10)),IF(H564="SE",IF(M564="L",4,IF(M564="A",5,7)),IF(OR(H564="EE",H564="CE"),IF(M564="L",3,IF(M564="A",4,6)))))))</f>
        <v/>
      </c>
      <c r="P564" s="54">
        <f>IF(I564="I",O564*Contagem!$W$15,IF(I564="E",O564*Contagem!$W$17,IF(I564="A",O564*Contagem!$W$16,IF(I564="T",O564*Contagem!$W$18,""))))</f>
        <v/>
      </c>
      <c r="Q564" s="55" t="n"/>
    </row>
    <row r="565" ht="12" customHeight="1" s="73">
      <c r="A565" s="14">
        <f>IF(H565="",IF(C565="",A564,A564+1),A564)</f>
        <v/>
      </c>
      <c r="B565" s="48">
        <f>IF(A565=A564,"",CONCATENATE("F",A565))</f>
        <v/>
      </c>
      <c r="C565" s="85" t="n"/>
      <c r="D565" s="142" t="n"/>
      <c r="E565" s="142" t="n"/>
      <c r="F565" s="142" t="n"/>
      <c r="G565" s="143" t="n"/>
      <c r="H565" s="56" t="n"/>
      <c r="I565" s="57" t="n"/>
      <c r="J565" s="56" t="n"/>
      <c r="K565" s="56" t="n"/>
      <c r="L565" s="50">
        <f>CONCATENATE(H565,M565)</f>
        <v/>
      </c>
      <c r="M565" s="51">
        <f>IF(OR(ISBLANK(J565),ISBLANK(K565)),IF(OR(H565="ALI",H565="AIE"),"L",IF(ISBLANK(H565),"","A")),IF(H565="EE",IF(K565&gt;=3,IF(J565&gt;=5,"H","A"),IF(K565&gt;=2,IF(J565&gt;=16,"H",IF(J565&lt;=4,"L","A")),IF(J565&lt;=15,"L","A"))),IF(OR(H565="SE",H565="CE"),IF(K565&gt;=4,IF(J565&gt;=6,"H","A"),IF(K565&gt;=2,IF(J565&gt;=20,"H",IF(J565&lt;=5,"L","A")),IF(J565&lt;=19,"L","A"))),IF(OR(H565="ALI",H565="AIE"),IF(K565&gt;=6,IF(J565&gt;=20,"H","A"),IF(K565&gt;=2,IF(J565&gt;=51,"H",IF(J565&lt;=19,"L","A")),IF(J565&lt;=50,"L","A")))))))</f>
        <v/>
      </c>
      <c r="N565" s="52">
        <f>IF(M565="L","Baixa",IF(M565="A","Média",IF(M565="","","Alta")))</f>
        <v/>
      </c>
      <c r="O565" s="53">
        <f>IF(ISBLANK(H565),"",IF(H565="ALI",IF(M565="L",7,IF(M565="A",10,15)),IF(H565="AIE",IF(M565="L",5,IF(M565="A",7,10)),IF(H565="SE",IF(M565="L",4,IF(M565="A",5,7)),IF(OR(H565="EE",H565="CE"),IF(M565="L",3,IF(M565="A",4,6)))))))</f>
        <v/>
      </c>
      <c r="P565" s="54">
        <f>IF(I565="I",O565*Contagem!$W$15,IF(I565="E",O565*Contagem!$W$17,IF(I565="A",O565*Contagem!$W$16,IF(I565="T",O565*Contagem!$W$18,""))))</f>
        <v/>
      </c>
      <c r="Q565" s="55" t="n"/>
    </row>
    <row r="566" ht="12" customHeight="1" s="73">
      <c r="A566" s="14">
        <f>IF(H566="",IF(C566="",A565,A565+1),A565)</f>
        <v/>
      </c>
      <c r="B566" s="48">
        <f>IF(A566=A565,"",CONCATENATE("F",A566))</f>
        <v/>
      </c>
      <c r="C566" s="85" t="n"/>
      <c r="D566" s="142" t="n"/>
      <c r="E566" s="142" t="n"/>
      <c r="F566" s="142" t="n"/>
      <c r="G566" s="143" t="n"/>
      <c r="H566" s="56" t="n"/>
      <c r="I566" s="57" t="n"/>
      <c r="J566" s="56" t="n"/>
      <c r="K566" s="56" t="n"/>
      <c r="L566" s="50">
        <f>CONCATENATE(H566,M566)</f>
        <v/>
      </c>
      <c r="M566" s="51">
        <f>IF(OR(ISBLANK(J566),ISBLANK(K566)),IF(OR(H566="ALI",H566="AIE"),"L",IF(ISBLANK(H566),"","A")),IF(H566="EE",IF(K566&gt;=3,IF(J566&gt;=5,"H","A"),IF(K566&gt;=2,IF(J566&gt;=16,"H",IF(J566&lt;=4,"L","A")),IF(J566&lt;=15,"L","A"))),IF(OR(H566="SE",H566="CE"),IF(K566&gt;=4,IF(J566&gt;=6,"H","A"),IF(K566&gt;=2,IF(J566&gt;=20,"H",IF(J566&lt;=5,"L","A")),IF(J566&lt;=19,"L","A"))),IF(OR(H566="ALI",H566="AIE"),IF(K566&gt;=6,IF(J566&gt;=20,"H","A"),IF(K566&gt;=2,IF(J566&gt;=51,"H",IF(J566&lt;=19,"L","A")),IF(J566&lt;=50,"L","A")))))))</f>
        <v/>
      </c>
      <c r="N566" s="52">
        <f>IF(M566="L","Baixa",IF(M566="A","Média",IF(M566="","","Alta")))</f>
        <v/>
      </c>
      <c r="O566" s="53">
        <f>IF(ISBLANK(H566),"",IF(H566="ALI",IF(M566="L",7,IF(M566="A",10,15)),IF(H566="AIE",IF(M566="L",5,IF(M566="A",7,10)),IF(H566="SE",IF(M566="L",4,IF(M566="A",5,7)),IF(OR(H566="EE",H566="CE"),IF(M566="L",3,IF(M566="A",4,6)))))))</f>
        <v/>
      </c>
      <c r="P566" s="54">
        <f>IF(I566="I",O566*Contagem!$W$15,IF(I566="E",O566*Contagem!$W$17,IF(I566="A",O566*Contagem!$W$16,IF(I566="T",O566*Contagem!$W$18,""))))</f>
        <v/>
      </c>
      <c r="Q566" s="55" t="n"/>
    </row>
    <row r="567" ht="12" customHeight="1" s="73">
      <c r="A567" s="14">
        <f>IF(H567="",IF(C567="",A566,A566+1),A566)</f>
        <v/>
      </c>
      <c r="B567" s="48">
        <f>IF(A567=A566,"",CONCATENATE("F",A567))</f>
        <v/>
      </c>
      <c r="C567" s="85" t="n"/>
      <c r="D567" s="142" t="n"/>
      <c r="E567" s="142" t="n"/>
      <c r="F567" s="142" t="n"/>
      <c r="G567" s="143" t="n"/>
      <c r="H567" s="56" t="n"/>
      <c r="I567" s="57" t="n"/>
      <c r="J567" s="56" t="n"/>
      <c r="K567" s="56" t="n"/>
      <c r="L567" s="50">
        <f>CONCATENATE(H567,M567)</f>
        <v/>
      </c>
      <c r="M567" s="51">
        <f>IF(OR(ISBLANK(J567),ISBLANK(K567)),IF(OR(H567="ALI",H567="AIE"),"L",IF(ISBLANK(H567),"","A")),IF(H567="EE",IF(K567&gt;=3,IF(J567&gt;=5,"H","A"),IF(K567&gt;=2,IF(J567&gt;=16,"H",IF(J567&lt;=4,"L","A")),IF(J567&lt;=15,"L","A"))),IF(OR(H567="SE",H567="CE"),IF(K567&gt;=4,IF(J567&gt;=6,"H","A"),IF(K567&gt;=2,IF(J567&gt;=20,"H",IF(J567&lt;=5,"L","A")),IF(J567&lt;=19,"L","A"))),IF(OR(H567="ALI",H567="AIE"),IF(K567&gt;=6,IF(J567&gt;=20,"H","A"),IF(K567&gt;=2,IF(J567&gt;=51,"H",IF(J567&lt;=19,"L","A")),IF(J567&lt;=50,"L","A")))))))</f>
        <v/>
      </c>
      <c r="N567" s="52">
        <f>IF(M567="L","Baixa",IF(M567="A","Média",IF(M567="","","Alta")))</f>
        <v/>
      </c>
      <c r="O567" s="53">
        <f>IF(ISBLANK(H567),"",IF(H567="ALI",IF(M567="L",7,IF(M567="A",10,15)),IF(H567="AIE",IF(M567="L",5,IF(M567="A",7,10)),IF(H567="SE",IF(M567="L",4,IF(M567="A",5,7)),IF(OR(H567="EE",H567="CE"),IF(M567="L",3,IF(M567="A",4,6)))))))</f>
        <v/>
      </c>
      <c r="P567" s="54">
        <f>IF(I567="I",O567*Contagem!$W$15,IF(I567="E",O567*Contagem!$W$17,IF(I567="A",O567*Contagem!$W$16,IF(I567="T",O567*Contagem!$W$18,""))))</f>
        <v/>
      </c>
      <c r="Q567" s="55" t="n"/>
    </row>
    <row r="568" ht="12" customHeight="1" s="73">
      <c r="A568" s="14">
        <f>IF(H568="",IF(C568="",A567,A567+1),A567)</f>
        <v/>
      </c>
      <c r="B568" s="48">
        <f>IF(A568=A567,"",CONCATENATE("F",A568))</f>
        <v/>
      </c>
      <c r="C568" s="85" t="n"/>
      <c r="D568" s="142" t="n"/>
      <c r="E568" s="142" t="n"/>
      <c r="F568" s="142" t="n"/>
      <c r="G568" s="143" t="n"/>
      <c r="H568" s="56" t="n"/>
      <c r="I568" s="57" t="n"/>
      <c r="J568" s="56" t="n"/>
      <c r="K568" s="56" t="n"/>
      <c r="L568" s="50">
        <f>CONCATENATE(H568,M568)</f>
        <v/>
      </c>
      <c r="M568" s="51">
        <f>IF(OR(ISBLANK(J568),ISBLANK(K568)),IF(OR(H568="ALI",H568="AIE"),"L",IF(ISBLANK(H568),"","A")),IF(H568="EE",IF(K568&gt;=3,IF(J568&gt;=5,"H","A"),IF(K568&gt;=2,IF(J568&gt;=16,"H",IF(J568&lt;=4,"L","A")),IF(J568&lt;=15,"L","A"))),IF(OR(H568="SE",H568="CE"),IF(K568&gt;=4,IF(J568&gt;=6,"H","A"),IF(K568&gt;=2,IF(J568&gt;=20,"H",IF(J568&lt;=5,"L","A")),IF(J568&lt;=19,"L","A"))),IF(OR(H568="ALI",H568="AIE"),IF(K568&gt;=6,IF(J568&gt;=20,"H","A"),IF(K568&gt;=2,IF(J568&gt;=51,"H",IF(J568&lt;=19,"L","A")),IF(J568&lt;=50,"L","A")))))))</f>
        <v/>
      </c>
      <c r="N568" s="52">
        <f>IF(M568="L","Baixa",IF(M568="A","Média",IF(M568="","","Alta")))</f>
        <v/>
      </c>
      <c r="O568" s="53">
        <f>IF(ISBLANK(H568),"",IF(H568="ALI",IF(M568="L",7,IF(M568="A",10,15)),IF(H568="AIE",IF(M568="L",5,IF(M568="A",7,10)),IF(H568="SE",IF(M568="L",4,IF(M568="A",5,7)),IF(OR(H568="EE",H568="CE"),IF(M568="L",3,IF(M568="A",4,6)))))))</f>
        <v/>
      </c>
      <c r="P568" s="54">
        <f>IF(I568="I",O568*Contagem!$W$15,IF(I568="E",O568*Contagem!$W$17,IF(I568="A",O568*Contagem!$W$16,IF(I568="T",O568*Contagem!$W$18,""))))</f>
        <v/>
      </c>
      <c r="Q568" s="55" t="n"/>
    </row>
    <row r="569" ht="12" customHeight="1" s="73">
      <c r="A569" s="14">
        <f>IF(H569="",IF(C569="",A568,A568+1),A568)</f>
        <v/>
      </c>
      <c r="B569" s="48">
        <f>IF(A569=A568,"",CONCATENATE("F",A569))</f>
        <v/>
      </c>
      <c r="C569" s="85" t="n"/>
      <c r="D569" s="142" t="n"/>
      <c r="E569" s="142" t="n"/>
      <c r="F569" s="142" t="n"/>
      <c r="G569" s="143" t="n"/>
      <c r="H569" s="56" t="n"/>
      <c r="I569" s="57" t="n"/>
      <c r="J569" s="56" t="n"/>
      <c r="K569" s="56" t="n"/>
      <c r="L569" s="50">
        <f>CONCATENATE(H569,M569)</f>
        <v/>
      </c>
      <c r="M569" s="51">
        <f>IF(OR(ISBLANK(J569),ISBLANK(K569)),IF(OR(H569="ALI",H569="AIE"),"L",IF(ISBLANK(H569),"","A")),IF(H569="EE",IF(K569&gt;=3,IF(J569&gt;=5,"H","A"),IF(K569&gt;=2,IF(J569&gt;=16,"H",IF(J569&lt;=4,"L","A")),IF(J569&lt;=15,"L","A"))),IF(OR(H569="SE",H569="CE"),IF(K569&gt;=4,IF(J569&gt;=6,"H","A"),IF(K569&gt;=2,IF(J569&gt;=20,"H",IF(J569&lt;=5,"L","A")),IF(J569&lt;=19,"L","A"))),IF(OR(H569="ALI",H569="AIE"),IF(K569&gt;=6,IF(J569&gt;=20,"H","A"),IF(K569&gt;=2,IF(J569&gt;=51,"H",IF(J569&lt;=19,"L","A")),IF(J569&lt;=50,"L","A")))))))</f>
        <v/>
      </c>
      <c r="N569" s="52">
        <f>IF(M569="L","Baixa",IF(M569="A","Média",IF(M569="","","Alta")))</f>
        <v/>
      </c>
      <c r="O569" s="53">
        <f>IF(ISBLANK(H569),"",IF(H569="ALI",IF(M569="L",7,IF(M569="A",10,15)),IF(H569="AIE",IF(M569="L",5,IF(M569="A",7,10)),IF(H569="SE",IF(M569="L",4,IF(M569="A",5,7)),IF(OR(H569="EE",H569="CE"),IF(M569="L",3,IF(M569="A",4,6)))))))</f>
        <v/>
      </c>
      <c r="P569" s="54">
        <f>IF(I569="I",O569*Contagem!$W$15,IF(I569="E",O569*Contagem!$W$17,IF(I569="A",O569*Contagem!$W$16,IF(I569="T",O569*Contagem!$W$18,""))))</f>
        <v/>
      </c>
      <c r="Q569" s="55" t="n"/>
    </row>
    <row r="570" ht="12" customHeight="1" s="73">
      <c r="A570" s="14">
        <f>IF(H570="",IF(C570="",A569,A569+1),A569)</f>
        <v/>
      </c>
      <c r="B570" s="48">
        <f>IF(A570=A569,"",CONCATENATE("F",A570))</f>
        <v/>
      </c>
      <c r="C570" s="85" t="n"/>
      <c r="D570" s="142" t="n"/>
      <c r="E570" s="142" t="n"/>
      <c r="F570" s="142" t="n"/>
      <c r="G570" s="143" t="n"/>
      <c r="H570" s="56" t="n"/>
      <c r="I570" s="57" t="n"/>
      <c r="J570" s="56" t="n"/>
      <c r="K570" s="56" t="n"/>
      <c r="L570" s="50">
        <f>CONCATENATE(H570,M570)</f>
        <v/>
      </c>
      <c r="M570" s="51">
        <f>IF(OR(ISBLANK(J570),ISBLANK(K570)),IF(OR(H570="ALI",H570="AIE"),"L",IF(ISBLANK(H570),"","A")),IF(H570="EE",IF(K570&gt;=3,IF(J570&gt;=5,"H","A"),IF(K570&gt;=2,IF(J570&gt;=16,"H",IF(J570&lt;=4,"L","A")),IF(J570&lt;=15,"L","A"))),IF(OR(H570="SE",H570="CE"),IF(K570&gt;=4,IF(J570&gt;=6,"H","A"),IF(K570&gt;=2,IF(J570&gt;=20,"H",IF(J570&lt;=5,"L","A")),IF(J570&lt;=19,"L","A"))),IF(OR(H570="ALI",H570="AIE"),IF(K570&gt;=6,IF(J570&gt;=20,"H","A"),IF(K570&gt;=2,IF(J570&gt;=51,"H",IF(J570&lt;=19,"L","A")),IF(J570&lt;=50,"L","A")))))))</f>
        <v/>
      </c>
      <c r="N570" s="52">
        <f>IF(M570="L","Baixa",IF(M570="A","Média",IF(M570="","","Alta")))</f>
        <v/>
      </c>
      <c r="O570" s="53">
        <f>IF(ISBLANK(H570),"",IF(H570="ALI",IF(M570="L",7,IF(M570="A",10,15)),IF(H570="AIE",IF(M570="L",5,IF(M570="A",7,10)),IF(H570="SE",IF(M570="L",4,IF(M570="A",5,7)),IF(OR(H570="EE",H570="CE"),IF(M570="L",3,IF(M570="A",4,6)))))))</f>
        <v/>
      </c>
      <c r="P570" s="54">
        <f>IF(I570="I",O570*Contagem!$W$15,IF(I570="E",O570*Contagem!$W$17,IF(I570="A",O570*Contagem!$W$16,IF(I570="T",O570*Contagem!$W$18,""))))</f>
        <v/>
      </c>
      <c r="Q570" s="55" t="n"/>
    </row>
    <row r="571" ht="12" customHeight="1" s="73">
      <c r="A571" s="14">
        <f>IF(H571="",IF(C571="",A570,A570+1),A570)</f>
        <v/>
      </c>
      <c r="B571" s="48">
        <f>IF(A571=A570,"",CONCATENATE("F",A571))</f>
        <v/>
      </c>
      <c r="C571" s="85" t="n"/>
      <c r="D571" s="142" t="n"/>
      <c r="E571" s="142" t="n"/>
      <c r="F571" s="142" t="n"/>
      <c r="G571" s="143" t="n"/>
      <c r="H571" s="56" t="n"/>
      <c r="I571" s="57" t="n"/>
      <c r="J571" s="56" t="n"/>
      <c r="K571" s="56" t="n"/>
      <c r="L571" s="50">
        <f>CONCATENATE(H571,M571)</f>
        <v/>
      </c>
      <c r="M571" s="51">
        <f>IF(OR(ISBLANK(J571),ISBLANK(K571)),IF(OR(H571="ALI",H571="AIE"),"L",IF(ISBLANK(H571),"","A")),IF(H571="EE",IF(K571&gt;=3,IF(J571&gt;=5,"H","A"),IF(K571&gt;=2,IF(J571&gt;=16,"H",IF(J571&lt;=4,"L","A")),IF(J571&lt;=15,"L","A"))),IF(OR(H571="SE",H571="CE"),IF(K571&gt;=4,IF(J571&gt;=6,"H","A"),IF(K571&gt;=2,IF(J571&gt;=20,"H",IF(J571&lt;=5,"L","A")),IF(J571&lt;=19,"L","A"))),IF(OR(H571="ALI",H571="AIE"),IF(K571&gt;=6,IF(J571&gt;=20,"H","A"),IF(K571&gt;=2,IF(J571&gt;=51,"H",IF(J571&lt;=19,"L","A")),IF(J571&lt;=50,"L","A")))))))</f>
        <v/>
      </c>
      <c r="N571" s="52">
        <f>IF(M571="L","Baixa",IF(M571="A","Média",IF(M571="","","Alta")))</f>
        <v/>
      </c>
      <c r="O571" s="53">
        <f>IF(ISBLANK(H571),"",IF(H571="ALI",IF(M571="L",7,IF(M571="A",10,15)),IF(H571="AIE",IF(M571="L",5,IF(M571="A",7,10)),IF(H571="SE",IF(M571="L",4,IF(M571="A",5,7)),IF(OR(H571="EE",H571="CE"),IF(M571="L",3,IF(M571="A",4,6)))))))</f>
        <v/>
      </c>
      <c r="P571" s="54">
        <f>IF(I571="I",O571*Contagem!$W$15,IF(I571="E",O571*Contagem!$W$17,IF(I571="A",O571*Contagem!$W$16,IF(I571="T",O571*Contagem!$W$18,""))))</f>
        <v/>
      </c>
      <c r="Q571" s="55" t="n"/>
    </row>
    <row r="572" ht="12" customHeight="1" s="73">
      <c r="A572" s="14">
        <f>IF(H572="",IF(C572="",A571,A571+1),A571)</f>
        <v/>
      </c>
      <c r="B572" s="48">
        <f>IF(A572=A571,"",CONCATENATE("F",A572))</f>
        <v/>
      </c>
      <c r="C572" s="85" t="n"/>
      <c r="D572" s="142" t="n"/>
      <c r="E572" s="142" t="n"/>
      <c r="F572" s="142" t="n"/>
      <c r="G572" s="143" t="n"/>
      <c r="H572" s="56" t="n"/>
      <c r="I572" s="57" t="n"/>
      <c r="J572" s="56" t="n"/>
      <c r="K572" s="56" t="n"/>
      <c r="L572" s="50">
        <f>CONCATENATE(H572,M572)</f>
        <v/>
      </c>
      <c r="M572" s="51">
        <f>IF(OR(ISBLANK(J572),ISBLANK(K572)),IF(OR(H572="ALI",H572="AIE"),"L",IF(ISBLANK(H572),"","A")),IF(H572="EE",IF(K572&gt;=3,IF(J572&gt;=5,"H","A"),IF(K572&gt;=2,IF(J572&gt;=16,"H",IF(J572&lt;=4,"L","A")),IF(J572&lt;=15,"L","A"))),IF(OR(H572="SE",H572="CE"),IF(K572&gt;=4,IF(J572&gt;=6,"H","A"),IF(K572&gt;=2,IF(J572&gt;=20,"H",IF(J572&lt;=5,"L","A")),IF(J572&lt;=19,"L","A"))),IF(OR(H572="ALI",H572="AIE"),IF(K572&gt;=6,IF(J572&gt;=20,"H","A"),IF(K572&gt;=2,IF(J572&gt;=51,"H",IF(J572&lt;=19,"L","A")),IF(J572&lt;=50,"L","A")))))))</f>
        <v/>
      </c>
      <c r="N572" s="52">
        <f>IF(M572="L","Baixa",IF(M572="A","Média",IF(M572="","","Alta")))</f>
        <v/>
      </c>
      <c r="O572" s="53">
        <f>IF(ISBLANK(H572),"",IF(H572="ALI",IF(M572="L",7,IF(M572="A",10,15)),IF(H572="AIE",IF(M572="L",5,IF(M572="A",7,10)),IF(H572="SE",IF(M572="L",4,IF(M572="A",5,7)),IF(OR(H572="EE",H572="CE"),IF(M572="L",3,IF(M572="A",4,6)))))))</f>
        <v/>
      </c>
      <c r="P572" s="54">
        <f>IF(I572="I",O572*Contagem!$W$15,IF(I572="E",O572*Contagem!$W$17,IF(I572="A",O572*Contagem!$W$16,IF(I572="T",O572*Contagem!$W$18,""))))</f>
        <v/>
      </c>
      <c r="Q572" s="55" t="n"/>
    </row>
    <row r="573" ht="12" customHeight="1" s="73">
      <c r="A573" s="14">
        <f>IF(H573="",IF(C573="",A572,A572+1),A572)</f>
        <v/>
      </c>
      <c r="B573" s="48">
        <f>IF(A573=A572,"",CONCATENATE("F",A573))</f>
        <v/>
      </c>
      <c r="C573" s="85" t="n"/>
      <c r="D573" s="142" t="n"/>
      <c r="E573" s="142" t="n"/>
      <c r="F573" s="142" t="n"/>
      <c r="G573" s="143" t="n"/>
      <c r="H573" s="56" t="n"/>
      <c r="I573" s="57" t="n"/>
      <c r="J573" s="56" t="n"/>
      <c r="K573" s="56" t="n"/>
      <c r="L573" s="50">
        <f>CONCATENATE(H573,M573)</f>
        <v/>
      </c>
      <c r="M573" s="51">
        <f>IF(OR(ISBLANK(J573),ISBLANK(K573)),IF(OR(H573="ALI",H573="AIE"),"L",IF(ISBLANK(H573),"","A")),IF(H573="EE",IF(K573&gt;=3,IF(J573&gt;=5,"H","A"),IF(K573&gt;=2,IF(J573&gt;=16,"H",IF(J573&lt;=4,"L","A")),IF(J573&lt;=15,"L","A"))),IF(OR(H573="SE",H573="CE"),IF(K573&gt;=4,IF(J573&gt;=6,"H","A"),IF(K573&gt;=2,IF(J573&gt;=20,"H",IF(J573&lt;=5,"L","A")),IF(J573&lt;=19,"L","A"))),IF(OR(H573="ALI",H573="AIE"),IF(K573&gt;=6,IF(J573&gt;=20,"H","A"),IF(K573&gt;=2,IF(J573&gt;=51,"H",IF(J573&lt;=19,"L","A")),IF(J573&lt;=50,"L","A")))))))</f>
        <v/>
      </c>
      <c r="N573" s="52">
        <f>IF(M573="L","Baixa",IF(M573="A","Média",IF(M573="","","Alta")))</f>
        <v/>
      </c>
      <c r="O573" s="53">
        <f>IF(ISBLANK(H573),"",IF(H573="ALI",IF(M573="L",7,IF(M573="A",10,15)),IF(H573="AIE",IF(M573="L",5,IF(M573="A",7,10)),IF(H573="SE",IF(M573="L",4,IF(M573="A",5,7)),IF(OR(H573="EE",H573="CE"),IF(M573="L",3,IF(M573="A",4,6)))))))</f>
        <v/>
      </c>
      <c r="P573" s="54">
        <f>IF(I573="I",O573*Contagem!$W$15,IF(I573="E",O573*Contagem!$W$17,IF(I573="A",O573*Contagem!$W$16,IF(I573="T",O573*Contagem!$W$18,""))))</f>
        <v/>
      </c>
      <c r="Q573" s="55" t="n"/>
    </row>
    <row r="574" ht="12" customHeight="1" s="73">
      <c r="A574" s="14">
        <f>IF(H574="",IF(C574="",A573,A573+1),A573)</f>
        <v/>
      </c>
      <c r="B574" s="48">
        <f>IF(A574=A573,"",CONCATENATE("F",A574))</f>
        <v/>
      </c>
      <c r="C574" s="85" t="n"/>
      <c r="D574" s="142" t="n"/>
      <c r="E574" s="142" t="n"/>
      <c r="F574" s="142" t="n"/>
      <c r="G574" s="143" t="n"/>
      <c r="H574" s="56" t="n"/>
      <c r="I574" s="57" t="n"/>
      <c r="J574" s="56" t="n"/>
      <c r="K574" s="56" t="n"/>
      <c r="L574" s="50">
        <f>CONCATENATE(H574,M574)</f>
        <v/>
      </c>
      <c r="M574" s="51">
        <f>IF(OR(ISBLANK(J574),ISBLANK(K574)),IF(OR(H574="ALI",H574="AIE"),"L",IF(ISBLANK(H574),"","A")),IF(H574="EE",IF(K574&gt;=3,IF(J574&gt;=5,"H","A"),IF(K574&gt;=2,IF(J574&gt;=16,"H",IF(J574&lt;=4,"L","A")),IF(J574&lt;=15,"L","A"))),IF(OR(H574="SE",H574="CE"),IF(K574&gt;=4,IF(J574&gt;=6,"H","A"),IF(K574&gt;=2,IF(J574&gt;=20,"H",IF(J574&lt;=5,"L","A")),IF(J574&lt;=19,"L","A"))),IF(OR(H574="ALI",H574="AIE"),IF(K574&gt;=6,IF(J574&gt;=20,"H","A"),IF(K574&gt;=2,IF(J574&gt;=51,"H",IF(J574&lt;=19,"L","A")),IF(J574&lt;=50,"L","A")))))))</f>
        <v/>
      </c>
      <c r="N574" s="52">
        <f>IF(M574="L","Baixa",IF(M574="A","Média",IF(M574="","","Alta")))</f>
        <v/>
      </c>
      <c r="O574" s="53">
        <f>IF(ISBLANK(H574),"",IF(H574="ALI",IF(M574="L",7,IF(M574="A",10,15)),IF(H574="AIE",IF(M574="L",5,IF(M574="A",7,10)),IF(H574="SE",IF(M574="L",4,IF(M574="A",5,7)),IF(OR(H574="EE",H574="CE"),IF(M574="L",3,IF(M574="A",4,6)))))))</f>
        <v/>
      </c>
      <c r="P574" s="54">
        <f>IF(I574="I",O574*Contagem!$W$15,IF(I574="E",O574*Contagem!$W$17,IF(I574="A",O574*Contagem!$W$16,IF(I574="T",O574*Contagem!$W$18,""))))</f>
        <v/>
      </c>
      <c r="Q574" s="55" t="n"/>
    </row>
    <row r="575" ht="12" customHeight="1" s="73">
      <c r="A575" s="14">
        <f>IF(H575="",IF(C575="",A574,A574+1),A574)</f>
        <v/>
      </c>
      <c r="B575" s="48">
        <f>IF(A575=A574,"",CONCATENATE("F",A575))</f>
        <v/>
      </c>
      <c r="C575" s="85" t="n"/>
      <c r="D575" s="142" t="n"/>
      <c r="E575" s="142" t="n"/>
      <c r="F575" s="142" t="n"/>
      <c r="G575" s="143" t="n"/>
      <c r="H575" s="56" t="n"/>
      <c r="I575" s="57" t="n"/>
      <c r="J575" s="56" t="n"/>
      <c r="K575" s="56" t="n"/>
      <c r="L575" s="50">
        <f>CONCATENATE(H575,M575)</f>
        <v/>
      </c>
      <c r="M575" s="51">
        <f>IF(OR(ISBLANK(J575),ISBLANK(K575)),IF(OR(H575="ALI",H575="AIE"),"L",IF(ISBLANK(H575),"","A")),IF(H575="EE",IF(K575&gt;=3,IF(J575&gt;=5,"H","A"),IF(K575&gt;=2,IF(J575&gt;=16,"H",IF(J575&lt;=4,"L","A")),IF(J575&lt;=15,"L","A"))),IF(OR(H575="SE",H575="CE"),IF(K575&gt;=4,IF(J575&gt;=6,"H","A"),IF(K575&gt;=2,IF(J575&gt;=20,"H",IF(J575&lt;=5,"L","A")),IF(J575&lt;=19,"L","A"))),IF(OR(H575="ALI",H575="AIE"),IF(K575&gt;=6,IF(J575&gt;=20,"H","A"),IF(K575&gt;=2,IF(J575&gt;=51,"H",IF(J575&lt;=19,"L","A")),IF(J575&lt;=50,"L","A")))))))</f>
        <v/>
      </c>
      <c r="N575" s="52">
        <f>IF(M575="L","Baixa",IF(M575="A","Média",IF(M575="","","Alta")))</f>
        <v/>
      </c>
      <c r="O575" s="53">
        <f>IF(ISBLANK(H575),"",IF(H575="ALI",IF(M575="L",7,IF(M575="A",10,15)),IF(H575="AIE",IF(M575="L",5,IF(M575="A",7,10)),IF(H575="SE",IF(M575="L",4,IF(M575="A",5,7)),IF(OR(H575="EE",H575="CE"),IF(M575="L",3,IF(M575="A",4,6)))))))</f>
        <v/>
      </c>
      <c r="P575" s="54">
        <f>IF(I575="I",O575*Contagem!$W$15,IF(I575="E",O575*Contagem!$W$17,IF(I575="A",O575*Contagem!$W$16,IF(I575="T",O575*Contagem!$W$18,""))))</f>
        <v/>
      </c>
      <c r="Q575" s="55" t="n"/>
    </row>
    <row r="576" ht="12" customHeight="1" s="73">
      <c r="A576" s="14">
        <f>IF(H576="",IF(C576="",A575,A575+1),A575)</f>
        <v/>
      </c>
      <c r="B576" s="48">
        <f>IF(A576=A575,"",CONCATENATE("F",A576))</f>
        <v/>
      </c>
      <c r="C576" s="85" t="n"/>
      <c r="D576" s="142" t="n"/>
      <c r="E576" s="142" t="n"/>
      <c r="F576" s="142" t="n"/>
      <c r="G576" s="143" t="n"/>
      <c r="H576" s="56" t="n"/>
      <c r="I576" s="57" t="n"/>
      <c r="J576" s="56" t="n"/>
      <c r="K576" s="56" t="n"/>
      <c r="L576" s="50">
        <f>CONCATENATE(H576,M576)</f>
        <v/>
      </c>
      <c r="M576" s="51">
        <f>IF(OR(ISBLANK(J576),ISBLANK(K576)),IF(OR(H576="ALI",H576="AIE"),"L",IF(ISBLANK(H576),"","A")),IF(H576="EE",IF(K576&gt;=3,IF(J576&gt;=5,"H","A"),IF(K576&gt;=2,IF(J576&gt;=16,"H",IF(J576&lt;=4,"L","A")),IF(J576&lt;=15,"L","A"))),IF(OR(H576="SE",H576="CE"),IF(K576&gt;=4,IF(J576&gt;=6,"H","A"),IF(K576&gt;=2,IF(J576&gt;=20,"H",IF(J576&lt;=5,"L","A")),IF(J576&lt;=19,"L","A"))),IF(OR(H576="ALI",H576="AIE"),IF(K576&gt;=6,IF(J576&gt;=20,"H","A"),IF(K576&gt;=2,IF(J576&gt;=51,"H",IF(J576&lt;=19,"L","A")),IF(J576&lt;=50,"L","A")))))))</f>
        <v/>
      </c>
      <c r="N576" s="52">
        <f>IF(M576="L","Baixa",IF(M576="A","Média",IF(M576="","","Alta")))</f>
        <v/>
      </c>
      <c r="O576" s="53">
        <f>IF(ISBLANK(H576),"",IF(H576="ALI",IF(M576="L",7,IF(M576="A",10,15)),IF(H576="AIE",IF(M576="L",5,IF(M576="A",7,10)),IF(H576="SE",IF(M576="L",4,IF(M576="A",5,7)),IF(OR(H576="EE",H576="CE"),IF(M576="L",3,IF(M576="A",4,6)))))))</f>
        <v/>
      </c>
      <c r="P576" s="54">
        <f>IF(I576="I",O576*Contagem!$W$15,IF(I576="E",O576*Contagem!$W$17,IF(I576="A",O576*Contagem!$W$16,IF(I576="T",O576*Contagem!$W$18,""))))</f>
        <v/>
      </c>
      <c r="Q576" s="55" t="n"/>
    </row>
    <row r="577" ht="12" customHeight="1" s="73">
      <c r="A577" s="14">
        <f>IF(H577="",IF(C577="",A576,A576+1),A576)</f>
        <v/>
      </c>
      <c r="B577" s="48">
        <f>IF(A577=A576,"",CONCATENATE("F",A577))</f>
        <v/>
      </c>
      <c r="C577" s="85" t="n"/>
      <c r="D577" s="142" t="n"/>
      <c r="E577" s="142" t="n"/>
      <c r="F577" s="142" t="n"/>
      <c r="G577" s="143" t="n"/>
      <c r="H577" s="56" t="n"/>
      <c r="I577" s="57" t="n"/>
      <c r="J577" s="56" t="n"/>
      <c r="K577" s="56" t="n"/>
      <c r="L577" s="50">
        <f>CONCATENATE(H577,M577)</f>
        <v/>
      </c>
      <c r="M577" s="51">
        <f>IF(OR(ISBLANK(J577),ISBLANK(K577)),IF(OR(H577="ALI",H577="AIE"),"L",IF(ISBLANK(H577),"","A")),IF(H577="EE",IF(K577&gt;=3,IF(J577&gt;=5,"H","A"),IF(K577&gt;=2,IF(J577&gt;=16,"H",IF(J577&lt;=4,"L","A")),IF(J577&lt;=15,"L","A"))),IF(OR(H577="SE",H577="CE"),IF(K577&gt;=4,IF(J577&gt;=6,"H","A"),IF(K577&gt;=2,IF(J577&gt;=20,"H",IF(J577&lt;=5,"L","A")),IF(J577&lt;=19,"L","A"))),IF(OR(H577="ALI",H577="AIE"),IF(K577&gt;=6,IF(J577&gt;=20,"H","A"),IF(K577&gt;=2,IF(J577&gt;=51,"H",IF(J577&lt;=19,"L","A")),IF(J577&lt;=50,"L","A")))))))</f>
        <v/>
      </c>
      <c r="N577" s="52">
        <f>IF(M577="L","Baixa",IF(M577="A","Média",IF(M577="","","Alta")))</f>
        <v/>
      </c>
      <c r="O577" s="53">
        <f>IF(ISBLANK(H577),"",IF(H577="ALI",IF(M577="L",7,IF(M577="A",10,15)),IF(H577="AIE",IF(M577="L",5,IF(M577="A",7,10)),IF(H577="SE",IF(M577="L",4,IF(M577="A",5,7)),IF(OR(H577="EE",H577="CE"),IF(M577="L",3,IF(M577="A",4,6)))))))</f>
        <v/>
      </c>
      <c r="P577" s="54">
        <f>IF(I577="I",O577*Contagem!$W$15,IF(I577="E",O577*Contagem!$W$17,IF(I577="A",O577*Contagem!$W$16,IF(I577="T",O577*Contagem!$W$18,""))))</f>
        <v/>
      </c>
      <c r="Q577" s="55" t="n"/>
    </row>
    <row r="578" ht="12" customHeight="1" s="73">
      <c r="A578" s="14">
        <f>IF(H578="",IF(C578="",A577,A577+1),A577)</f>
        <v/>
      </c>
      <c r="B578" s="48">
        <f>IF(A578=A577,"",CONCATENATE("F",A578))</f>
        <v/>
      </c>
      <c r="C578" s="85" t="n"/>
      <c r="D578" s="142" t="n"/>
      <c r="E578" s="142" t="n"/>
      <c r="F578" s="142" t="n"/>
      <c r="G578" s="143" t="n"/>
      <c r="H578" s="56" t="n"/>
      <c r="I578" s="57" t="n"/>
      <c r="J578" s="56" t="n"/>
      <c r="K578" s="56" t="n"/>
      <c r="L578" s="50">
        <f>CONCATENATE(H578,M578)</f>
        <v/>
      </c>
      <c r="M578" s="51">
        <f>IF(OR(ISBLANK(J578),ISBLANK(K578)),IF(OR(H578="ALI",H578="AIE"),"L",IF(ISBLANK(H578),"","A")),IF(H578="EE",IF(K578&gt;=3,IF(J578&gt;=5,"H","A"),IF(K578&gt;=2,IF(J578&gt;=16,"H",IF(J578&lt;=4,"L","A")),IF(J578&lt;=15,"L","A"))),IF(OR(H578="SE",H578="CE"),IF(K578&gt;=4,IF(J578&gt;=6,"H","A"),IF(K578&gt;=2,IF(J578&gt;=20,"H",IF(J578&lt;=5,"L","A")),IF(J578&lt;=19,"L","A"))),IF(OR(H578="ALI",H578="AIE"),IF(K578&gt;=6,IF(J578&gt;=20,"H","A"),IF(K578&gt;=2,IF(J578&gt;=51,"H",IF(J578&lt;=19,"L","A")),IF(J578&lt;=50,"L","A")))))))</f>
        <v/>
      </c>
      <c r="N578" s="52">
        <f>IF(M578="L","Baixa",IF(M578="A","Média",IF(M578="","","Alta")))</f>
        <v/>
      </c>
      <c r="O578" s="53">
        <f>IF(ISBLANK(H578),"",IF(H578="ALI",IF(M578="L",7,IF(M578="A",10,15)),IF(H578="AIE",IF(M578="L",5,IF(M578="A",7,10)),IF(H578="SE",IF(M578="L",4,IF(M578="A",5,7)),IF(OR(H578="EE",H578="CE"),IF(M578="L",3,IF(M578="A",4,6)))))))</f>
        <v/>
      </c>
      <c r="P578" s="54">
        <f>IF(I578="I",O578*Contagem!$W$15,IF(I578="E",O578*Contagem!$W$17,IF(I578="A",O578*Contagem!$W$16,IF(I578="T",O578*Contagem!$W$18,""))))</f>
        <v/>
      </c>
      <c r="Q578" s="55" t="n"/>
    </row>
    <row r="579" ht="12" customHeight="1" s="73">
      <c r="A579" s="14">
        <f>IF(H579="",IF(C579="",A578,A578+1),A578)</f>
        <v/>
      </c>
      <c r="B579" s="48">
        <f>IF(A579=A578,"",CONCATENATE("F",A579))</f>
        <v/>
      </c>
      <c r="C579" s="85" t="n"/>
      <c r="D579" s="142" t="n"/>
      <c r="E579" s="142" t="n"/>
      <c r="F579" s="142" t="n"/>
      <c r="G579" s="143" t="n"/>
      <c r="H579" s="56" t="n"/>
      <c r="I579" s="57" t="n"/>
      <c r="J579" s="56" t="n"/>
      <c r="K579" s="56" t="n"/>
      <c r="L579" s="50">
        <f>CONCATENATE(H579,M579)</f>
        <v/>
      </c>
      <c r="M579" s="51">
        <f>IF(OR(ISBLANK(J579),ISBLANK(K579)),IF(OR(H579="ALI",H579="AIE"),"L",IF(ISBLANK(H579),"","A")),IF(H579="EE",IF(K579&gt;=3,IF(J579&gt;=5,"H","A"),IF(K579&gt;=2,IF(J579&gt;=16,"H",IF(J579&lt;=4,"L","A")),IF(J579&lt;=15,"L","A"))),IF(OR(H579="SE",H579="CE"),IF(K579&gt;=4,IF(J579&gt;=6,"H","A"),IF(K579&gt;=2,IF(J579&gt;=20,"H",IF(J579&lt;=5,"L","A")),IF(J579&lt;=19,"L","A"))),IF(OR(H579="ALI",H579="AIE"),IF(K579&gt;=6,IF(J579&gt;=20,"H","A"),IF(K579&gt;=2,IF(J579&gt;=51,"H",IF(J579&lt;=19,"L","A")),IF(J579&lt;=50,"L","A")))))))</f>
        <v/>
      </c>
      <c r="N579" s="52">
        <f>IF(M579="L","Baixa",IF(M579="A","Média",IF(M579="","","Alta")))</f>
        <v/>
      </c>
      <c r="O579" s="53">
        <f>IF(ISBLANK(H579),"",IF(H579="ALI",IF(M579="L",7,IF(M579="A",10,15)),IF(H579="AIE",IF(M579="L",5,IF(M579="A",7,10)),IF(H579="SE",IF(M579="L",4,IF(M579="A",5,7)),IF(OR(H579="EE",H579="CE"),IF(M579="L",3,IF(M579="A",4,6)))))))</f>
        <v/>
      </c>
      <c r="P579" s="54">
        <f>IF(I579="I",O579*Contagem!$W$15,IF(I579="E",O579*Contagem!$W$17,IF(I579="A",O579*Contagem!$W$16,IF(I579="T",O579*Contagem!$W$18,""))))</f>
        <v/>
      </c>
      <c r="Q579" s="55" t="n"/>
    </row>
    <row r="580" ht="12" customHeight="1" s="73">
      <c r="A580" s="14">
        <f>IF(H580="",IF(C580="",A579,A579+1),A579)</f>
        <v/>
      </c>
      <c r="B580" s="48">
        <f>IF(A580=A579,"",CONCATENATE("F",A580))</f>
        <v/>
      </c>
      <c r="C580" s="85" t="n"/>
      <c r="D580" s="142" t="n"/>
      <c r="E580" s="142" t="n"/>
      <c r="F580" s="142" t="n"/>
      <c r="G580" s="143" t="n"/>
      <c r="H580" s="56" t="n"/>
      <c r="I580" s="57" t="n"/>
      <c r="J580" s="56" t="n"/>
      <c r="K580" s="56" t="n"/>
      <c r="L580" s="50">
        <f>CONCATENATE(H580,M580)</f>
        <v/>
      </c>
      <c r="M580" s="51">
        <f>IF(OR(ISBLANK(J580),ISBLANK(K580)),IF(OR(H580="ALI",H580="AIE"),"L",IF(ISBLANK(H580),"","A")),IF(H580="EE",IF(K580&gt;=3,IF(J580&gt;=5,"H","A"),IF(K580&gt;=2,IF(J580&gt;=16,"H",IF(J580&lt;=4,"L","A")),IF(J580&lt;=15,"L","A"))),IF(OR(H580="SE",H580="CE"),IF(K580&gt;=4,IF(J580&gt;=6,"H","A"),IF(K580&gt;=2,IF(J580&gt;=20,"H",IF(J580&lt;=5,"L","A")),IF(J580&lt;=19,"L","A"))),IF(OR(H580="ALI",H580="AIE"),IF(K580&gt;=6,IF(J580&gt;=20,"H","A"),IF(K580&gt;=2,IF(J580&gt;=51,"H",IF(J580&lt;=19,"L","A")),IF(J580&lt;=50,"L","A")))))))</f>
        <v/>
      </c>
      <c r="N580" s="52">
        <f>IF(M580="L","Baixa",IF(M580="A","Média",IF(M580="","","Alta")))</f>
        <v/>
      </c>
      <c r="O580" s="53">
        <f>IF(ISBLANK(H580),"",IF(H580="ALI",IF(M580="L",7,IF(M580="A",10,15)),IF(H580="AIE",IF(M580="L",5,IF(M580="A",7,10)),IF(H580="SE",IF(M580="L",4,IF(M580="A",5,7)),IF(OR(H580="EE",H580="CE"),IF(M580="L",3,IF(M580="A",4,6)))))))</f>
        <v/>
      </c>
      <c r="P580" s="54">
        <f>IF(I580="I",O580*Contagem!$W$15,IF(I580="E",O580*Contagem!$W$17,IF(I580="A",O580*Contagem!$W$16,IF(I580="T",O580*Contagem!$W$18,""))))</f>
        <v/>
      </c>
      <c r="Q580" s="55" t="n"/>
    </row>
    <row r="581" ht="12" customHeight="1" s="73">
      <c r="A581" s="14">
        <f>IF(H581="",IF(C581="",A580,A580+1),A580)</f>
        <v/>
      </c>
      <c r="B581" s="48">
        <f>IF(A581=A580,"",CONCATENATE("F",A581))</f>
        <v/>
      </c>
      <c r="C581" s="85" t="n"/>
      <c r="D581" s="142" t="n"/>
      <c r="E581" s="142" t="n"/>
      <c r="F581" s="142" t="n"/>
      <c r="G581" s="143" t="n"/>
      <c r="H581" s="56" t="n"/>
      <c r="I581" s="57" t="n"/>
      <c r="J581" s="56" t="n"/>
      <c r="K581" s="56" t="n"/>
      <c r="L581" s="50">
        <f>CONCATENATE(H581,M581)</f>
        <v/>
      </c>
      <c r="M581" s="51">
        <f>IF(OR(ISBLANK(J581),ISBLANK(K581)),IF(OR(H581="ALI",H581="AIE"),"L",IF(ISBLANK(H581),"","A")),IF(H581="EE",IF(K581&gt;=3,IF(J581&gt;=5,"H","A"),IF(K581&gt;=2,IF(J581&gt;=16,"H",IF(J581&lt;=4,"L","A")),IF(J581&lt;=15,"L","A"))),IF(OR(H581="SE",H581="CE"),IF(K581&gt;=4,IF(J581&gt;=6,"H","A"),IF(K581&gt;=2,IF(J581&gt;=20,"H",IF(J581&lt;=5,"L","A")),IF(J581&lt;=19,"L","A"))),IF(OR(H581="ALI",H581="AIE"),IF(K581&gt;=6,IF(J581&gt;=20,"H","A"),IF(K581&gt;=2,IF(J581&gt;=51,"H",IF(J581&lt;=19,"L","A")),IF(J581&lt;=50,"L","A")))))))</f>
        <v/>
      </c>
      <c r="N581" s="52">
        <f>IF(M581="L","Baixa",IF(M581="A","Média",IF(M581="","","Alta")))</f>
        <v/>
      </c>
      <c r="O581" s="53">
        <f>IF(ISBLANK(H581),"",IF(H581="ALI",IF(M581="L",7,IF(M581="A",10,15)),IF(H581="AIE",IF(M581="L",5,IF(M581="A",7,10)),IF(H581="SE",IF(M581="L",4,IF(M581="A",5,7)),IF(OR(H581="EE",H581="CE"),IF(M581="L",3,IF(M581="A",4,6)))))))</f>
        <v/>
      </c>
      <c r="P581" s="54">
        <f>IF(I581="I",O581*Contagem!$W$15,IF(I581="E",O581*Contagem!$W$17,IF(I581="A",O581*Contagem!$W$16,IF(I581="T",O581*Contagem!$W$18,""))))</f>
        <v/>
      </c>
      <c r="Q581" s="55" t="n"/>
    </row>
    <row r="582" ht="12" customHeight="1" s="73">
      <c r="A582" s="14">
        <f>IF(H582="",IF(C582="",A581,A581+1),A581)</f>
        <v/>
      </c>
      <c r="B582" s="48">
        <f>IF(A582=A581,"",CONCATENATE("F",A582))</f>
        <v/>
      </c>
      <c r="C582" s="85" t="n"/>
      <c r="D582" s="142" t="n"/>
      <c r="E582" s="142" t="n"/>
      <c r="F582" s="142" t="n"/>
      <c r="G582" s="143" t="n"/>
      <c r="H582" s="56" t="n"/>
      <c r="I582" s="57" t="n"/>
      <c r="J582" s="56" t="n"/>
      <c r="K582" s="56" t="n"/>
      <c r="L582" s="50">
        <f>CONCATENATE(H582,M582)</f>
        <v/>
      </c>
      <c r="M582" s="51">
        <f>IF(OR(ISBLANK(J582),ISBLANK(K582)),IF(OR(H582="ALI",H582="AIE"),"L",IF(ISBLANK(H582),"","A")),IF(H582="EE",IF(K582&gt;=3,IF(J582&gt;=5,"H","A"),IF(K582&gt;=2,IF(J582&gt;=16,"H",IF(J582&lt;=4,"L","A")),IF(J582&lt;=15,"L","A"))),IF(OR(H582="SE",H582="CE"),IF(K582&gt;=4,IF(J582&gt;=6,"H","A"),IF(K582&gt;=2,IF(J582&gt;=20,"H",IF(J582&lt;=5,"L","A")),IF(J582&lt;=19,"L","A"))),IF(OR(H582="ALI",H582="AIE"),IF(K582&gt;=6,IF(J582&gt;=20,"H","A"),IF(K582&gt;=2,IF(J582&gt;=51,"H",IF(J582&lt;=19,"L","A")),IF(J582&lt;=50,"L","A")))))))</f>
        <v/>
      </c>
      <c r="N582" s="52">
        <f>IF(M582="L","Baixa",IF(M582="A","Média",IF(M582="","","Alta")))</f>
        <v/>
      </c>
      <c r="O582" s="53">
        <f>IF(ISBLANK(H582),"",IF(H582="ALI",IF(M582="L",7,IF(M582="A",10,15)),IF(H582="AIE",IF(M582="L",5,IF(M582="A",7,10)),IF(H582="SE",IF(M582="L",4,IF(M582="A",5,7)),IF(OR(H582="EE",H582="CE"),IF(M582="L",3,IF(M582="A",4,6)))))))</f>
        <v/>
      </c>
      <c r="P582" s="54">
        <f>IF(I582="I",O582*Contagem!$W$15,IF(I582="E",O582*Contagem!$W$17,IF(I582="A",O582*Contagem!$W$16,IF(I582="T",O582*Contagem!$W$18,""))))</f>
        <v/>
      </c>
      <c r="Q582" s="55" t="n"/>
    </row>
    <row r="583" ht="12" customHeight="1" s="73">
      <c r="A583" s="14">
        <f>IF(H583="",IF(C583="",A582,A582+1),A582)</f>
        <v/>
      </c>
      <c r="B583" s="48">
        <f>IF(A583=A582,"",CONCATENATE("F",A583))</f>
        <v/>
      </c>
      <c r="C583" s="85" t="n"/>
      <c r="D583" s="142" t="n"/>
      <c r="E583" s="142" t="n"/>
      <c r="F583" s="142" t="n"/>
      <c r="G583" s="143" t="n"/>
      <c r="H583" s="56" t="n"/>
      <c r="I583" s="57" t="n"/>
      <c r="J583" s="56" t="n"/>
      <c r="K583" s="56" t="n"/>
      <c r="L583" s="50">
        <f>CONCATENATE(H583,M583)</f>
        <v/>
      </c>
      <c r="M583" s="51">
        <f>IF(OR(ISBLANK(J583),ISBLANK(K583)),IF(OR(H583="ALI",H583="AIE"),"L",IF(ISBLANK(H583),"","A")),IF(H583="EE",IF(K583&gt;=3,IF(J583&gt;=5,"H","A"),IF(K583&gt;=2,IF(J583&gt;=16,"H",IF(J583&lt;=4,"L","A")),IF(J583&lt;=15,"L","A"))),IF(OR(H583="SE",H583="CE"),IF(K583&gt;=4,IF(J583&gt;=6,"H","A"),IF(K583&gt;=2,IF(J583&gt;=20,"H",IF(J583&lt;=5,"L","A")),IF(J583&lt;=19,"L","A"))),IF(OR(H583="ALI",H583="AIE"),IF(K583&gt;=6,IF(J583&gt;=20,"H","A"),IF(K583&gt;=2,IF(J583&gt;=51,"H",IF(J583&lt;=19,"L","A")),IF(J583&lt;=50,"L","A")))))))</f>
        <v/>
      </c>
      <c r="N583" s="52">
        <f>IF(M583="L","Baixa",IF(M583="A","Média",IF(M583="","","Alta")))</f>
        <v/>
      </c>
      <c r="O583" s="53">
        <f>IF(ISBLANK(H583),"",IF(H583="ALI",IF(M583="L",7,IF(M583="A",10,15)),IF(H583="AIE",IF(M583="L",5,IF(M583="A",7,10)),IF(H583="SE",IF(M583="L",4,IF(M583="A",5,7)),IF(OR(H583="EE",H583="CE"),IF(M583="L",3,IF(M583="A",4,6)))))))</f>
        <v/>
      </c>
      <c r="P583" s="54">
        <f>IF(I583="I",O583*Contagem!$W$15,IF(I583="E",O583*Contagem!$W$17,IF(I583="A",O583*Contagem!$W$16,IF(I583="T",O583*Contagem!$W$18,""))))</f>
        <v/>
      </c>
      <c r="Q583" s="55" t="n"/>
    </row>
    <row r="584" ht="12" customHeight="1" s="73">
      <c r="A584" s="14">
        <f>IF(H584="",IF(C584="",A583,A583+1),A583)</f>
        <v/>
      </c>
      <c r="B584" s="48">
        <f>IF(A584=A583,"",CONCATENATE("F",A584))</f>
        <v/>
      </c>
      <c r="C584" s="85" t="n"/>
      <c r="D584" s="142" t="n"/>
      <c r="E584" s="142" t="n"/>
      <c r="F584" s="142" t="n"/>
      <c r="G584" s="143" t="n"/>
      <c r="H584" s="56" t="n"/>
      <c r="I584" s="57" t="n"/>
      <c r="J584" s="56" t="n"/>
      <c r="K584" s="56" t="n"/>
      <c r="L584" s="50">
        <f>CONCATENATE(H584,M584)</f>
        <v/>
      </c>
      <c r="M584" s="51">
        <f>IF(OR(ISBLANK(J584),ISBLANK(K584)),IF(OR(H584="ALI",H584="AIE"),"L",IF(ISBLANK(H584),"","A")),IF(H584="EE",IF(K584&gt;=3,IF(J584&gt;=5,"H","A"),IF(K584&gt;=2,IF(J584&gt;=16,"H",IF(J584&lt;=4,"L","A")),IF(J584&lt;=15,"L","A"))),IF(OR(H584="SE",H584="CE"),IF(K584&gt;=4,IF(J584&gt;=6,"H","A"),IF(K584&gt;=2,IF(J584&gt;=20,"H",IF(J584&lt;=5,"L","A")),IF(J584&lt;=19,"L","A"))),IF(OR(H584="ALI",H584="AIE"),IF(K584&gt;=6,IF(J584&gt;=20,"H","A"),IF(K584&gt;=2,IF(J584&gt;=51,"H",IF(J584&lt;=19,"L","A")),IF(J584&lt;=50,"L","A")))))))</f>
        <v/>
      </c>
      <c r="N584" s="52">
        <f>IF(M584="L","Baixa",IF(M584="A","Média",IF(M584="","","Alta")))</f>
        <v/>
      </c>
      <c r="O584" s="53">
        <f>IF(ISBLANK(H584),"",IF(H584="ALI",IF(M584="L",7,IF(M584="A",10,15)),IF(H584="AIE",IF(M584="L",5,IF(M584="A",7,10)),IF(H584="SE",IF(M584="L",4,IF(M584="A",5,7)),IF(OR(H584="EE",H584="CE"),IF(M584="L",3,IF(M584="A",4,6)))))))</f>
        <v/>
      </c>
      <c r="P584" s="54">
        <f>IF(I584="I",O584*Contagem!$W$15,IF(I584="E",O584*Contagem!$W$17,IF(I584="A",O584*Contagem!$W$16,IF(I584="T",O584*Contagem!$W$18,""))))</f>
        <v/>
      </c>
      <c r="Q584" s="55" t="n"/>
    </row>
    <row r="585" ht="12" customHeight="1" s="73">
      <c r="A585" s="14">
        <f>IF(H585="",IF(C585="",A584,A584+1),A584)</f>
        <v/>
      </c>
      <c r="B585" s="48">
        <f>IF(A585=A584,"",CONCATENATE("F",A585))</f>
        <v/>
      </c>
      <c r="C585" s="85" t="n"/>
      <c r="D585" s="142" t="n"/>
      <c r="E585" s="142" t="n"/>
      <c r="F585" s="142" t="n"/>
      <c r="G585" s="143" t="n"/>
      <c r="H585" s="56" t="n"/>
      <c r="I585" s="57" t="n"/>
      <c r="J585" s="56" t="n"/>
      <c r="K585" s="56" t="n"/>
      <c r="L585" s="50">
        <f>CONCATENATE(H585,M585)</f>
        <v/>
      </c>
      <c r="M585" s="51">
        <f>IF(OR(ISBLANK(J585),ISBLANK(K585)),IF(OR(H585="ALI",H585="AIE"),"L",IF(ISBLANK(H585),"","A")),IF(H585="EE",IF(K585&gt;=3,IF(J585&gt;=5,"H","A"),IF(K585&gt;=2,IF(J585&gt;=16,"H",IF(J585&lt;=4,"L","A")),IF(J585&lt;=15,"L","A"))),IF(OR(H585="SE",H585="CE"),IF(K585&gt;=4,IF(J585&gt;=6,"H","A"),IF(K585&gt;=2,IF(J585&gt;=20,"H",IF(J585&lt;=5,"L","A")),IF(J585&lt;=19,"L","A"))),IF(OR(H585="ALI",H585="AIE"),IF(K585&gt;=6,IF(J585&gt;=20,"H","A"),IF(K585&gt;=2,IF(J585&gt;=51,"H",IF(J585&lt;=19,"L","A")),IF(J585&lt;=50,"L","A")))))))</f>
        <v/>
      </c>
      <c r="N585" s="52">
        <f>IF(M585="L","Baixa",IF(M585="A","Média",IF(M585="","","Alta")))</f>
        <v/>
      </c>
      <c r="O585" s="53">
        <f>IF(ISBLANK(H585),"",IF(H585="ALI",IF(M585="L",7,IF(M585="A",10,15)),IF(H585="AIE",IF(M585="L",5,IF(M585="A",7,10)),IF(H585="SE",IF(M585="L",4,IF(M585="A",5,7)),IF(OR(H585="EE",H585="CE"),IF(M585="L",3,IF(M585="A",4,6)))))))</f>
        <v/>
      </c>
      <c r="P585" s="54">
        <f>IF(I585="I",O585*Contagem!$W$15,IF(I585="E",O585*Contagem!$W$17,IF(I585="A",O585*Contagem!$W$16,IF(I585="T",O585*Contagem!$W$18,""))))</f>
        <v/>
      </c>
      <c r="Q585" s="55" t="n"/>
    </row>
    <row r="586" ht="12" customHeight="1" s="73">
      <c r="A586" s="14">
        <f>IF(H586="",IF(C586="",A585,A585+1),A585)</f>
        <v/>
      </c>
      <c r="B586" s="48">
        <f>IF(A586=A585,"",CONCATENATE("F",A586))</f>
        <v/>
      </c>
      <c r="C586" s="85" t="n"/>
      <c r="D586" s="142" t="n"/>
      <c r="E586" s="142" t="n"/>
      <c r="F586" s="142" t="n"/>
      <c r="G586" s="143" t="n"/>
      <c r="H586" s="56" t="n"/>
      <c r="I586" s="57" t="n"/>
      <c r="J586" s="56" t="n"/>
      <c r="K586" s="56" t="n"/>
      <c r="L586" s="50">
        <f>CONCATENATE(H586,M586)</f>
        <v/>
      </c>
      <c r="M586" s="51">
        <f>IF(OR(ISBLANK(J586),ISBLANK(K586)),IF(OR(H586="ALI",H586="AIE"),"L",IF(ISBLANK(H586),"","A")),IF(H586="EE",IF(K586&gt;=3,IF(J586&gt;=5,"H","A"),IF(K586&gt;=2,IF(J586&gt;=16,"H",IF(J586&lt;=4,"L","A")),IF(J586&lt;=15,"L","A"))),IF(OR(H586="SE",H586="CE"),IF(K586&gt;=4,IF(J586&gt;=6,"H","A"),IF(K586&gt;=2,IF(J586&gt;=20,"H",IF(J586&lt;=5,"L","A")),IF(J586&lt;=19,"L","A"))),IF(OR(H586="ALI",H586="AIE"),IF(K586&gt;=6,IF(J586&gt;=20,"H","A"),IF(K586&gt;=2,IF(J586&gt;=51,"H",IF(J586&lt;=19,"L","A")),IF(J586&lt;=50,"L","A")))))))</f>
        <v/>
      </c>
      <c r="N586" s="52">
        <f>IF(M586="L","Baixa",IF(M586="A","Média",IF(M586="","","Alta")))</f>
        <v/>
      </c>
      <c r="O586" s="53">
        <f>IF(ISBLANK(H586),"",IF(H586="ALI",IF(M586="L",7,IF(M586="A",10,15)),IF(H586="AIE",IF(M586="L",5,IF(M586="A",7,10)),IF(H586="SE",IF(M586="L",4,IF(M586="A",5,7)),IF(OR(H586="EE",H586="CE"),IF(M586="L",3,IF(M586="A",4,6)))))))</f>
        <v/>
      </c>
      <c r="P586" s="54">
        <f>IF(I586="I",O586*Contagem!$W$15,IF(I586="E",O586*Contagem!$W$17,IF(I586="A",O586*Contagem!$W$16,IF(I586="T",O586*Contagem!$W$18,""))))</f>
        <v/>
      </c>
      <c r="Q586" s="55" t="n"/>
    </row>
    <row r="587" ht="12" customHeight="1" s="73">
      <c r="A587" s="14">
        <f>IF(H587="",IF(C587="",A586,A586+1),A586)</f>
        <v/>
      </c>
      <c r="B587" s="48">
        <f>IF(A587=A586,"",CONCATENATE("F",A587))</f>
        <v/>
      </c>
      <c r="C587" s="85" t="n"/>
      <c r="D587" s="142" t="n"/>
      <c r="E587" s="142" t="n"/>
      <c r="F587" s="142" t="n"/>
      <c r="G587" s="143" t="n"/>
      <c r="H587" s="56" t="n"/>
      <c r="I587" s="57" t="n"/>
      <c r="J587" s="56" t="n"/>
      <c r="K587" s="56" t="n"/>
      <c r="L587" s="50">
        <f>CONCATENATE(H587,M587)</f>
        <v/>
      </c>
      <c r="M587" s="51">
        <f>IF(OR(ISBLANK(J587),ISBLANK(K587)),IF(OR(H587="ALI",H587="AIE"),"L",IF(ISBLANK(H587),"","A")),IF(H587="EE",IF(K587&gt;=3,IF(J587&gt;=5,"H","A"),IF(K587&gt;=2,IF(J587&gt;=16,"H",IF(J587&lt;=4,"L","A")),IF(J587&lt;=15,"L","A"))),IF(OR(H587="SE",H587="CE"),IF(K587&gt;=4,IF(J587&gt;=6,"H","A"),IF(K587&gt;=2,IF(J587&gt;=20,"H",IF(J587&lt;=5,"L","A")),IF(J587&lt;=19,"L","A"))),IF(OR(H587="ALI",H587="AIE"),IF(K587&gt;=6,IF(J587&gt;=20,"H","A"),IF(K587&gt;=2,IF(J587&gt;=51,"H",IF(J587&lt;=19,"L","A")),IF(J587&lt;=50,"L","A")))))))</f>
        <v/>
      </c>
      <c r="N587" s="52">
        <f>IF(M587="L","Baixa",IF(M587="A","Média",IF(M587="","","Alta")))</f>
        <v/>
      </c>
      <c r="O587" s="53">
        <f>IF(ISBLANK(H587),"",IF(H587="ALI",IF(M587="L",7,IF(M587="A",10,15)),IF(H587="AIE",IF(M587="L",5,IF(M587="A",7,10)),IF(H587="SE",IF(M587="L",4,IF(M587="A",5,7)),IF(OR(H587="EE",H587="CE"),IF(M587="L",3,IF(M587="A",4,6)))))))</f>
        <v/>
      </c>
      <c r="P587" s="54">
        <f>IF(I587="I",O587*Contagem!$W$15,IF(I587="E",O587*Contagem!$W$17,IF(I587="A",O587*Contagem!$W$16,IF(I587="T",O587*Contagem!$W$18,""))))</f>
        <v/>
      </c>
      <c r="Q587" s="55" t="n"/>
    </row>
    <row r="588" ht="12" customHeight="1" s="73">
      <c r="A588" s="14">
        <f>IF(H588="",IF(C588="",A587,A587+1),A587)</f>
        <v/>
      </c>
      <c r="B588" s="48">
        <f>IF(A588=A587,"",CONCATENATE("F",A588))</f>
        <v/>
      </c>
      <c r="C588" s="85" t="n"/>
      <c r="D588" s="142" t="n"/>
      <c r="E588" s="142" t="n"/>
      <c r="F588" s="142" t="n"/>
      <c r="G588" s="143" t="n"/>
      <c r="H588" s="56" t="n"/>
      <c r="I588" s="57" t="n"/>
      <c r="J588" s="56" t="n"/>
      <c r="K588" s="56" t="n"/>
      <c r="L588" s="50">
        <f>CONCATENATE(H588,M588)</f>
        <v/>
      </c>
      <c r="M588" s="51">
        <f>IF(OR(ISBLANK(J588),ISBLANK(K588)),IF(OR(H588="ALI",H588="AIE"),"L",IF(ISBLANK(H588),"","A")),IF(H588="EE",IF(K588&gt;=3,IF(J588&gt;=5,"H","A"),IF(K588&gt;=2,IF(J588&gt;=16,"H",IF(J588&lt;=4,"L","A")),IF(J588&lt;=15,"L","A"))),IF(OR(H588="SE",H588="CE"),IF(K588&gt;=4,IF(J588&gt;=6,"H","A"),IF(K588&gt;=2,IF(J588&gt;=20,"H",IF(J588&lt;=5,"L","A")),IF(J588&lt;=19,"L","A"))),IF(OR(H588="ALI",H588="AIE"),IF(K588&gt;=6,IF(J588&gt;=20,"H","A"),IF(K588&gt;=2,IF(J588&gt;=51,"H",IF(J588&lt;=19,"L","A")),IF(J588&lt;=50,"L","A")))))))</f>
        <v/>
      </c>
      <c r="N588" s="52">
        <f>IF(M588="L","Baixa",IF(M588="A","Média",IF(M588="","","Alta")))</f>
        <v/>
      </c>
      <c r="O588" s="53">
        <f>IF(ISBLANK(H588),"",IF(H588="ALI",IF(M588="L",7,IF(M588="A",10,15)),IF(H588="AIE",IF(M588="L",5,IF(M588="A",7,10)),IF(H588="SE",IF(M588="L",4,IF(M588="A",5,7)),IF(OR(H588="EE",H588="CE"),IF(M588="L",3,IF(M588="A",4,6)))))))</f>
        <v/>
      </c>
      <c r="P588" s="54">
        <f>IF(I588="I",O588*Contagem!$W$15,IF(I588="E",O588*Contagem!$W$17,IF(I588="A",O588*Contagem!$W$16,IF(I588="T",O588*Contagem!$W$18,""))))</f>
        <v/>
      </c>
      <c r="Q588" s="55" t="n"/>
    </row>
    <row r="589" ht="12" customHeight="1" s="73">
      <c r="A589" s="14">
        <f>IF(H589="",IF(C589="",A588,A588+1),A588)</f>
        <v/>
      </c>
      <c r="B589" s="48">
        <f>IF(A589=A588,"",CONCATENATE("F",A589))</f>
        <v/>
      </c>
      <c r="C589" s="85" t="n"/>
      <c r="D589" s="142" t="n"/>
      <c r="E589" s="142" t="n"/>
      <c r="F589" s="142" t="n"/>
      <c r="G589" s="143" t="n"/>
      <c r="H589" s="56" t="n"/>
      <c r="I589" s="57" t="n"/>
      <c r="J589" s="56" t="n"/>
      <c r="K589" s="56" t="n"/>
      <c r="L589" s="50">
        <f>CONCATENATE(H589,M589)</f>
        <v/>
      </c>
      <c r="M589" s="51">
        <f>IF(OR(ISBLANK(J589),ISBLANK(K589)),IF(OR(H589="ALI",H589="AIE"),"L",IF(ISBLANK(H589),"","A")),IF(H589="EE",IF(K589&gt;=3,IF(J589&gt;=5,"H","A"),IF(K589&gt;=2,IF(J589&gt;=16,"H",IF(J589&lt;=4,"L","A")),IF(J589&lt;=15,"L","A"))),IF(OR(H589="SE",H589="CE"),IF(K589&gt;=4,IF(J589&gt;=6,"H","A"),IF(K589&gt;=2,IF(J589&gt;=20,"H",IF(J589&lt;=5,"L","A")),IF(J589&lt;=19,"L","A"))),IF(OR(H589="ALI",H589="AIE"),IF(K589&gt;=6,IF(J589&gt;=20,"H","A"),IF(K589&gt;=2,IF(J589&gt;=51,"H",IF(J589&lt;=19,"L","A")),IF(J589&lt;=50,"L","A")))))))</f>
        <v/>
      </c>
      <c r="N589" s="52">
        <f>IF(M589="L","Baixa",IF(M589="A","Média",IF(M589="","","Alta")))</f>
        <v/>
      </c>
      <c r="O589" s="53">
        <f>IF(ISBLANK(H589),"",IF(H589="ALI",IF(M589="L",7,IF(M589="A",10,15)),IF(H589="AIE",IF(M589="L",5,IF(M589="A",7,10)),IF(H589="SE",IF(M589="L",4,IF(M589="A",5,7)),IF(OR(H589="EE",H589="CE"),IF(M589="L",3,IF(M589="A",4,6)))))))</f>
        <v/>
      </c>
      <c r="P589" s="54">
        <f>IF(I589="I",O589*Contagem!$W$15,IF(I589="E",O589*Contagem!$W$17,IF(I589="A",O589*Contagem!$W$16,IF(I589="T",O589*Contagem!$W$18,""))))</f>
        <v/>
      </c>
      <c r="Q589" s="55" t="n"/>
    </row>
    <row r="590" ht="12" customHeight="1" s="73">
      <c r="A590" s="14">
        <f>IF(H590="",IF(C590="",A589,A589+1),A589)</f>
        <v/>
      </c>
      <c r="B590" s="48">
        <f>IF(A590=A589,"",CONCATENATE("F",A590))</f>
        <v/>
      </c>
      <c r="C590" s="85" t="n"/>
      <c r="D590" s="142" t="n"/>
      <c r="E590" s="142" t="n"/>
      <c r="F590" s="142" t="n"/>
      <c r="G590" s="143" t="n"/>
      <c r="H590" s="56" t="n"/>
      <c r="I590" s="57" t="n"/>
      <c r="J590" s="56" t="n"/>
      <c r="K590" s="56" t="n"/>
      <c r="L590" s="50">
        <f>CONCATENATE(H590,M590)</f>
        <v/>
      </c>
      <c r="M590" s="51">
        <f>IF(OR(ISBLANK(J590),ISBLANK(K590)),IF(OR(H590="ALI",H590="AIE"),"L",IF(ISBLANK(H590),"","A")),IF(H590="EE",IF(K590&gt;=3,IF(J590&gt;=5,"H","A"),IF(K590&gt;=2,IF(J590&gt;=16,"H",IF(J590&lt;=4,"L","A")),IF(J590&lt;=15,"L","A"))),IF(OR(H590="SE",H590="CE"),IF(K590&gt;=4,IF(J590&gt;=6,"H","A"),IF(K590&gt;=2,IF(J590&gt;=20,"H",IF(J590&lt;=5,"L","A")),IF(J590&lt;=19,"L","A"))),IF(OR(H590="ALI",H590="AIE"),IF(K590&gt;=6,IF(J590&gt;=20,"H","A"),IF(K590&gt;=2,IF(J590&gt;=51,"H",IF(J590&lt;=19,"L","A")),IF(J590&lt;=50,"L","A")))))))</f>
        <v/>
      </c>
      <c r="N590" s="52">
        <f>IF(M590="L","Baixa",IF(M590="A","Média",IF(M590="","","Alta")))</f>
        <v/>
      </c>
      <c r="O590" s="53">
        <f>IF(ISBLANK(H590),"",IF(H590="ALI",IF(M590="L",7,IF(M590="A",10,15)),IF(H590="AIE",IF(M590="L",5,IF(M590="A",7,10)),IF(H590="SE",IF(M590="L",4,IF(M590="A",5,7)),IF(OR(H590="EE",H590="CE"),IF(M590="L",3,IF(M590="A",4,6)))))))</f>
        <v/>
      </c>
      <c r="P590" s="54">
        <f>IF(I590="I",O590*Contagem!$W$15,IF(I590="E",O590*Contagem!$W$17,IF(I590="A",O590*Contagem!$W$16,IF(I590="T",O590*Contagem!$W$18,""))))</f>
        <v/>
      </c>
      <c r="Q590" s="55" t="n"/>
    </row>
    <row r="591" ht="12" customHeight="1" s="73">
      <c r="A591" s="14">
        <f>IF(H591="",IF(C591="",A590,A590+1),A590)</f>
        <v/>
      </c>
      <c r="B591" s="48">
        <f>IF(A591=A590,"",CONCATENATE("F",A591))</f>
        <v/>
      </c>
      <c r="C591" s="85" t="n"/>
      <c r="D591" s="142" t="n"/>
      <c r="E591" s="142" t="n"/>
      <c r="F591" s="142" t="n"/>
      <c r="G591" s="143" t="n"/>
      <c r="H591" s="56" t="n"/>
      <c r="I591" s="57" t="n"/>
      <c r="J591" s="56" t="n"/>
      <c r="K591" s="56" t="n"/>
      <c r="L591" s="50">
        <f>CONCATENATE(H591,M591)</f>
        <v/>
      </c>
      <c r="M591" s="51">
        <f>IF(OR(ISBLANK(J591),ISBLANK(K591)),IF(OR(H591="ALI",H591="AIE"),"L",IF(ISBLANK(H591),"","A")),IF(H591="EE",IF(K591&gt;=3,IF(J591&gt;=5,"H","A"),IF(K591&gt;=2,IF(J591&gt;=16,"H",IF(J591&lt;=4,"L","A")),IF(J591&lt;=15,"L","A"))),IF(OR(H591="SE",H591="CE"),IF(K591&gt;=4,IF(J591&gt;=6,"H","A"),IF(K591&gt;=2,IF(J591&gt;=20,"H",IF(J591&lt;=5,"L","A")),IF(J591&lt;=19,"L","A"))),IF(OR(H591="ALI",H591="AIE"),IF(K591&gt;=6,IF(J591&gt;=20,"H","A"),IF(K591&gt;=2,IF(J591&gt;=51,"H",IF(J591&lt;=19,"L","A")),IF(J591&lt;=50,"L","A")))))))</f>
        <v/>
      </c>
      <c r="N591" s="52">
        <f>IF(M591="L","Baixa",IF(M591="A","Média",IF(M591="","","Alta")))</f>
        <v/>
      </c>
      <c r="O591" s="53">
        <f>IF(ISBLANK(H591),"",IF(H591="ALI",IF(M591="L",7,IF(M591="A",10,15)),IF(H591="AIE",IF(M591="L",5,IF(M591="A",7,10)),IF(H591="SE",IF(M591="L",4,IF(M591="A",5,7)),IF(OR(H591="EE",H591="CE"),IF(M591="L",3,IF(M591="A",4,6)))))))</f>
        <v/>
      </c>
      <c r="P591" s="54">
        <f>IF(I591="I",O591*Contagem!$W$15,IF(I591="E",O591*Contagem!$W$17,IF(I591="A",O591*Contagem!$W$16,IF(I591="T",O591*Contagem!$W$18,""))))</f>
        <v/>
      </c>
      <c r="Q591" s="55" t="n"/>
    </row>
    <row r="592" ht="12" customHeight="1" s="73">
      <c r="A592" s="14">
        <f>IF(H592="",IF(C592="",A591,A591+1),A591)</f>
        <v/>
      </c>
      <c r="B592" s="48">
        <f>IF(A592=A591,"",CONCATENATE("F",A592))</f>
        <v/>
      </c>
      <c r="C592" s="85" t="n"/>
      <c r="D592" s="142" t="n"/>
      <c r="E592" s="142" t="n"/>
      <c r="F592" s="142" t="n"/>
      <c r="G592" s="143" t="n"/>
      <c r="H592" s="56" t="n"/>
      <c r="I592" s="57" t="n"/>
      <c r="J592" s="56" t="n"/>
      <c r="K592" s="56" t="n"/>
      <c r="L592" s="50">
        <f>CONCATENATE(H592,M592)</f>
        <v/>
      </c>
      <c r="M592" s="51">
        <f>IF(OR(ISBLANK(J592),ISBLANK(K592)),IF(OR(H592="ALI",H592="AIE"),"L",IF(ISBLANK(H592),"","A")),IF(H592="EE",IF(K592&gt;=3,IF(J592&gt;=5,"H","A"),IF(K592&gt;=2,IF(J592&gt;=16,"H",IF(J592&lt;=4,"L","A")),IF(J592&lt;=15,"L","A"))),IF(OR(H592="SE",H592="CE"),IF(K592&gt;=4,IF(J592&gt;=6,"H","A"),IF(K592&gt;=2,IF(J592&gt;=20,"H",IF(J592&lt;=5,"L","A")),IF(J592&lt;=19,"L","A"))),IF(OR(H592="ALI",H592="AIE"),IF(K592&gt;=6,IF(J592&gt;=20,"H","A"),IF(K592&gt;=2,IF(J592&gt;=51,"H",IF(J592&lt;=19,"L","A")),IF(J592&lt;=50,"L","A")))))))</f>
        <v/>
      </c>
      <c r="N592" s="52">
        <f>IF(M592="L","Baixa",IF(M592="A","Média",IF(M592="","","Alta")))</f>
        <v/>
      </c>
      <c r="O592" s="53">
        <f>IF(ISBLANK(H592),"",IF(H592="ALI",IF(M592="L",7,IF(M592="A",10,15)),IF(H592="AIE",IF(M592="L",5,IF(M592="A",7,10)),IF(H592="SE",IF(M592="L",4,IF(M592="A",5,7)),IF(OR(H592="EE",H592="CE"),IF(M592="L",3,IF(M592="A",4,6)))))))</f>
        <v/>
      </c>
      <c r="P592" s="54">
        <f>IF(I592="I",O592*Contagem!$W$15,IF(I592="E",O592*Contagem!$W$17,IF(I592="A",O592*Contagem!$W$16,IF(I592="T",O592*Contagem!$W$18,""))))</f>
        <v/>
      </c>
      <c r="Q592" s="55" t="n"/>
    </row>
    <row r="593" ht="12" customHeight="1" s="73">
      <c r="A593" s="14">
        <f>IF(H593="",IF(C593="",A592,A592+1),A592)</f>
        <v/>
      </c>
      <c r="B593" s="48">
        <f>IF(A593=A592,"",CONCATENATE("F",A593))</f>
        <v/>
      </c>
      <c r="C593" s="85" t="n"/>
      <c r="D593" s="142" t="n"/>
      <c r="E593" s="142" t="n"/>
      <c r="F593" s="142" t="n"/>
      <c r="G593" s="143" t="n"/>
      <c r="H593" s="56" t="n"/>
      <c r="I593" s="57" t="n"/>
      <c r="J593" s="56" t="n"/>
      <c r="K593" s="56" t="n"/>
      <c r="L593" s="50">
        <f>CONCATENATE(H593,M593)</f>
        <v/>
      </c>
      <c r="M593" s="51">
        <f>IF(OR(ISBLANK(J593),ISBLANK(K593)),IF(OR(H593="ALI",H593="AIE"),"L",IF(ISBLANK(H593),"","A")),IF(H593="EE",IF(K593&gt;=3,IF(J593&gt;=5,"H","A"),IF(K593&gt;=2,IF(J593&gt;=16,"H",IF(J593&lt;=4,"L","A")),IF(J593&lt;=15,"L","A"))),IF(OR(H593="SE",H593="CE"),IF(K593&gt;=4,IF(J593&gt;=6,"H","A"),IF(K593&gt;=2,IF(J593&gt;=20,"H",IF(J593&lt;=5,"L","A")),IF(J593&lt;=19,"L","A"))),IF(OR(H593="ALI",H593="AIE"),IF(K593&gt;=6,IF(J593&gt;=20,"H","A"),IF(K593&gt;=2,IF(J593&gt;=51,"H",IF(J593&lt;=19,"L","A")),IF(J593&lt;=50,"L","A")))))))</f>
        <v/>
      </c>
      <c r="N593" s="52">
        <f>IF(M593="L","Baixa",IF(M593="A","Média",IF(M593="","","Alta")))</f>
        <v/>
      </c>
      <c r="O593" s="53">
        <f>IF(ISBLANK(H593),"",IF(H593="ALI",IF(M593="L",7,IF(M593="A",10,15)),IF(H593="AIE",IF(M593="L",5,IF(M593="A",7,10)),IF(H593="SE",IF(M593="L",4,IF(M593="A",5,7)),IF(OR(H593="EE",H593="CE"),IF(M593="L",3,IF(M593="A",4,6)))))))</f>
        <v/>
      </c>
      <c r="P593" s="54">
        <f>IF(I593="I",O593*Contagem!$W$15,IF(I593="E",O593*Contagem!$W$17,IF(I593="A",O593*Contagem!$W$16,IF(I593="T",O593*Contagem!$W$18,""))))</f>
        <v/>
      </c>
      <c r="Q593" s="55" t="n"/>
    </row>
    <row r="594" ht="12" customHeight="1" s="73">
      <c r="A594" s="14">
        <f>IF(H594="",IF(C594="",A593,A593+1),A593)</f>
        <v/>
      </c>
      <c r="B594" s="48">
        <f>IF(A594=A593,"",CONCATENATE("F",A594))</f>
        <v/>
      </c>
      <c r="C594" s="85" t="n"/>
      <c r="D594" s="142" t="n"/>
      <c r="E594" s="142" t="n"/>
      <c r="F594" s="142" t="n"/>
      <c r="G594" s="143" t="n"/>
      <c r="H594" s="56" t="n"/>
      <c r="I594" s="57" t="n"/>
      <c r="J594" s="56" t="n"/>
      <c r="K594" s="56" t="n"/>
      <c r="L594" s="50">
        <f>CONCATENATE(H594,M594)</f>
        <v/>
      </c>
      <c r="M594" s="51">
        <f>IF(OR(ISBLANK(J594),ISBLANK(K594)),IF(OR(H594="ALI",H594="AIE"),"L",IF(ISBLANK(H594),"","A")),IF(H594="EE",IF(K594&gt;=3,IF(J594&gt;=5,"H","A"),IF(K594&gt;=2,IF(J594&gt;=16,"H",IF(J594&lt;=4,"L","A")),IF(J594&lt;=15,"L","A"))),IF(OR(H594="SE",H594="CE"),IF(K594&gt;=4,IF(J594&gt;=6,"H","A"),IF(K594&gt;=2,IF(J594&gt;=20,"H",IF(J594&lt;=5,"L","A")),IF(J594&lt;=19,"L","A"))),IF(OR(H594="ALI",H594="AIE"),IF(K594&gt;=6,IF(J594&gt;=20,"H","A"),IF(K594&gt;=2,IF(J594&gt;=51,"H",IF(J594&lt;=19,"L","A")),IF(J594&lt;=50,"L","A")))))))</f>
        <v/>
      </c>
      <c r="N594" s="52">
        <f>IF(M594="L","Baixa",IF(M594="A","Média",IF(M594="","","Alta")))</f>
        <v/>
      </c>
      <c r="O594" s="53">
        <f>IF(ISBLANK(H594),"",IF(H594="ALI",IF(M594="L",7,IF(M594="A",10,15)),IF(H594="AIE",IF(M594="L",5,IF(M594="A",7,10)),IF(H594="SE",IF(M594="L",4,IF(M594="A",5,7)),IF(OR(H594="EE",H594="CE"),IF(M594="L",3,IF(M594="A",4,6)))))))</f>
        <v/>
      </c>
      <c r="P594" s="54">
        <f>IF(I594="I",O594*Contagem!$W$15,IF(I594="E",O594*Contagem!$W$17,IF(I594="A",O594*Contagem!$W$16,IF(I594="T",O594*Contagem!$W$18,""))))</f>
        <v/>
      </c>
      <c r="Q594" s="55" t="n"/>
    </row>
    <row r="595" ht="12" customHeight="1" s="73">
      <c r="A595" s="14">
        <f>IF(H595="",IF(C595="",A594,A594+1),A594)</f>
        <v/>
      </c>
      <c r="B595" s="48">
        <f>IF(A595=A594,"",CONCATENATE("F",A595))</f>
        <v/>
      </c>
      <c r="C595" s="85" t="n"/>
      <c r="D595" s="142" t="n"/>
      <c r="E595" s="142" t="n"/>
      <c r="F595" s="142" t="n"/>
      <c r="G595" s="143" t="n"/>
      <c r="H595" s="56" t="n"/>
      <c r="I595" s="57" t="n"/>
      <c r="J595" s="56" t="n"/>
      <c r="K595" s="56" t="n"/>
      <c r="L595" s="50">
        <f>CONCATENATE(H595,M595)</f>
        <v/>
      </c>
      <c r="M595" s="51">
        <f>IF(OR(ISBLANK(J595),ISBLANK(K595)),IF(OR(H595="ALI",H595="AIE"),"L",IF(ISBLANK(H595),"","A")),IF(H595="EE",IF(K595&gt;=3,IF(J595&gt;=5,"H","A"),IF(K595&gt;=2,IF(J595&gt;=16,"H",IF(J595&lt;=4,"L","A")),IF(J595&lt;=15,"L","A"))),IF(OR(H595="SE",H595="CE"),IF(K595&gt;=4,IF(J595&gt;=6,"H","A"),IF(K595&gt;=2,IF(J595&gt;=20,"H",IF(J595&lt;=5,"L","A")),IF(J595&lt;=19,"L","A"))),IF(OR(H595="ALI",H595="AIE"),IF(K595&gt;=6,IF(J595&gt;=20,"H","A"),IF(K595&gt;=2,IF(J595&gt;=51,"H",IF(J595&lt;=19,"L","A")),IF(J595&lt;=50,"L","A")))))))</f>
        <v/>
      </c>
      <c r="N595" s="52">
        <f>IF(M595="L","Baixa",IF(M595="A","Média",IF(M595="","","Alta")))</f>
        <v/>
      </c>
      <c r="O595" s="53">
        <f>IF(ISBLANK(H595),"",IF(H595="ALI",IF(M595="L",7,IF(M595="A",10,15)),IF(H595="AIE",IF(M595="L",5,IF(M595="A",7,10)),IF(H595="SE",IF(M595="L",4,IF(M595="A",5,7)),IF(OR(H595="EE",H595="CE"),IF(M595="L",3,IF(M595="A",4,6)))))))</f>
        <v/>
      </c>
      <c r="P595" s="54">
        <f>IF(I595="I",O595*Contagem!$W$15,IF(I595="E",O595*Contagem!$W$17,IF(I595="A",O595*Contagem!$W$16,IF(I595="T",O595*Contagem!$W$18,""))))</f>
        <v/>
      </c>
      <c r="Q595" s="55" t="n"/>
    </row>
    <row r="596" ht="12" customHeight="1" s="73">
      <c r="A596" s="14">
        <f>IF(H596="",IF(C596="",A595,A595+1),A595)</f>
        <v/>
      </c>
      <c r="B596" s="48">
        <f>IF(A596=A595,"",CONCATENATE("F",A596))</f>
        <v/>
      </c>
      <c r="C596" s="85" t="n"/>
      <c r="D596" s="142" t="n"/>
      <c r="E596" s="142" t="n"/>
      <c r="F596" s="142" t="n"/>
      <c r="G596" s="143" t="n"/>
      <c r="H596" s="56" t="n"/>
      <c r="I596" s="57" t="n"/>
      <c r="J596" s="56" t="n"/>
      <c r="K596" s="56" t="n"/>
      <c r="L596" s="50">
        <f>CONCATENATE(H596,M596)</f>
        <v/>
      </c>
      <c r="M596" s="51">
        <f>IF(OR(ISBLANK(J596),ISBLANK(K596)),IF(OR(H596="ALI",H596="AIE"),"L",IF(ISBLANK(H596),"","A")),IF(H596="EE",IF(K596&gt;=3,IF(J596&gt;=5,"H","A"),IF(K596&gt;=2,IF(J596&gt;=16,"H",IF(J596&lt;=4,"L","A")),IF(J596&lt;=15,"L","A"))),IF(OR(H596="SE",H596="CE"),IF(K596&gt;=4,IF(J596&gt;=6,"H","A"),IF(K596&gt;=2,IF(J596&gt;=20,"H",IF(J596&lt;=5,"L","A")),IF(J596&lt;=19,"L","A"))),IF(OR(H596="ALI",H596="AIE"),IF(K596&gt;=6,IF(J596&gt;=20,"H","A"),IF(K596&gt;=2,IF(J596&gt;=51,"H",IF(J596&lt;=19,"L","A")),IF(J596&lt;=50,"L","A")))))))</f>
        <v/>
      </c>
      <c r="N596" s="52">
        <f>IF(M596="L","Baixa",IF(M596="A","Média",IF(M596="","","Alta")))</f>
        <v/>
      </c>
      <c r="O596" s="53">
        <f>IF(ISBLANK(H596),"",IF(H596="ALI",IF(M596="L",7,IF(M596="A",10,15)),IF(H596="AIE",IF(M596="L",5,IF(M596="A",7,10)),IF(H596="SE",IF(M596="L",4,IF(M596="A",5,7)),IF(OR(H596="EE",H596="CE"),IF(M596="L",3,IF(M596="A",4,6)))))))</f>
        <v/>
      </c>
      <c r="P596" s="54">
        <f>IF(I596="I",O596*Contagem!$W$15,IF(I596="E",O596*Contagem!$W$17,IF(I596="A",O596*Contagem!$W$16,IF(I596="T",O596*Contagem!$W$18,""))))</f>
        <v/>
      </c>
      <c r="Q596" s="55" t="n"/>
    </row>
    <row r="597" ht="12" customHeight="1" s="73">
      <c r="A597" s="14">
        <f>IF(H597="",IF(C597="",A596,A596+1),A596)</f>
        <v/>
      </c>
      <c r="B597" s="48">
        <f>IF(A597=A596,"",CONCATENATE("F",A597))</f>
        <v/>
      </c>
      <c r="C597" s="85" t="n"/>
      <c r="D597" s="142" t="n"/>
      <c r="E597" s="142" t="n"/>
      <c r="F597" s="142" t="n"/>
      <c r="G597" s="143" t="n"/>
      <c r="H597" s="56" t="n"/>
      <c r="I597" s="57" t="n"/>
      <c r="J597" s="56" t="n"/>
      <c r="K597" s="56" t="n"/>
      <c r="L597" s="50">
        <f>CONCATENATE(H597,M597)</f>
        <v/>
      </c>
      <c r="M597" s="51">
        <f>IF(OR(ISBLANK(J597),ISBLANK(K597)),IF(OR(H597="ALI",H597="AIE"),"L",IF(ISBLANK(H597),"","A")),IF(H597="EE",IF(K597&gt;=3,IF(J597&gt;=5,"H","A"),IF(K597&gt;=2,IF(J597&gt;=16,"H",IF(J597&lt;=4,"L","A")),IF(J597&lt;=15,"L","A"))),IF(OR(H597="SE",H597="CE"),IF(K597&gt;=4,IF(J597&gt;=6,"H","A"),IF(K597&gt;=2,IF(J597&gt;=20,"H",IF(J597&lt;=5,"L","A")),IF(J597&lt;=19,"L","A"))),IF(OR(H597="ALI",H597="AIE"),IF(K597&gt;=6,IF(J597&gt;=20,"H","A"),IF(K597&gt;=2,IF(J597&gt;=51,"H",IF(J597&lt;=19,"L","A")),IF(J597&lt;=50,"L","A")))))))</f>
        <v/>
      </c>
      <c r="N597" s="52">
        <f>IF(M597="L","Baixa",IF(M597="A","Média",IF(M597="","","Alta")))</f>
        <v/>
      </c>
      <c r="O597" s="53">
        <f>IF(ISBLANK(H597),"",IF(H597="ALI",IF(M597="L",7,IF(M597="A",10,15)),IF(H597="AIE",IF(M597="L",5,IF(M597="A",7,10)),IF(H597="SE",IF(M597="L",4,IF(M597="A",5,7)),IF(OR(H597="EE",H597="CE"),IF(M597="L",3,IF(M597="A",4,6)))))))</f>
        <v/>
      </c>
      <c r="P597" s="54">
        <f>IF(I597="I",O597*Contagem!$W$15,IF(I597="E",O597*Contagem!$W$17,IF(I597="A",O597*Contagem!$W$16,IF(I597="T",O597*Contagem!$W$18,""))))</f>
        <v/>
      </c>
      <c r="Q597" s="55" t="n"/>
    </row>
    <row r="598" ht="12" customHeight="1" s="73">
      <c r="A598" s="14">
        <f>IF(H598="",IF(C598="",A597,A597+1),A597)</f>
        <v/>
      </c>
      <c r="B598" s="48">
        <f>IF(A598=A597,"",CONCATENATE("F",A598))</f>
        <v/>
      </c>
      <c r="C598" s="85" t="n"/>
      <c r="D598" s="142" t="n"/>
      <c r="E598" s="142" t="n"/>
      <c r="F598" s="142" t="n"/>
      <c r="G598" s="143" t="n"/>
      <c r="H598" s="56" t="n"/>
      <c r="I598" s="57" t="n"/>
      <c r="J598" s="56" t="n"/>
      <c r="K598" s="56" t="n"/>
      <c r="L598" s="50">
        <f>CONCATENATE(H598,M598)</f>
        <v/>
      </c>
      <c r="M598" s="51">
        <f>IF(OR(ISBLANK(J598),ISBLANK(K598)),IF(OR(H598="ALI",H598="AIE"),"L",IF(ISBLANK(H598),"","A")),IF(H598="EE",IF(K598&gt;=3,IF(J598&gt;=5,"H","A"),IF(K598&gt;=2,IF(J598&gt;=16,"H",IF(J598&lt;=4,"L","A")),IF(J598&lt;=15,"L","A"))),IF(OR(H598="SE",H598="CE"),IF(K598&gt;=4,IF(J598&gt;=6,"H","A"),IF(K598&gt;=2,IF(J598&gt;=20,"H",IF(J598&lt;=5,"L","A")),IF(J598&lt;=19,"L","A"))),IF(OR(H598="ALI",H598="AIE"),IF(K598&gt;=6,IF(J598&gt;=20,"H","A"),IF(K598&gt;=2,IF(J598&gt;=51,"H",IF(J598&lt;=19,"L","A")),IF(J598&lt;=50,"L","A")))))))</f>
        <v/>
      </c>
      <c r="N598" s="52">
        <f>IF(M598="L","Baixa",IF(M598="A","Média",IF(M598="","","Alta")))</f>
        <v/>
      </c>
      <c r="O598" s="53">
        <f>IF(ISBLANK(H598),"",IF(H598="ALI",IF(M598="L",7,IF(M598="A",10,15)),IF(H598="AIE",IF(M598="L",5,IF(M598="A",7,10)),IF(H598="SE",IF(M598="L",4,IF(M598="A",5,7)),IF(OR(H598="EE",H598="CE"),IF(M598="L",3,IF(M598="A",4,6)))))))</f>
        <v/>
      </c>
      <c r="P598" s="54">
        <f>IF(I598="I",O598*Contagem!$W$15,IF(I598="E",O598*Contagem!$W$17,IF(I598="A",O598*Contagem!$W$16,IF(I598="T",O598*Contagem!$W$18,""))))</f>
        <v/>
      </c>
      <c r="Q598" s="55" t="n"/>
    </row>
    <row r="599" ht="12" customHeight="1" s="73">
      <c r="A599" s="14">
        <f>IF(H599="",IF(C599="",A598,A598+1),A598)</f>
        <v/>
      </c>
      <c r="B599" s="48">
        <f>IF(A599=A598,"",CONCATENATE("F",A599))</f>
        <v/>
      </c>
      <c r="C599" s="85" t="n"/>
      <c r="D599" s="142" t="n"/>
      <c r="E599" s="142" t="n"/>
      <c r="F599" s="142" t="n"/>
      <c r="G599" s="143" t="n"/>
      <c r="H599" s="56" t="n"/>
      <c r="I599" s="57" t="n"/>
      <c r="J599" s="56" t="n"/>
      <c r="K599" s="56" t="n"/>
      <c r="L599" s="50">
        <f>CONCATENATE(H599,M599)</f>
        <v/>
      </c>
      <c r="M599" s="51">
        <f>IF(OR(ISBLANK(J599),ISBLANK(K599)),IF(OR(H599="ALI",H599="AIE"),"L",IF(ISBLANK(H599),"","A")),IF(H599="EE",IF(K599&gt;=3,IF(J599&gt;=5,"H","A"),IF(K599&gt;=2,IF(J599&gt;=16,"H",IF(J599&lt;=4,"L","A")),IF(J599&lt;=15,"L","A"))),IF(OR(H599="SE",H599="CE"),IF(K599&gt;=4,IF(J599&gt;=6,"H","A"),IF(K599&gt;=2,IF(J599&gt;=20,"H",IF(J599&lt;=5,"L","A")),IF(J599&lt;=19,"L","A"))),IF(OR(H599="ALI",H599="AIE"),IF(K599&gt;=6,IF(J599&gt;=20,"H","A"),IF(K599&gt;=2,IF(J599&gt;=51,"H",IF(J599&lt;=19,"L","A")),IF(J599&lt;=50,"L","A")))))))</f>
        <v/>
      </c>
      <c r="N599" s="52">
        <f>IF(M599="L","Baixa",IF(M599="A","Média",IF(M599="","","Alta")))</f>
        <v/>
      </c>
      <c r="O599" s="53">
        <f>IF(ISBLANK(H599),"",IF(H599="ALI",IF(M599="L",7,IF(M599="A",10,15)),IF(H599="AIE",IF(M599="L",5,IF(M599="A",7,10)),IF(H599="SE",IF(M599="L",4,IF(M599="A",5,7)),IF(OR(H599="EE",H599="CE"),IF(M599="L",3,IF(M599="A",4,6)))))))</f>
        <v/>
      </c>
      <c r="P599" s="54">
        <f>IF(I599="I",O599*Contagem!$W$15,IF(I599="E",O599*Contagem!$W$17,IF(I599="A",O599*Contagem!$W$16,IF(I599="T",O599*Contagem!$W$18,""))))</f>
        <v/>
      </c>
      <c r="Q599" s="55" t="n"/>
    </row>
    <row r="600" ht="12" customHeight="1" s="73">
      <c r="A600" s="14">
        <f>IF(H600="",IF(C600="",A599,A599+1),A599)</f>
        <v/>
      </c>
      <c r="B600" s="48">
        <f>IF(A600=A599,"",CONCATENATE("F",A600))</f>
        <v/>
      </c>
      <c r="C600" s="85" t="n"/>
      <c r="D600" s="142" t="n"/>
      <c r="E600" s="142" t="n"/>
      <c r="F600" s="142" t="n"/>
      <c r="G600" s="143" t="n"/>
      <c r="H600" s="56" t="n"/>
      <c r="I600" s="57" t="n"/>
      <c r="J600" s="56" t="n"/>
      <c r="K600" s="56" t="n"/>
      <c r="L600" s="50">
        <f>CONCATENATE(H600,M600)</f>
        <v/>
      </c>
      <c r="M600" s="51">
        <f>IF(OR(ISBLANK(J600),ISBLANK(K600)),IF(OR(H600="ALI",H600="AIE"),"L",IF(ISBLANK(H600),"","A")),IF(H600="EE",IF(K600&gt;=3,IF(J600&gt;=5,"H","A"),IF(K600&gt;=2,IF(J600&gt;=16,"H",IF(J600&lt;=4,"L","A")),IF(J600&lt;=15,"L","A"))),IF(OR(H600="SE",H600="CE"),IF(K600&gt;=4,IF(J600&gt;=6,"H","A"),IF(K600&gt;=2,IF(J600&gt;=20,"H",IF(J600&lt;=5,"L","A")),IF(J600&lt;=19,"L","A"))),IF(OR(H600="ALI",H600="AIE"),IF(K600&gt;=6,IF(J600&gt;=20,"H","A"),IF(K600&gt;=2,IF(J600&gt;=51,"H",IF(J600&lt;=19,"L","A")),IF(J600&lt;=50,"L","A")))))))</f>
        <v/>
      </c>
      <c r="N600" s="52">
        <f>IF(M600="L","Baixa",IF(M600="A","Média",IF(M600="","","Alta")))</f>
        <v/>
      </c>
      <c r="O600" s="53">
        <f>IF(ISBLANK(H600),"",IF(H600="ALI",IF(M600="L",7,IF(M600="A",10,15)),IF(H600="AIE",IF(M600="L",5,IF(M600="A",7,10)),IF(H600="SE",IF(M600="L",4,IF(M600="A",5,7)),IF(OR(H600="EE",H600="CE"),IF(M600="L",3,IF(M600="A",4,6)))))))</f>
        <v/>
      </c>
      <c r="P600" s="54">
        <f>IF(I600="I",O600*Contagem!$W$15,IF(I600="E",O600*Contagem!$W$17,IF(I600="A",O600*Contagem!$W$16,IF(I600="T",O600*Contagem!$W$18,""))))</f>
        <v/>
      </c>
      <c r="Q600" s="55" t="n"/>
    </row>
    <row r="601" ht="12" customHeight="1" s="73">
      <c r="A601" s="14">
        <f>IF(H601="",IF(C601="",A600,A600+1),A600)</f>
        <v/>
      </c>
      <c r="B601" s="48">
        <f>IF(A601=A600,"",CONCATENATE("F",A601))</f>
        <v/>
      </c>
      <c r="C601" s="85" t="n"/>
      <c r="D601" s="142" t="n"/>
      <c r="E601" s="142" t="n"/>
      <c r="F601" s="142" t="n"/>
      <c r="G601" s="143" t="n"/>
      <c r="H601" s="56" t="n"/>
      <c r="I601" s="57" t="n"/>
      <c r="J601" s="56" t="n"/>
      <c r="K601" s="56" t="n"/>
      <c r="L601" s="50">
        <f>CONCATENATE(H601,M601)</f>
        <v/>
      </c>
      <c r="M601" s="51">
        <f>IF(OR(ISBLANK(J601),ISBLANK(K601)),IF(OR(H601="ALI",H601="AIE"),"L",IF(ISBLANK(H601),"","A")),IF(H601="EE",IF(K601&gt;=3,IF(J601&gt;=5,"H","A"),IF(K601&gt;=2,IF(J601&gt;=16,"H",IF(J601&lt;=4,"L","A")),IF(J601&lt;=15,"L","A"))),IF(OR(H601="SE",H601="CE"),IF(K601&gt;=4,IF(J601&gt;=6,"H","A"),IF(K601&gt;=2,IF(J601&gt;=20,"H",IF(J601&lt;=5,"L","A")),IF(J601&lt;=19,"L","A"))),IF(OR(H601="ALI",H601="AIE"),IF(K601&gt;=6,IF(J601&gt;=20,"H","A"),IF(K601&gt;=2,IF(J601&gt;=51,"H",IF(J601&lt;=19,"L","A")),IF(J601&lt;=50,"L","A")))))))</f>
        <v/>
      </c>
      <c r="N601" s="52">
        <f>IF(M601="L","Baixa",IF(M601="A","Média",IF(M601="","","Alta")))</f>
        <v/>
      </c>
      <c r="O601" s="53">
        <f>IF(ISBLANK(H601),"",IF(H601="ALI",IF(M601="L",7,IF(M601="A",10,15)),IF(H601="AIE",IF(M601="L",5,IF(M601="A",7,10)),IF(H601="SE",IF(M601="L",4,IF(M601="A",5,7)),IF(OR(H601="EE",H601="CE"),IF(M601="L",3,IF(M601="A",4,6)))))))</f>
        <v/>
      </c>
      <c r="P601" s="54">
        <f>IF(I601="I",O601*Contagem!$W$15,IF(I601="E",O601*Contagem!$W$17,IF(I601="A",O601*Contagem!$W$16,IF(I601="T",O601*Contagem!$W$18,""))))</f>
        <v/>
      </c>
      <c r="Q601" s="55" t="n"/>
    </row>
    <row r="602" ht="12" customHeight="1" s="73">
      <c r="A602" s="14">
        <f>IF(H602="",IF(C602="",A601,A601+1),A601)</f>
        <v/>
      </c>
      <c r="B602" s="48">
        <f>IF(A602=A601,"",CONCATENATE("F",A602))</f>
        <v/>
      </c>
      <c r="C602" s="85" t="n"/>
      <c r="D602" s="142" t="n"/>
      <c r="E602" s="142" t="n"/>
      <c r="F602" s="142" t="n"/>
      <c r="G602" s="143" t="n"/>
      <c r="H602" s="56" t="n"/>
      <c r="I602" s="57" t="n"/>
      <c r="J602" s="56" t="n"/>
      <c r="K602" s="56" t="n"/>
      <c r="L602" s="50">
        <f>CONCATENATE(H602,M602)</f>
        <v/>
      </c>
      <c r="M602" s="51">
        <f>IF(OR(ISBLANK(J602),ISBLANK(K602)),IF(OR(H602="ALI",H602="AIE"),"L",IF(ISBLANK(H602),"","A")),IF(H602="EE",IF(K602&gt;=3,IF(J602&gt;=5,"H","A"),IF(K602&gt;=2,IF(J602&gt;=16,"H",IF(J602&lt;=4,"L","A")),IF(J602&lt;=15,"L","A"))),IF(OR(H602="SE",H602="CE"),IF(K602&gt;=4,IF(J602&gt;=6,"H","A"),IF(K602&gt;=2,IF(J602&gt;=20,"H",IF(J602&lt;=5,"L","A")),IF(J602&lt;=19,"L","A"))),IF(OR(H602="ALI",H602="AIE"),IF(K602&gt;=6,IF(J602&gt;=20,"H","A"),IF(K602&gt;=2,IF(J602&gt;=51,"H",IF(J602&lt;=19,"L","A")),IF(J602&lt;=50,"L","A")))))))</f>
        <v/>
      </c>
      <c r="N602" s="52">
        <f>IF(M602="L","Baixa",IF(M602="A","Média",IF(M602="","","Alta")))</f>
        <v/>
      </c>
      <c r="O602" s="53">
        <f>IF(ISBLANK(H602),"",IF(H602="ALI",IF(M602="L",7,IF(M602="A",10,15)),IF(H602="AIE",IF(M602="L",5,IF(M602="A",7,10)),IF(H602="SE",IF(M602="L",4,IF(M602="A",5,7)),IF(OR(H602="EE",H602="CE"),IF(M602="L",3,IF(M602="A",4,6)))))))</f>
        <v/>
      </c>
      <c r="P602" s="54">
        <f>IF(I602="I",O602*Contagem!$W$15,IF(I602="E",O602*Contagem!$W$17,IF(I602="A",O602*Contagem!$W$16,IF(I602="T",O602*Contagem!$W$18,""))))</f>
        <v/>
      </c>
      <c r="Q602" s="55" t="n"/>
    </row>
    <row r="603" ht="12" customHeight="1" s="73">
      <c r="A603" s="14">
        <f>IF(H603="",IF(C603="",A602,A602+1),A602)</f>
        <v/>
      </c>
      <c r="B603" s="48">
        <f>IF(A603=A602,"",CONCATENATE("F",A603))</f>
        <v/>
      </c>
      <c r="C603" s="85" t="n"/>
      <c r="D603" s="142" t="n"/>
      <c r="E603" s="142" t="n"/>
      <c r="F603" s="142" t="n"/>
      <c r="G603" s="143" t="n"/>
      <c r="H603" s="56" t="n"/>
      <c r="I603" s="57" t="n"/>
      <c r="J603" s="56" t="n"/>
      <c r="K603" s="56" t="n"/>
      <c r="L603" s="50">
        <f>CONCATENATE(H603,M603)</f>
        <v/>
      </c>
      <c r="M603" s="51">
        <f>IF(OR(ISBLANK(J603),ISBLANK(K603)),IF(OR(H603="ALI",H603="AIE"),"L",IF(ISBLANK(H603),"","A")),IF(H603="EE",IF(K603&gt;=3,IF(J603&gt;=5,"H","A"),IF(K603&gt;=2,IF(J603&gt;=16,"H",IF(J603&lt;=4,"L","A")),IF(J603&lt;=15,"L","A"))),IF(OR(H603="SE",H603="CE"),IF(K603&gt;=4,IF(J603&gt;=6,"H","A"),IF(K603&gt;=2,IF(J603&gt;=20,"H",IF(J603&lt;=5,"L","A")),IF(J603&lt;=19,"L","A"))),IF(OR(H603="ALI",H603="AIE"),IF(K603&gt;=6,IF(J603&gt;=20,"H","A"),IF(K603&gt;=2,IF(J603&gt;=51,"H",IF(J603&lt;=19,"L","A")),IF(J603&lt;=50,"L","A")))))))</f>
        <v/>
      </c>
      <c r="N603" s="52">
        <f>IF(M603="L","Baixa",IF(M603="A","Média",IF(M603="","","Alta")))</f>
        <v/>
      </c>
      <c r="O603" s="53">
        <f>IF(ISBLANK(H603),"",IF(H603="ALI",IF(M603="L",7,IF(M603="A",10,15)),IF(H603="AIE",IF(M603="L",5,IF(M603="A",7,10)),IF(H603="SE",IF(M603="L",4,IF(M603="A",5,7)),IF(OR(H603="EE",H603="CE"),IF(M603="L",3,IF(M603="A",4,6)))))))</f>
        <v/>
      </c>
      <c r="P603" s="54">
        <f>IF(I603="I",O603*Contagem!$W$15,IF(I603="E",O603*Contagem!$W$17,IF(I603="A",O603*Contagem!$W$16,IF(I603="T",O603*Contagem!$W$18,""))))</f>
        <v/>
      </c>
      <c r="Q603" s="55" t="n"/>
    </row>
    <row r="604" ht="12" customHeight="1" s="73">
      <c r="A604" s="14">
        <f>IF(H604="",IF(C604="",A603,A603+1),A603)</f>
        <v/>
      </c>
      <c r="B604" s="48">
        <f>IF(A604=A603,"",CONCATENATE("F",A604))</f>
        <v/>
      </c>
      <c r="C604" s="85" t="n"/>
      <c r="D604" s="142" t="n"/>
      <c r="E604" s="142" t="n"/>
      <c r="F604" s="142" t="n"/>
      <c r="G604" s="143" t="n"/>
      <c r="H604" s="56" t="n"/>
      <c r="I604" s="57" t="n"/>
      <c r="J604" s="56" t="n"/>
      <c r="K604" s="56" t="n"/>
      <c r="L604" s="50">
        <f>CONCATENATE(H604,M604)</f>
        <v/>
      </c>
      <c r="M604" s="51">
        <f>IF(OR(ISBLANK(J604),ISBLANK(K604)),IF(OR(H604="ALI",H604="AIE"),"L",IF(ISBLANK(H604),"","A")),IF(H604="EE",IF(K604&gt;=3,IF(J604&gt;=5,"H","A"),IF(K604&gt;=2,IF(J604&gt;=16,"H",IF(J604&lt;=4,"L","A")),IF(J604&lt;=15,"L","A"))),IF(OR(H604="SE",H604="CE"),IF(K604&gt;=4,IF(J604&gt;=6,"H","A"),IF(K604&gt;=2,IF(J604&gt;=20,"H",IF(J604&lt;=5,"L","A")),IF(J604&lt;=19,"L","A"))),IF(OR(H604="ALI",H604="AIE"),IF(K604&gt;=6,IF(J604&gt;=20,"H","A"),IF(K604&gt;=2,IF(J604&gt;=51,"H",IF(J604&lt;=19,"L","A")),IF(J604&lt;=50,"L","A")))))))</f>
        <v/>
      </c>
      <c r="N604" s="52">
        <f>IF(M604="L","Baixa",IF(M604="A","Média",IF(M604="","","Alta")))</f>
        <v/>
      </c>
      <c r="O604" s="53">
        <f>IF(ISBLANK(H604),"",IF(H604="ALI",IF(M604="L",7,IF(M604="A",10,15)),IF(H604="AIE",IF(M604="L",5,IF(M604="A",7,10)),IF(H604="SE",IF(M604="L",4,IF(M604="A",5,7)),IF(OR(H604="EE",H604="CE"),IF(M604="L",3,IF(M604="A",4,6)))))))</f>
        <v/>
      </c>
      <c r="P604" s="54">
        <f>IF(I604="I",O604*Contagem!$W$15,IF(I604="E",O604*Contagem!$W$17,IF(I604="A",O604*Contagem!$W$16,IF(I604="T",O604*Contagem!$W$18,""))))</f>
        <v/>
      </c>
      <c r="Q604" s="55" t="n"/>
    </row>
    <row r="605" ht="12" customHeight="1" s="73">
      <c r="A605" s="14">
        <f>IF(H605="",IF(C605="",A604,A604+1),A604)</f>
        <v/>
      </c>
      <c r="B605" s="48">
        <f>IF(A605=A604,"",CONCATENATE("F",A605))</f>
        <v/>
      </c>
      <c r="C605" s="85" t="n"/>
      <c r="D605" s="142" t="n"/>
      <c r="E605" s="142" t="n"/>
      <c r="F605" s="142" t="n"/>
      <c r="G605" s="143" t="n"/>
      <c r="H605" s="56" t="n"/>
      <c r="I605" s="57" t="n"/>
      <c r="J605" s="56" t="n"/>
      <c r="K605" s="56" t="n"/>
      <c r="L605" s="50">
        <f>CONCATENATE(H605,M605)</f>
        <v/>
      </c>
      <c r="M605" s="51">
        <f>IF(OR(ISBLANK(J605),ISBLANK(K605)),IF(OR(H605="ALI",H605="AIE"),"L",IF(ISBLANK(H605),"","A")),IF(H605="EE",IF(K605&gt;=3,IF(J605&gt;=5,"H","A"),IF(K605&gt;=2,IF(J605&gt;=16,"H",IF(J605&lt;=4,"L","A")),IF(J605&lt;=15,"L","A"))),IF(OR(H605="SE",H605="CE"),IF(K605&gt;=4,IF(J605&gt;=6,"H","A"),IF(K605&gt;=2,IF(J605&gt;=20,"H",IF(J605&lt;=5,"L","A")),IF(J605&lt;=19,"L","A"))),IF(OR(H605="ALI",H605="AIE"),IF(K605&gt;=6,IF(J605&gt;=20,"H","A"),IF(K605&gt;=2,IF(J605&gt;=51,"H",IF(J605&lt;=19,"L","A")),IF(J605&lt;=50,"L","A")))))))</f>
        <v/>
      </c>
      <c r="N605" s="52">
        <f>IF(M605="L","Baixa",IF(M605="A","Média",IF(M605="","","Alta")))</f>
        <v/>
      </c>
      <c r="O605" s="53">
        <f>IF(ISBLANK(H605),"",IF(H605="ALI",IF(M605="L",7,IF(M605="A",10,15)),IF(H605="AIE",IF(M605="L",5,IF(M605="A",7,10)),IF(H605="SE",IF(M605="L",4,IF(M605="A",5,7)),IF(OR(H605="EE",H605="CE"),IF(M605="L",3,IF(M605="A",4,6)))))))</f>
        <v/>
      </c>
      <c r="P605" s="54">
        <f>IF(I605="I",O605*Contagem!$W$15,IF(I605="E",O605*Contagem!$W$17,IF(I605="A",O605*Contagem!$W$16,IF(I605="T",O605*Contagem!$W$18,""))))</f>
        <v/>
      </c>
      <c r="Q605" s="55" t="n"/>
    </row>
    <row r="606" ht="12" customHeight="1" s="73">
      <c r="A606" s="14">
        <f>IF(H606="",IF(C606="",A605,A605+1),A605)</f>
        <v/>
      </c>
      <c r="B606" s="48">
        <f>IF(A606=A605,"",CONCATENATE("F",A606))</f>
        <v/>
      </c>
      <c r="C606" s="85" t="n"/>
      <c r="D606" s="142" t="n"/>
      <c r="E606" s="142" t="n"/>
      <c r="F606" s="142" t="n"/>
      <c r="G606" s="143" t="n"/>
      <c r="H606" s="56" t="n"/>
      <c r="I606" s="57" t="n"/>
      <c r="J606" s="56" t="n"/>
      <c r="K606" s="56" t="n"/>
      <c r="L606" s="50">
        <f>CONCATENATE(H606,M606)</f>
        <v/>
      </c>
      <c r="M606" s="51">
        <f>IF(OR(ISBLANK(J606),ISBLANK(K606)),IF(OR(H606="ALI",H606="AIE"),"L",IF(ISBLANK(H606),"","A")),IF(H606="EE",IF(K606&gt;=3,IF(J606&gt;=5,"H","A"),IF(K606&gt;=2,IF(J606&gt;=16,"H",IF(J606&lt;=4,"L","A")),IF(J606&lt;=15,"L","A"))),IF(OR(H606="SE",H606="CE"),IF(K606&gt;=4,IF(J606&gt;=6,"H","A"),IF(K606&gt;=2,IF(J606&gt;=20,"H",IF(J606&lt;=5,"L","A")),IF(J606&lt;=19,"L","A"))),IF(OR(H606="ALI",H606="AIE"),IF(K606&gt;=6,IF(J606&gt;=20,"H","A"),IF(K606&gt;=2,IF(J606&gt;=51,"H",IF(J606&lt;=19,"L","A")),IF(J606&lt;=50,"L","A")))))))</f>
        <v/>
      </c>
      <c r="N606" s="52">
        <f>IF(M606="L","Baixa",IF(M606="A","Média",IF(M606="","","Alta")))</f>
        <v/>
      </c>
      <c r="O606" s="53">
        <f>IF(ISBLANK(H606),"",IF(H606="ALI",IF(M606="L",7,IF(M606="A",10,15)),IF(H606="AIE",IF(M606="L",5,IF(M606="A",7,10)),IF(H606="SE",IF(M606="L",4,IF(M606="A",5,7)),IF(OR(H606="EE",H606="CE"),IF(M606="L",3,IF(M606="A",4,6)))))))</f>
        <v/>
      </c>
      <c r="P606" s="54">
        <f>IF(I606="I",O606*Contagem!$W$15,IF(I606="E",O606*Contagem!$W$17,IF(I606="A",O606*Contagem!$W$16,IF(I606="T",O606*Contagem!$W$18,""))))</f>
        <v/>
      </c>
      <c r="Q606" s="55" t="n"/>
    </row>
    <row r="607" ht="12" customHeight="1" s="73">
      <c r="A607" s="14">
        <f>IF(H607="",IF(C607="",A606,A606+1),A606)</f>
        <v/>
      </c>
      <c r="B607" s="48">
        <f>IF(A607=A606,"",CONCATENATE("F",A607))</f>
        <v/>
      </c>
      <c r="C607" s="85" t="n"/>
      <c r="D607" s="142" t="n"/>
      <c r="E607" s="142" t="n"/>
      <c r="F607" s="142" t="n"/>
      <c r="G607" s="143" t="n"/>
      <c r="H607" s="56" t="n"/>
      <c r="I607" s="57" t="n"/>
      <c r="J607" s="56" t="n"/>
      <c r="K607" s="56" t="n"/>
      <c r="L607" s="50">
        <f>CONCATENATE(H607,M607)</f>
        <v/>
      </c>
      <c r="M607" s="51">
        <f>IF(OR(ISBLANK(J607),ISBLANK(K607)),IF(OR(H607="ALI",H607="AIE"),"L",IF(ISBLANK(H607),"","A")),IF(H607="EE",IF(K607&gt;=3,IF(J607&gt;=5,"H","A"),IF(K607&gt;=2,IF(J607&gt;=16,"H",IF(J607&lt;=4,"L","A")),IF(J607&lt;=15,"L","A"))),IF(OR(H607="SE",H607="CE"),IF(K607&gt;=4,IF(J607&gt;=6,"H","A"),IF(K607&gt;=2,IF(J607&gt;=20,"H",IF(J607&lt;=5,"L","A")),IF(J607&lt;=19,"L","A"))),IF(OR(H607="ALI",H607="AIE"),IF(K607&gt;=6,IF(J607&gt;=20,"H","A"),IF(K607&gt;=2,IF(J607&gt;=51,"H",IF(J607&lt;=19,"L","A")),IF(J607&lt;=50,"L","A")))))))</f>
        <v/>
      </c>
      <c r="N607" s="52">
        <f>IF(M607="L","Baixa",IF(M607="A","Média",IF(M607="","","Alta")))</f>
        <v/>
      </c>
      <c r="O607" s="53">
        <f>IF(ISBLANK(H607),"",IF(H607="ALI",IF(M607="L",7,IF(M607="A",10,15)),IF(H607="AIE",IF(M607="L",5,IF(M607="A",7,10)),IF(H607="SE",IF(M607="L",4,IF(M607="A",5,7)),IF(OR(H607="EE",H607="CE"),IF(M607="L",3,IF(M607="A",4,6)))))))</f>
        <v/>
      </c>
      <c r="P607" s="54">
        <f>IF(I607="I",O607*Contagem!$W$15,IF(I607="E",O607*Contagem!$W$17,IF(I607="A",O607*Contagem!$W$16,IF(I607="T",O607*Contagem!$W$18,""))))</f>
        <v/>
      </c>
      <c r="Q607" s="55" t="n"/>
    </row>
    <row r="608" ht="12" customHeight="1" s="73">
      <c r="A608" s="14">
        <f>IF(H608="",IF(C608="",A607,A607+1),A607)</f>
        <v/>
      </c>
      <c r="B608" s="48">
        <f>IF(A608=A607,"",CONCATENATE("F",A608))</f>
        <v/>
      </c>
      <c r="C608" s="85" t="n"/>
      <c r="D608" s="142" t="n"/>
      <c r="E608" s="142" t="n"/>
      <c r="F608" s="142" t="n"/>
      <c r="G608" s="143" t="n"/>
      <c r="H608" s="56" t="n"/>
      <c r="I608" s="57" t="n"/>
      <c r="J608" s="56" t="n"/>
      <c r="K608" s="56" t="n"/>
      <c r="L608" s="50">
        <f>CONCATENATE(H608,M608)</f>
        <v/>
      </c>
      <c r="M608" s="51">
        <f>IF(OR(ISBLANK(J608),ISBLANK(K608)),IF(OR(H608="ALI",H608="AIE"),"L",IF(ISBLANK(H608),"","A")),IF(H608="EE",IF(K608&gt;=3,IF(J608&gt;=5,"H","A"),IF(K608&gt;=2,IF(J608&gt;=16,"H",IF(J608&lt;=4,"L","A")),IF(J608&lt;=15,"L","A"))),IF(OR(H608="SE",H608="CE"),IF(K608&gt;=4,IF(J608&gt;=6,"H","A"),IF(K608&gt;=2,IF(J608&gt;=20,"H",IF(J608&lt;=5,"L","A")),IF(J608&lt;=19,"L","A"))),IF(OR(H608="ALI",H608="AIE"),IF(K608&gt;=6,IF(J608&gt;=20,"H","A"),IF(K608&gt;=2,IF(J608&gt;=51,"H",IF(J608&lt;=19,"L","A")),IF(J608&lt;=50,"L","A")))))))</f>
        <v/>
      </c>
      <c r="N608" s="52">
        <f>IF(M608="L","Baixa",IF(M608="A","Média",IF(M608="","","Alta")))</f>
        <v/>
      </c>
      <c r="O608" s="53">
        <f>IF(ISBLANK(H608),"",IF(H608="ALI",IF(M608="L",7,IF(M608="A",10,15)),IF(H608="AIE",IF(M608="L",5,IF(M608="A",7,10)),IF(H608="SE",IF(M608="L",4,IF(M608="A",5,7)),IF(OR(H608="EE",H608="CE"),IF(M608="L",3,IF(M608="A",4,6)))))))</f>
        <v/>
      </c>
      <c r="P608" s="54">
        <f>IF(I608="I",O608*Contagem!$W$15,IF(I608="E",O608*Contagem!$W$17,IF(I608="A",O608*Contagem!$W$16,IF(I608="T",O608*Contagem!$W$18,""))))</f>
        <v/>
      </c>
      <c r="Q608" s="55" t="n"/>
    </row>
    <row r="609" ht="12" customHeight="1" s="73">
      <c r="A609" s="14">
        <f>IF(H609="",IF(C609="",A608,A608+1),A608)</f>
        <v/>
      </c>
      <c r="B609" s="48">
        <f>IF(A609=A608,"",CONCATENATE("F",A609))</f>
        <v/>
      </c>
      <c r="C609" s="85" t="n"/>
      <c r="D609" s="142" t="n"/>
      <c r="E609" s="142" t="n"/>
      <c r="F609" s="142" t="n"/>
      <c r="G609" s="143" t="n"/>
      <c r="H609" s="56" t="n"/>
      <c r="I609" s="57" t="n"/>
      <c r="J609" s="56" t="n"/>
      <c r="K609" s="56" t="n"/>
      <c r="L609" s="50">
        <f>CONCATENATE(H609,M609)</f>
        <v/>
      </c>
      <c r="M609" s="51">
        <f>IF(OR(ISBLANK(J609),ISBLANK(K609)),IF(OR(H609="ALI",H609="AIE"),"L",IF(ISBLANK(H609),"","A")),IF(H609="EE",IF(K609&gt;=3,IF(J609&gt;=5,"H","A"),IF(K609&gt;=2,IF(J609&gt;=16,"H",IF(J609&lt;=4,"L","A")),IF(J609&lt;=15,"L","A"))),IF(OR(H609="SE",H609="CE"),IF(K609&gt;=4,IF(J609&gt;=6,"H","A"),IF(K609&gt;=2,IF(J609&gt;=20,"H",IF(J609&lt;=5,"L","A")),IF(J609&lt;=19,"L","A"))),IF(OR(H609="ALI",H609="AIE"),IF(K609&gt;=6,IF(J609&gt;=20,"H","A"),IF(K609&gt;=2,IF(J609&gt;=51,"H",IF(J609&lt;=19,"L","A")),IF(J609&lt;=50,"L","A")))))))</f>
        <v/>
      </c>
      <c r="N609" s="52">
        <f>IF(M609="L","Baixa",IF(M609="A","Média",IF(M609="","","Alta")))</f>
        <v/>
      </c>
      <c r="O609" s="53">
        <f>IF(ISBLANK(H609),"",IF(H609="ALI",IF(M609="L",7,IF(M609="A",10,15)),IF(H609="AIE",IF(M609="L",5,IF(M609="A",7,10)),IF(H609="SE",IF(M609="L",4,IF(M609="A",5,7)),IF(OR(H609="EE",H609="CE"),IF(M609="L",3,IF(M609="A",4,6)))))))</f>
        <v/>
      </c>
      <c r="P609" s="54">
        <f>IF(I609="I",O609*Contagem!$W$15,IF(I609="E",O609*Contagem!$W$17,IF(I609="A",O609*Contagem!$W$16,IF(I609="T",O609*Contagem!$W$18,""))))</f>
        <v/>
      </c>
      <c r="Q609" s="55" t="n"/>
    </row>
    <row r="610" ht="12" customHeight="1" s="73">
      <c r="A610" s="14">
        <f>IF(H610="",IF(C610="",A609,A609+1),A609)</f>
        <v/>
      </c>
      <c r="B610" s="48">
        <f>IF(A610=A609,"",CONCATENATE("F",A610))</f>
        <v/>
      </c>
      <c r="C610" s="85" t="n"/>
      <c r="D610" s="142" t="n"/>
      <c r="E610" s="142" t="n"/>
      <c r="F610" s="142" t="n"/>
      <c r="G610" s="143" t="n"/>
      <c r="H610" s="56" t="n"/>
      <c r="I610" s="57" t="n"/>
      <c r="J610" s="56" t="n"/>
      <c r="K610" s="56" t="n"/>
      <c r="L610" s="50">
        <f>CONCATENATE(H610,M610)</f>
        <v/>
      </c>
      <c r="M610" s="51">
        <f>IF(OR(ISBLANK(J610),ISBLANK(K610)),IF(OR(H610="ALI",H610="AIE"),"L",IF(ISBLANK(H610),"","A")),IF(H610="EE",IF(K610&gt;=3,IF(J610&gt;=5,"H","A"),IF(K610&gt;=2,IF(J610&gt;=16,"H",IF(J610&lt;=4,"L","A")),IF(J610&lt;=15,"L","A"))),IF(OR(H610="SE",H610="CE"),IF(K610&gt;=4,IF(J610&gt;=6,"H","A"),IF(K610&gt;=2,IF(J610&gt;=20,"H",IF(J610&lt;=5,"L","A")),IF(J610&lt;=19,"L","A"))),IF(OR(H610="ALI",H610="AIE"),IF(K610&gt;=6,IF(J610&gt;=20,"H","A"),IF(K610&gt;=2,IF(J610&gt;=51,"H",IF(J610&lt;=19,"L","A")),IF(J610&lt;=50,"L","A")))))))</f>
        <v/>
      </c>
      <c r="N610" s="52">
        <f>IF(M610="L","Baixa",IF(M610="A","Média",IF(M610="","","Alta")))</f>
        <v/>
      </c>
      <c r="O610" s="53">
        <f>IF(ISBLANK(H610),"",IF(H610="ALI",IF(M610="L",7,IF(M610="A",10,15)),IF(H610="AIE",IF(M610="L",5,IF(M610="A",7,10)),IF(H610="SE",IF(M610="L",4,IF(M610="A",5,7)),IF(OR(H610="EE",H610="CE"),IF(M610="L",3,IF(M610="A",4,6)))))))</f>
        <v/>
      </c>
      <c r="P610" s="54">
        <f>IF(I610="I",O610*Contagem!$W$15,IF(I610="E",O610*Contagem!$W$17,IF(I610="A",O610*Contagem!$W$16,IF(I610="T",O610*Contagem!$W$18,""))))</f>
        <v/>
      </c>
      <c r="Q610" s="55" t="n"/>
    </row>
    <row r="611" ht="12" customHeight="1" s="73">
      <c r="A611" s="14">
        <f>IF(H611="",IF(C611="",A610,A610+1),A610)</f>
        <v/>
      </c>
      <c r="B611" s="48">
        <f>IF(A611=A610,"",CONCATENATE("F",A611))</f>
        <v/>
      </c>
      <c r="C611" s="85" t="n"/>
      <c r="D611" s="142" t="n"/>
      <c r="E611" s="142" t="n"/>
      <c r="F611" s="142" t="n"/>
      <c r="G611" s="143" t="n"/>
      <c r="H611" s="56" t="n"/>
      <c r="I611" s="57" t="n"/>
      <c r="J611" s="56" t="n"/>
      <c r="K611" s="56" t="n"/>
      <c r="L611" s="50">
        <f>CONCATENATE(H611,M611)</f>
        <v/>
      </c>
      <c r="M611" s="51">
        <f>IF(OR(ISBLANK(J611),ISBLANK(K611)),IF(OR(H611="ALI",H611="AIE"),"L",IF(ISBLANK(H611),"","A")),IF(H611="EE",IF(K611&gt;=3,IF(J611&gt;=5,"H","A"),IF(K611&gt;=2,IF(J611&gt;=16,"H",IF(J611&lt;=4,"L","A")),IF(J611&lt;=15,"L","A"))),IF(OR(H611="SE",H611="CE"),IF(K611&gt;=4,IF(J611&gt;=6,"H","A"),IF(K611&gt;=2,IF(J611&gt;=20,"H",IF(J611&lt;=5,"L","A")),IF(J611&lt;=19,"L","A"))),IF(OR(H611="ALI",H611="AIE"),IF(K611&gt;=6,IF(J611&gt;=20,"H","A"),IF(K611&gt;=2,IF(J611&gt;=51,"H",IF(J611&lt;=19,"L","A")),IF(J611&lt;=50,"L","A")))))))</f>
        <v/>
      </c>
      <c r="N611" s="52">
        <f>IF(M611="L","Baixa",IF(M611="A","Média",IF(M611="","","Alta")))</f>
        <v/>
      </c>
      <c r="O611" s="53">
        <f>IF(ISBLANK(H611),"",IF(H611="ALI",IF(M611="L",7,IF(M611="A",10,15)),IF(H611="AIE",IF(M611="L",5,IF(M611="A",7,10)),IF(H611="SE",IF(M611="L",4,IF(M611="A",5,7)),IF(OR(H611="EE",H611="CE"),IF(M611="L",3,IF(M611="A",4,6)))))))</f>
        <v/>
      </c>
      <c r="P611" s="54">
        <f>IF(I611="I",O611*Contagem!$W$15,IF(I611="E",O611*Contagem!$W$17,IF(I611="A",O611*Contagem!$W$16,IF(I611="T",O611*Contagem!$W$18,""))))</f>
        <v/>
      </c>
      <c r="Q611" s="55" t="n"/>
    </row>
    <row r="612" ht="12" customHeight="1" s="73">
      <c r="A612" s="14">
        <f>IF(H612="",IF(C612="",A611,A611+1),A611)</f>
        <v/>
      </c>
      <c r="B612" s="48">
        <f>IF(A612=A611,"",CONCATENATE("F",A612))</f>
        <v/>
      </c>
      <c r="C612" s="85" t="n"/>
      <c r="D612" s="142" t="n"/>
      <c r="E612" s="142" t="n"/>
      <c r="F612" s="142" t="n"/>
      <c r="G612" s="143" t="n"/>
      <c r="H612" s="56" t="n"/>
      <c r="I612" s="57" t="n"/>
      <c r="J612" s="56" t="n"/>
      <c r="K612" s="56" t="n"/>
      <c r="L612" s="50">
        <f>CONCATENATE(H612,M612)</f>
        <v/>
      </c>
      <c r="M612" s="51">
        <f>IF(OR(ISBLANK(J612),ISBLANK(K612)),IF(OR(H612="ALI",H612="AIE"),"L",IF(ISBLANK(H612),"","A")),IF(H612="EE",IF(K612&gt;=3,IF(J612&gt;=5,"H","A"),IF(K612&gt;=2,IF(J612&gt;=16,"H",IF(J612&lt;=4,"L","A")),IF(J612&lt;=15,"L","A"))),IF(OR(H612="SE",H612="CE"),IF(K612&gt;=4,IF(J612&gt;=6,"H","A"),IF(K612&gt;=2,IF(J612&gt;=20,"H",IF(J612&lt;=5,"L","A")),IF(J612&lt;=19,"L","A"))),IF(OR(H612="ALI",H612="AIE"),IF(K612&gt;=6,IF(J612&gt;=20,"H","A"),IF(K612&gt;=2,IF(J612&gt;=51,"H",IF(J612&lt;=19,"L","A")),IF(J612&lt;=50,"L","A")))))))</f>
        <v/>
      </c>
      <c r="N612" s="52">
        <f>IF(M612="L","Baixa",IF(M612="A","Média",IF(M612="","","Alta")))</f>
        <v/>
      </c>
      <c r="O612" s="53">
        <f>IF(ISBLANK(H612),"",IF(H612="ALI",IF(M612="L",7,IF(M612="A",10,15)),IF(H612="AIE",IF(M612="L",5,IF(M612="A",7,10)),IF(H612="SE",IF(M612="L",4,IF(M612="A",5,7)),IF(OR(H612="EE",H612="CE"),IF(M612="L",3,IF(M612="A",4,6)))))))</f>
        <v/>
      </c>
      <c r="P612" s="54">
        <f>IF(I612="I",O612*Contagem!$W$15,IF(I612="E",O612*Contagem!$W$17,IF(I612="A",O612*Contagem!$W$16,IF(I612="T",O612*Contagem!$W$18,""))))</f>
        <v/>
      </c>
      <c r="Q612" s="55" t="n"/>
    </row>
    <row r="613" ht="12" customHeight="1" s="73">
      <c r="A613" s="14">
        <f>IF(H613="",IF(C613="",A612,A612+1),A612)</f>
        <v/>
      </c>
      <c r="B613" s="48">
        <f>IF(A613=A612,"",CONCATENATE("F",A613))</f>
        <v/>
      </c>
      <c r="C613" s="85" t="n"/>
      <c r="D613" s="142" t="n"/>
      <c r="E613" s="142" t="n"/>
      <c r="F613" s="142" t="n"/>
      <c r="G613" s="143" t="n"/>
      <c r="H613" s="56" t="n"/>
      <c r="I613" s="57" t="n"/>
      <c r="J613" s="56" t="n"/>
      <c r="K613" s="56" t="n"/>
      <c r="L613" s="50">
        <f>CONCATENATE(H613,M613)</f>
        <v/>
      </c>
      <c r="M613" s="51">
        <f>IF(OR(ISBLANK(J613),ISBLANK(K613)),IF(OR(H613="ALI",H613="AIE"),"L",IF(ISBLANK(H613),"","A")),IF(H613="EE",IF(K613&gt;=3,IF(J613&gt;=5,"H","A"),IF(K613&gt;=2,IF(J613&gt;=16,"H",IF(J613&lt;=4,"L","A")),IF(J613&lt;=15,"L","A"))),IF(OR(H613="SE",H613="CE"),IF(K613&gt;=4,IF(J613&gt;=6,"H","A"),IF(K613&gt;=2,IF(J613&gt;=20,"H",IF(J613&lt;=5,"L","A")),IF(J613&lt;=19,"L","A"))),IF(OR(H613="ALI",H613="AIE"),IF(K613&gt;=6,IF(J613&gt;=20,"H","A"),IF(K613&gt;=2,IF(J613&gt;=51,"H",IF(J613&lt;=19,"L","A")),IF(J613&lt;=50,"L","A")))))))</f>
        <v/>
      </c>
      <c r="N613" s="52">
        <f>IF(M613="L","Baixa",IF(M613="A","Média",IF(M613="","","Alta")))</f>
        <v/>
      </c>
      <c r="O613" s="53">
        <f>IF(ISBLANK(H613),"",IF(H613="ALI",IF(M613="L",7,IF(M613="A",10,15)),IF(H613="AIE",IF(M613="L",5,IF(M613="A",7,10)),IF(H613="SE",IF(M613="L",4,IF(M613="A",5,7)),IF(OR(H613="EE",H613="CE"),IF(M613="L",3,IF(M613="A",4,6)))))))</f>
        <v/>
      </c>
      <c r="P613" s="54">
        <f>IF(I613="I",O613*Contagem!$W$15,IF(I613="E",O613*Contagem!$W$17,IF(I613="A",O613*Contagem!$W$16,IF(I613="T",O613*Contagem!$W$18,""))))</f>
        <v/>
      </c>
      <c r="Q613" s="55" t="n"/>
    </row>
    <row r="614" ht="12" customHeight="1" s="73">
      <c r="A614" s="14">
        <f>IF(H614="",IF(C614="",A613,A613+1),A613)</f>
        <v/>
      </c>
      <c r="B614" s="48">
        <f>IF(A614=A613,"",CONCATENATE("F",A614))</f>
        <v/>
      </c>
      <c r="C614" s="85" t="n"/>
      <c r="D614" s="142" t="n"/>
      <c r="E614" s="142" t="n"/>
      <c r="F614" s="142" t="n"/>
      <c r="G614" s="143" t="n"/>
      <c r="H614" s="56" t="n"/>
      <c r="I614" s="57" t="n"/>
      <c r="J614" s="56" t="n"/>
      <c r="K614" s="56" t="n"/>
      <c r="L614" s="50">
        <f>CONCATENATE(H614,M614)</f>
        <v/>
      </c>
      <c r="M614" s="51">
        <f>IF(OR(ISBLANK(J614),ISBLANK(K614)),IF(OR(H614="ALI",H614="AIE"),"L",IF(ISBLANK(H614),"","A")),IF(H614="EE",IF(K614&gt;=3,IF(J614&gt;=5,"H","A"),IF(K614&gt;=2,IF(J614&gt;=16,"H",IF(J614&lt;=4,"L","A")),IF(J614&lt;=15,"L","A"))),IF(OR(H614="SE",H614="CE"),IF(K614&gt;=4,IF(J614&gt;=6,"H","A"),IF(K614&gt;=2,IF(J614&gt;=20,"H",IF(J614&lt;=5,"L","A")),IF(J614&lt;=19,"L","A"))),IF(OR(H614="ALI",H614="AIE"),IF(K614&gt;=6,IF(J614&gt;=20,"H","A"),IF(K614&gt;=2,IF(J614&gt;=51,"H",IF(J614&lt;=19,"L","A")),IF(J614&lt;=50,"L","A")))))))</f>
        <v/>
      </c>
      <c r="N614" s="52">
        <f>IF(M614="L","Baixa",IF(M614="A","Média",IF(M614="","","Alta")))</f>
        <v/>
      </c>
      <c r="O614" s="53">
        <f>IF(ISBLANK(H614),"",IF(H614="ALI",IF(M614="L",7,IF(M614="A",10,15)),IF(H614="AIE",IF(M614="L",5,IF(M614="A",7,10)),IF(H614="SE",IF(M614="L",4,IF(M614="A",5,7)),IF(OR(H614="EE",H614="CE"),IF(M614="L",3,IF(M614="A",4,6)))))))</f>
        <v/>
      </c>
      <c r="P614" s="54">
        <f>IF(I614="I",O614*Contagem!$W$15,IF(I614="E",O614*Contagem!$W$17,IF(I614="A",O614*Contagem!$W$16,IF(I614="T",O614*Contagem!$W$18,""))))</f>
        <v/>
      </c>
      <c r="Q614" s="55" t="n"/>
    </row>
    <row r="615" ht="12" customHeight="1" s="73">
      <c r="A615" s="14">
        <f>IF(H615="",IF(C615="",A614,A614+1),A614)</f>
        <v/>
      </c>
      <c r="B615" s="48">
        <f>IF(A615=A614,"",CONCATENATE("F",A615))</f>
        <v/>
      </c>
      <c r="C615" s="85" t="n"/>
      <c r="D615" s="142" t="n"/>
      <c r="E615" s="142" t="n"/>
      <c r="F615" s="142" t="n"/>
      <c r="G615" s="143" t="n"/>
      <c r="H615" s="56" t="n"/>
      <c r="I615" s="57" t="n"/>
      <c r="J615" s="56" t="n"/>
      <c r="K615" s="56" t="n"/>
      <c r="L615" s="50">
        <f>CONCATENATE(H615,M615)</f>
        <v/>
      </c>
      <c r="M615" s="51">
        <f>IF(OR(ISBLANK(J615),ISBLANK(K615)),IF(OR(H615="ALI",H615="AIE"),"L",IF(ISBLANK(H615),"","A")),IF(H615="EE",IF(K615&gt;=3,IF(J615&gt;=5,"H","A"),IF(K615&gt;=2,IF(J615&gt;=16,"H",IF(J615&lt;=4,"L","A")),IF(J615&lt;=15,"L","A"))),IF(OR(H615="SE",H615="CE"),IF(K615&gt;=4,IF(J615&gt;=6,"H","A"),IF(K615&gt;=2,IF(J615&gt;=20,"H",IF(J615&lt;=5,"L","A")),IF(J615&lt;=19,"L","A"))),IF(OR(H615="ALI",H615="AIE"),IF(K615&gt;=6,IF(J615&gt;=20,"H","A"),IF(K615&gt;=2,IF(J615&gt;=51,"H",IF(J615&lt;=19,"L","A")),IF(J615&lt;=50,"L","A")))))))</f>
        <v/>
      </c>
      <c r="N615" s="52">
        <f>IF(M615="L","Baixa",IF(M615="A","Média",IF(M615="","","Alta")))</f>
        <v/>
      </c>
      <c r="O615" s="53">
        <f>IF(ISBLANK(H615),"",IF(H615="ALI",IF(M615="L",7,IF(M615="A",10,15)),IF(H615="AIE",IF(M615="L",5,IF(M615="A",7,10)),IF(H615="SE",IF(M615="L",4,IF(M615="A",5,7)),IF(OR(H615="EE",H615="CE"),IF(M615="L",3,IF(M615="A",4,6)))))))</f>
        <v/>
      </c>
      <c r="P615" s="54">
        <f>IF(I615="I",O615*Contagem!$W$15,IF(I615="E",O615*Contagem!$W$17,IF(I615="A",O615*Contagem!$W$16,IF(I615="T",O615*Contagem!$W$18,""))))</f>
        <v/>
      </c>
      <c r="Q615" s="55" t="n"/>
    </row>
    <row r="616" ht="12" customHeight="1" s="73">
      <c r="A616" s="14">
        <f>IF(H616="",IF(C616="",A615,A615+1),A615)</f>
        <v/>
      </c>
      <c r="B616" s="48">
        <f>IF(A616=A615,"",CONCATENATE("F",A616))</f>
        <v/>
      </c>
      <c r="C616" s="85" t="n"/>
      <c r="D616" s="142" t="n"/>
      <c r="E616" s="142" t="n"/>
      <c r="F616" s="142" t="n"/>
      <c r="G616" s="143" t="n"/>
      <c r="H616" s="56" t="n"/>
      <c r="I616" s="57" t="n"/>
      <c r="J616" s="56" t="n"/>
      <c r="K616" s="56" t="n"/>
      <c r="L616" s="50">
        <f>CONCATENATE(H616,M616)</f>
        <v/>
      </c>
      <c r="M616" s="51">
        <f>IF(OR(ISBLANK(J616),ISBLANK(K616)),IF(OR(H616="ALI",H616="AIE"),"L",IF(ISBLANK(H616),"","A")),IF(H616="EE",IF(K616&gt;=3,IF(J616&gt;=5,"H","A"),IF(K616&gt;=2,IF(J616&gt;=16,"H",IF(J616&lt;=4,"L","A")),IF(J616&lt;=15,"L","A"))),IF(OR(H616="SE",H616="CE"),IF(K616&gt;=4,IF(J616&gt;=6,"H","A"),IF(K616&gt;=2,IF(J616&gt;=20,"H",IF(J616&lt;=5,"L","A")),IF(J616&lt;=19,"L","A"))),IF(OR(H616="ALI",H616="AIE"),IF(K616&gt;=6,IF(J616&gt;=20,"H","A"),IF(K616&gt;=2,IF(J616&gt;=51,"H",IF(J616&lt;=19,"L","A")),IF(J616&lt;=50,"L","A")))))))</f>
        <v/>
      </c>
      <c r="N616" s="52">
        <f>IF(M616="L","Baixa",IF(M616="A","Média",IF(M616="","","Alta")))</f>
        <v/>
      </c>
      <c r="O616" s="53">
        <f>IF(ISBLANK(H616),"",IF(H616="ALI",IF(M616="L",7,IF(M616="A",10,15)),IF(H616="AIE",IF(M616="L",5,IF(M616="A",7,10)),IF(H616="SE",IF(M616="L",4,IF(M616="A",5,7)),IF(OR(H616="EE",H616="CE"),IF(M616="L",3,IF(M616="A",4,6)))))))</f>
        <v/>
      </c>
      <c r="P616" s="54">
        <f>IF(I616="I",O616*Contagem!$W$15,IF(I616="E",O616*Contagem!$W$17,IF(I616="A",O616*Contagem!$W$16,IF(I616="T",O616*Contagem!$W$18,""))))</f>
        <v/>
      </c>
      <c r="Q616" s="55" t="n"/>
    </row>
    <row r="617" ht="12" customHeight="1" s="73">
      <c r="A617" s="14">
        <f>IF(H617="",IF(C617="",A616,A616+1),A616)</f>
        <v/>
      </c>
      <c r="B617" s="48">
        <f>IF(A617=A616,"",CONCATENATE("F",A617))</f>
        <v/>
      </c>
      <c r="C617" s="85" t="n"/>
      <c r="D617" s="142" t="n"/>
      <c r="E617" s="142" t="n"/>
      <c r="F617" s="142" t="n"/>
      <c r="G617" s="143" t="n"/>
      <c r="H617" s="56" t="n"/>
      <c r="I617" s="57" t="n"/>
      <c r="J617" s="56" t="n"/>
      <c r="K617" s="56" t="n"/>
      <c r="L617" s="50">
        <f>CONCATENATE(H617,M617)</f>
        <v/>
      </c>
      <c r="M617" s="51">
        <f>IF(OR(ISBLANK(J617),ISBLANK(K617)),IF(OR(H617="ALI",H617="AIE"),"L",IF(ISBLANK(H617),"","A")),IF(H617="EE",IF(K617&gt;=3,IF(J617&gt;=5,"H","A"),IF(K617&gt;=2,IF(J617&gt;=16,"H",IF(J617&lt;=4,"L","A")),IF(J617&lt;=15,"L","A"))),IF(OR(H617="SE",H617="CE"),IF(K617&gt;=4,IF(J617&gt;=6,"H","A"),IF(K617&gt;=2,IF(J617&gt;=20,"H",IF(J617&lt;=5,"L","A")),IF(J617&lt;=19,"L","A"))),IF(OR(H617="ALI",H617="AIE"),IF(K617&gt;=6,IF(J617&gt;=20,"H","A"),IF(K617&gt;=2,IF(J617&gt;=51,"H",IF(J617&lt;=19,"L","A")),IF(J617&lt;=50,"L","A")))))))</f>
        <v/>
      </c>
      <c r="N617" s="52">
        <f>IF(M617="L","Baixa",IF(M617="A","Média",IF(M617="","","Alta")))</f>
        <v/>
      </c>
      <c r="O617" s="53">
        <f>IF(ISBLANK(H617),"",IF(H617="ALI",IF(M617="L",7,IF(M617="A",10,15)),IF(H617="AIE",IF(M617="L",5,IF(M617="A",7,10)),IF(H617="SE",IF(M617="L",4,IF(M617="A",5,7)),IF(OR(H617="EE",H617="CE"),IF(M617="L",3,IF(M617="A",4,6)))))))</f>
        <v/>
      </c>
      <c r="P617" s="54">
        <f>IF(I617="I",O617*Contagem!$W$15,IF(I617="E",O617*Contagem!$W$17,IF(I617="A",O617*Contagem!$W$16,IF(I617="T",O617*Contagem!$W$18,""))))</f>
        <v/>
      </c>
      <c r="Q617" s="55" t="n"/>
    </row>
    <row r="618" ht="12" customHeight="1" s="73">
      <c r="A618" s="14">
        <f>IF(H618="",IF(C618="",A617,A617+1),A617)</f>
        <v/>
      </c>
      <c r="B618" s="48">
        <f>IF(A618=A617,"",CONCATENATE("F",A618))</f>
        <v/>
      </c>
      <c r="C618" s="85" t="n"/>
      <c r="D618" s="142" t="n"/>
      <c r="E618" s="142" t="n"/>
      <c r="F618" s="142" t="n"/>
      <c r="G618" s="143" t="n"/>
      <c r="H618" s="56" t="n"/>
      <c r="I618" s="57" t="n"/>
      <c r="J618" s="56" t="n"/>
      <c r="K618" s="56" t="n"/>
      <c r="L618" s="50">
        <f>CONCATENATE(H618,M618)</f>
        <v/>
      </c>
      <c r="M618" s="51">
        <f>IF(OR(ISBLANK(J618),ISBLANK(K618)),IF(OR(H618="ALI",H618="AIE"),"L",IF(ISBLANK(H618),"","A")),IF(H618="EE",IF(K618&gt;=3,IF(J618&gt;=5,"H","A"),IF(K618&gt;=2,IF(J618&gt;=16,"H",IF(J618&lt;=4,"L","A")),IF(J618&lt;=15,"L","A"))),IF(OR(H618="SE",H618="CE"),IF(K618&gt;=4,IF(J618&gt;=6,"H","A"),IF(K618&gt;=2,IF(J618&gt;=20,"H",IF(J618&lt;=5,"L","A")),IF(J618&lt;=19,"L","A"))),IF(OR(H618="ALI",H618="AIE"),IF(K618&gt;=6,IF(J618&gt;=20,"H","A"),IF(K618&gt;=2,IF(J618&gt;=51,"H",IF(J618&lt;=19,"L","A")),IF(J618&lt;=50,"L","A")))))))</f>
        <v/>
      </c>
      <c r="N618" s="52">
        <f>IF(M618="L","Baixa",IF(M618="A","Média",IF(M618="","","Alta")))</f>
        <v/>
      </c>
      <c r="O618" s="53">
        <f>IF(ISBLANK(H618),"",IF(H618="ALI",IF(M618="L",7,IF(M618="A",10,15)),IF(H618="AIE",IF(M618="L",5,IF(M618="A",7,10)),IF(H618="SE",IF(M618="L",4,IF(M618="A",5,7)),IF(OR(H618="EE",H618="CE"),IF(M618="L",3,IF(M618="A",4,6)))))))</f>
        <v/>
      </c>
      <c r="P618" s="54">
        <f>IF(I618="I",O618*Contagem!$W$15,IF(I618="E",O618*Contagem!$W$17,IF(I618="A",O618*Contagem!$W$16,IF(I618="T",O618*Contagem!$W$18,""))))</f>
        <v/>
      </c>
      <c r="Q618" s="55" t="n"/>
    </row>
    <row r="619" ht="12" customHeight="1" s="73">
      <c r="A619" s="14">
        <f>IF(H619="",IF(C619="",A618,A618+1),A618)</f>
        <v/>
      </c>
      <c r="B619" s="48">
        <f>IF(A619=A618,"",CONCATENATE("F",A619))</f>
        <v/>
      </c>
      <c r="C619" s="85" t="n"/>
      <c r="D619" s="142" t="n"/>
      <c r="E619" s="142" t="n"/>
      <c r="F619" s="142" t="n"/>
      <c r="G619" s="143" t="n"/>
      <c r="H619" s="56" t="n"/>
      <c r="I619" s="57" t="n"/>
      <c r="J619" s="56" t="n"/>
      <c r="K619" s="56" t="n"/>
      <c r="L619" s="50">
        <f>CONCATENATE(H619,M619)</f>
        <v/>
      </c>
      <c r="M619" s="51">
        <f>IF(OR(ISBLANK(J619),ISBLANK(K619)),IF(OR(H619="ALI",H619="AIE"),"L",IF(ISBLANK(H619),"","A")),IF(H619="EE",IF(K619&gt;=3,IF(J619&gt;=5,"H","A"),IF(K619&gt;=2,IF(J619&gt;=16,"H",IF(J619&lt;=4,"L","A")),IF(J619&lt;=15,"L","A"))),IF(OR(H619="SE",H619="CE"),IF(K619&gt;=4,IF(J619&gt;=6,"H","A"),IF(K619&gt;=2,IF(J619&gt;=20,"H",IF(J619&lt;=5,"L","A")),IF(J619&lt;=19,"L","A"))),IF(OR(H619="ALI",H619="AIE"),IF(K619&gt;=6,IF(J619&gt;=20,"H","A"),IF(K619&gt;=2,IF(J619&gt;=51,"H",IF(J619&lt;=19,"L","A")),IF(J619&lt;=50,"L","A")))))))</f>
        <v/>
      </c>
      <c r="N619" s="52">
        <f>IF(M619="L","Baixa",IF(M619="A","Média",IF(M619="","","Alta")))</f>
        <v/>
      </c>
      <c r="O619" s="53">
        <f>IF(ISBLANK(H619),"",IF(H619="ALI",IF(M619="L",7,IF(M619="A",10,15)),IF(H619="AIE",IF(M619="L",5,IF(M619="A",7,10)),IF(H619="SE",IF(M619="L",4,IF(M619="A",5,7)),IF(OR(H619="EE",H619="CE"),IF(M619="L",3,IF(M619="A",4,6)))))))</f>
        <v/>
      </c>
      <c r="P619" s="54">
        <f>IF(I619="I",O619*Contagem!$W$15,IF(I619="E",O619*Contagem!$W$17,IF(I619="A",O619*Contagem!$W$16,IF(I619="T",O619*Contagem!$W$18,""))))</f>
        <v/>
      </c>
      <c r="Q619" s="55" t="n"/>
    </row>
    <row r="620" ht="12" customHeight="1" s="73">
      <c r="A620" s="14">
        <f>IF(H620="",IF(C620="",A619,A619+1),A619)</f>
        <v/>
      </c>
      <c r="B620" s="48">
        <f>IF(A620=A619,"",CONCATENATE("F",A620))</f>
        <v/>
      </c>
      <c r="C620" s="85" t="n"/>
      <c r="D620" s="142" t="n"/>
      <c r="E620" s="142" t="n"/>
      <c r="F620" s="142" t="n"/>
      <c r="G620" s="143" t="n"/>
      <c r="H620" s="56" t="n"/>
      <c r="I620" s="57" t="n"/>
      <c r="J620" s="56" t="n"/>
      <c r="K620" s="56" t="n"/>
      <c r="L620" s="50">
        <f>CONCATENATE(H620,M620)</f>
        <v/>
      </c>
      <c r="M620" s="51">
        <f>IF(OR(ISBLANK(J620),ISBLANK(K620)),IF(OR(H620="ALI",H620="AIE"),"L",IF(ISBLANK(H620),"","A")),IF(H620="EE",IF(K620&gt;=3,IF(J620&gt;=5,"H","A"),IF(K620&gt;=2,IF(J620&gt;=16,"H",IF(J620&lt;=4,"L","A")),IF(J620&lt;=15,"L","A"))),IF(OR(H620="SE",H620="CE"),IF(K620&gt;=4,IF(J620&gt;=6,"H","A"),IF(K620&gt;=2,IF(J620&gt;=20,"H",IF(J620&lt;=5,"L","A")),IF(J620&lt;=19,"L","A"))),IF(OR(H620="ALI",H620="AIE"),IF(K620&gt;=6,IF(J620&gt;=20,"H","A"),IF(K620&gt;=2,IF(J620&gt;=51,"H",IF(J620&lt;=19,"L","A")),IF(J620&lt;=50,"L","A")))))))</f>
        <v/>
      </c>
      <c r="N620" s="52">
        <f>IF(M620="L","Baixa",IF(M620="A","Média",IF(M620="","","Alta")))</f>
        <v/>
      </c>
      <c r="O620" s="53">
        <f>IF(ISBLANK(H620),"",IF(H620="ALI",IF(M620="L",7,IF(M620="A",10,15)),IF(H620="AIE",IF(M620="L",5,IF(M620="A",7,10)),IF(H620="SE",IF(M620="L",4,IF(M620="A",5,7)),IF(OR(H620="EE",H620="CE"),IF(M620="L",3,IF(M620="A",4,6)))))))</f>
        <v/>
      </c>
      <c r="P620" s="54">
        <f>IF(I620="I",O620*Contagem!$W$15,IF(I620="E",O620*Contagem!$W$17,IF(I620="A",O620*Contagem!$W$16,IF(I620="T",O620*Contagem!$W$18,""))))</f>
        <v/>
      </c>
      <c r="Q620" s="55" t="n"/>
    </row>
    <row r="621" ht="12" customHeight="1" s="73">
      <c r="A621" s="14">
        <f>IF(H621="",IF(C621="",A620,A620+1),A620)</f>
        <v/>
      </c>
      <c r="B621" s="48">
        <f>IF(A621=A620,"",CONCATENATE("F",A621))</f>
        <v/>
      </c>
      <c r="C621" s="85" t="n"/>
      <c r="D621" s="142" t="n"/>
      <c r="E621" s="142" t="n"/>
      <c r="F621" s="142" t="n"/>
      <c r="G621" s="143" t="n"/>
      <c r="H621" s="56" t="n"/>
      <c r="I621" s="57" t="n"/>
      <c r="J621" s="56" t="n"/>
      <c r="K621" s="56" t="n"/>
      <c r="L621" s="50">
        <f>CONCATENATE(H621,M621)</f>
        <v/>
      </c>
      <c r="M621" s="51">
        <f>IF(OR(ISBLANK(J621),ISBLANK(K621)),IF(OR(H621="ALI",H621="AIE"),"L",IF(ISBLANK(H621),"","A")),IF(H621="EE",IF(K621&gt;=3,IF(J621&gt;=5,"H","A"),IF(K621&gt;=2,IF(J621&gt;=16,"H",IF(J621&lt;=4,"L","A")),IF(J621&lt;=15,"L","A"))),IF(OR(H621="SE",H621="CE"),IF(K621&gt;=4,IF(J621&gt;=6,"H","A"),IF(K621&gt;=2,IF(J621&gt;=20,"H",IF(J621&lt;=5,"L","A")),IF(J621&lt;=19,"L","A"))),IF(OR(H621="ALI",H621="AIE"),IF(K621&gt;=6,IF(J621&gt;=20,"H","A"),IF(K621&gt;=2,IF(J621&gt;=51,"H",IF(J621&lt;=19,"L","A")),IF(J621&lt;=50,"L","A")))))))</f>
        <v/>
      </c>
      <c r="N621" s="52">
        <f>IF(M621="L","Baixa",IF(M621="A","Média",IF(M621="","","Alta")))</f>
        <v/>
      </c>
      <c r="O621" s="53">
        <f>IF(ISBLANK(H621),"",IF(H621="ALI",IF(M621="L",7,IF(M621="A",10,15)),IF(H621="AIE",IF(M621="L",5,IF(M621="A",7,10)),IF(H621="SE",IF(M621="L",4,IF(M621="A",5,7)),IF(OR(H621="EE",H621="CE"),IF(M621="L",3,IF(M621="A",4,6)))))))</f>
        <v/>
      </c>
      <c r="P621" s="54">
        <f>IF(I621="I",O621*Contagem!$W$15,IF(I621="E",O621*Contagem!$W$17,IF(I621="A",O621*Contagem!$W$16,IF(I621="T",O621*Contagem!$W$18,""))))</f>
        <v/>
      </c>
      <c r="Q621" s="55" t="n"/>
    </row>
    <row r="622" ht="12" customHeight="1" s="73">
      <c r="A622" s="14">
        <f>IF(H622="",IF(C622="",A621,A621+1),A621)</f>
        <v/>
      </c>
      <c r="B622" s="48">
        <f>IF(A622=A621,"",CONCATENATE("F",A622))</f>
        <v/>
      </c>
      <c r="C622" s="85" t="n"/>
      <c r="D622" s="142" t="n"/>
      <c r="E622" s="142" t="n"/>
      <c r="F622" s="142" t="n"/>
      <c r="G622" s="143" t="n"/>
      <c r="H622" s="56" t="n"/>
      <c r="I622" s="57" t="n"/>
      <c r="J622" s="56" t="n"/>
      <c r="K622" s="56" t="n"/>
      <c r="L622" s="50">
        <f>CONCATENATE(H622,M622)</f>
        <v/>
      </c>
      <c r="M622" s="51">
        <f>IF(OR(ISBLANK(J622),ISBLANK(K622)),IF(OR(H622="ALI",H622="AIE"),"L",IF(ISBLANK(H622),"","A")),IF(H622="EE",IF(K622&gt;=3,IF(J622&gt;=5,"H","A"),IF(K622&gt;=2,IF(J622&gt;=16,"H",IF(J622&lt;=4,"L","A")),IF(J622&lt;=15,"L","A"))),IF(OR(H622="SE",H622="CE"),IF(K622&gt;=4,IF(J622&gt;=6,"H","A"),IF(K622&gt;=2,IF(J622&gt;=20,"H",IF(J622&lt;=5,"L","A")),IF(J622&lt;=19,"L","A"))),IF(OR(H622="ALI",H622="AIE"),IF(K622&gt;=6,IF(J622&gt;=20,"H","A"),IF(K622&gt;=2,IF(J622&gt;=51,"H",IF(J622&lt;=19,"L","A")),IF(J622&lt;=50,"L","A")))))))</f>
        <v/>
      </c>
      <c r="N622" s="52">
        <f>IF(M622="L","Baixa",IF(M622="A","Média",IF(M622="","","Alta")))</f>
        <v/>
      </c>
      <c r="O622" s="53">
        <f>IF(ISBLANK(H622),"",IF(H622="ALI",IF(M622="L",7,IF(M622="A",10,15)),IF(H622="AIE",IF(M622="L",5,IF(M622="A",7,10)),IF(H622="SE",IF(M622="L",4,IF(M622="A",5,7)),IF(OR(H622="EE",H622="CE"),IF(M622="L",3,IF(M622="A",4,6)))))))</f>
        <v/>
      </c>
      <c r="P622" s="54">
        <f>IF(I622="I",O622*Contagem!$W$15,IF(I622="E",O622*Contagem!$W$17,IF(I622="A",O622*Contagem!$W$16,IF(I622="T",O622*Contagem!$W$18,""))))</f>
        <v/>
      </c>
      <c r="Q622" s="55" t="n"/>
    </row>
    <row r="623" ht="12" customHeight="1" s="73">
      <c r="A623" s="14">
        <f>IF(H623="",IF(C623="",A622,A622+1),A622)</f>
        <v/>
      </c>
      <c r="B623" s="48">
        <f>IF(A623=A622,"",CONCATENATE("F",A623))</f>
        <v/>
      </c>
      <c r="C623" s="85" t="n"/>
      <c r="D623" s="142" t="n"/>
      <c r="E623" s="142" t="n"/>
      <c r="F623" s="142" t="n"/>
      <c r="G623" s="143" t="n"/>
      <c r="H623" s="56" t="n"/>
      <c r="I623" s="57" t="n"/>
      <c r="J623" s="56" t="n"/>
      <c r="K623" s="56" t="n"/>
      <c r="L623" s="50">
        <f>CONCATENATE(H623,M623)</f>
        <v/>
      </c>
      <c r="M623" s="51">
        <f>IF(OR(ISBLANK(J623),ISBLANK(K623)),IF(OR(H623="ALI",H623="AIE"),"L",IF(ISBLANK(H623),"","A")),IF(H623="EE",IF(K623&gt;=3,IF(J623&gt;=5,"H","A"),IF(K623&gt;=2,IF(J623&gt;=16,"H",IF(J623&lt;=4,"L","A")),IF(J623&lt;=15,"L","A"))),IF(OR(H623="SE",H623="CE"),IF(K623&gt;=4,IF(J623&gt;=6,"H","A"),IF(K623&gt;=2,IF(J623&gt;=20,"H",IF(J623&lt;=5,"L","A")),IF(J623&lt;=19,"L","A"))),IF(OR(H623="ALI",H623="AIE"),IF(K623&gt;=6,IF(J623&gt;=20,"H","A"),IF(K623&gt;=2,IF(J623&gt;=51,"H",IF(J623&lt;=19,"L","A")),IF(J623&lt;=50,"L","A")))))))</f>
        <v/>
      </c>
      <c r="N623" s="52">
        <f>IF(M623="L","Baixa",IF(M623="A","Média",IF(M623="","","Alta")))</f>
        <v/>
      </c>
      <c r="O623" s="53">
        <f>IF(ISBLANK(H623),"",IF(H623="ALI",IF(M623="L",7,IF(M623="A",10,15)),IF(H623="AIE",IF(M623="L",5,IF(M623="A",7,10)),IF(H623="SE",IF(M623="L",4,IF(M623="A",5,7)),IF(OR(H623="EE",H623="CE"),IF(M623="L",3,IF(M623="A",4,6)))))))</f>
        <v/>
      </c>
      <c r="P623" s="54">
        <f>IF(I623="I",O623*Contagem!$W$15,IF(I623="E",O623*Contagem!$W$17,IF(I623="A",O623*Contagem!$W$16,IF(I623="T",O623*Contagem!$W$18,""))))</f>
        <v/>
      </c>
      <c r="Q623" s="55" t="n"/>
    </row>
    <row r="624" ht="12" customHeight="1" s="73">
      <c r="A624" s="14">
        <f>IF(H624="",IF(C624="",A623,A623+1),A623)</f>
        <v/>
      </c>
      <c r="B624" s="48">
        <f>IF(A624=A623,"",CONCATENATE("F",A624))</f>
        <v/>
      </c>
      <c r="C624" s="85" t="n"/>
      <c r="D624" s="142" t="n"/>
      <c r="E624" s="142" t="n"/>
      <c r="F624" s="142" t="n"/>
      <c r="G624" s="143" t="n"/>
      <c r="H624" s="56" t="n"/>
      <c r="I624" s="57" t="n"/>
      <c r="J624" s="56" t="n"/>
      <c r="K624" s="56" t="n"/>
      <c r="L624" s="50">
        <f>CONCATENATE(H624,M624)</f>
        <v/>
      </c>
      <c r="M624" s="51">
        <f>IF(OR(ISBLANK(J624),ISBLANK(K624)),IF(OR(H624="ALI",H624="AIE"),"L",IF(ISBLANK(H624),"","A")),IF(H624="EE",IF(K624&gt;=3,IF(J624&gt;=5,"H","A"),IF(K624&gt;=2,IF(J624&gt;=16,"H",IF(J624&lt;=4,"L","A")),IF(J624&lt;=15,"L","A"))),IF(OR(H624="SE",H624="CE"),IF(K624&gt;=4,IF(J624&gt;=6,"H","A"),IF(K624&gt;=2,IF(J624&gt;=20,"H",IF(J624&lt;=5,"L","A")),IF(J624&lt;=19,"L","A"))),IF(OR(H624="ALI",H624="AIE"),IF(K624&gt;=6,IF(J624&gt;=20,"H","A"),IF(K624&gt;=2,IF(J624&gt;=51,"H",IF(J624&lt;=19,"L","A")),IF(J624&lt;=50,"L","A")))))))</f>
        <v/>
      </c>
      <c r="N624" s="52">
        <f>IF(M624="L","Baixa",IF(M624="A","Média",IF(M624="","","Alta")))</f>
        <v/>
      </c>
      <c r="O624" s="53">
        <f>IF(ISBLANK(H624),"",IF(H624="ALI",IF(M624="L",7,IF(M624="A",10,15)),IF(H624="AIE",IF(M624="L",5,IF(M624="A",7,10)),IF(H624="SE",IF(M624="L",4,IF(M624="A",5,7)),IF(OR(H624="EE",H624="CE"),IF(M624="L",3,IF(M624="A",4,6)))))))</f>
        <v/>
      </c>
      <c r="P624" s="54">
        <f>IF(I624="I",O624*Contagem!$W$15,IF(I624="E",O624*Contagem!$W$17,IF(I624="A",O624*Contagem!$W$16,IF(I624="T",O624*Contagem!$W$18,""))))</f>
        <v/>
      </c>
      <c r="Q624" s="55" t="n"/>
    </row>
    <row r="625" ht="12" customHeight="1" s="73">
      <c r="A625" s="14">
        <f>IF(H625="",IF(C625="",A624,A624+1),A624)</f>
        <v/>
      </c>
      <c r="B625" s="48">
        <f>IF(A625=A624,"",CONCATENATE("F",A625))</f>
        <v/>
      </c>
      <c r="C625" s="85" t="n"/>
      <c r="D625" s="142" t="n"/>
      <c r="E625" s="142" t="n"/>
      <c r="F625" s="142" t="n"/>
      <c r="G625" s="143" t="n"/>
      <c r="H625" s="56" t="n"/>
      <c r="I625" s="57" t="n"/>
      <c r="J625" s="56" t="n"/>
      <c r="K625" s="56" t="n"/>
      <c r="L625" s="50">
        <f>CONCATENATE(H625,M625)</f>
        <v/>
      </c>
      <c r="M625" s="51">
        <f>IF(OR(ISBLANK(J625),ISBLANK(K625)),IF(OR(H625="ALI",H625="AIE"),"L",IF(ISBLANK(H625),"","A")),IF(H625="EE",IF(K625&gt;=3,IF(J625&gt;=5,"H","A"),IF(K625&gt;=2,IF(J625&gt;=16,"H",IF(J625&lt;=4,"L","A")),IF(J625&lt;=15,"L","A"))),IF(OR(H625="SE",H625="CE"),IF(K625&gt;=4,IF(J625&gt;=6,"H","A"),IF(K625&gt;=2,IF(J625&gt;=20,"H",IF(J625&lt;=5,"L","A")),IF(J625&lt;=19,"L","A"))),IF(OR(H625="ALI",H625="AIE"),IF(K625&gt;=6,IF(J625&gt;=20,"H","A"),IF(K625&gt;=2,IF(J625&gt;=51,"H",IF(J625&lt;=19,"L","A")),IF(J625&lt;=50,"L","A")))))))</f>
        <v/>
      </c>
      <c r="N625" s="52">
        <f>IF(M625="L","Baixa",IF(M625="A","Média",IF(M625="","","Alta")))</f>
        <v/>
      </c>
      <c r="O625" s="53">
        <f>IF(ISBLANK(H625),"",IF(H625="ALI",IF(M625="L",7,IF(M625="A",10,15)),IF(H625="AIE",IF(M625="L",5,IF(M625="A",7,10)),IF(H625="SE",IF(M625="L",4,IF(M625="A",5,7)),IF(OR(H625="EE",H625="CE"),IF(M625="L",3,IF(M625="A",4,6)))))))</f>
        <v/>
      </c>
      <c r="P625" s="54">
        <f>IF(I625="I",O625*Contagem!$W$15,IF(I625="E",O625*Contagem!$W$17,IF(I625="A",O625*Contagem!$W$16,IF(I625="T",O625*Contagem!$W$18,""))))</f>
        <v/>
      </c>
      <c r="Q625" s="55" t="n"/>
    </row>
    <row r="626" ht="12" customHeight="1" s="73">
      <c r="A626" s="14">
        <f>IF(H626="",IF(C626="",A625,A625+1),A625)</f>
        <v/>
      </c>
      <c r="B626" s="48">
        <f>IF(A626=A625,"",CONCATENATE("F",A626))</f>
        <v/>
      </c>
      <c r="C626" s="85" t="n"/>
      <c r="D626" s="142" t="n"/>
      <c r="E626" s="142" t="n"/>
      <c r="F626" s="142" t="n"/>
      <c r="G626" s="143" t="n"/>
      <c r="H626" s="56" t="n"/>
      <c r="I626" s="57" t="n"/>
      <c r="J626" s="56" t="n"/>
      <c r="K626" s="56" t="n"/>
      <c r="L626" s="50">
        <f>CONCATENATE(H626,M626)</f>
        <v/>
      </c>
      <c r="M626" s="51">
        <f>IF(OR(ISBLANK(J626),ISBLANK(K626)),IF(OR(H626="ALI",H626="AIE"),"L",IF(ISBLANK(H626),"","A")),IF(H626="EE",IF(K626&gt;=3,IF(J626&gt;=5,"H","A"),IF(K626&gt;=2,IF(J626&gt;=16,"H",IF(J626&lt;=4,"L","A")),IF(J626&lt;=15,"L","A"))),IF(OR(H626="SE",H626="CE"),IF(K626&gt;=4,IF(J626&gt;=6,"H","A"),IF(K626&gt;=2,IF(J626&gt;=20,"H",IF(J626&lt;=5,"L","A")),IF(J626&lt;=19,"L","A"))),IF(OR(H626="ALI",H626="AIE"),IF(K626&gt;=6,IF(J626&gt;=20,"H","A"),IF(K626&gt;=2,IF(J626&gt;=51,"H",IF(J626&lt;=19,"L","A")),IF(J626&lt;=50,"L","A")))))))</f>
        <v/>
      </c>
      <c r="N626" s="52">
        <f>IF(M626="L","Baixa",IF(M626="A","Média",IF(M626="","","Alta")))</f>
        <v/>
      </c>
      <c r="O626" s="53">
        <f>IF(ISBLANK(H626),"",IF(H626="ALI",IF(M626="L",7,IF(M626="A",10,15)),IF(H626="AIE",IF(M626="L",5,IF(M626="A",7,10)),IF(H626="SE",IF(M626="L",4,IF(M626="A",5,7)),IF(OR(H626="EE",H626="CE"),IF(M626="L",3,IF(M626="A",4,6)))))))</f>
        <v/>
      </c>
      <c r="P626" s="54">
        <f>IF(I626="I",O626*Contagem!$W$15,IF(I626="E",O626*Contagem!$W$17,IF(I626="A",O626*Contagem!$W$16,IF(I626="T",O626*Contagem!$W$18,""))))</f>
        <v/>
      </c>
      <c r="Q626" s="55" t="n"/>
    </row>
    <row r="627" ht="12" customHeight="1" s="73">
      <c r="A627" s="14">
        <f>IF(H627="",IF(C627="",A626,A626+1),A626)</f>
        <v/>
      </c>
      <c r="B627" s="48">
        <f>IF(A627=A626,"",CONCATENATE("F",A627))</f>
        <v/>
      </c>
      <c r="C627" s="85" t="n"/>
      <c r="D627" s="142" t="n"/>
      <c r="E627" s="142" t="n"/>
      <c r="F627" s="142" t="n"/>
      <c r="G627" s="143" t="n"/>
      <c r="H627" s="56" t="n"/>
      <c r="I627" s="57" t="n"/>
      <c r="J627" s="56" t="n"/>
      <c r="K627" s="56" t="n"/>
      <c r="L627" s="50">
        <f>CONCATENATE(H627,M627)</f>
        <v/>
      </c>
      <c r="M627" s="51">
        <f>IF(OR(ISBLANK(J627),ISBLANK(K627)),IF(OR(H627="ALI",H627="AIE"),"L",IF(ISBLANK(H627),"","A")),IF(H627="EE",IF(K627&gt;=3,IF(J627&gt;=5,"H","A"),IF(K627&gt;=2,IF(J627&gt;=16,"H",IF(J627&lt;=4,"L","A")),IF(J627&lt;=15,"L","A"))),IF(OR(H627="SE",H627="CE"),IF(K627&gt;=4,IF(J627&gt;=6,"H","A"),IF(K627&gt;=2,IF(J627&gt;=20,"H",IF(J627&lt;=5,"L","A")),IF(J627&lt;=19,"L","A"))),IF(OR(H627="ALI",H627="AIE"),IF(K627&gt;=6,IF(J627&gt;=20,"H","A"),IF(K627&gt;=2,IF(J627&gt;=51,"H",IF(J627&lt;=19,"L","A")),IF(J627&lt;=50,"L","A")))))))</f>
        <v/>
      </c>
      <c r="N627" s="52">
        <f>IF(M627="L","Baixa",IF(M627="A","Média",IF(M627="","","Alta")))</f>
        <v/>
      </c>
      <c r="O627" s="53">
        <f>IF(ISBLANK(H627),"",IF(H627="ALI",IF(M627="L",7,IF(M627="A",10,15)),IF(H627="AIE",IF(M627="L",5,IF(M627="A",7,10)),IF(H627="SE",IF(M627="L",4,IF(M627="A",5,7)),IF(OR(H627="EE",H627="CE"),IF(M627="L",3,IF(M627="A",4,6)))))))</f>
        <v/>
      </c>
      <c r="P627" s="54">
        <f>IF(I627="I",O627*Contagem!$W$15,IF(I627="E",O627*Contagem!$W$17,IF(I627="A",O627*Contagem!$W$16,IF(I627="T",O627*Contagem!$W$18,""))))</f>
        <v/>
      </c>
      <c r="Q627" s="55" t="n"/>
    </row>
    <row r="628" ht="12" customHeight="1" s="73">
      <c r="A628" s="14">
        <f>IF(H628="",IF(C628="",A627,A627+1),A627)</f>
        <v/>
      </c>
      <c r="B628" s="48">
        <f>IF(A628=A627,"",CONCATENATE("F",A628))</f>
        <v/>
      </c>
      <c r="C628" s="85" t="n"/>
      <c r="D628" s="142" t="n"/>
      <c r="E628" s="142" t="n"/>
      <c r="F628" s="142" t="n"/>
      <c r="G628" s="143" t="n"/>
      <c r="H628" s="56" t="n"/>
      <c r="I628" s="57" t="n"/>
      <c r="J628" s="56" t="n"/>
      <c r="K628" s="56" t="n"/>
      <c r="L628" s="50">
        <f>CONCATENATE(H628,M628)</f>
        <v/>
      </c>
      <c r="M628" s="51">
        <f>IF(OR(ISBLANK(J628),ISBLANK(K628)),IF(OR(H628="ALI",H628="AIE"),"L",IF(ISBLANK(H628),"","A")),IF(H628="EE",IF(K628&gt;=3,IF(J628&gt;=5,"H","A"),IF(K628&gt;=2,IF(J628&gt;=16,"H",IF(J628&lt;=4,"L","A")),IF(J628&lt;=15,"L","A"))),IF(OR(H628="SE",H628="CE"),IF(K628&gt;=4,IF(J628&gt;=6,"H","A"),IF(K628&gt;=2,IF(J628&gt;=20,"H",IF(J628&lt;=5,"L","A")),IF(J628&lt;=19,"L","A"))),IF(OR(H628="ALI",H628="AIE"),IF(K628&gt;=6,IF(J628&gt;=20,"H","A"),IF(K628&gt;=2,IF(J628&gt;=51,"H",IF(J628&lt;=19,"L","A")),IF(J628&lt;=50,"L","A")))))))</f>
        <v/>
      </c>
      <c r="N628" s="52">
        <f>IF(M628="L","Baixa",IF(M628="A","Média",IF(M628="","","Alta")))</f>
        <v/>
      </c>
      <c r="O628" s="53">
        <f>IF(ISBLANK(H628),"",IF(H628="ALI",IF(M628="L",7,IF(M628="A",10,15)),IF(H628="AIE",IF(M628="L",5,IF(M628="A",7,10)),IF(H628="SE",IF(M628="L",4,IF(M628="A",5,7)),IF(OR(H628="EE",H628="CE"),IF(M628="L",3,IF(M628="A",4,6)))))))</f>
        <v/>
      </c>
      <c r="P628" s="54">
        <f>IF(I628="I",O628*Contagem!$W$15,IF(I628="E",O628*Contagem!$W$17,IF(I628="A",O628*Contagem!$W$16,IF(I628="T",O628*Contagem!$W$18,""))))</f>
        <v/>
      </c>
      <c r="Q628" s="55" t="n"/>
    </row>
    <row r="629" ht="12" customHeight="1" s="73">
      <c r="A629" s="14">
        <f>IF(H629="",IF(C629="",A628,A628+1),A628)</f>
        <v/>
      </c>
      <c r="B629" s="48">
        <f>IF(A629=A628,"",CONCATENATE("F",A629))</f>
        <v/>
      </c>
      <c r="C629" s="85" t="n"/>
      <c r="D629" s="142" t="n"/>
      <c r="E629" s="142" t="n"/>
      <c r="F629" s="142" t="n"/>
      <c r="G629" s="143" t="n"/>
      <c r="H629" s="56" t="n"/>
      <c r="I629" s="57" t="n"/>
      <c r="J629" s="56" t="n"/>
      <c r="K629" s="56" t="n"/>
      <c r="L629" s="50">
        <f>CONCATENATE(H629,M629)</f>
        <v/>
      </c>
      <c r="M629" s="51">
        <f>IF(OR(ISBLANK(J629),ISBLANK(K629)),IF(OR(H629="ALI",H629="AIE"),"L",IF(ISBLANK(H629),"","A")),IF(H629="EE",IF(K629&gt;=3,IF(J629&gt;=5,"H","A"),IF(K629&gt;=2,IF(J629&gt;=16,"H",IF(J629&lt;=4,"L","A")),IF(J629&lt;=15,"L","A"))),IF(OR(H629="SE",H629="CE"),IF(K629&gt;=4,IF(J629&gt;=6,"H","A"),IF(K629&gt;=2,IF(J629&gt;=20,"H",IF(J629&lt;=5,"L","A")),IF(J629&lt;=19,"L","A"))),IF(OR(H629="ALI",H629="AIE"),IF(K629&gt;=6,IF(J629&gt;=20,"H","A"),IF(K629&gt;=2,IF(J629&gt;=51,"H",IF(J629&lt;=19,"L","A")),IF(J629&lt;=50,"L","A")))))))</f>
        <v/>
      </c>
      <c r="N629" s="52">
        <f>IF(M629="L","Baixa",IF(M629="A","Média",IF(M629="","","Alta")))</f>
        <v/>
      </c>
      <c r="O629" s="53">
        <f>IF(ISBLANK(H629),"",IF(H629="ALI",IF(M629="L",7,IF(M629="A",10,15)),IF(H629="AIE",IF(M629="L",5,IF(M629="A",7,10)),IF(H629="SE",IF(M629="L",4,IF(M629="A",5,7)),IF(OR(H629="EE",H629="CE"),IF(M629="L",3,IF(M629="A",4,6)))))))</f>
        <v/>
      </c>
      <c r="P629" s="54">
        <f>IF(I629="I",O629*Contagem!$W$15,IF(I629="E",O629*Contagem!$W$17,IF(I629="A",O629*Contagem!$W$16,IF(I629="T",O629*Contagem!$W$18,""))))</f>
        <v/>
      </c>
      <c r="Q629" s="55" t="n"/>
    </row>
    <row r="630" ht="12" customHeight="1" s="73">
      <c r="A630" s="14">
        <f>IF(H630="",IF(C630="",A629,A629+1),A629)</f>
        <v/>
      </c>
      <c r="B630" s="48">
        <f>IF(A630=A629,"",CONCATENATE("F",A630))</f>
        <v/>
      </c>
      <c r="C630" s="85" t="n"/>
      <c r="D630" s="142" t="n"/>
      <c r="E630" s="142" t="n"/>
      <c r="F630" s="142" t="n"/>
      <c r="G630" s="143" t="n"/>
      <c r="H630" s="56" t="n"/>
      <c r="I630" s="57" t="n"/>
      <c r="J630" s="56" t="n"/>
      <c r="K630" s="56" t="n"/>
      <c r="L630" s="50">
        <f>CONCATENATE(H630,M630)</f>
        <v/>
      </c>
      <c r="M630" s="51">
        <f>IF(OR(ISBLANK(J630),ISBLANK(K630)),IF(OR(H630="ALI",H630="AIE"),"L",IF(ISBLANK(H630),"","A")),IF(H630="EE",IF(K630&gt;=3,IF(J630&gt;=5,"H","A"),IF(K630&gt;=2,IF(J630&gt;=16,"H",IF(J630&lt;=4,"L","A")),IF(J630&lt;=15,"L","A"))),IF(OR(H630="SE",H630="CE"),IF(K630&gt;=4,IF(J630&gt;=6,"H","A"),IF(K630&gt;=2,IF(J630&gt;=20,"H",IF(J630&lt;=5,"L","A")),IF(J630&lt;=19,"L","A"))),IF(OR(H630="ALI",H630="AIE"),IF(K630&gt;=6,IF(J630&gt;=20,"H","A"),IF(K630&gt;=2,IF(J630&gt;=51,"H",IF(J630&lt;=19,"L","A")),IF(J630&lt;=50,"L","A")))))))</f>
        <v/>
      </c>
      <c r="N630" s="52">
        <f>IF(M630="L","Baixa",IF(M630="A","Média",IF(M630="","","Alta")))</f>
        <v/>
      </c>
      <c r="O630" s="53">
        <f>IF(ISBLANK(H630),"",IF(H630="ALI",IF(M630="L",7,IF(M630="A",10,15)),IF(H630="AIE",IF(M630="L",5,IF(M630="A",7,10)),IF(H630="SE",IF(M630="L",4,IF(M630="A",5,7)),IF(OR(H630="EE",H630="CE"),IF(M630="L",3,IF(M630="A",4,6)))))))</f>
        <v/>
      </c>
      <c r="P630" s="54">
        <f>IF(I630="I",O630*Contagem!$W$15,IF(I630="E",O630*Contagem!$W$17,IF(I630="A",O630*Contagem!$W$16,IF(I630="T",O630*Contagem!$W$18,""))))</f>
        <v/>
      </c>
      <c r="Q630" s="55" t="n"/>
    </row>
    <row r="631" ht="12" customHeight="1" s="73">
      <c r="A631" s="14">
        <f>IF(H631="",IF(C631="",A630,A630+1),A630)</f>
        <v/>
      </c>
      <c r="B631" s="48">
        <f>IF(A631=A630,"",CONCATENATE("F",A631))</f>
        <v/>
      </c>
      <c r="C631" s="85" t="n"/>
      <c r="D631" s="142" t="n"/>
      <c r="E631" s="142" t="n"/>
      <c r="F631" s="142" t="n"/>
      <c r="G631" s="143" t="n"/>
      <c r="H631" s="56" t="n"/>
      <c r="I631" s="57" t="n"/>
      <c r="J631" s="56" t="n"/>
      <c r="K631" s="56" t="n"/>
      <c r="L631" s="50">
        <f>CONCATENATE(H631,M631)</f>
        <v/>
      </c>
      <c r="M631" s="51">
        <f>IF(OR(ISBLANK(J631),ISBLANK(K631)),IF(OR(H631="ALI",H631="AIE"),"L",IF(ISBLANK(H631),"","A")),IF(H631="EE",IF(K631&gt;=3,IF(J631&gt;=5,"H","A"),IF(K631&gt;=2,IF(J631&gt;=16,"H",IF(J631&lt;=4,"L","A")),IF(J631&lt;=15,"L","A"))),IF(OR(H631="SE",H631="CE"),IF(K631&gt;=4,IF(J631&gt;=6,"H","A"),IF(K631&gt;=2,IF(J631&gt;=20,"H",IF(J631&lt;=5,"L","A")),IF(J631&lt;=19,"L","A"))),IF(OR(H631="ALI",H631="AIE"),IF(K631&gt;=6,IF(J631&gt;=20,"H","A"),IF(K631&gt;=2,IF(J631&gt;=51,"H",IF(J631&lt;=19,"L","A")),IF(J631&lt;=50,"L","A")))))))</f>
        <v/>
      </c>
      <c r="N631" s="52">
        <f>IF(M631="L","Baixa",IF(M631="A","Média",IF(M631="","","Alta")))</f>
        <v/>
      </c>
      <c r="O631" s="53">
        <f>IF(ISBLANK(H631),"",IF(H631="ALI",IF(M631="L",7,IF(M631="A",10,15)),IF(H631="AIE",IF(M631="L",5,IF(M631="A",7,10)),IF(H631="SE",IF(M631="L",4,IF(M631="A",5,7)),IF(OR(H631="EE",H631="CE"),IF(M631="L",3,IF(M631="A",4,6)))))))</f>
        <v/>
      </c>
      <c r="P631" s="54">
        <f>IF(I631="I",O631*Contagem!$W$15,IF(I631="E",O631*Contagem!$W$17,IF(I631="A",O631*Contagem!$W$16,IF(I631="T",O631*Contagem!$W$18,""))))</f>
        <v/>
      </c>
      <c r="Q631" s="55" t="n"/>
    </row>
    <row r="632" ht="12" customHeight="1" s="73">
      <c r="A632" s="14">
        <f>IF(H632="",IF(C632="",A631,A631+1),A631)</f>
        <v/>
      </c>
      <c r="B632" s="48">
        <f>IF(A632=A631,"",CONCATENATE("F",A632))</f>
        <v/>
      </c>
      <c r="C632" s="85" t="n"/>
      <c r="D632" s="142" t="n"/>
      <c r="E632" s="142" t="n"/>
      <c r="F632" s="142" t="n"/>
      <c r="G632" s="143" t="n"/>
      <c r="H632" s="56" t="n"/>
      <c r="I632" s="57" t="n"/>
      <c r="J632" s="56" t="n"/>
      <c r="K632" s="56" t="n"/>
      <c r="L632" s="50">
        <f>CONCATENATE(H632,M632)</f>
        <v/>
      </c>
      <c r="M632" s="51">
        <f>IF(OR(ISBLANK(J632),ISBLANK(K632)),IF(OR(H632="ALI",H632="AIE"),"L",IF(ISBLANK(H632),"","A")),IF(H632="EE",IF(K632&gt;=3,IF(J632&gt;=5,"H","A"),IF(K632&gt;=2,IF(J632&gt;=16,"H",IF(J632&lt;=4,"L","A")),IF(J632&lt;=15,"L","A"))),IF(OR(H632="SE",H632="CE"),IF(K632&gt;=4,IF(J632&gt;=6,"H","A"),IF(K632&gt;=2,IF(J632&gt;=20,"H",IF(J632&lt;=5,"L","A")),IF(J632&lt;=19,"L","A"))),IF(OR(H632="ALI",H632="AIE"),IF(K632&gt;=6,IF(J632&gt;=20,"H","A"),IF(K632&gt;=2,IF(J632&gt;=51,"H",IF(J632&lt;=19,"L","A")),IF(J632&lt;=50,"L","A")))))))</f>
        <v/>
      </c>
      <c r="N632" s="52">
        <f>IF(M632="L","Baixa",IF(M632="A","Média",IF(M632="","","Alta")))</f>
        <v/>
      </c>
      <c r="O632" s="53">
        <f>IF(ISBLANK(H632),"",IF(H632="ALI",IF(M632="L",7,IF(M632="A",10,15)),IF(H632="AIE",IF(M632="L",5,IF(M632="A",7,10)),IF(H632="SE",IF(M632="L",4,IF(M632="A",5,7)),IF(OR(H632="EE",H632="CE"),IF(M632="L",3,IF(M632="A",4,6)))))))</f>
        <v/>
      </c>
      <c r="P632" s="54">
        <f>IF(I632="I",O632*Contagem!$W$15,IF(I632="E",O632*Contagem!$W$17,IF(I632="A",O632*Contagem!$W$16,IF(I632="T",O632*Contagem!$W$18,""))))</f>
        <v/>
      </c>
      <c r="Q632" s="55" t="n"/>
    </row>
    <row r="633" ht="12" customHeight="1" s="73">
      <c r="A633" s="14">
        <f>IF(H633="",IF(C633="",A632,A632+1),A632)</f>
        <v/>
      </c>
      <c r="B633" s="48">
        <f>IF(A633=A632,"",CONCATENATE("F",A633))</f>
        <v/>
      </c>
      <c r="C633" s="85" t="n"/>
      <c r="D633" s="142" t="n"/>
      <c r="E633" s="142" t="n"/>
      <c r="F633" s="142" t="n"/>
      <c r="G633" s="143" t="n"/>
      <c r="H633" s="56" t="n"/>
      <c r="I633" s="57" t="n"/>
      <c r="J633" s="56" t="n"/>
      <c r="K633" s="56" t="n"/>
      <c r="L633" s="50">
        <f>CONCATENATE(H633,M633)</f>
        <v/>
      </c>
      <c r="M633" s="51">
        <f>IF(OR(ISBLANK(J633),ISBLANK(K633)),IF(OR(H633="ALI",H633="AIE"),"L",IF(ISBLANK(H633),"","A")),IF(H633="EE",IF(K633&gt;=3,IF(J633&gt;=5,"H","A"),IF(K633&gt;=2,IF(J633&gt;=16,"H",IF(J633&lt;=4,"L","A")),IF(J633&lt;=15,"L","A"))),IF(OR(H633="SE",H633="CE"),IF(K633&gt;=4,IF(J633&gt;=6,"H","A"),IF(K633&gt;=2,IF(J633&gt;=20,"H",IF(J633&lt;=5,"L","A")),IF(J633&lt;=19,"L","A"))),IF(OR(H633="ALI",H633="AIE"),IF(K633&gt;=6,IF(J633&gt;=20,"H","A"),IF(K633&gt;=2,IF(J633&gt;=51,"H",IF(J633&lt;=19,"L","A")),IF(J633&lt;=50,"L","A")))))))</f>
        <v/>
      </c>
      <c r="N633" s="52">
        <f>IF(M633="L","Baixa",IF(M633="A","Média",IF(M633="","","Alta")))</f>
        <v/>
      </c>
      <c r="O633" s="53">
        <f>IF(ISBLANK(H633),"",IF(H633="ALI",IF(M633="L",7,IF(M633="A",10,15)),IF(H633="AIE",IF(M633="L",5,IF(M633="A",7,10)),IF(H633="SE",IF(M633="L",4,IF(M633="A",5,7)),IF(OR(H633="EE",H633="CE"),IF(M633="L",3,IF(M633="A",4,6)))))))</f>
        <v/>
      </c>
      <c r="P633" s="54">
        <f>IF(I633="I",O633*Contagem!$W$15,IF(I633="E",O633*Contagem!$W$17,IF(I633="A",O633*Contagem!$W$16,IF(I633="T",O633*Contagem!$W$18,""))))</f>
        <v/>
      </c>
      <c r="Q633" s="55" t="n"/>
    </row>
    <row r="634" ht="12" customHeight="1" s="73">
      <c r="A634" s="14">
        <f>IF(H634="",IF(C634="",A633,A633+1),A633)</f>
        <v/>
      </c>
      <c r="B634" s="48">
        <f>IF(A634=A633,"",CONCATENATE("F",A634))</f>
        <v/>
      </c>
      <c r="C634" s="85" t="n"/>
      <c r="D634" s="142" t="n"/>
      <c r="E634" s="142" t="n"/>
      <c r="F634" s="142" t="n"/>
      <c r="G634" s="143" t="n"/>
      <c r="H634" s="56" t="n"/>
      <c r="I634" s="57" t="n"/>
      <c r="J634" s="56" t="n"/>
      <c r="K634" s="56" t="n"/>
      <c r="L634" s="50">
        <f>CONCATENATE(H634,M634)</f>
        <v/>
      </c>
      <c r="M634" s="51">
        <f>IF(OR(ISBLANK(J634),ISBLANK(K634)),IF(OR(H634="ALI",H634="AIE"),"L",IF(ISBLANK(H634),"","A")),IF(H634="EE",IF(K634&gt;=3,IF(J634&gt;=5,"H","A"),IF(K634&gt;=2,IF(J634&gt;=16,"H",IF(J634&lt;=4,"L","A")),IF(J634&lt;=15,"L","A"))),IF(OR(H634="SE",H634="CE"),IF(K634&gt;=4,IF(J634&gt;=6,"H","A"),IF(K634&gt;=2,IF(J634&gt;=20,"H",IF(J634&lt;=5,"L","A")),IF(J634&lt;=19,"L","A"))),IF(OR(H634="ALI",H634="AIE"),IF(K634&gt;=6,IF(J634&gt;=20,"H","A"),IF(K634&gt;=2,IF(J634&gt;=51,"H",IF(J634&lt;=19,"L","A")),IF(J634&lt;=50,"L","A")))))))</f>
        <v/>
      </c>
      <c r="N634" s="52">
        <f>IF(M634="L","Baixa",IF(M634="A","Média",IF(M634="","","Alta")))</f>
        <v/>
      </c>
      <c r="O634" s="53">
        <f>IF(ISBLANK(H634),"",IF(H634="ALI",IF(M634="L",7,IF(M634="A",10,15)),IF(H634="AIE",IF(M634="L",5,IF(M634="A",7,10)),IF(H634="SE",IF(M634="L",4,IF(M634="A",5,7)),IF(OR(H634="EE",H634="CE"),IF(M634="L",3,IF(M634="A",4,6)))))))</f>
        <v/>
      </c>
      <c r="P634" s="54">
        <f>IF(I634="I",O634*Contagem!$W$15,IF(I634="E",O634*Contagem!$W$17,IF(I634="A",O634*Contagem!$W$16,IF(I634="T",O634*Contagem!$W$18,""))))</f>
        <v/>
      </c>
      <c r="Q634" s="55" t="n"/>
    </row>
    <row r="635" ht="12" customHeight="1" s="73">
      <c r="A635" s="14">
        <f>IF(H635="",IF(C635="",A634,A634+1),A634)</f>
        <v/>
      </c>
      <c r="B635" s="48">
        <f>IF(A635=A634,"",CONCATENATE("F",A635))</f>
        <v/>
      </c>
      <c r="C635" s="85" t="n"/>
      <c r="D635" s="142" t="n"/>
      <c r="E635" s="142" t="n"/>
      <c r="F635" s="142" t="n"/>
      <c r="G635" s="143" t="n"/>
      <c r="H635" s="56" t="n"/>
      <c r="I635" s="57" t="n"/>
      <c r="J635" s="56" t="n"/>
      <c r="K635" s="56" t="n"/>
      <c r="L635" s="50">
        <f>CONCATENATE(H635,M635)</f>
        <v/>
      </c>
      <c r="M635" s="51">
        <f>IF(OR(ISBLANK(J635),ISBLANK(K635)),IF(OR(H635="ALI",H635="AIE"),"L",IF(ISBLANK(H635),"","A")),IF(H635="EE",IF(K635&gt;=3,IF(J635&gt;=5,"H","A"),IF(K635&gt;=2,IF(J635&gt;=16,"H",IF(J635&lt;=4,"L","A")),IF(J635&lt;=15,"L","A"))),IF(OR(H635="SE",H635="CE"),IF(K635&gt;=4,IF(J635&gt;=6,"H","A"),IF(K635&gt;=2,IF(J635&gt;=20,"H",IF(J635&lt;=5,"L","A")),IF(J635&lt;=19,"L","A"))),IF(OR(H635="ALI",H635="AIE"),IF(K635&gt;=6,IF(J635&gt;=20,"H","A"),IF(K635&gt;=2,IF(J635&gt;=51,"H",IF(J635&lt;=19,"L","A")),IF(J635&lt;=50,"L","A")))))))</f>
        <v/>
      </c>
      <c r="N635" s="52">
        <f>IF(M635="L","Baixa",IF(M635="A","Média",IF(M635="","","Alta")))</f>
        <v/>
      </c>
      <c r="O635" s="53">
        <f>IF(ISBLANK(H635),"",IF(H635="ALI",IF(M635="L",7,IF(M635="A",10,15)),IF(H635="AIE",IF(M635="L",5,IF(M635="A",7,10)),IF(H635="SE",IF(M635="L",4,IF(M635="A",5,7)),IF(OR(H635="EE",H635="CE"),IF(M635="L",3,IF(M635="A",4,6)))))))</f>
        <v/>
      </c>
      <c r="P635" s="54">
        <f>IF(I635="I",O635*Contagem!$W$15,IF(I635="E",O635*Contagem!$W$17,IF(I635="A",O635*Contagem!$W$16,IF(I635="T",O635*Contagem!$W$18,""))))</f>
        <v/>
      </c>
      <c r="Q635" s="55" t="n"/>
    </row>
    <row r="636" ht="12" customHeight="1" s="73">
      <c r="A636" s="14">
        <f>IF(H636="",IF(C636="",A635,A635+1),A635)</f>
        <v/>
      </c>
      <c r="B636" s="48">
        <f>IF(A636=A635,"",CONCATENATE("F",A636))</f>
        <v/>
      </c>
      <c r="C636" s="85" t="n"/>
      <c r="D636" s="142" t="n"/>
      <c r="E636" s="142" t="n"/>
      <c r="F636" s="142" t="n"/>
      <c r="G636" s="143" t="n"/>
      <c r="H636" s="56" t="n"/>
      <c r="I636" s="57" t="n"/>
      <c r="J636" s="56" t="n"/>
      <c r="K636" s="56" t="n"/>
      <c r="L636" s="50">
        <f>CONCATENATE(H636,M636)</f>
        <v/>
      </c>
      <c r="M636" s="51">
        <f>IF(OR(ISBLANK(J636),ISBLANK(K636)),IF(OR(H636="ALI",H636="AIE"),"L",IF(ISBLANK(H636),"","A")),IF(H636="EE",IF(K636&gt;=3,IF(J636&gt;=5,"H","A"),IF(K636&gt;=2,IF(J636&gt;=16,"H",IF(J636&lt;=4,"L","A")),IF(J636&lt;=15,"L","A"))),IF(OR(H636="SE",H636="CE"),IF(K636&gt;=4,IF(J636&gt;=6,"H","A"),IF(K636&gt;=2,IF(J636&gt;=20,"H",IF(J636&lt;=5,"L","A")),IF(J636&lt;=19,"L","A"))),IF(OR(H636="ALI",H636="AIE"),IF(K636&gt;=6,IF(J636&gt;=20,"H","A"),IF(K636&gt;=2,IF(J636&gt;=51,"H",IF(J636&lt;=19,"L","A")),IF(J636&lt;=50,"L","A")))))))</f>
        <v/>
      </c>
      <c r="N636" s="52">
        <f>IF(M636="L","Baixa",IF(M636="A","Média",IF(M636="","","Alta")))</f>
        <v/>
      </c>
      <c r="O636" s="53">
        <f>IF(ISBLANK(H636),"",IF(H636="ALI",IF(M636="L",7,IF(M636="A",10,15)),IF(H636="AIE",IF(M636="L",5,IF(M636="A",7,10)),IF(H636="SE",IF(M636="L",4,IF(M636="A",5,7)),IF(OR(H636="EE",H636="CE"),IF(M636="L",3,IF(M636="A",4,6)))))))</f>
        <v/>
      </c>
      <c r="P636" s="54">
        <f>IF(I636="I",O636*Contagem!$W$15,IF(I636="E",O636*Contagem!$W$17,IF(I636="A",O636*Contagem!$W$16,IF(I636="T",O636*Contagem!$W$18,""))))</f>
        <v/>
      </c>
      <c r="Q636" s="55" t="n"/>
    </row>
    <row r="637" ht="12" customHeight="1" s="73">
      <c r="A637" s="14">
        <f>IF(H637="",IF(C637="",A636,A636+1),A636)</f>
        <v/>
      </c>
      <c r="B637" s="48">
        <f>IF(A637=A636,"",CONCATENATE("F",A637))</f>
        <v/>
      </c>
      <c r="C637" s="85" t="n"/>
      <c r="D637" s="142" t="n"/>
      <c r="E637" s="142" t="n"/>
      <c r="F637" s="142" t="n"/>
      <c r="G637" s="143" t="n"/>
      <c r="H637" s="56" t="n"/>
      <c r="I637" s="57" t="n"/>
      <c r="J637" s="56" t="n"/>
      <c r="K637" s="56" t="n"/>
      <c r="L637" s="50">
        <f>CONCATENATE(H637,M637)</f>
        <v/>
      </c>
      <c r="M637" s="51">
        <f>IF(OR(ISBLANK(J637),ISBLANK(K637)),IF(OR(H637="ALI",H637="AIE"),"L",IF(ISBLANK(H637),"","A")),IF(H637="EE",IF(K637&gt;=3,IF(J637&gt;=5,"H","A"),IF(K637&gt;=2,IF(J637&gt;=16,"H",IF(J637&lt;=4,"L","A")),IF(J637&lt;=15,"L","A"))),IF(OR(H637="SE",H637="CE"),IF(K637&gt;=4,IF(J637&gt;=6,"H","A"),IF(K637&gt;=2,IF(J637&gt;=20,"H",IF(J637&lt;=5,"L","A")),IF(J637&lt;=19,"L","A"))),IF(OR(H637="ALI",H637="AIE"),IF(K637&gt;=6,IF(J637&gt;=20,"H","A"),IF(K637&gt;=2,IF(J637&gt;=51,"H",IF(J637&lt;=19,"L","A")),IF(J637&lt;=50,"L","A")))))))</f>
        <v/>
      </c>
      <c r="N637" s="52">
        <f>IF(M637="L","Baixa",IF(M637="A","Média",IF(M637="","","Alta")))</f>
        <v/>
      </c>
      <c r="O637" s="53">
        <f>IF(ISBLANK(H637),"",IF(H637="ALI",IF(M637="L",7,IF(M637="A",10,15)),IF(H637="AIE",IF(M637="L",5,IF(M637="A",7,10)),IF(H637="SE",IF(M637="L",4,IF(M637="A",5,7)),IF(OR(H637="EE",H637="CE"),IF(M637="L",3,IF(M637="A",4,6)))))))</f>
        <v/>
      </c>
      <c r="P637" s="54">
        <f>IF(I637="I",O637*Contagem!$W$15,IF(I637="E",O637*Contagem!$W$17,IF(I637="A",O637*Contagem!$W$16,IF(I637="T",O637*Contagem!$W$18,""))))</f>
        <v/>
      </c>
      <c r="Q637" s="55" t="n"/>
    </row>
    <row r="638" ht="12" customHeight="1" s="73">
      <c r="A638" s="14">
        <f>IF(H638="",IF(C638="",A637,A637+1),A637)</f>
        <v/>
      </c>
      <c r="B638" s="48">
        <f>IF(A638=A637,"",CONCATENATE("F",A638))</f>
        <v/>
      </c>
      <c r="C638" s="85" t="n"/>
      <c r="D638" s="142" t="n"/>
      <c r="E638" s="142" t="n"/>
      <c r="F638" s="142" t="n"/>
      <c r="G638" s="143" t="n"/>
      <c r="H638" s="56" t="n"/>
      <c r="I638" s="57" t="n"/>
      <c r="J638" s="56" t="n"/>
      <c r="K638" s="56" t="n"/>
      <c r="L638" s="50">
        <f>CONCATENATE(H638,M638)</f>
        <v/>
      </c>
      <c r="M638" s="51">
        <f>IF(OR(ISBLANK(J638),ISBLANK(K638)),IF(OR(H638="ALI",H638="AIE"),"L",IF(ISBLANK(H638),"","A")),IF(H638="EE",IF(K638&gt;=3,IF(J638&gt;=5,"H","A"),IF(K638&gt;=2,IF(J638&gt;=16,"H",IF(J638&lt;=4,"L","A")),IF(J638&lt;=15,"L","A"))),IF(OR(H638="SE",H638="CE"),IF(K638&gt;=4,IF(J638&gt;=6,"H","A"),IF(K638&gt;=2,IF(J638&gt;=20,"H",IF(J638&lt;=5,"L","A")),IF(J638&lt;=19,"L","A"))),IF(OR(H638="ALI",H638="AIE"),IF(K638&gt;=6,IF(J638&gt;=20,"H","A"),IF(K638&gt;=2,IF(J638&gt;=51,"H",IF(J638&lt;=19,"L","A")),IF(J638&lt;=50,"L","A")))))))</f>
        <v/>
      </c>
      <c r="N638" s="52">
        <f>IF(M638="L","Baixa",IF(M638="A","Média",IF(M638="","","Alta")))</f>
        <v/>
      </c>
      <c r="O638" s="53">
        <f>IF(ISBLANK(H638),"",IF(H638="ALI",IF(M638="L",7,IF(M638="A",10,15)),IF(H638="AIE",IF(M638="L",5,IF(M638="A",7,10)),IF(H638="SE",IF(M638="L",4,IF(M638="A",5,7)),IF(OR(H638="EE",H638="CE"),IF(M638="L",3,IF(M638="A",4,6)))))))</f>
        <v/>
      </c>
      <c r="P638" s="54">
        <f>IF(I638="I",O638*Contagem!$W$15,IF(I638="E",O638*Contagem!$W$17,IF(I638="A",O638*Contagem!$W$16,IF(I638="T",O638*Contagem!$W$18,""))))</f>
        <v/>
      </c>
      <c r="Q638" s="55" t="n"/>
    </row>
    <row r="639" ht="12" customHeight="1" s="73">
      <c r="A639" s="14">
        <f>IF(H639="",IF(C639="",A638,A638+1),A638)</f>
        <v/>
      </c>
      <c r="B639" s="48">
        <f>IF(A639=A638,"",CONCATENATE("F",A639))</f>
        <v/>
      </c>
      <c r="C639" s="85" t="n"/>
      <c r="D639" s="142" t="n"/>
      <c r="E639" s="142" t="n"/>
      <c r="F639" s="142" t="n"/>
      <c r="G639" s="143" t="n"/>
      <c r="H639" s="56" t="n"/>
      <c r="I639" s="57" t="n"/>
      <c r="J639" s="56" t="n"/>
      <c r="K639" s="56" t="n"/>
      <c r="L639" s="50">
        <f>CONCATENATE(H639,M639)</f>
        <v/>
      </c>
      <c r="M639" s="51">
        <f>IF(OR(ISBLANK(J639),ISBLANK(K639)),IF(OR(H639="ALI",H639="AIE"),"L",IF(ISBLANK(H639),"","A")),IF(H639="EE",IF(K639&gt;=3,IF(J639&gt;=5,"H","A"),IF(K639&gt;=2,IF(J639&gt;=16,"H",IF(J639&lt;=4,"L","A")),IF(J639&lt;=15,"L","A"))),IF(OR(H639="SE",H639="CE"),IF(K639&gt;=4,IF(J639&gt;=6,"H","A"),IF(K639&gt;=2,IF(J639&gt;=20,"H",IF(J639&lt;=5,"L","A")),IF(J639&lt;=19,"L","A"))),IF(OR(H639="ALI",H639="AIE"),IF(K639&gt;=6,IF(J639&gt;=20,"H","A"),IF(K639&gt;=2,IF(J639&gt;=51,"H",IF(J639&lt;=19,"L","A")),IF(J639&lt;=50,"L","A")))))))</f>
        <v/>
      </c>
      <c r="N639" s="52">
        <f>IF(M639="L","Baixa",IF(M639="A","Média",IF(M639="","","Alta")))</f>
        <v/>
      </c>
      <c r="O639" s="53">
        <f>IF(ISBLANK(H639),"",IF(H639="ALI",IF(M639="L",7,IF(M639="A",10,15)),IF(H639="AIE",IF(M639="L",5,IF(M639="A",7,10)),IF(H639="SE",IF(M639="L",4,IF(M639="A",5,7)),IF(OR(H639="EE",H639="CE"),IF(M639="L",3,IF(M639="A",4,6)))))))</f>
        <v/>
      </c>
      <c r="P639" s="54">
        <f>IF(I639="I",O639*Contagem!$W$15,IF(I639="E",O639*Contagem!$W$17,IF(I639="A",O639*Contagem!$W$16,IF(I639="T",O639*Contagem!$W$18,""))))</f>
        <v/>
      </c>
      <c r="Q639" s="55" t="n"/>
    </row>
    <row r="640" ht="12" customHeight="1" s="73">
      <c r="A640" s="14">
        <f>IF(H640="",IF(C640="",A639,A639+1),A639)</f>
        <v/>
      </c>
      <c r="B640" s="48">
        <f>IF(A640=A639,"",CONCATENATE("F",A640))</f>
        <v/>
      </c>
      <c r="C640" s="85" t="n"/>
      <c r="D640" s="142" t="n"/>
      <c r="E640" s="142" t="n"/>
      <c r="F640" s="142" t="n"/>
      <c r="G640" s="143" t="n"/>
      <c r="H640" s="56" t="n"/>
      <c r="I640" s="57" t="n"/>
      <c r="J640" s="56" t="n"/>
      <c r="K640" s="56" t="n"/>
      <c r="L640" s="50">
        <f>CONCATENATE(H640,M640)</f>
        <v/>
      </c>
      <c r="M640" s="51">
        <f>IF(OR(ISBLANK(J640),ISBLANK(K640)),IF(OR(H640="ALI",H640="AIE"),"L",IF(ISBLANK(H640),"","A")),IF(H640="EE",IF(K640&gt;=3,IF(J640&gt;=5,"H","A"),IF(K640&gt;=2,IF(J640&gt;=16,"H",IF(J640&lt;=4,"L","A")),IF(J640&lt;=15,"L","A"))),IF(OR(H640="SE",H640="CE"),IF(K640&gt;=4,IF(J640&gt;=6,"H","A"),IF(K640&gt;=2,IF(J640&gt;=20,"H",IF(J640&lt;=5,"L","A")),IF(J640&lt;=19,"L","A"))),IF(OR(H640="ALI",H640="AIE"),IF(K640&gt;=6,IF(J640&gt;=20,"H","A"),IF(K640&gt;=2,IF(J640&gt;=51,"H",IF(J640&lt;=19,"L","A")),IF(J640&lt;=50,"L","A")))))))</f>
        <v/>
      </c>
      <c r="N640" s="52">
        <f>IF(M640="L","Baixa",IF(M640="A","Média",IF(M640="","","Alta")))</f>
        <v/>
      </c>
      <c r="O640" s="53">
        <f>IF(ISBLANK(H640),"",IF(H640="ALI",IF(M640="L",7,IF(M640="A",10,15)),IF(H640="AIE",IF(M640="L",5,IF(M640="A",7,10)),IF(H640="SE",IF(M640="L",4,IF(M640="A",5,7)),IF(OR(H640="EE",H640="CE"),IF(M640="L",3,IF(M640="A",4,6)))))))</f>
        <v/>
      </c>
      <c r="P640" s="54">
        <f>IF(I640="I",O640*Contagem!$W$15,IF(I640="E",O640*Contagem!$W$17,IF(I640="A",O640*Contagem!$W$16,IF(I640="T",O640*Contagem!$W$18,""))))</f>
        <v/>
      </c>
      <c r="Q640" s="55" t="n"/>
    </row>
    <row r="641" ht="12" customHeight="1" s="73">
      <c r="A641" s="14">
        <f>IF(H641="",IF(C641="",A640,A640+1),A640)</f>
        <v/>
      </c>
      <c r="B641" s="48">
        <f>IF(A641=A640,"",CONCATENATE("F",A641))</f>
        <v/>
      </c>
      <c r="C641" s="85" t="n"/>
      <c r="D641" s="142" t="n"/>
      <c r="E641" s="142" t="n"/>
      <c r="F641" s="142" t="n"/>
      <c r="G641" s="143" t="n"/>
      <c r="H641" s="56" t="n"/>
      <c r="I641" s="57" t="n"/>
      <c r="J641" s="56" t="n"/>
      <c r="K641" s="56" t="n"/>
      <c r="L641" s="50">
        <f>CONCATENATE(H641,M641)</f>
        <v/>
      </c>
      <c r="M641" s="51">
        <f>IF(OR(ISBLANK(J641),ISBLANK(K641)),IF(OR(H641="ALI",H641="AIE"),"L",IF(ISBLANK(H641),"","A")),IF(H641="EE",IF(K641&gt;=3,IF(J641&gt;=5,"H","A"),IF(K641&gt;=2,IF(J641&gt;=16,"H",IF(J641&lt;=4,"L","A")),IF(J641&lt;=15,"L","A"))),IF(OR(H641="SE",H641="CE"),IF(K641&gt;=4,IF(J641&gt;=6,"H","A"),IF(K641&gt;=2,IF(J641&gt;=20,"H",IF(J641&lt;=5,"L","A")),IF(J641&lt;=19,"L","A"))),IF(OR(H641="ALI",H641="AIE"),IF(K641&gt;=6,IF(J641&gt;=20,"H","A"),IF(K641&gt;=2,IF(J641&gt;=51,"H",IF(J641&lt;=19,"L","A")),IF(J641&lt;=50,"L","A")))))))</f>
        <v/>
      </c>
      <c r="N641" s="52">
        <f>IF(M641="L","Baixa",IF(M641="A","Média",IF(M641="","","Alta")))</f>
        <v/>
      </c>
      <c r="O641" s="53">
        <f>IF(ISBLANK(H641),"",IF(H641="ALI",IF(M641="L",7,IF(M641="A",10,15)),IF(H641="AIE",IF(M641="L",5,IF(M641="A",7,10)),IF(H641="SE",IF(M641="L",4,IF(M641="A",5,7)),IF(OR(H641="EE",H641="CE"),IF(M641="L",3,IF(M641="A",4,6)))))))</f>
        <v/>
      </c>
      <c r="P641" s="54">
        <f>IF(I641="I",O641*Contagem!$W$15,IF(I641="E",O641*Contagem!$W$17,IF(I641="A",O641*Contagem!$W$16,IF(I641="T",O641*Contagem!$W$18,""))))</f>
        <v/>
      </c>
      <c r="Q641" s="55" t="n"/>
    </row>
    <row r="642" ht="12" customHeight="1" s="73">
      <c r="A642" s="14">
        <f>IF(H642="",IF(C642="",A641,A641+1),A641)</f>
        <v/>
      </c>
      <c r="B642" s="48">
        <f>IF(A642=A641,"",CONCATENATE("F",A642))</f>
        <v/>
      </c>
      <c r="C642" s="85" t="n"/>
      <c r="D642" s="142" t="n"/>
      <c r="E642" s="142" t="n"/>
      <c r="F642" s="142" t="n"/>
      <c r="G642" s="143" t="n"/>
      <c r="H642" s="56" t="n"/>
      <c r="I642" s="57" t="n"/>
      <c r="J642" s="56" t="n"/>
      <c r="K642" s="56" t="n"/>
      <c r="L642" s="50">
        <f>CONCATENATE(H642,M642)</f>
        <v/>
      </c>
      <c r="M642" s="51">
        <f>IF(OR(ISBLANK(J642),ISBLANK(K642)),IF(OR(H642="ALI",H642="AIE"),"L",IF(ISBLANK(H642),"","A")),IF(H642="EE",IF(K642&gt;=3,IF(J642&gt;=5,"H","A"),IF(K642&gt;=2,IF(J642&gt;=16,"H",IF(J642&lt;=4,"L","A")),IF(J642&lt;=15,"L","A"))),IF(OR(H642="SE",H642="CE"),IF(K642&gt;=4,IF(J642&gt;=6,"H","A"),IF(K642&gt;=2,IF(J642&gt;=20,"H",IF(J642&lt;=5,"L","A")),IF(J642&lt;=19,"L","A"))),IF(OR(H642="ALI",H642="AIE"),IF(K642&gt;=6,IF(J642&gt;=20,"H","A"),IF(K642&gt;=2,IF(J642&gt;=51,"H",IF(J642&lt;=19,"L","A")),IF(J642&lt;=50,"L","A")))))))</f>
        <v/>
      </c>
      <c r="N642" s="52">
        <f>IF(M642="L","Baixa",IF(M642="A","Média",IF(M642="","","Alta")))</f>
        <v/>
      </c>
      <c r="O642" s="53">
        <f>IF(ISBLANK(H642),"",IF(H642="ALI",IF(M642="L",7,IF(M642="A",10,15)),IF(H642="AIE",IF(M642="L",5,IF(M642="A",7,10)),IF(H642="SE",IF(M642="L",4,IF(M642="A",5,7)),IF(OR(H642="EE",H642="CE"),IF(M642="L",3,IF(M642="A",4,6)))))))</f>
        <v/>
      </c>
      <c r="P642" s="54">
        <f>IF(I642="I",O642*Contagem!$W$15,IF(I642="E",O642*Contagem!$W$17,IF(I642="A",O642*Contagem!$W$16,IF(I642="T",O642*Contagem!$W$18,""))))</f>
        <v/>
      </c>
      <c r="Q642" s="55" t="n"/>
    </row>
    <row r="643" ht="12" customHeight="1" s="73">
      <c r="A643" s="14">
        <f>IF(H643="",IF(C643="",A642,A642+1),A642)</f>
        <v/>
      </c>
      <c r="B643" s="48">
        <f>IF(A643=A642,"",CONCATENATE("F",A643))</f>
        <v/>
      </c>
      <c r="C643" s="85" t="n"/>
      <c r="D643" s="142" t="n"/>
      <c r="E643" s="142" t="n"/>
      <c r="F643" s="142" t="n"/>
      <c r="G643" s="143" t="n"/>
      <c r="H643" s="56" t="n"/>
      <c r="I643" s="57" t="n"/>
      <c r="J643" s="56" t="n"/>
      <c r="K643" s="56" t="n"/>
      <c r="L643" s="50">
        <f>CONCATENATE(H643,M643)</f>
        <v/>
      </c>
      <c r="M643" s="51">
        <f>IF(OR(ISBLANK(J643),ISBLANK(K643)),IF(OR(H643="ALI",H643="AIE"),"L",IF(ISBLANK(H643),"","A")),IF(H643="EE",IF(K643&gt;=3,IF(J643&gt;=5,"H","A"),IF(K643&gt;=2,IF(J643&gt;=16,"H",IF(J643&lt;=4,"L","A")),IF(J643&lt;=15,"L","A"))),IF(OR(H643="SE",H643="CE"),IF(K643&gt;=4,IF(J643&gt;=6,"H","A"),IF(K643&gt;=2,IF(J643&gt;=20,"H",IF(J643&lt;=5,"L","A")),IF(J643&lt;=19,"L","A"))),IF(OR(H643="ALI",H643="AIE"),IF(K643&gt;=6,IF(J643&gt;=20,"H","A"),IF(K643&gt;=2,IF(J643&gt;=51,"H",IF(J643&lt;=19,"L","A")),IF(J643&lt;=50,"L","A")))))))</f>
        <v/>
      </c>
      <c r="N643" s="52">
        <f>IF(M643="L","Baixa",IF(M643="A","Média",IF(M643="","","Alta")))</f>
        <v/>
      </c>
      <c r="O643" s="53">
        <f>IF(ISBLANK(H643),"",IF(H643="ALI",IF(M643="L",7,IF(M643="A",10,15)),IF(H643="AIE",IF(M643="L",5,IF(M643="A",7,10)),IF(H643="SE",IF(M643="L",4,IF(M643="A",5,7)),IF(OR(H643="EE",H643="CE"),IF(M643="L",3,IF(M643="A",4,6)))))))</f>
        <v/>
      </c>
      <c r="P643" s="54">
        <f>IF(I643="I",O643*Contagem!$W$15,IF(I643="E",O643*Contagem!$W$17,IF(I643="A",O643*Contagem!$W$16,IF(I643="T",O643*Contagem!$W$18,""))))</f>
        <v/>
      </c>
      <c r="Q643" s="55" t="n"/>
    </row>
    <row r="644" ht="12" customHeight="1" s="73">
      <c r="A644" s="14">
        <f>IF(H644="",IF(C644="",A643,A643+1),A643)</f>
        <v/>
      </c>
      <c r="B644" s="48">
        <f>IF(A644=A643,"",CONCATENATE("F",A644))</f>
        <v/>
      </c>
      <c r="C644" s="85" t="n"/>
      <c r="D644" s="142" t="n"/>
      <c r="E644" s="142" t="n"/>
      <c r="F644" s="142" t="n"/>
      <c r="G644" s="143" t="n"/>
      <c r="H644" s="56" t="n"/>
      <c r="I644" s="57" t="n"/>
      <c r="J644" s="56" t="n"/>
      <c r="K644" s="56" t="n"/>
      <c r="L644" s="50">
        <f>CONCATENATE(H644,M644)</f>
        <v/>
      </c>
      <c r="M644" s="51">
        <f>IF(OR(ISBLANK(J644),ISBLANK(K644)),IF(OR(H644="ALI",H644="AIE"),"L",IF(ISBLANK(H644),"","A")),IF(H644="EE",IF(K644&gt;=3,IF(J644&gt;=5,"H","A"),IF(K644&gt;=2,IF(J644&gt;=16,"H",IF(J644&lt;=4,"L","A")),IF(J644&lt;=15,"L","A"))),IF(OR(H644="SE",H644="CE"),IF(K644&gt;=4,IF(J644&gt;=6,"H","A"),IF(K644&gt;=2,IF(J644&gt;=20,"H",IF(J644&lt;=5,"L","A")),IF(J644&lt;=19,"L","A"))),IF(OR(H644="ALI",H644="AIE"),IF(K644&gt;=6,IF(J644&gt;=20,"H","A"),IF(K644&gt;=2,IF(J644&gt;=51,"H",IF(J644&lt;=19,"L","A")),IF(J644&lt;=50,"L","A")))))))</f>
        <v/>
      </c>
      <c r="N644" s="52">
        <f>IF(M644="L","Baixa",IF(M644="A","Média",IF(M644="","","Alta")))</f>
        <v/>
      </c>
      <c r="O644" s="53">
        <f>IF(ISBLANK(H644),"",IF(H644="ALI",IF(M644="L",7,IF(M644="A",10,15)),IF(H644="AIE",IF(M644="L",5,IF(M644="A",7,10)),IF(H644="SE",IF(M644="L",4,IF(M644="A",5,7)),IF(OR(H644="EE",H644="CE"),IF(M644="L",3,IF(M644="A",4,6)))))))</f>
        <v/>
      </c>
      <c r="P644" s="54">
        <f>IF(I644="I",O644*Contagem!$W$15,IF(I644="E",O644*Contagem!$W$17,IF(I644="A",O644*Contagem!$W$16,IF(I644="T",O644*Contagem!$W$18,""))))</f>
        <v/>
      </c>
      <c r="Q644" s="55" t="n"/>
    </row>
    <row r="645" ht="12" customHeight="1" s="73">
      <c r="A645" s="14">
        <f>IF(H645="",IF(C645="",A644,A644+1),A644)</f>
        <v/>
      </c>
      <c r="B645" s="48">
        <f>IF(A645=A644,"",CONCATENATE("F",A645))</f>
        <v/>
      </c>
      <c r="C645" s="85" t="n"/>
      <c r="D645" s="142" t="n"/>
      <c r="E645" s="142" t="n"/>
      <c r="F645" s="142" t="n"/>
      <c r="G645" s="143" t="n"/>
      <c r="H645" s="56" t="n"/>
      <c r="I645" s="57" t="n"/>
      <c r="J645" s="56" t="n"/>
      <c r="K645" s="56" t="n"/>
      <c r="L645" s="50">
        <f>CONCATENATE(H645,M645)</f>
        <v/>
      </c>
      <c r="M645" s="51">
        <f>IF(OR(ISBLANK(J645),ISBLANK(K645)),IF(OR(H645="ALI",H645="AIE"),"L",IF(ISBLANK(H645),"","A")),IF(H645="EE",IF(K645&gt;=3,IF(J645&gt;=5,"H","A"),IF(K645&gt;=2,IF(J645&gt;=16,"H",IF(J645&lt;=4,"L","A")),IF(J645&lt;=15,"L","A"))),IF(OR(H645="SE",H645="CE"),IF(K645&gt;=4,IF(J645&gt;=6,"H","A"),IF(K645&gt;=2,IF(J645&gt;=20,"H",IF(J645&lt;=5,"L","A")),IF(J645&lt;=19,"L","A"))),IF(OR(H645="ALI",H645="AIE"),IF(K645&gt;=6,IF(J645&gt;=20,"H","A"),IF(K645&gt;=2,IF(J645&gt;=51,"H",IF(J645&lt;=19,"L","A")),IF(J645&lt;=50,"L","A")))))))</f>
        <v/>
      </c>
      <c r="N645" s="52">
        <f>IF(M645="L","Baixa",IF(M645="A","Média",IF(M645="","","Alta")))</f>
        <v/>
      </c>
      <c r="O645" s="53">
        <f>IF(ISBLANK(H645),"",IF(H645="ALI",IF(M645="L",7,IF(M645="A",10,15)),IF(H645="AIE",IF(M645="L",5,IF(M645="A",7,10)),IF(H645="SE",IF(M645="L",4,IF(M645="A",5,7)),IF(OR(H645="EE",H645="CE"),IF(M645="L",3,IF(M645="A",4,6)))))))</f>
        <v/>
      </c>
      <c r="P645" s="54">
        <f>IF(I645="I",O645*Contagem!$W$15,IF(I645="E",O645*Contagem!$W$17,IF(I645="A",O645*Contagem!$W$16,IF(I645="T",O645*Contagem!$W$18,""))))</f>
        <v/>
      </c>
      <c r="Q645" s="55" t="n"/>
    </row>
    <row r="646" ht="12" customHeight="1" s="73">
      <c r="A646" s="14">
        <f>IF(H646="",IF(C646="",A645,A645+1),A645)</f>
        <v/>
      </c>
      <c r="B646" s="48">
        <f>IF(A646=A645,"",CONCATENATE("F",A646))</f>
        <v/>
      </c>
      <c r="C646" s="85" t="n"/>
      <c r="D646" s="142" t="n"/>
      <c r="E646" s="142" t="n"/>
      <c r="F646" s="142" t="n"/>
      <c r="G646" s="143" t="n"/>
      <c r="H646" s="56" t="n"/>
      <c r="I646" s="57" t="n"/>
      <c r="J646" s="56" t="n"/>
      <c r="K646" s="56" t="n"/>
      <c r="L646" s="50">
        <f>CONCATENATE(H646,M646)</f>
        <v/>
      </c>
      <c r="M646" s="51">
        <f>IF(OR(ISBLANK(J646),ISBLANK(K646)),IF(OR(H646="ALI",H646="AIE"),"L",IF(ISBLANK(H646),"","A")),IF(H646="EE",IF(K646&gt;=3,IF(J646&gt;=5,"H","A"),IF(K646&gt;=2,IF(J646&gt;=16,"H",IF(J646&lt;=4,"L","A")),IF(J646&lt;=15,"L","A"))),IF(OR(H646="SE",H646="CE"),IF(K646&gt;=4,IF(J646&gt;=6,"H","A"),IF(K646&gt;=2,IF(J646&gt;=20,"H",IF(J646&lt;=5,"L","A")),IF(J646&lt;=19,"L","A"))),IF(OR(H646="ALI",H646="AIE"),IF(K646&gt;=6,IF(J646&gt;=20,"H","A"),IF(K646&gt;=2,IF(J646&gt;=51,"H",IF(J646&lt;=19,"L","A")),IF(J646&lt;=50,"L","A")))))))</f>
        <v/>
      </c>
      <c r="N646" s="52">
        <f>IF(M646="L","Baixa",IF(M646="A","Média",IF(M646="","","Alta")))</f>
        <v/>
      </c>
      <c r="O646" s="53">
        <f>IF(ISBLANK(H646),"",IF(H646="ALI",IF(M646="L",7,IF(M646="A",10,15)),IF(H646="AIE",IF(M646="L",5,IF(M646="A",7,10)),IF(H646="SE",IF(M646="L",4,IF(M646="A",5,7)),IF(OR(H646="EE",H646="CE"),IF(M646="L",3,IF(M646="A",4,6)))))))</f>
        <v/>
      </c>
      <c r="P646" s="54">
        <f>IF(I646="I",O646*Contagem!$W$15,IF(I646="E",O646*Contagem!$W$17,IF(I646="A",O646*Contagem!$W$16,IF(I646="T",O646*Contagem!$W$18,""))))</f>
        <v/>
      </c>
      <c r="Q646" s="55" t="n"/>
    </row>
    <row r="647" ht="12" customHeight="1" s="73">
      <c r="A647" s="14">
        <f>IF(H647="",IF(C647="",A646,A646+1),A646)</f>
        <v/>
      </c>
      <c r="B647" s="48">
        <f>IF(A647=A646,"",CONCATENATE("F",A647))</f>
        <v/>
      </c>
      <c r="C647" s="85" t="n"/>
      <c r="D647" s="142" t="n"/>
      <c r="E647" s="142" t="n"/>
      <c r="F647" s="142" t="n"/>
      <c r="G647" s="143" t="n"/>
      <c r="H647" s="56" t="n"/>
      <c r="I647" s="57" t="n"/>
      <c r="J647" s="56" t="n"/>
      <c r="K647" s="56" t="n"/>
      <c r="L647" s="50">
        <f>CONCATENATE(H647,M647)</f>
        <v/>
      </c>
      <c r="M647" s="51">
        <f>IF(OR(ISBLANK(J647),ISBLANK(K647)),IF(OR(H647="ALI",H647="AIE"),"L",IF(ISBLANK(H647),"","A")),IF(H647="EE",IF(K647&gt;=3,IF(J647&gt;=5,"H","A"),IF(K647&gt;=2,IF(J647&gt;=16,"H",IF(J647&lt;=4,"L","A")),IF(J647&lt;=15,"L","A"))),IF(OR(H647="SE",H647="CE"),IF(K647&gt;=4,IF(J647&gt;=6,"H","A"),IF(K647&gt;=2,IF(J647&gt;=20,"H",IF(J647&lt;=5,"L","A")),IF(J647&lt;=19,"L","A"))),IF(OR(H647="ALI",H647="AIE"),IF(K647&gt;=6,IF(J647&gt;=20,"H","A"),IF(K647&gt;=2,IF(J647&gt;=51,"H",IF(J647&lt;=19,"L","A")),IF(J647&lt;=50,"L","A")))))))</f>
        <v/>
      </c>
      <c r="N647" s="52">
        <f>IF(M647="L","Baixa",IF(M647="A","Média",IF(M647="","","Alta")))</f>
        <v/>
      </c>
      <c r="O647" s="53">
        <f>IF(ISBLANK(H647),"",IF(H647="ALI",IF(M647="L",7,IF(M647="A",10,15)),IF(H647="AIE",IF(M647="L",5,IF(M647="A",7,10)),IF(H647="SE",IF(M647="L",4,IF(M647="A",5,7)),IF(OR(H647="EE",H647="CE"),IF(M647="L",3,IF(M647="A",4,6)))))))</f>
        <v/>
      </c>
      <c r="P647" s="54">
        <f>IF(I647="I",O647*Contagem!$W$15,IF(I647="E",O647*Contagem!$W$17,IF(I647="A",O647*Contagem!$W$16,IF(I647="T",O647*Contagem!$W$18,""))))</f>
        <v/>
      </c>
      <c r="Q647" s="55" t="n"/>
    </row>
    <row r="648" ht="12" customHeight="1" s="73">
      <c r="A648" s="14">
        <f>IF(H648="",IF(C648="",A647,A647+1),A647)</f>
        <v/>
      </c>
      <c r="B648" s="48">
        <f>IF(A648=A647,"",CONCATENATE("F",A648))</f>
        <v/>
      </c>
      <c r="C648" s="85" t="n"/>
      <c r="D648" s="142" t="n"/>
      <c r="E648" s="142" t="n"/>
      <c r="F648" s="142" t="n"/>
      <c r="G648" s="143" t="n"/>
      <c r="H648" s="56" t="n"/>
      <c r="I648" s="57" t="n"/>
      <c r="J648" s="56" t="n"/>
      <c r="K648" s="56" t="n"/>
      <c r="L648" s="50">
        <f>CONCATENATE(H648,M648)</f>
        <v/>
      </c>
      <c r="M648" s="51">
        <f>IF(OR(ISBLANK(J648),ISBLANK(K648)),IF(OR(H648="ALI",H648="AIE"),"L",IF(ISBLANK(H648),"","A")),IF(H648="EE",IF(K648&gt;=3,IF(J648&gt;=5,"H","A"),IF(K648&gt;=2,IF(J648&gt;=16,"H",IF(J648&lt;=4,"L","A")),IF(J648&lt;=15,"L","A"))),IF(OR(H648="SE",H648="CE"),IF(K648&gt;=4,IF(J648&gt;=6,"H","A"),IF(K648&gt;=2,IF(J648&gt;=20,"H",IF(J648&lt;=5,"L","A")),IF(J648&lt;=19,"L","A"))),IF(OR(H648="ALI",H648="AIE"),IF(K648&gt;=6,IF(J648&gt;=20,"H","A"),IF(K648&gt;=2,IF(J648&gt;=51,"H",IF(J648&lt;=19,"L","A")),IF(J648&lt;=50,"L","A")))))))</f>
        <v/>
      </c>
      <c r="N648" s="52">
        <f>IF(M648="L","Baixa",IF(M648="A","Média",IF(M648="","","Alta")))</f>
        <v/>
      </c>
      <c r="O648" s="53">
        <f>IF(ISBLANK(H648),"",IF(H648="ALI",IF(M648="L",7,IF(M648="A",10,15)),IF(H648="AIE",IF(M648="L",5,IF(M648="A",7,10)),IF(H648="SE",IF(M648="L",4,IF(M648="A",5,7)),IF(OR(H648="EE",H648="CE"),IF(M648="L",3,IF(M648="A",4,6)))))))</f>
        <v/>
      </c>
      <c r="P648" s="54">
        <f>IF(I648="I",O648*Contagem!$W$15,IF(I648="E",O648*Contagem!$W$17,IF(I648="A",O648*Contagem!$W$16,IF(I648="T",O648*Contagem!$W$18,""))))</f>
        <v/>
      </c>
      <c r="Q648" s="55" t="n"/>
    </row>
    <row r="649" ht="12" customHeight="1" s="73">
      <c r="A649" s="14">
        <f>IF(H649="",IF(C649="",A648,A648+1),A648)</f>
        <v/>
      </c>
      <c r="B649" s="48">
        <f>IF(A649=A648,"",CONCATENATE("F",A649))</f>
        <v/>
      </c>
      <c r="C649" s="85" t="n"/>
      <c r="D649" s="142" t="n"/>
      <c r="E649" s="142" t="n"/>
      <c r="F649" s="142" t="n"/>
      <c r="G649" s="143" t="n"/>
      <c r="H649" s="56" t="n"/>
      <c r="I649" s="57" t="n"/>
      <c r="J649" s="56" t="n"/>
      <c r="K649" s="56" t="n"/>
      <c r="L649" s="50">
        <f>CONCATENATE(H649,M649)</f>
        <v/>
      </c>
      <c r="M649" s="51">
        <f>IF(OR(ISBLANK(J649),ISBLANK(K649)),IF(OR(H649="ALI",H649="AIE"),"L",IF(ISBLANK(H649),"","A")),IF(H649="EE",IF(K649&gt;=3,IF(J649&gt;=5,"H","A"),IF(K649&gt;=2,IF(J649&gt;=16,"H",IF(J649&lt;=4,"L","A")),IF(J649&lt;=15,"L","A"))),IF(OR(H649="SE",H649="CE"),IF(K649&gt;=4,IF(J649&gt;=6,"H","A"),IF(K649&gt;=2,IF(J649&gt;=20,"H",IF(J649&lt;=5,"L","A")),IF(J649&lt;=19,"L","A"))),IF(OR(H649="ALI",H649="AIE"),IF(K649&gt;=6,IF(J649&gt;=20,"H","A"),IF(K649&gt;=2,IF(J649&gt;=51,"H",IF(J649&lt;=19,"L","A")),IF(J649&lt;=50,"L","A")))))))</f>
        <v/>
      </c>
      <c r="N649" s="52">
        <f>IF(M649="L","Baixa",IF(M649="A","Média",IF(M649="","","Alta")))</f>
        <v/>
      </c>
      <c r="O649" s="53">
        <f>IF(ISBLANK(H649),"",IF(H649="ALI",IF(M649="L",7,IF(M649="A",10,15)),IF(H649="AIE",IF(M649="L",5,IF(M649="A",7,10)),IF(H649="SE",IF(M649="L",4,IF(M649="A",5,7)),IF(OR(H649="EE",H649="CE"),IF(M649="L",3,IF(M649="A",4,6)))))))</f>
        <v/>
      </c>
      <c r="P649" s="54">
        <f>IF(I649="I",O649*Contagem!$W$15,IF(I649="E",O649*Contagem!$W$17,IF(I649="A",O649*Contagem!$W$16,IF(I649="T",O649*Contagem!$W$18,""))))</f>
        <v/>
      </c>
      <c r="Q649" s="55" t="n"/>
    </row>
    <row r="650" ht="12" customHeight="1" s="73">
      <c r="A650" s="14">
        <f>IF(H650="",IF(C650="",A649,A649+1),A649)</f>
        <v/>
      </c>
      <c r="B650" s="48">
        <f>IF(A650=A649,"",CONCATENATE("F",A650))</f>
        <v/>
      </c>
      <c r="C650" s="85" t="n"/>
      <c r="D650" s="142" t="n"/>
      <c r="E650" s="142" t="n"/>
      <c r="F650" s="142" t="n"/>
      <c r="G650" s="143" t="n"/>
      <c r="H650" s="56" t="n"/>
      <c r="I650" s="57" t="n"/>
      <c r="J650" s="56" t="n"/>
      <c r="K650" s="56" t="n"/>
      <c r="L650" s="50">
        <f>CONCATENATE(H650,M650)</f>
        <v/>
      </c>
      <c r="M650" s="51">
        <f>IF(OR(ISBLANK(J650),ISBLANK(K650)),IF(OR(H650="ALI",H650="AIE"),"L",IF(ISBLANK(H650),"","A")),IF(H650="EE",IF(K650&gt;=3,IF(J650&gt;=5,"H","A"),IF(K650&gt;=2,IF(J650&gt;=16,"H",IF(J650&lt;=4,"L","A")),IF(J650&lt;=15,"L","A"))),IF(OR(H650="SE",H650="CE"),IF(K650&gt;=4,IF(J650&gt;=6,"H","A"),IF(K650&gt;=2,IF(J650&gt;=20,"H",IF(J650&lt;=5,"L","A")),IF(J650&lt;=19,"L","A"))),IF(OR(H650="ALI",H650="AIE"),IF(K650&gt;=6,IF(J650&gt;=20,"H","A"),IF(K650&gt;=2,IF(J650&gt;=51,"H",IF(J650&lt;=19,"L","A")),IF(J650&lt;=50,"L","A")))))))</f>
        <v/>
      </c>
      <c r="N650" s="52">
        <f>IF(M650="L","Baixa",IF(M650="A","Média",IF(M650="","","Alta")))</f>
        <v/>
      </c>
      <c r="O650" s="53">
        <f>IF(ISBLANK(H650),"",IF(H650="ALI",IF(M650="L",7,IF(M650="A",10,15)),IF(H650="AIE",IF(M650="L",5,IF(M650="A",7,10)),IF(H650="SE",IF(M650="L",4,IF(M650="A",5,7)),IF(OR(H650="EE",H650="CE"),IF(M650="L",3,IF(M650="A",4,6)))))))</f>
        <v/>
      </c>
      <c r="P650" s="54">
        <f>IF(I650="I",O650*Contagem!$W$15,IF(I650="E",O650*Contagem!$W$17,IF(I650="A",O650*Contagem!$W$16,IF(I650="T",O650*Contagem!$W$18,""))))</f>
        <v/>
      </c>
      <c r="Q650" s="55" t="n"/>
    </row>
    <row r="651" ht="12" customHeight="1" s="73">
      <c r="A651" s="14">
        <f>IF(H651="",IF(C651="",A650,A650+1),A650)</f>
        <v/>
      </c>
      <c r="B651" s="48">
        <f>IF(A651=A650,"",CONCATENATE("F",A651))</f>
        <v/>
      </c>
      <c r="C651" s="85" t="n"/>
      <c r="D651" s="142" t="n"/>
      <c r="E651" s="142" t="n"/>
      <c r="F651" s="142" t="n"/>
      <c r="G651" s="143" t="n"/>
      <c r="H651" s="56" t="n"/>
      <c r="I651" s="57" t="n"/>
      <c r="J651" s="56" t="n"/>
      <c r="K651" s="56" t="n"/>
      <c r="L651" s="50">
        <f>CONCATENATE(H651,M651)</f>
        <v/>
      </c>
      <c r="M651" s="51">
        <f>IF(OR(ISBLANK(J651),ISBLANK(K651)),IF(OR(H651="ALI",H651="AIE"),"L",IF(ISBLANK(H651),"","A")),IF(H651="EE",IF(K651&gt;=3,IF(J651&gt;=5,"H","A"),IF(K651&gt;=2,IF(J651&gt;=16,"H",IF(J651&lt;=4,"L","A")),IF(J651&lt;=15,"L","A"))),IF(OR(H651="SE",H651="CE"),IF(K651&gt;=4,IF(J651&gt;=6,"H","A"),IF(K651&gt;=2,IF(J651&gt;=20,"H",IF(J651&lt;=5,"L","A")),IF(J651&lt;=19,"L","A"))),IF(OR(H651="ALI",H651="AIE"),IF(K651&gt;=6,IF(J651&gt;=20,"H","A"),IF(K651&gt;=2,IF(J651&gt;=51,"H",IF(J651&lt;=19,"L","A")),IF(J651&lt;=50,"L","A")))))))</f>
        <v/>
      </c>
      <c r="N651" s="52">
        <f>IF(M651="L","Baixa",IF(M651="A","Média",IF(M651="","","Alta")))</f>
        <v/>
      </c>
      <c r="O651" s="53">
        <f>IF(ISBLANK(H651),"",IF(H651="ALI",IF(M651="L",7,IF(M651="A",10,15)),IF(H651="AIE",IF(M651="L",5,IF(M651="A",7,10)),IF(H651="SE",IF(M651="L",4,IF(M651="A",5,7)),IF(OR(H651="EE",H651="CE"),IF(M651="L",3,IF(M651="A",4,6)))))))</f>
        <v/>
      </c>
      <c r="P651" s="54">
        <f>IF(I651="I",O651*Contagem!$W$15,IF(I651="E",O651*Contagem!$W$17,IF(I651="A",O651*Contagem!$W$16,IF(I651="T",O651*Contagem!$W$18,""))))</f>
        <v/>
      </c>
      <c r="Q651" s="55" t="n"/>
    </row>
    <row r="652" ht="12" customHeight="1" s="73">
      <c r="A652" s="14">
        <f>IF(H652="",IF(C652="",A651,A651+1),A651)</f>
        <v/>
      </c>
      <c r="B652" s="48">
        <f>IF(A652=A651,"",CONCATENATE("F",A652))</f>
        <v/>
      </c>
      <c r="C652" s="85" t="n"/>
      <c r="D652" s="142" t="n"/>
      <c r="E652" s="142" t="n"/>
      <c r="F652" s="142" t="n"/>
      <c r="G652" s="143" t="n"/>
      <c r="H652" s="56" t="n"/>
      <c r="I652" s="57" t="n"/>
      <c r="J652" s="56" t="n"/>
      <c r="K652" s="56" t="n"/>
      <c r="L652" s="50">
        <f>CONCATENATE(H652,M652)</f>
        <v/>
      </c>
      <c r="M652" s="51">
        <f>IF(OR(ISBLANK(J652),ISBLANK(K652)),IF(OR(H652="ALI",H652="AIE"),"L",IF(ISBLANK(H652),"","A")),IF(H652="EE",IF(K652&gt;=3,IF(J652&gt;=5,"H","A"),IF(K652&gt;=2,IF(J652&gt;=16,"H",IF(J652&lt;=4,"L","A")),IF(J652&lt;=15,"L","A"))),IF(OR(H652="SE",H652="CE"),IF(K652&gt;=4,IF(J652&gt;=6,"H","A"),IF(K652&gt;=2,IF(J652&gt;=20,"H",IF(J652&lt;=5,"L","A")),IF(J652&lt;=19,"L","A"))),IF(OR(H652="ALI",H652="AIE"),IF(K652&gt;=6,IF(J652&gt;=20,"H","A"),IF(K652&gt;=2,IF(J652&gt;=51,"H",IF(J652&lt;=19,"L","A")),IF(J652&lt;=50,"L","A")))))))</f>
        <v/>
      </c>
      <c r="N652" s="52">
        <f>IF(M652="L","Baixa",IF(M652="A","Média",IF(M652="","","Alta")))</f>
        <v/>
      </c>
      <c r="O652" s="53">
        <f>IF(ISBLANK(H652),"",IF(H652="ALI",IF(M652="L",7,IF(M652="A",10,15)),IF(H652="AIE",IF(M652="L",5,IF(M652="A",7,10)),IF(H652="SE",IF(M652="L",4,IF(M652="A",5,7)),IF(OR(H652="EE",H652="CE"),IF(M652="L",3,IF(M652="A",4,6)))))))</f>
        <v/>
      </c>
      <c r="P652" s="54">
        <f>IF(I652="I",O652*Contagem!$W$15,IF(I652="E",O652*Contagem!$W$17,IF(I652="A",O652*Contagem!$W$16,IF(I652="T",O652*Contagem!$W$18,""))))</f>
        <v/>
      </c>
      <c r="Q652" s="55" t="n"/>
    </row>
    <row r="653" ht="12" customHeight="1" s="73">
      <c r="A653" s="14">
        <f>IF(H653="",IF(C653="",A652,A652+1),A652)</f>
        <v/>
      </c>
      <c r="B653" s="48">
        <f>IF(A653=A652,"",CONCATENATE("F",A653))</f>
        <v/>
      </c>
      <c r="C653" s="85" t="n"/>
      <c r="D653" s="142" t="n"/>
      <c r="E653" s="142" t="n"/>
      <c r="F653" s="142" t="n"/>
      <c r="G653" s="143" t="n"/>
      <c r="H653" s="56" t="n"/>
      <c r="I653" s="57" t="n"/>
      <c r="J653" s="56" t="n"/>
      <c r="K653" s="56" t="n"/>
      <c r="L653" s="50">
        <f>CONCATENATE(H653,M653)</f>
        <v/>
      </c>
      <c r="M653" s="51">
        <f>IF(OR(ISBLANK(J653),ISBLANK(K653)),IF(OR(H653="ALI",H653="AIE"),"L",IF(ISBLANK(H653),"","A")),IF(H653="EE",IF(K653&gt;=3,IF(J653&gt;=5,"H","A"),IF(K653&gt;=2,IF(J653&gt;=16,"H",IF(J653&lt;=4,"L","A")),IF(J653&lt;=15,"L","A"))),IF(OR(H653="SE",H653="CE"),IF(K653&gt;=4,IF(J653&gt;=6,"H","A"),IF(K653&gt;=2,IF(J653&gt;=20,"H",IF(J653&lt;=5,"L","A")),IF(J653&lt;=19,"L","A"))),IF(OR(H653="ALI",H653="AIE"),IF(K653&gt;=6,IF(J653&gt;=20,"H","A"),IF(K653&gt;=2,IF(J653&gt;=51,"H",IF(J653&lt;=19,"L","A")),IF(J653&lt;=50,"L","A")))))))</f>
        <v/>
      </c>
      <c r="N653" s="52">
        <f>IF(M653="L","Baixa",IF(M653="A","Média",IF(M653="","","Alta")))</f>
        <v/>
      </c>
      <c r="O653" s="53">
        <f>IF(ISBLANK(H653),"",IF(H653="ALI",IF(M653="L",7,IF(M653="A",10,15)),IF(H653="AIE",IF(M653="L",5,IF(M653="A",7,10)),IF(H653="SE",IF(M653="L",4,IF(M653="A",5,7)),IF(OR(H653="EE",H653="CE"),IF(M653="L",3,IF(M653="A",4,6)))))))</f>
        <v/>
      </c>
      <c r="P653" s="54">
        <f>IF(I653="I",O653*Contagem!$W$15,IF(I653="E",O653*Contagem!$W$17,IF(I653="A",O653*Contagem!$W$16,IF(I653="T",O653*Contagem!$W$18,""))))</f>
        <v/>
      </c>
      <c r="Q653" s="55" t="n"/>
    </row>
    <row r="654" ht="12" customHeight="1" s="73">
      <c r="A654" s="14">
        <f>IF(H654="",IF(C654="",A653,A653+1),A653)</f>
        <v/>
      </c>
      <c r="B654" s="48">
        <f>IF(A654=A653,"",CONCATENATE("F",A654))</f>
        <v/>
      </c>
      <c r="C654" s="85" t="n"/>
      <c r="D654" s="142" t="n"/>
      <c r="E654" s="142" t="n"/>
      <c r="F654" s="142" t="n"/>
      <c r="G654" s="143" t="n"/>
      <c r="H654" s="56" t="n"/>
      <c r="I654" s="57" t="n"/>
      <c r="J654" s="56" t="n"/>
      <c r="K654" s="56" t="n"/>
      <c r="L654" s="50">
        <f>CONCATENATE(H654,M654)</f>
        <v/>
      </c>
      <c r="M654" s="51">
        <f>IF(OR(ISBLANK(J654),ISBLANK(K654)),IF(OR(H654="ALI",H654="AIE"),"L",IF(ISBLANK(H654),"","A")),IF(H654="EE",IF(K654&gt;=3,IF(J654&gt;=5,"H","A"),IF(K654&gt;=2,IF(J654&gt;=16,"H",IF(J654&lt;=4,"L","A")),IF(J654&lt;=15,"L","A"))),IF(OR(H654="SE",H654="CE"),IF(K654&gt;=4,IF(J654&gt;=6,"H","A"),IF(K654&gt;=2,IF(J654&gt;=20,"H",IF(J654&lt;=5,"L","A")),IF(J654&lt;=19,"L","A"))),IF(OR(H654="ALI",H654="AIE"),IF(K654&gt;=6,IF(J654&gt;=20,"H","A"),IF(K654&gt;=2,IF(J654&gt;=51,"H",IF(J654&lt;=19,"L","A")),IF(J654&lt;=50,"L","A")))))))</f>
        <v/>
      </c>
      <c r="N654" s="52">
        <f>IF(M654="L","Baixa",IF(M654="A","Média",IF(M654="","","Alta")))</f>
        <v/>
      </c>
      <c r="O654" s="53">
        <f>IF(ISBLANK(H654),"",IF(H654="ALI",IF(M654="L",7,IF(M654="A",10,15)),IF(H654="AIE",IF(M654="L",5,IF(M654="A",7,10)),IF(H654="SE",IF(M654="L",4,IF(M654="A",5,7)),IF(OR(H654="EE",H654="CE"),IF(M654="L",3,IF(M654="A",4,6)))))))</f>
        <v/>
      </c>
      <c r="P654" s="54">
        <f>IF(I654="I",O654*Contagem!$W$15,IF(I654="E",O654*Contagem!$W$17,IF(I654="A",O654*Contagem!$W$16,IF(I654="T",O654*Contagem!$W$18,""))))</f>
        <v/>
      </c>
      <c r="Q654" s="55" t="n"/>
    </row>
    <row r="655" ht="12" customHeight="1" s="73">
      <c r="A655" s="14">
        <f>IF(H655="",IF(C655="",A654,A654+1),A654)</f>
        <v/>
      </c>
      <c r="B655" s="48">
        <f>IF(A655=A654,"",CONCATENATE("F",A655))</f>
        <v/>
      </c>
      <c r="C655" s="85" t="n"/>
      <c r="D655" s="142" t="n"/>
      <c r="E655" s="142" t="n"/>
      <c r="F655" s="142" t="n"/>
      <c r="G655" s="143" t="n"/>
      <c r="H655" s="56" t="n"/>
      <c r="I655" s="57" t="n"/>
      <c r="J655" s="56" t="n"/>
      <c r="K655" s="56" t="n"/>
      <c r="L655" s="50">
        <f>CONCATENATE(H655,M655)</f>
        <v/>
      </c>
      <c r="M655" s="51">
        <f>IF(OR(ISBLANK(J655),ISBLANK(K655)),IF(OR(H655="ALI",H655="AIE"),"L",IF(ISBLANK(H655),"","A")),IF(H655="EE",IF(K655&gt;=3,IF(J655&gt;=5,"H","A"),IF(K655&gt;=2,IF(J655&gt;=16,"H",IF(J655&lt;=4,"L","A")),IF(J655&lt;=15,"L","A"))),IF(OR(H655="SE",H655="CE"),IF(K655&gt;=4,IF(J655&gt;=6,"H","A"),IF(K655&gt;=2,IF(J655&gt;=20,"H",IF(J655&lt;=5,"L","A")),IF(J655&lt;=19,"L","A"))),IF(OR(H655="ALI",H655="AIE"),IF(K655&gt;=6,IF(J655&gt;=20,"H","A"),IF(K655&gt;=2,IF(J655&gt;=51,"H",IF(J655&lt;=19,"L","A")),IF(J655&lt;=50,"L","A")))))))</f>
        <v/>
      </c>
      <c r="N655" s="52">
        <f>IF(M655="L","Baixa",IF(M655="A","Média",IF(M655="","","Alta")))</f>
        <v/>
      </c>
      <c r="O655" s="53">
        <f>IF(ISBLANK(H655),"",IF(H655="ALI",IF(M655="L",7,IF(M655="A",10,15)),IF(H655="AIE",IF(M655="L",5,IF(M655="A",7,10)),IF(H655="SE",IF(M655="L",4,IF(M655="A",5,7)),IF(OR(H655="EE",H655="CE"),IF(M655="L",3,IF(M655="A",4,6)))))))</f>
        <v/>
      </c>
      <c r="P655" s="54">
        <f>IF(I655="I",O655*Contagem!$W$15,IF(I655="E",O655*Contagem!$W$17,IF(I655="A",O655*Contagem!$W$16,IF(I655="T",O655*Contagem!$W$18,""))))</f>
        <v/>
      </c>
      <c r="Q655" s="55" t="n"/>
    </row>
    <row r="656" ht="12" customHeight="1" s="73">
      <c r="A656" s="14">
        <f>IF(H656="",IF(C656="",A655,A655+1),A655)</f>
        <v/>
      </c>
      <c r="B656" s="48">
        <f>IF(A656=A655,"",CONCATENATE("F",A656))</f>
        <v/>
      </c>
      <c r="C656" s="85" t="n"/>
      <c r="D656" s="142" t="n"/>
      <c r="E656" s="142" t="n"/>
      <c r="F656" s="142" t="n"/>
      <c r="G656" s="143" t="n"/>
      <c r="H656" s="56" t="n"/>
      <c r="I656" s="57" t="n"/>
      <c r="J656" s="56" t="n"/>
      <c r="K656" s="56" t="n"/>
      <c r="L656" s="50">
        <f>CONCATENATE(H656,M656)</f>
        <v/>
      </c>
      <c r="M656" s="51">
        <f>IF(OR(ISBLANK(J656),ISBLANK(K656)),IF(OR(H656="ALI",H656="AIE"),"L",IF(ISBLANK(H656),"","A")),IF(H656="EE",IF(K656&gt;=3,IF(J656&gt;=5,"H","A"),IF(K656&gt;=2,IF(J656&gt;=16,"H",IF(J656&lt;=4,"L","A")),IF(J656&lt;=15,"L","A"))),IF(OR(H656="SE",H656="CE"),IF(K656&gt;=4,IF(J656&gt;=6,"H","A"),IF(K656&gt;=2,IF(J656&gt;=20,"H",IF(J656&lt;=5,"L","A")),IF(J656&lt;=19,"L","A"))),IF(OR(H656="ALI",H656="AIE"),IF(K656&gt;=6,IF(J656&gt;=20,"H","A"),IF(K656&gt;=2,IF(J656&gt;=51,"H",IF(J656&lt;=19,"L","A")),IF(J656&lt;=50,"L","A")))))))</f>
        <v/>
      </c>
      <c r="N656" s="52">
        <f>IF(M656="L","Baixa",IF(M656="A","Média",IF(M656="","","Alta")))</f>
        <v/>
      </c>
      <c r="O656" s="53">
        <f>IF(ISBLANK(H656),"",IF(H656="ALI",IF(M656="L",7,IF(M656="A",10,15)),IF(H656="AIE",IF(M656="L",5,IF(M656="A",7,10)),IF(H656="SE",IF(M656="L",4,IF(M656="A",5,7)),IF(OR(H656="EE",H656="CE"),IF(M656="L",3,IF(M656="A",4,6)))))))</f>
        <v/>
      </c>
      <c r="P656" s="54">
        <f>IF(I656="I",O656*Contagem!$W$15,IF(I656="E",O656*Contagem!$W$17,IF(I656="A",O656*Contagem!$W$16,IF(I656="T",O656*Contagem!$W$18,""))))</f>
        <v/>
      </c>
      <c r="Q656" s="55" t="n"/>
    </row>
    <row r="657" ht="12" customHeight="1" s="73">
      <c r="A657" s="14">
        <f>IF(H657="",IF(C657="",A656,A656+1),A656)</f>
        <v/>
      </c>
      <c r="B657" s="48">
        <f>IF(A657=A656,"",CONCATENATE("F",A657))</f>
        <v/>
      </c>
      <c r="C657" s="85" t="n"/>
      <c r="D657" s="142" t="n"/>
      <c r="E657" s="142" t="n"/>
      <c r="F657" s="142" t="n"/>
      <c r="G657" s="143" t="n"/>
      <c r="H657" s="56" t="n"/>
      <c r="I657" s="57" t="n"/>
      <c r="J657" s="56" t="n"/>
      <c r="K657" s="56" t="n"/>
      <c r="L657" s="50">
        <f>CONCATENATE(H657,M657)</f>
        <v/>
      </c>
      <c r="M657" s="51">
        <f>IF(OR(ISBLANK(J657),ISBLANK(K657)),IF(OR(H657="ALI",H657="AIE"),"L",IF(ISBLANK(H657),"","A")),IF(H657="EE",IF(K657&gt;=3,IF(J657&gt;=5,"H","A"),IF(K657&gt;=2,IF(J657&gt;=16,"H",IF(J657&lt;=4,"L","A")),IF(J657&lt;=15,"L","A"))),IF(OR(H657="SE",H657="CE"),IF(K657&gt;=4,IF(J657&gt;=6,"H","A"),IF(K657&gt;=2,IF(J657&gt;=20,"H",IF(J657&lt;=5,"L","A")),IF(J657&lt;=19,"L","A"))),IF(OR(H657="ALI",H657="AIE"),IF(K657&gt;=6,IF(J657&gt;=20,"H","A"),IF(K657&gt;=2,IF(J657&gt;=51,"H",IF(J657&lt;=19,"L","A")),IF(J657&lt;=50,"L","A")))))))</f>
        <v/>
      </c>
      <c r="N657" s="52">
        <f>IF(M657="L","Baixa",IF(M657="A","Média",IF(M657="","","Alta")))</f>
        <v/>
      </c>
      <c r="O657" s="53">
        <f>IF(ISBLANK(H657),"",IF(H657="ALI",IF(M657="L",7,IF(M657="A",10,15)),IF(H657="AIE",IF(M657="L",5,IF(M657="A",7,10)),IF(H657="SE",IF(M657="L",4,IF(M657="A",5,7)),IF(OR(H657="EE",H657="CE"),IF(M657="L",3,IF(M657="A",4,6)))))))</f>
        <v/>
      </c>
      <c r="P657" s="54">
        <f>IF(I657="I",O657*Contagem!$W$15,IF(I657="E",O657*Contagem!$W$17,IF(I657="A",O657*Contagem!$W$16,IF(I657="T",O657*Contagem!$W$18,""))))</f>
        <v/>
      </c>
      <c r="Q657" s="55" t="n"/>
    </row>
    <row r="658" ht="12" customHeight="1" s="73">
      <c r="A658" s="14">
        <f>IF(H658="",IF(C658="",A657,A657+1),A657)</f>
        <v/>
      </c>
      <c r="B658" s="48">
        <f>IF(A658=A657,"",CONCATENATE("F",A658))</f>
        <v/>
      </c>
      <c r="C658" s="85" t="n"/>
      <c r="D658" s="142" t="n"/>
      <c r="E658" s="142" t="n"/>
      <c r="F658" s="142" t="n"/>
      <c r="G658" s="143" t="n"/>
      <c r="H658" s="56" t="n"/>
      <c r="I658" s="57" t="n"/>
      <c r="J658" s="56" t="n"/>
      <c r="K658" s="56" t="n"/>
      <c r="L658" s="50">
        <f>CONCATENATE(H658,M658)</f>
        <v/>
      </c>
      <c r="M658" s="51">
        <f>IF(OR(ISBLANK(J658),ISBLANK(K658)),IF(OR(H658="ALI",H658="AIE"),"L",IF(ISBLANK(H658),"","A")),IF(H658="EE",IF(K658&gt;=3,IF(J658&gt;=5,"H","A"),IF(K658&gt;=2,IF(J658&gt;=16,"H",IF(J658&lt;=4,"L","A")),IF(J658&lt;=15,"L","A"))),IF(OR(H658="SE",H658="CE"),IF(K658&gt;=4,IF(J658&gt;=6,"H","A"),IF(K658&gt;=2,IF(J658&gt;=20,"H",IF(J658&lt;=5,"L","A")),IF(J658&lt;=19,"L","A"))),IF(OR(H658="ALI",H658="AIE"),IF(K658&gt;=6,IF(J658&gt;=20,"H","A"),IF(K658&gt;=2,IF(J658&gt;=51,"H",IF(J658&lt;=19,"L","A")),IF(J658&lt;=50,"L","A")))))))</f>
        <v/>
      </c>
      <c r="N658" s="52">
        <f>IF(M658="L","Baixa",IF(M658="A","Média",IF(M658="","","Alta")))</f>
        <v/>
      </c>
      <c r="O658" s="53">
        <f>IF(ISBLANK(H658),"",IF(H658="ALI",IF(M658="L",7,IF(M658="A",10,15)),IF(H658="AIE",IF(M658="L",5,IF(M658="A",7,10)),IF(H658="SE",IF(M658="L",4,IF(M658="A",5,7)),IF(OR(H658="EE",H658="CE"),IF(M658="L",3,IF(M658="A",4,6)))))))</f>
        <v/>
      </c>
      <c r="P658" s="54">
        <f>IF(I658="I",O658*Contagem!$W$15,IF(I658="E",O658*Contagem!$W$17,IF(I658="A",O658*Contagem!$W$16,IF(I658="T",O658*Contagem!$W$18,""))))</f>
        <v/>
      </c>
      <c r="Q658" s="55" t="n"/>
    </row>
    <row r="659" ht="12" customHeight="1" s="73">
      <c r="A659" s="14">
        <f>IF(H659="",IF(C659="",A658,A658+1),A658)</f>
        <v/>
      </c>
      <c r="B659" s="48">
        <f>IF(A659=A658,"",CONCATENATE("F",A659))</f>
        <v/>
      </c>
      <c r="C659" s="85" t="n"/>
      <c r="D659" s="142" t="n"/>
      <c r="E659" s="142" t="n"/>
      <c r="F659" s="142" t="n"/>
      <c r="G659" s="143" t="n"/>
      <c r="H659" s="56" t="n"/>
      <c r="I659" s="57" t="n"/>
      <c r="J659" s="56" t="n"/>
      <c r="K659" s="56" t="n"/>
      <c r="L659" s="50">
        <f>CONCATENATE(H659,M659)</f>
        <v/>
      </c>
      <c r="M659" s="51">
        <f>IF(OR(ISBLANK(J659),ISBLANK(K659)),IF(OR(H659="ALI",H659="AIE"),"L",IF(ISBLANK(H659),"","A")),IF(H659="EE",IF(K659&gt;=3,IF(J659&gt;=5,"H","A"),IF(K659&gt;=2,IF(J659&gt;=16,"H",IF(J659&lt;=4,"L","A")),IF(J659&lt;=15,"L","A"))),IF(OR(H659="SE",H659="CE"),IF(K659&gt;=4,IF(J659&gt;=6,"H","A"),IF(K659&gt;=2,IF(J659&gt;=20,"H",IF(J659&lt;=5,"L","A")),IF(J659&lt;=19,"L","A"))),IF(OR(H659="ALI",H659="AIE"),IF(K659&gt;=6,IF(J659&gt;=20,"H","A"),IF(K659&gt;=2,IF(J659&gt;=51,"H",IF(J659&lt;=19,"L","A")),IF(J659&lt;=50,"L","A")))))))</f>
        <v/>
      </c>
      <c r="N659" s="52">
        <f>IF(M659="L","Baixa",IF(M659="A","Média",IF(M659="","","Alta")))</f>
        <v/>
      </c>
      <c r="O659" s="53">
        <f>IF(ISBLANK(H659),"",IF(H659="ALI",IF(M659="L",7,IF(M659="A",10,15)),IF(H659="AIE",IF(M659="L",5,IF(M659="A",7,10)),IF(H659="SE",IF(M659="L",4,IF(M659="A",5,7)),IF(OR(H659="EE",H659="CE"),IF(M659="L",3,IF(M659="A",4,6)))))))</f>
        <v/>
      </c>
      <c r="P659" s="54">
        <f>IF(I659="I",O659*Contagem!$W$15,IF(I659="E",O659*Contagem!$W$17,IF(I659="A",O659*Contagem!$W$16,IF(I659="T",O659*Contagem!$W$18,""))))</f>
        <v/>
      </c>
      <c r="Q659" s="55" t="n"/>
    </row>
    <row r="660" ht="12" customHeight="1" s="73">
      <c r="A660" s="14">
        <f>IF(H660="",IF(C660="",A659,A659+1),A659)</f>
        <v/>
      </c>
      <c r="B660" s="48">
        <f>IF(A660=A659,"",CONCATENATE("F",A660))</f>
        <v/>
      </c>
      <c r="C660" s="85" t="n"/>
      <c r="D660" s="142" t="n"/>
      <c r="E660" s="142" t="n"/>
      <c r="F660" s="142" t="n"/>
      <c r="G660" s="143" t="n"/>
      <c r="H660" s="56" t="n"/>
      <c r="I660" s="57" t="n"/>
      <c r="J660" s="56" t="n"/>
      <c r="K660" s="56" t="n"/>
      <c r="L660" s="50">
        <f>CONCATENATE(H660,M660)</f>
        <v/>
      </c>
      <c r="M660" s="51">
        <f>IF(OR(ISBLANK(J660),ISBLANK(K660)),IF(OR(H660="ALI",H660="AIE"),"L",IF(ISBLANK(H660),"","A")),IF(H660="EE",IF(K660&gt;=3,IF(J660&gt;=5,"H","A"),IF(K660&gt;=2,IF(J660&gt;=16,"H",IF(J660&lt;=4,"L","A")),IF(J660&lt;=15,"L","A"))),IF(OR(H660="SE",H660="CE"),IF(K660&gt;=4,IF(J660&gt;=6,"H","A"),IF(K660&gt;=2,IF(J660&gt;=20,"H",IF(J660&lt;=5,"L","A")),IF(J660&lt;=19,"L","A"))),IF(OR(H660="ALI",H660="AIE"),IF(K660&gt;=6,IF(J660&gt;=20,"H","A"),IF(K660&gt;=2,IF(J660&gt;=51,"H",IF(J660&lt;=19,"L","A")),IF(J660&lt;=50,"L","A")))))))</f>
        <v/>
      </c>
      <c r="N660" s="52">
        <f>IF(M660="L","Baixa",IF(M660="A","Média",IF(M660="","","Alta")))</f>
        <v/>
      </c>
      <c r="O660" s="53">
        <f>IF(ISBLANK(H660),"",IF(H660="ALI",IF(M660="L",7,IF(M660="A",10,15)),IF(H660="AIE",IF(M660="L",5,IF(M660="A",7,10)),IF(H660="SE",IF(M660="L",4,IF(M660="A",5,7)),IF(OR(H660="EE",H660="CE"),IF(M660="L",3,IF(M660="A",4,6)))))))</f>
        <v/>
      </c>
      <c r="P660" s="54">
        <f>IF(I660="I",O660*Contagem!$W$15,IF(I660="E",O660*Contagem!$W$17,IF(I660="A",O660*Contagem!$W$16,IF(I660="T",O660*Contagem!$W$18,""))))</f>
        <v/>
      </c>
      <c r="Q660" s="55" t="n"/>
    </row>
    <row r="661" ht="12" customHeight="1" s="73">
      <c r="A661" s="14">
        <f>IF(H661="",IF(C661="",A660,A660+1),A660)</f>
        <v/>
      </c>
      <c r="B661" s="48">
        <f>IF(A661=A660,"",CONCATENATE("F",A661))</f>
        <v/>
      </c>
      <c r="C661" s="85" t="n"/>
      <c r="D661" s="142" t="n"/>
      <c r="E661" s="142" t="n"/>
      <c r="F661" s="142" t="n"/>
      <c r="G661" s="143" t="n"/>
      <c r="H661" s="56" t="n"/>
      <c r="I661" s="57" t="n"/>
      <c r="J661" s="56" t="n"/>
      <c r="K661" s="56" t="n"/>
      <c r="L661" s="50">
        <f>CONCATENATE(H661,M661)</f>
        <v/>
      </c>
      <c r="M661" s="51">
        <f>IF(OR(ISBLANK(J661),ISBLANK(K661)),IF(OR(H661="ALI",H661="AIE"),"L",IF(ISBLANK(H661),"","A")),IF(H661="EE",IF(K661&gt;=3,IF(J661&gt;=5,"H","A"),IF(K661&gt;=2,IF(J661&gt;=16,"H",IF(J661&lt;=4,"L","A")),IF(J661&lt;=15,"L","A"))),IF(OR(H661="SE",H661="CE"),IF(K661&gt;=4,IF(J661&gt;=6,"H","A"),IF(K661&gt;=2,IF(J661&gt;=20,"H",IF(J661&lt;=5,"L","A")),IF(J661&lt;=19,"L","A"))),IF(OR(H661="ALI",H661="AIE"),IF(K661&gt;=6,IF(J661&gt;=20,"H","A"),IF(K661&gt;=2,IF(J661&gt;=51,"H",IF(J661&lt;=19,"L","A")),IF(J661&lt;=50,"L","A")))))))</f>
        <v/>
      </c>
      <c r="N661" s="52">
        <f>IF(M661="L","Baixa",IF(M661="A","Média",IF(M661="","","Alta")))</f>
        <v/>
      </c>
      <c r="O661" s="53">
        <f>IF(ISBLANK(H661),"",IF(H661="ALI",IF(M661="L",7,IF(M661="A",10,15)),IF(H661="AIE",IF(M661="L",5,IF(M661="A",7,10)),IF(H661="SE",IF(M661="L",4,IF(M661="A",5,7)),IF(OR(H661="EE",H661="CE"),IF(M661="L",3,IF(M661="A",4,6)))))))</f>
        <v/>
      </c>
      <c r="P661" s="54">
        <f>IF(I661="I",O661*Contagem!$W$15,IF(I661="E",O661*Contagem!$W$17,IF(I661="A",O661*Contagem!$W$16,IF(I661="T",O661*Contagem!$W$18,""))))</f>
        <v/>
      </c>
      <c r="Q661" s="55" t="n"/>
    </row>
    <row r="662" ht="12" customHeight="1" s="73">
      <c r="A662" s="14">
        <f>IF(H662="",IF(C662="",A661,A661+1),A661)</f>
        <v/>
      </c>
      <c r="B662" s="48">
        <f>IF(A662=A661,"",CONCATENATE("F",A662))</f>
        <v/>
      </c>
      <c r="C662" s="85" t="n"/>
      <c r="D662" s="142" t="n"/>
      <c r="E662" s="142" t="n"/>
      <c r="F662" s="142" t="n"/>
      <c r="G662" s="143" t="n"/>
      <c r="H662" s="56" t="n"/>
      <c r="I662" s="57" t="n"/>
      <c r="J662" s="56" t="n"/>
      <c r="K662" s="56" t="n"/>
      <c r="L662" s="50">
        <f>CONCATENATE(H662,M662)</f>
        <v/>
      </c>
      <c r="M662" s="51">
        <f>IF(OR(ISBLANK(J662),ISBLANK(K662)),IF(OR(H662="ALI",H662="AIE"),"L",IF(ISBLANK(H662),"","A")),IF(H662="EE",IF(K662&gt;=3,IF(J662&gt;=5,"H","A"),IF(K662&gt;=2,IF(J662&gt;=16,"H",IF(J662&lt;=4,"L","A")),IF(J662&lt;=15,"L","A"))),IF(OR(H662="SE",H662="CE"),IF(K662&gt;=4,IF(J662&gt;=6,"H","A"),IF(K662&gt;=2,IF(J662&gt;=20,"H",IF(J662&lt;=5,"L","A")),IF(J662&lt;=19,"L","A"))),IF(OR(H662="ALI",H662="AIE"),IF(K662&gt;=6,IF(J662&gt;=20,"H","A"),IF(K662&gt;=2,IF(J662&gt;=51,"H",IF(J662&lt;=19,"L","A")),IF(J662&lt;=50,"L","A")))))))</f>
        <v/>
      </c>
      <c r="N662" s="52">
        <f>IF(M662="L","Baixa",IF(M662="A","Média",IF(M662="","","Alta")))</f>
        <v/>
      </c>
      <c r="O662" s="53">
        <f>IF(ISBLANK(H662),"",IF(H662="ALI",IF(M662="L",7,IF(M662="A",10,15)),IF(H662="AIE",IF(M662="L",5,IF(M662="A",7,10)),IF(H662="SE",IF(M662="L",4,IF(M662="A",5,7)),IF(OR(H662="EE",H662="CE"),IF(M662="L",3,IF(M662="A",4,6)))))))</f>
        <v/>
      </c>
      <c r="P662" s="54">
        <f>IF(I662="I",O662*Contagem!$W$15,IF(I662="E",O662*Contagem!$W$17,IF(I662="A",O662*Contagem!$W$16,IF(I662="T",O662*Contagem!$W$18,""))))</f>
        <v/>
      </c>
      <c r="Q662" s="55" t="n"/>
    </row>
    <row r="663" ht="12" customHeight="1" s="73">
      <c r="A663" s="14">
        <f>IF(H663="",IF(C663="",A662,A662+1),A662)</f>
        <v/>
      </c>
      <c r="B663" s="48">
        <f>IF(A663=A662,"",CONCATENATE("F",A663))</f>
        <v/>
      </c>
      <c r="C663" s="85" t="n"/>
      <c r="D663" s="142" t="n"/>
      <c r="E663" s="142" t="n"/>
      <c r="F663" s="142" t="n"/>
      <c r="G663" s="143" t="n"/>
      <c r="H663" s="56" t="n"/>
      <c r="I663" s="57" t="n"/>
      <c r="J663" s="56" t="n"/>
      <c r="K663" s="56" t="n"/>
      <c r="L663" s="50">
        <f>CONCATENATE(H663,M663)</f>
        <v/>
      </c>
      <c r="M663" s="51">
        <f>IF(OR(ISBLANK(J663),ISBLANK(K663)),IF(OR(H663="ALI",H663="AIE"),"L",IF(ISBLANK(H663),"","A")),IF(H663="EE",IF(K663&gt;=3,IF(J663&gt;=5,"H","A"),IF(K663&gt;=2,IF(J663&gt;=16,"H",IF(J663&lt;=4,"L","A")),IF(J663&lt;=15,"L","A"))),IF(OR(H663="SE",H663="CE"),IF(K663&gt;=4,IF(J663&gt;=6,"H","A"),IF(K663&gt;=2,IF(J663&gt;=20,"H",IF(J663&lt;=5,"L","A")),IF(J663&lt;=19,"L","A"))),IF(OR(H663="ALI",H663="AIE"),IF(K663&gt;=6,IF(J663&gt;=20,"H","A"),IF(K663&gt;=2,IF(J663&gt;=51,"H",IF(J663&lt;=19,"L","A")),IF(J663&lt;=50,"L","A")))))))</f>
        <v/>
      </c>
      <c r="N663" s="52">
        <f>IF(M663="L","Baixa",IF(M663="A","Média",IF(M663="","","Alta")))</f>
        <v/>
      </c>
      <c r="O663" s="53">
        <f>IF(ISBLANK(H663),"",IF(H663="ALI",IF(M663="L",7,IF(M663="A",10,15)),IF(H663="AIE",IF(M663="L",5,IF(M663="A",7,10)),IF(H663="SE",IF(M663="L",4,IF(M663="A",5,7)),IF(OR(H663="EE",H663="CE"),IF(M663="L",3,IF(M663="A",4,6)))))))</f>
        <v/>
      </c>
      <c r="P663" s="54">
        <f>IF(I663="I",O663*Contagem!$W$15,IF(I663="E",O663*Contagem!$W$17,IF(I663="A",O663*Contagem!$W$16,IF(I663="T",O663*Contagem!$W$18,""))))</f>
        <v/>
      </c>
      <c r="Q663" s="55" t="n"/>
    </row>
    <row r="664" ht="12" customHeight="1" s="73">
      <c r="A664" s="14">
        <f>IF(H664="",IF(C664="",A663,A663+1),A663)</f>
        <v/>
      </c>
      <c r="B664" s="48">
        <f>IF(A664=A663,"",CONCATENATE("F",A664))</f>
        <v/>
      </c>
      <c r="C664" s="85" t="n"/>
      <c r="D664" s="142" t="n"/>
      <c r="E664" s="142" t="n"/>
      <c r="F664" s="142" t="n"/>
      <c r="G664" s="143" t="n"/>
      <c r="H664" s="56" t="n"/>
      <c r="I664" s="57" t="n"/>
      <c r="J664" s="56" t="n"/>
      <c r="K664" s="56" t="n"/>
      <c r="L664" s="50">
        <f>CONCATENATE(H664,M664)</f>
        <v/>
      </c>
      <c r="M664" s="51">
        <f>IF(OR(ISBLANK(J664),ISBLANK(K664)),IF(OR(H664="ALI",H664="AIE"),"L",IF(ISBLANK(H664),"","A")),IF(H664="EE",IF(K664&gt;=3,IF(J664&gt;=5,"H","A"),IF(K664&gt;=2,IF(J664&gt;=16,"H",IF(J664&lt;=4,"L","A")),IF(J664&lt;=15,"L","A"))),IF(OR(H664="SE",H664="CE"),IF(K664&gt;=4,IF(J664&gt;=6,"H","A"),IF(K664&gt;=2,IF(J664&gt;=20,"H",IF(J664&lt;=5,"L","A")),IF(J664&lt;=19,"L","A"))),IF(OR(H664="ALI",H664="AIE"),IF(K664&gt;=6,IF(J664&gt;=20,"H","A"),IF(K664&gt;=2,IF(J664&gt;=51,"H",IF(J664&lt;=19,"L","A")),IF(J664&lt;=50,"L","A")))))))</f>
        <v/>
      </c>
      <c r="N664" s="52">
        <f>IF(M664="L","Baixa",IF(M664="A","Média",IF(M664="","","Alta")))</f>
        <v/>
      </c>
      <c r="O664" s="53">
        <f>IF(ISBLANK(H664),"",IF(H664="ALI",IF(M664="L",7,IF(M664="A",10,15)),IF(H664="AIE",IF(M664="L",5,IF(M664="A",7,10)),IF(H664="SE",IF(M664="L",4,IF(M664="A",5,7)),IF(OR(H664="EE",H664="CE"),IF(M664="L",3,IF(M664="A",4,6)))))))</f>
        <v/>
      </c>
      <c r="P664" s="54">
        <f>IF(I664="I",O664*Contagem!$W$15,IF(I664="E",O664*Contagem!$W$17,IF(I664="A",O664*Contagem!$W$16,IF(I664="T",O664*Contagem!$W$18,""))))</f>
        <v/>
      </c>
      <c r="Q664" s="55" t="n"/>
    </row>
    <row r="665" ht="12" customHeight="1" s="73">
      <c r="A665" s="14">
        <f>IF(H665="",IF(C665="",A664,A664+1),A664)</f>
        <v/>
      </c>
      <c r="B665" s="48">
        <f>IF(A665=A664,"",CONCATENATE("F",A665))</f>
        <v/>
      </c>
      <c r="C665" s="85" t="n"/>
      <c r="D665" s="142" t="n"/>
      <c r="E665" s="142" t="n"/>
      <c r="F665" s="142" t="n"/>
      <c r="G665" s="143" t="n"/>
      <c r="H665" s="56" t="n"/>
      <c r="I665" s="57" t="n"/>
      <c r="J665" s="56" t="n"/>
      <c r="K665" s="56" t="n"/>
      <c r="L665" s="50">
        <f>CONCATENATE(H665,M665)</f>
        <v/>
      </c>
      <c r="M665" s="51">
        <f>IF(OR(ISBLANK(J665),ISBLANK(K665)),IF(OR(H665="ALI",H665="AIE"),"L",IF(ISBLANK(H665),"","A")),IF(H665="EE",IF(K665&gt;=3,IF(J665&gt;=5,"H","A"),IF(K665&gt;=2,IF(J665&gt;=16,"H",IF(J665&lt;=4,"L","A")),IF(J665&lt;=15,"L","A"))),IF(OR(H665="SE",H665="CE"),IF(K665&gt;=4,IF(J665&gt;=6,"H","A"),IF(K665&gt;=2,IF(J665&gt;=20,"H",IF(J665&lt;=5,"L","A")),IF(J665&lt;=19,"L","A"))),IF(OR(H665="ALI",H665="AIE"),IF(K665&gt;=6,IF(J665&gt;=20,"H","A"),IF(K665&gt;=2,IF(J665&gt;=51,"H",IF(J665&lt;=19,"L","A")),IF(J665&lt;=50,"L","A")))))))</f>
        <v/>
      </c>
      <c r="N665" s="52">
        <f>IF(M665="L","Baixa",IF(M665="A","Média",IF(M665="","","Alta")))</f>
        <v/>
      </c>
      <c r="O665" s="53">
        <f>IF(ISBLANK(H665),"",IF(H665="ALI",IF(M665="L",7,IF(M665="A",10,15)),IF(H665="AIE",IF(M665="L",5,IF(M665="A",7,10)),IF(H665="SE",IF(M665="L",4,IF(M665="A",5,7)),IF(OR(H665="EE",H665="CE"),IF(M665="L",3,IF(M665="A",4,6)))))))</f>
        <v/>
      </c>
      <c r="P665" s="54">
        <f>IF(I665="I",O665*Contagem!$W$15,IF(I665="E",O665*Contagem!$W$17,IF(I665="A",O665*Contagem!$W$16,IF(I665="T",O665*Contagem!$W$18,""))))</f>
        <v/>
      </c>
      <c r="Q665" s="55" t="n"/>
    </row>
    <row r="666" ht="12" customHeight="1" s="73">
      <c r="A666" s="14">
        <f>IF(H666="",IF(C666="",A665,A665+1),A665)</f>
        <v/>
      </c>
      <c r="B666" s="48">
        <f>IF(A666=A665,"",CONCATENATE("F",A666))</f>
        <v/>
      </c>
      <c r="C666" s="85" t="n"/>
      <c r="D666" s="142" t="n"/>
      <c r="E666" s="142" t="n"/>
      <c r="F666" s="142" t="n"/>
      <c r="G666" s="143" t="n"/>
      <c r="H666" s="56" t="n"/>
      <c r="I666" s="57" t="n"/>
      <c r="J666" s="56" t="n"/>
      <c r="K666" s="56" t="n"/>
      <c r="L666" s="50">
        <f>CONCATENATE(H666,M666)</f>
        <v/>
      </c>
      <c r="M666" s="51">
        <f>IF(OR(ISBLANK(J666),ISBLANK(K666)),IF(OR(H666="ALI",H666="AIE"),"L",IF(ISBLANK(H666),"","A")),IF(H666="EE",IF(K666&gt;=3,IF(J666&gt;=5,"H","A"),IF(K666&gt;=2,IF(J666&gt;=16,"H",IF(J666&lt;=4,"L","A")),IF(J666&lt;=15,"L","A"))),IF(OR(H666="SE",H666="CE"),IF(K666&gt;=4,IF(J666&gt;=6,"H","A"),IF(K666&gt;=2,IF(J666&gt;=20,"H",IF(J666&lt;=5,"L","A")),IF(J666&lt;=19,"L","A"))),IF(OR(H666="ALI",H666="AIE"),IF(K666&gt;=6,IF(J666&gt;=20,"H","A"),IF(K666&gt;=2,IF(J666&gt;=51,"H",IF(J666&lt;=19,"L","A")),IF(J666&lt;=50,"L","A")))))))</f>
        <v/>
      </c>
      <c r="N666" s="52">
        <f>IF(M666="L","Baixa",IF(M666="A","Média",IF(M666="","","Alta")))</f>
        <v/>
      </c>
      <c r="O666" s="53">
        <f>IF(ISBLANK(H666),"",IF(H666="ALI",IF(M666="L",7,IF(M666="A",10,15)),IF(H666="AIE",IF(M666="L",5,IF(M666="A",7,10)),IF(H666="SE",IF(M666="L",4,IF(M666="A",5,7)),IF(OR(H666="EE",H666="CE"),IF(M666="L",3,IF(M666="A",4,6)))))))</f>
        <v/>
      </c>
      <c r="P666" s="54">
        <f>IF(I666="I",O666*Contagem!$W$15,IF(I666="E",O666*Contagem!$W$17,IF(I666="A",O666*Contagem!$W$16,IF(I666="T",O666*Contagem!$W$18,""))))</f>
        <v/>
      </c>
      <c r="Q666" s="55" t="n"/>
    </row>
    <row r="667" ht="12" customHeight="1" s="73">
      <c r="A667" s="14">
        <f>IF(H667="",IF(C667="",A666,A666+1),A666)</f>
        <v/>
      </c>
      <c r="B667" s="48">
        <f>IF(A667=A666,"",CONCATENATE("F",A667))</f>
        <v/>
      </c>
      <c r="C667" s="85" t="n"/>
      <c r="D667" s="142" t="n"/>
      <c r="E667" s="142" t="n"/>
      <c r="F667" s="142" t="n"/>
      <c r="G667" s="143" t="n"/>
      <c r="H667" s="56" t="n"/>
      <c r="I667" s="57" t="n"/>
      <c r="J667" s="56" t="n"/>
      <c r="K667" s="56" t="n"/>
      <c r="L667" s="50">
        <f>CONCATENATE(H667,M667)</f>
        <v/>
      </c>
      <c r="M667" s="51">
        <f>IF(OR(ISBLANK(J667),ISBLANK(K667)),IF(OR(H667="ALI",H667="AIE"),"L",IF(ISBLANK(H667),"","A")),IF(H667="EE",IF(K667&gt;=3,IF(J667&gt;=5,"H","A"),IF(K667&gt;=2,IF(J667&gt;=16,"H",IF(J667&lt;=4,"L","A")),IF(J667&lt;=15,"L","A"))),IF(OR(H667="SE",H667="CE"),IF(K667&gt;=4,IF(J667&gt;=6,"H","A"),IF(K667&gt;=2,IF(J667&gt;=20,"H",IF(J667&lt;=5,"L","A")),IF(J667&lt;=19,"L","A"))),IF(OR(H667="ALI",H667="AIE"),IF(K667&gt;=6,IF(J667&gt;=20,"H","A"),IF(K667&gt;=2,IF(J667&gt;=51,"H",IF(J667&lt;=19,"L","A")),IF(J667&lt;=50,"L","A")))))))</f>
        <v/>
      </c>
      <c r="N667" s="52">
        <f>IF(M667="L","Baixa",IF(M667="A","Média",IF(M667="","","Alta")))</f>
        <v/>
      </c>
      <c r="O667" s="53">
        <f>IF(ISBLANK(H667),"",IF(H667="ALI",IF(M667="L",7,IF(M667="A",10,15)),IF(H667="AIE",IF(M667="L",5,IF(M667="A",7,10)),IF(H667="SE",IF(M667="L",4,IF(M667="A",5,7)),IF(OR(H667="EE",H667="CE"),IF(M667="L",3,IF(M667="A",4,6)))))))</f>
        <v/>
      </c>
      <c r="P667" s="54">
        <f>IF(I667="I",O667*Contagem!$W$15,IF(I667="E",O667*Contagem!$W$17,IF(I667="A",O667*Contagem!$W$16,IF(I667="T",O667*Contagem!$W$18,""))))</f>
        <v/>
      </c>
      <c r="Q667" s="55" t="n"/>
    </row>
    <row r="668" ht="12" customHeight="1" s="73">
      <c r="A668" s="14">
        <f>IF(H668="",IF(C668="",A667,A667+1),A667)</f>
        <v/>
      </c>
      <c r="B668" s="48">
        <f>IF(A668=A667,"",CONCATENATE("F",A668))</f>
        <v/>
      </c>
      <c r="C668" s="85" t="n"/>
      <c r="D668" s="142" t="n"/>
      <c r="E668" s="142" t="n"/>
      <c r="F668" s="142" t="n"/>
      <c r="G668" s="143" t="n"/>
      <c r="H668" s="56" t="n"/>
      <c r="I668" s="57" t="n"/>
      <c r="J668" s="56" t="n"/>
      <c r="K668" s="56" t="n"/>
      <c r="L668" s="50">
        <f>CONCATENATE(H668,M668)</f>
        <v/>
      </c>
      <c r="M668" s="51">
        <f>IF(OR(ISBLANK(J668),ISBLANK(K668)),IF(OR(H668="ALI",H668="AIE"),"L",IF(ISBLANK(H668),"","A")),IF(H668="EE",IF(K668&gt;=3,IF(J668&gt;=5,"H","A"),IF(K668&gt;=2,IF(J668&gt;=16,"H",IF(J668&lt;=4,"L","A")),IF(J668&lt;=15,"L","A"))),IF(OR(H668="SE",H668="CE"),IF(K668&gt;=4,IF(J668&gt;=6,"H","A"),IF(K668&gt;=2,IF(J668&gt;=20,"H",IF(J668&lt;=5,"L","A")),IF(J668&lt;=19,"L","A"))),IF(OR(H668="ALI",H668="AIE"),IF(K668&gt;=6,IF(J668&gt;=20,"H","A"),IF(K668&gt;=2,IF(J668&gt;=51,"H",IF(J668&lt;=19,"L","A")),IF(J668&lt;=50,"L","A")))))))</f>
        <v/>
      </c>
      <c r="N668" s="52">
        <f>IF(M668="L","Baixa",IF(M668="A","Média",IF(M668="","","Alta")))</f>
        <v/>
      </c>
      <c r="O668" s="53">
        <f>IF(ISBLANK(H668),"",IF(H668="ALI",IF(M668="L",7,IF(M668="A",10,15)),IF(H668="AIE",IF(M668="L",5,IF(M668="A",7,10)),IF(H668="SE",IF(M668="L",4,IF(M668="A",5,7)),IF(OR(H668="EE",H668="CE"),IF(M668="L",3,IF(M668="A",4,6)))))))</f>
        <v/>
      </c>
      <c r="P668" s="54">
        <f>IF(I668="I",O668*Contagem!$W$15,IF(I668="E",O668*Contagem!$W$17,IF(I668="A",O668*Contagem!$W$16,IF(I668="T",O668*Contagem!$W$18,""))))</f>
        <v/>
      </c>
      <c r="Q668" s="55" t="n"/>
    </row>
    <row r="669" ht="12" customHeight="1" s="73">
      <c r="A669" s="14">
        <f>IF(H669="",IF(C669="",A668,A668+1),A668)</f>
        <v/>
      </c>
      <c r="B669" s="48">
        <f>IF(A669=A668,"",CONCATENATE("F",A669))</f>
        <v/>
      </c>
      <c r="C669" s="85" t="n"/>
      <c r="D669" s="142" t="n"/>
      <c r="E669" s="142" t="n"/>
      <c r="F669" s="142" t="n"/>
      <c r="G669" s="143" t="n"/>
      <c r="H669" s="56" t="n"/>
      <c r="I669" s="57" t="n"/>
      <c r="J669" s="56" t="n"/>
      <c r="K669" s="56" t="n"/>
      <c r="L669" s="50">
        <f>CONCATENATE(H669,M669)</f>
        <v/>
      </c>
      <c r="M669" s="51">
        <f>IF(OR(ISBLANK(J669),ISBLANK(K669)),IF(OR(H669="ALI",H669="AIE"),"L",IF(ISBLANK(H669),"","A")),IF(H669="EE",IF(K669&gt;=3,IF(J669&gt;=5,"H","A"),IF(K669&gt;=2,IF(J669&gt;=16,"H",IF(J669&lt;=4,"L","A")),IF(J669&lt;=15,"L","A"))),IF(OR(H669="SE",H669="CE"),IF(K669&gt;=4,IF(J669&gt;=6,"H","A"),IF(K669&gt;=2,IF(J669&gt;=20,"H",IF(J669&lt;=5,"L","A")),IF(J669&lt;=19,"L","A"))),IF(OR(H669="ALI",H669="AIE"),IF(K669&gt;=6,IF(J669&gt;=20,"H","A"),IF(K669&gt;=2,IF(J669&gt;=51,"H",IF(J669&lt;=19,"L","A")),IF(J669&lt;=50,"L","A")))))))</f>
        <v/>
      </c>
      <c r="N669" s="52">
        <f>IF(M669="L","Baixa",IF(M669="A","Média",IF(M669="","","Alta")))</f>
        <v/>
      </c>
      <c r="O669" s="53">
        <f>IF(ISBLANK(H669),"",IF(H669="ALI",IF(M669="L",7,IF(M669="A",10,15)),IF(H669="AIE",IF(M669="L",5,IF(M669="A",7,10)),IF(H669="SE",IF(M669="L",4,IF(M669="A",5,7)),IF(OR(H669="EE",H669="CE"),IF(M669="L",3,IF(M669="A",4,6)))))))</f>
        <v/>
      </c>
      <c r="P669" s="54">
        <f>IF(I669="I",O669*Contagem!$W$15,IF(I669="E",O669*Contagem!$W$17,IF(I669="A",O669*Contagem!$W$16,IF(I669="T",O669*Contagem!$W$18,""))))</f>
        <v/>
      </c>
      <c r="Q669" s="55" t="n"/>
    </row>
    <row r="670" ht="12" customHeight="1" s="73">
      <c r="A670" s="14">
        <f>IF(H670="",IF(C670="",A669,A669+1),A669)</f>
        <v/>
      </c>
      <c r="B670" s="48">
        <f>IF(A670=A669,"",CONCATENATE("F",A670))</f>
        <v/>
      </c>
      <c r="C670" s="85" t="n"/>
      <c r="D670" s="142" t="n"/>
      <c r="E670" s="142" t="n"/>
      <c r="F670" s="142" t="n"/>
      <c r="G670" s="143" t="n"/>
      <c r="H670" s="56" t="n"/>
      <c r="I670" s="57" t="n"/>
      <c r="J670" s="56" t="n"/>
      <c r="K670" s="56" t="n"/>
      <c r="L670" s="50">
        <f>CONCATENATE(H670,M670)</f>
        <v/>
      </c>
      <c r="M670" s="51">
        <f>IF(OR(ISBLANK(J670),ISBLANK(K670)),IF(OR(H670="ALI",H670="AIE"),"L",IF(ISBLANK(H670),"","A")),IF(H670="EE",IF(K670&gt;=3,IF(J670&gt;=5,"H","A"),IF(K670&gt;=2,IF(J670&gt;=16,"H",IF(J670&lt;=4,"L","A")),IF(J670&lt;=15,"L","A"))),IF(OR(H670="SE",H670="CE"),IF(K670&gt;=4,IF(J670&gt;=6,"H","A"),IF(K670&gt;=2,IF(J670&gt;=20,"H",IF(J670&lt;=5,"L","A")),IF(J670&lt;=19,"L","A"))),IF(OR(H670="ALI",H670="AIE"),IF(K670&gt;=6,IF(J670&gt;=20,"H","A"),IF(K670&gt;=2,IF(J670&gt;=51,"H",IF(J670&lt;=19,"L","A")),IF(J670&lt;=50,"L","A")))))))</f>
        <v/>
      </c>
      <c r="N670" s="52">
        <f>IF(M670="L","Baixa",IF(M670="A","Média",IF(M670="","","Alta")))</f>
        <v/>
      </c>
      <c r="O670" s="53">
        <f>IF(ISBLANK(H670),"",IF(H670="ALI",IF(M670="L",7,IF(M670="A",10,15)),IF(H670="AIE",IF(M670="L",5,IF(M670="A",7,10)),IF(H670="SE",IF(M670="L",4,IF(M670="A",5,7)),IF(OR(H670="EE",H670="CE"),IF(M670="L",3,IF(M670="A",4,6)))))))</f>
        <v/>
      </c>
      <c r="P670" s="54">
        <f>IF(I670="I",O670*Contagem!$W$15,IF(I670="E",O670*Contagem!$W$17,IF(I670="A",O670*Contagem!$W$16,IF(I670="T",O670*Contagem!$W$18,""))))</f>
        <v/>
      </c>
      <c r="Q670" s="55" t="n"/>
    </row>
    <row r="671" ht="12" customHeight="1" s="73">
      <c r="A671" s="14">
        <f>IF(H671="",IF(C671="",A670,A670+1),A670)</f>
        <v/>
      </c>
      <c r="B671" s="48">
        <f>IF(A671=A670,"",CONCATENATE("F",A671))</f>
        <v/>
      </c>
      <c r="C671" s="85" t="n"/>
      <c r="D671" s="142" t="n"/>
      <c r="E671" s="142" t="n"/>
      <c r="F671" s="142" t="n"/>
      <c r="G671" s="143" t="n"/>
      <c r="H671" s="56" t="n"/>
      <c r="I671" s="57" t="n"/>
      <c r="J671" s="56" t="n"/>
      <c r="K671" s="56" t="n"/>
      <c r="L671" s="50">
        <f>CONCATENATE(H671,M671)</f>
        <v/>
      </c>
      <c r="M671" s="51">
        <f>IF(OR(ISBLANK(J671),ISBLANK(K671)),IF(OR(H671="ALI",H671="AIE"),"L",IF(ISBLANK(H671),"","A")),IF(H671="EE",IF(K671&gt;=3,IF(J671&gt;=5,"H","A"),IF(K671&gt;=2,IF(J671&gt;=16,"H",IF(J671&lt;=4,"L","A")),IF(J671&lt;=15,"L","A"))),IF(OR(H671="SE",H671="CE"),IF(K671&gt;=4,IF(J671&gt;=6,"H","A"),IF(K671&gt;=2,IF(J671&gt;=20,"H",IF(J671&lt;=5,"L","A")),IF(J671&lt;=19,"L","A"))),IF(OR(H671="ALI",H671="AIE"),IF(K671&gt;=6,IF(J671&gt;=20,"H","A"),IF(K671&gt;=2,IF(J671&gt;=51,"H",IF(J671&lt;=19,"L","A")),IF(J671&lt;=50,"L","A")))))))</f>
        <v/>
      </c>
      <c r="N671" s="52">
        <f>IF(M671="L","Baixa",IF(M671="A","Média",IF(M671="","","Alta")))</f>
        <v/>
      </c>
      <c r="O671" s="53">
        <f>IF(ISBLANK(H671),"",IF(H671="ALI",IF(M671="L",7,IF(M671="A",10,15)),IF(H671="AIE",IF(M671="L",5,IF(M671="A",7,10)),IF(H671="SE",IF(M671="L",4,IF(M671="A",5,7)),IF(OR(H671="EE",H671="CE"),IF(M671="L",3,IF(M671="A",4,6)))))))</f>
        <v/>
      </c>
      <c r="P671" s="54">
        <f>IF(I671="I",O671*Contagem!$W$15,IF(I671="E",O671*Contagem!$W$17,IF(I671="A",O671*Contagem!$W$16,IF(I671="T",O671*Contagem!$W$18,""))))</f>
        <v/>
      </c>
      <c r="Q671" s="55" t="n"/>
    </row>
    <row r="672" ht="12" customHeight="1" s="73">
      <c r="A672" s="14">
        <f>IF(H672="",IF(C672="",A671,A671+1),A671)</f>
        <v/>
      </c>
      <c r="B672" s="48">
        <f>IF(A672=A671,"",CONCATENATE("F",A672))</f>
        <v/>
      </c>
      <c r="C672" s="85" t="n"/>
      <c r="D672" s="142" t="n"/>
      <c r="E672" s="142" t="n"/>
      <c r="F672" s="142" t="n"/>
      <c r="G672" s="143" t="n"/>
      <c r="H672" s="56" t="n"/>
      <c r="I672" s="57" t="n"/>
      <c r="J672" s="56" t="n"/>
      <c r="K672" s="56" t="n"/>
      <c r="L672" s="50">
        <f>CONCATENATE(H672,M672)</f>
        <v/>
      </c>
      <c r="M672" s="51">
        <f>IF(OR(ISBLANK(J672),ISBLANK(K672)),IF(OR(H672="ALI",H672="AIE"),"L",IF(ISBLANK(H672),"","A")),IF(H672="EE",IF(K672&gt;=3,IF(J672&gt;=5,"H","A"),IF(K672&gt;=2,IF(J672&gt;=16,"H",IF(J672&lt;=4,"L","A")),IF(J672&lt;=15,"L","A"))),IF(OR(H672="SE",H672="CE"),IF(K672&gt;=4,IF(J672&gt;=6,"H","A"),IF(K672&gt;=2,IF(J672&gt;=20,"H",IF(J672&lt;=5,"L","A")),IF(J672&lt;=19,"L","A"))),IF(OR(H672="ALI",H672="AIE"),IF(K672&gt;=6,IF(J672&gt;=20,"H","A"),IF(K672&gt;=2,IF(J672&gt;=51,"H",IF(J672&lt;=19,"L","A")),IF(J672&lt;=50,"L","A")))))))</f>
        <v/>
      </c>
      <c r="N672" s="52">
        <f>IF(M672="L","Baixa",IF(M672="A","Média",IF(M672="","","Alta")))</f>
        <v/>
      </c>
      <c r="O672" s="53">
        <f>IF(ISBLANK(H672),"",IF(H672="ALI",IF(M672="L",7,IF(M672="A",10,15)),IF(H672="AIE",IF(M672="L",5,IF(M672="A",7,10)),IF(H672="SE",IF(M672="L",4,IF(M672="A",5,7)),IF(OR(H672="EE",H672="CE"),IF(M672="L",3,IF(M672="A",4,6)))))))</f>
        <v/>
      </c>
      <c r="P672" s="54">
        <f>IF(I672="I",O672*Contagem!$W$15,IF(I672="E",O672*Contagem!$W$17,IF(I672="A",O672*Contagem!$W$16,IF(I672="T",O672*Contagem!$W$18,""))))</f>
        <v/>
      </c>
      <c r="Q672" s="55" t="n"/>
    </row>
    <row r="673" ht="12" customHeight="1" s="73">
      <c r="A673" s="14">
        <f>IF(H673="",IF(C673="",A672,A672+1),A672)</f>
        <v/>
      </c>
      <c r="B673" s="48">
        <f>IF(A673=A672,"",CONCATENATE("F",A673))</f>
        <v/>
      </c>
      <c r="C673" s="85" t="n"/>
      <c r="D673" s="142" t="n"/>
      <c r="E673" s="142" t="n"/>
      <c r="F673" s="142" t="n"/>
      <c r="G673" s="143" t="n"/>
      <c r="H673" s="56" t="n"/>
      <c r="I673" s="57" t="n"/>
      <c r="J673" s="56" t="n"/>
      <c r="K673" s="56" t="n"/>
      <c r="L673" s="50">
        <f>CONCATENATE(H673,M673)</f>
        <v/>
      </c>
      <c r="M673" s="51">
        <f>IF(OR(ISBLANK(J673),ISBLANK(K673)),IF(OR(H673="ALI",H673="AIE"),"L",IF(ISBLANK(H673),"","A")),IF(H673="EE",IF(K673&gt;=3,IF(J673&gt;=5,"H","A"),IF(K673&gt;=2,IF(J673&gt;=16,"H",IF(J673&lt;=4,"L","A")),IF(J673&lt;=15,"L","A"))),IF(OR(H673="SE",H673="CE"),IF(K673&gt;=4,IF(J673&gt;=6,"H","A"),IF(K673&gt;=2,IF(J673&gt;=20,"H",IF(J673&lt;=5,"L","A")),IF(J673&lt;=19,"L","A"))),IF(OR(H673="ALI",H673="AIE"),IF(K673&gt;=6,IF(J673&gt;=20,"H","A"),IF(K673&gt;=2,IF(J673&gt;=51,"H",IF(J673&lt;=19,"L","A")),IF(J673&lt;=50,"L","A")))))))</f>
        <v/>
      </c>
      <c r="N673" s="52">
        <f>IF(M673="L","Baixa",IF(M673="A","Média",IF(M673="","","Alta")))</f>
        <v/>
      </c>
      <c r="O673" s="53">
        <f>IF(ISBLANK(H673),"",IF(H673="ALI",IF(M673="L",7,IF(M673="A",10,15)),IF(H673="AIE",IF(M673="L",5,IF(M673="A",7,10)),IF(H673="SE",IF(M673="L",4,IF(M673="A",5,7)),IF(OR(H673="EE",H673="CE"),IF(M673="L",3,IF(M673="A",4,6)))))))</f>
        <v/>
      </c>
      <c r="P673" s="54">
        <f>IF(I673="I",O673*Contagem!$W$15,IF(I673="E",O673*Contagem!$W$17,IF(I673="A",O673*Contagem!$W$16,IF(I673="T",O673*Contagem!$W$18,""))))</f>
        <v/>
      </c>
      <c r="Q673" s="55" t="n"/>
    </row>
    <row r="674" ht="12" customHeight="1" s="73">
      <c r="A674" s="14">
        <f>IF(H674="",IF(C674="",A673,A673+1),A673)</f>
        <v/>
      </c>
      <c r="B674" s="48">
        <f>IF(A674=A673,"",CONCATENATE("F",A674))</f>
        <v/>
      </c>
      <c r="C674" s="85" t="n"/>
      <c r="D674" s="142" t="n"/>
      <c r="E674" s="142" t="n"/>
      <c r="F674" s="142" t="n"/>
      <c r="G674" s="143" t="n"/>
      <c r="H674" s="56" t="n"/>
      <c r="I674" s="57" t="n"/>
      <c r="J674" s="56" t="n"/>
      <c r="K674" s="56" t="n"/>
      <c r="L674" s="50">
        <f>CONCATENATE(H674,M674)</f>
        <v/>
      </c>
      <c r="M674" s="51">
        <f>IF(OR(ISBLANK(J674),ISBLANK(K674)),IF(OR(H674="ALI",H674="AIE"),"L",IF(ISBLANK(H674),"","A")),IF(H674="EE",IF(K674&gt;=3,IF(J674&gt;=5,"H","A"),IF(K674&gt;=2,IF(J674&gt;=16,"H",IF(J674&lt;=4,"L","A")),IF(J674&lt;=15,"L","A"))),IF(OR(H674="SE",H674="CE"),IF(K674&gt;=4,IF(J674&gt;=6,"H","A"),IF(K674&gt;=2,IF(J674&gt;=20,"H",IF(J674&lt;=5,"L","A")),IF(J674&lt;=19,"L","A"))),IF(OR(H674="ALI",H674="AIE"),IF(K674&gt;=6,IF(J674&gt;=20,"H","A"),IF(K674&gt;=2,IF(J674&gt;=51,"H",IF(J674&lt;=19,"L","A")),IF(J674&lt;=50,"L","A")))))))</f>
        <v/>
      </c>
      <c r="N674" s="52">
        <f>IF(M674="L","Baixa",IF(M674="A","Média",IF(M674="","","Alta")))</f>
        <v/>
      </c>
      <c r="O674" s="53">
        <f>IF(ISBLANK(H674),"",IF(H674="ALI",IF(M674="L",7,IF(M674="A",10,15)),IF(H674="AIE",IF(M674="L",5,IF(M674="A",7,10)),IF(H674="SE",IF(M674="L",4,IF(M674="A",5,7)),IF(OR(H674="EE",H674="CE"),IF(M674="L",3,IF(M674="A",4,6)))))))</f>
        <v/>
      </c>
      <c r="P674" s="54">
        <f>IF(I674="I",O674*Contagem!$W$15,IF(I674="E",O674*Contagem!$W$17,IF(I674="A",O674*Contagem!$W$16,IF(I674="T",O674*Contagem!$W$18,""))))</f>
        <v/>
      </c>
      <c r="Q674" s="55" t="n"/>
    </row>
    <row r="675" ht="12" customHeight="1" s="73">
      <c r="A675" s="14">
        <f>IF(H675="",IF(C675="",A674,A674+1),A674)</f>
        <v/>
      </c>
      <c r="B675" s="48">
        <f>IF(A675=A674,"",CONCATENATE("F",A675))</f>
        <v/>
      </c>
      <c r="C675" s="85" t="n"/>
      <c r="D675" s="142" t="n"/>
      <c r="E675" s="142" t="n"/>
      <c r="F675" s="142" t="n"/>
      <c r="G675" s="143" t="n"/>
      <c r="H675" s="56" t="n"/>
      <c r="I675" s="57" t="n"/>
      <c r="J675" s="56" t="n"/>
      <c r="K675" s="56" t="n"/>
      <c r="L675" s="50">
        <f>CONCATENATE(H675,M675)</f>
        <v/>
      </c>
      <c r="M675" s="51">
        <f>IF(OR(ISBLANK(J675),ISBLANK(K675)),IF(OR(H675="ALI",H675="AIE"),"L",IF(ISBLANK(H675),"","A")),IF(H675="EE",IF(K675&gt;=3,IF(J675&gt;=5,"H","A"),IF(K675&gt;=2,IF(J675&gt;=16,"H",IF(J675&lt;=4,"L","A")),IF(J675&lt;=15,"L","A"))),IF(OR(H675="SE",H675="CE"),IF(K675&gt;=4,IF(J675&gt;=6,"H","A"),IF(K675&gt;=2,IF(J675&gt;=20,"H",IF(J675&lt;=5,"L","A")),IF(J675&lt;=19,"L","A"))),IF(OR(H675="ALI",H675="AIE"),IF(K675&gt;=6,IF(J675&gt;=20,"H","A"),IF(K675&gt;=2,IF(J675&gt;=51,"H",IF(J675&lt;=19,"L","A")),IF(J675&lt;=50,"L","A")))))))</f>
        <v/>
      </c>
      <c r="N675" s="52">
        <f>IF(M675="L","Baixa",IF(M675="A","Média",IF(M675="","","Alta")))</f>
        <v/>
      </c>
      <c r="O675" s="53">
        <f>IF(ISBLANK(H675),"",IF(H675="ALI",IF(M675="L",7,IF(M675="A",10,15)),IF(H675="AIE",IF(M675="L",5,IF(M675="A",7,10)),IF(H675="SE",IF(M675="L",4,IF(M675="A",5,7)),IF(OR(H675="EE",H675="CE"),IF(M675="L",3,IF(M675="A",4,6)))))))</f>
        <v/>
      </c>
      <c r="P675" s="54">
        <f>IF(I675="I",O675*Contagem!$W$15,IF(I675="E",O675*Contagem!$W$17,IF(I675="A",O675*Contagem!$W$16,IF(I675="T",O675*Contagem!$W$18,""))))</f>
        <v/>
      </c>
      <c r="Q675" s="55" t="n"/>
    </row>
    <row r="676" ht="12" customHeight="1" s="73">
      <c r="A676" s="14">
        <f>IF(H676="",IF(C676="",A675,A675+1),A675)</f>
        <v/>
      </c>
      <c r="B676" s="48">
        <f>IF(A676=A675,"",CONCATENATE("F",A676))</f>
        <v/>
      </c>
      <c r="C676" s="85" t="n"/>
      <c r="D676" s="142" t="n"/>
      <c r="E676" s="142" t="n"/>
      <c r="F676" s="142" t="n"/>
      <c r="G676" s="143" t="n"/>
      <c r="H676" s="56" t="n"/>
      <c r="I676" s="57" t="n"/>
      <c r="J676" s="56" t="n"/>
      <c r="K676" s="56" t="n"/>
      <c r="L676" s="50">
        <f>CONCATENATE(H676,M676)</f>
        <v/>
      </c>
      <c r="M676" s="51">
        <f>IF(OR(ISBLANK(J676),ISBLANK(K676)),IF(OR(H676="ALI",H676="AIE"),"L",IF(ISBLANK(H676),"","A")),IF(H676="EE",IF(K676&gt;=3,IF(J676&gt;=5,"H","A"),IF(K676&gt;=2,IF(J676&gt;=16,"H",IF(J676&lt;=4,"L","A")),IF(J676&lt;=15,"L","A"))),IF(OR(H676="SE",H676="CE"),IF(K676&gt;=4,IF(J676&gt;=6,"H","A"),IF(K676&gt;=2,IF(J676&gt;=20,"H",IF(J676&lt;=5,"L","A")),IF(J676&lt;=19,"L","A"))),IF(OR(H676="ALI",H676="AIE"),IF(K676&gt;=6,IF(J676&gt;=20,"H","A"),IF(K676&gt;=2,IF(J676&gt;=51,"H",IF(J676&lt;=19,"L","A")),IF(J676&lt;=50,"L","A")))))))</f>
        <v/>
      </c>
      <c r="N676" s="52">
        <f>IF(M676="L","Baixa",IF(M676="A","Média",IF(M676="","","Alta")))</f>
        <v/>
      </c>
      <c r="O676" s="53">
        <f>IF(ISBLANK(H676),"",IF(H676="ALI",IF(M676="L",7,IF(M676="A",10,15)),IF(H676="AIE",IF(M676="L",5,IF(M676="A",7,10)),IF(H676="SE",IF(M676="L",4,IF(M676="A",5,7)),IF(OR(H676="EE",H676="CE"),IF(M676="L",3,IF(M676="A",4,6)))))))</f>
        <v/>
      </c>
      <c r="P676" s="54">
        <f>IF(I676="I",O676*Contagem!$W$15,IF(I676="E",O676*Contagem!$W$17,IF(I676="A",O676*Contagem!$W$16,IF(I676="T",O676*Contagem!$W$18,""))))</f>
        <v/>
      </c>
      <c r="Q676" s="55" t="n"/>
    </row>
    <row r="677" ht="12" customHeight="1" s="73">
      <c r="A677" s="14">
        <f>IF(H677="",IF(C677="",A676,A676+1),A676)</f>
        <v/>
      </c>
      <c r="B677" s="48">
        <f>IF(A677=A676,"",CONCATENATE("F",A677))</f>
        <v/>
      </c>
      <c r="C677" s="85" t="n"/>
      <c r="D677" s="142" t="n"/>
      <c r="E677" s="142" t="n"/>
      <c r="F677" s="142" t="n"/>
      <c r="G677" s="143" t="n"/>
      <c r="H677" s="56" t="n"/>
      <c r="I677" s="57" t="n"/>
      <c r="J677" s="56" t="n"/>
      <c r="K677" s="56" t="n"/>
      <c r="L677" s="50">
        <f>CONCATENATE(H677,M677)</f>
        <v/>
      </c>
      <c r="M677" s="51">
        <f>IF(OR(ISBLANK(J677),ISBLANK(K677)),IF(OR(H677="ALI",H677="AIE"),"L",IF(ISBLANK(H677),"","A")),IF(H677="EE",IF(K677&gt;=3,IF(J677&gt;=5,"H","A"),IF(K677&gt;=2,IF(J677&gt;=16,"H",IF(J677&lt;=4,"L","A")),IF(J677&lt;=15,"L","A"))),IF(OR(H677="SE",H677="CE"),IF(K677&gt;=4,IF(J677&gt;=6,"H","A"),IF(K677&gt;=2,IF(J677&gt;=20,"H",IF(J677&lt;=5,"L","A")),IF(J677&lt;=19,"L","A"))),IF(OR(H677="ALI",H677="AIE"),IF(K677&gt;=6,IF(J677&gt;=20,"H","A"),IF(K677&gt;=2,IF(J677&gt;=51,"H",IF(J677&lt;=19,"L","A")),IF(J677&lt;=50,"L","A")))))))</f>
        <v/>
      </c>
      <c r="N677" s="52">
        <f>IF(M677="L","Baixa",IF(M677="A","Média",IF(M677="","","Alta")))</f>
        <v/>
      </c>
      <c r="O677" s="53">
        <f>IF(ISBLANK(H677),"",IF(H677="ALI",IF(M677="L",7,IF(M677="A",10,15)),IF(H677="AIE",IF(M677="L",5,IF(M677="A",7,10)),IF(H677="SE",IF(M677="L",4,IF(M677="A",5,7)),IF(OR(H677="EE",H677="CE"),IF(M677="L",3,IF(M677="A",4,6)))))))</f>
        <v/>
      </c>
      <c r="P677" s="54">
        <f>IF(I677="I",O677*Contagem!$W$15,IF(I677="E",O677*Contagem!$W$17,IF(I677="A",O677*Contagem!$W$16,IF(I677="T",O677*Contagem!$W$18,""))))</f>
        <v/>
      </c>
      <c r="Q677" s="55" t="n"/>
    </row>
    <row r="678" ht="12" customHeight="1" s="73">
      <c r="A678" s="14">
        <f>IF(H678="",IF(C678="",A677,A677+1),A677)</f>
        <v/>
      </c>
      <c r="B678" s="48">
        <f>IF(A678=A677,"",CONCATENATE("F",A678))</f>
        <v/>
      </c>
      <c r="C678" s="85" t="n"/>
      <c r="D678" s="142" t="n"/>
      <c r="E678" s="142" t="n"/>
      <c r="F678" s="142" t="n"/>
      <c r="G678" s="143" t="n"/>
      <c r="H678" s="56" t="n"/>
      <c r="I678" s="57" t="n"/>
      <c r="J678" s="56" t="n"/>
      <c r="K678" s="56" t="n"/>
      <c r="L678" s="50">
        <f>CONCATENATE(H678,M678)</f>
        <v/>
      </c>
      <c r="M678" s="51">
        <f>IF(OR(ISBLANK(J678),ISBLANK(K678)),IF(OR(H678="ALI",H678="AIE"),"L",IF(ISBLANK(H678),"","A")),IF(H678="EE",IF(K678&gt;=3,IF(J678&gt;=5,"H","A"),IF(K678&gt;=2,IF(J678&gt;=16,"H",IF(J678&lt;=4,"L","A")),IF(J678&lt;=15,"L","A"))),IF(OR(H678="SE",H678="CE"),IF(K678&gt;=4,IF(J678&gt;=6,"H","A"),IF(K678&gt;=2,IF(J678&gt;=20,"H",IF(J678&lt;=5,"L","A")),IF(J678&lt;=19,"L","A"))),IF(OR(H678="ALI",H678="AIE"),IF(K678&gt;=6,IF(J678&gt;=20,"H","A"),IF(K678&gt;=2,IF(J678&gt;=51,"H",IF(J678&lt;=19,"L","A")),IF(J678&lt;=50,"L","A")))))))</f>
        <v/>
      </c>
      <c r="N678" s="52">
        <f>IF(M678="L","Baixa",IF(M678="A","Média",IF(M678="","","Alta")))</f>
        <v/>
      </c>
      <c r="O678" s="53">
        <f>IF(ISBLANK(H678),"",IF(H678="ALI",IF(M678="L",7,IF(M678="A",10,15)),IF(H678="AIE",IF(M678="L",5,IF(M678="A",7,10)),IF(H678="SE",IF(M678="L",4,IF(M678="A",5,7)),IF(OR(H678="EE",H678="CE"),IF(M678="L",3,IF(M678="A",4,6)))))))</f>
        <v/>
      </c>
      <c r="P678" s="54">
        <f>IF(I678="I",O678*Contagem!$W$15,IF(I678="E",O678*Contagem!$W$17,IF(I678="A",O678*Contagem!$W$16,IF(I678="T",O678*Contagem!$W$18,""))))</f>
        <v/>
      </c>
      <c r="Q678" s="55" t="n"/>
    </row>
    <row r="679" ht="12" customHeight="1" s="73">
      <c r="A679" s="14">
        <f>IF(H679="",IF(C679="",A678,A678+1),A678)</f>
        <v/>
      </c>
      <c r="B679" s="48">
        <f>IF(A679=A678,"",CONCATENATE("F",A679))</f>
        <v/>
      </c>
      <c r="C679" s="85" t="n"/>
      <c r="D679" s="142" t="n"/>
      <c r="E679" s="142" t="n"/>
      <c r="F679" s="142" t="n"/>
      <c r="G679" s="143" t="n"/>
      <c r="H679" s="56" t="n"/>
      <c r="I679" s="57" t="n"/>
      <c r="J679" s="56" t="n"/>
      <c r="K679" s="56" t="n"/>
      <c r="L679" s="50">
        <f>CONCATENATE(H679,M679)</f>
        <v/>
      </c>
      <c r="M679" s="51">
        <f>IF(OR(ISBLANK(J679),ISBLANK(K679)),IF(OR(H679="ALI",H679="AIE"),"L",IF(ISBLANK(H679),"","A")),IF(H679="EE",IF(K679&gt;=3,IF(J679&gt;=5,"H","A"),IF(K679&gt;=2,IF(J679&gt;=16,"H",IF(J679&lt;=4,"L","A")),IF(J679&lt;=15,"L","A"))),IF(OR(H679="SE",H679="CE"),IF(K679&gt;=4,IF(J679&gt;=6,"H","A"),IF(K679&gt;=2,IF(J679&gt;=20,"H",IF(J679&lt;=5,"L","A")),IF(J679&lt;=19,"L","A"))),IF(OR(H679="ALI",H679="AIE"),IF(K679&gt;=6,IF(J679&gt;=20,"H","A"),IF(K679&gt;=2,IF(J679&gt;=51,"H",IF(J679&lt;=19,"L","A")),IF(J679&lt;=50,"L","A")))))))</f>
        <v/>
      </c>
      <c r="N679" s="52">
        <f>IF(M679="L","Baixa",IF(M679="A","Média",IF(M679="","","Alta")))</f>
        <v/>
      </c>
      <c r="O679" s="53">
        <f>IF(ISBLANK(H679),"",IF(H679="ALI",IF(M679="L",7,IF(M679="A",10,15)),IF(H679="AIE",IF(M679="L",5,IF(M679="A",7,10)),IF(H679="SE",IF(M679="L",4,IF(M679="A",5,7)),IF(OR(H679="EE",H679="CE"),IF(M679="L",3,IF(M679="A",4,6)))))))</f>
        <v/>
      </c>
      <c r="P679" s="54">
        <f>IF(I679="I",O679*Contagem!$W$15,IF(I679="E",O679*Contagem!$W$17,IF(I679="A",O679*Contagem!$W$16,IF(I679="T",O679*Contagem!$W$18,""))))</f>
        <v/>
      </c>
      <c r="Q679" s="55" t="n"/>
    </row>
    <row r="680" ht="12" customHeight="1" s="73">
      <c r="A680" s="14">
        <f>IF(H680="",IF(C680="",A679,A679+1),A679)</f>
        <v/>
      </c>
      <c r="B680" s="48">
        <f>IF(A680=A679,"",CONCATENATE("F",A680))</f>
        <v/>
      </c>
      <c r="C680" s="85" t="n"/>
      <c r="D680" s="142" t="n"/>
      <c r="E680" s="142" t="n"/>
      <c r="F680" s="142" t="n"/>
      <c r="G680" s="143" t="n"/>
      <c r="H680" s="56" t="n"/>
      <c r="I680" s="57" t="n"/>
      <c r="J680" s="56" t="n"/>
      <c r="K680" s="56" t="n"/>
      <c r="L680" s="50">
        <f>CONCATENATE(H680,M680)</f>
        <v/>
      </c>
      <c r="M680" s="51">
        <f>IF(OR(ISBLANK(J680),ISBLANK(K680)),IF(OR(H680="ALI",H680="AIE"),"L",IF(ISBLANK(H680),"","A")),IF(H680="EE",IF(K680&gt;=3,IF(J680&gt;=5,"H","A"),IF(K680&gt;=2,IF(J680&gt;=16,"H",IF(J680&lt;=4,"L","A")),IF(J680&lt;=15,"L","A"))),IF(OR(H680="SE",H680="CE"),IF(K680&gt;=4,IF(J680&gt;=6,"H","A"),IF(K680&gt;=2,IF(J680&gt;=20,"H",IF(J680&lt;=5,"L","A")),IF(J680&lt;=19,"L","A"))),IF(OR(H680="ALI",H680="AIE"),IF(K680&gt;=6,IF(J680&gt;=20,"H","A"),IF(K680&gt;=2,IF(J680&gt;=51,"H",IF(J680&lt;=19,"L","A")),IF(J680&lt;=50,"L","A")))))))</f>
        <v/>
      </c>
      <c r="N680" s="52">
        <f>IF(M680="L","Baixa",IF(M680="A","Média",IF(M680="","","Alta")))</f>
        <v/>
      </c>
      <c r="O680" s="53">
        <f>IF(ISBLANK(H680),"",IF(H680="ALI",IF(M680="L",7,IF(M680="A",10,15)),IF(H680="AIE",IF(M680="L",5,IF(M680="A",7,10)),IF(H680="SE",IF(M680="L",4,IF(M680="A",5,7)),IF(OR(H680="EE",H680="CE"),IF(M680="L",3,IF(M680="A",4,6)))))))</f>
        <v/>
      </c>
      <c r="P680" s="54">
        <f>IF(I680="I",O680*Contagem!$W$15,IF(I680="E",O680*Contagem!$W$17,IF(I680="A",O680*Contagem!$W$16,IF(I680="T",O680*Contagem!$W$18,""))))</f>
        <v/>
      </c>
      <c r="Q680" s="55" t="n"/>
    </row>
    <row r="681" ht="12" customHeight="1" s="73">
      <c r="A681" s="14">
        <f>IF(H681="",IF(C681="",A680,A680+1),A680)</f>
        <v/>
      </c>
      <c r="B681" s="48">
        <f>IF(A681=A680,"",CONCATENATE("F",A681))</f>
        <v/>
      </c>
      <c r="C681" s="85" t="n"/>
      <c r="D681" s="142" t="n"/>
      <c r="E681" s="142" t="n"/>
      <c r="F681" s="142" t="n"/>
      <c r="G681" s="143" t="n"/>
      <c r="H681" s="56" t="n"/>
      <c r="I681" s="57" t="n"/>
      <c r="J681" s="56" t="n"/>
      <c r="K681" s="56" t="n"/>
      <c r="L681" s="50">
        <f>CONCATENATE(H681,M681)</f>
        <v/>
      </c>
      <c r="M681" s="51">
        <f>IF(OR(ISBLANK(J681),ISBLANK(K681)),IF(OR(H681="ALI",H681="AIE"),"L",IF(ISBLANK(H681),"","A")),IF(H681="EE",IF(K681&gt;=3,IF(J681&gt;=5,"H","A"),IF(K681&gt;=2,IF(J681&gt;=16,"H",IF(J681&lt;=4,"L","A")),IF(J681&lt;=15,"L","A"))),IF(OR(H681="SE",H681="CE"),IF(K681&gt;=4,IF(J681&gt;=6,"H","A"),IF(K681&gt;=2,IF(J681&gt;=20,"H",IF(J681&lt;=5,"L","A")),IF(J681&lt;=19,"L","A"))),IF(OR(H681="ALI",H681="AIE"),IF(K681&gt;=6,IF(J681&gt;=20,"H","A"),IF(K681&gt;=2,IF(J681&gt;=51,"H",IF(J681&lt;=19,"L","A")),IF(J681&lt;=50,"L","A")))))))</f>
        <v/>
      </c>
      <c r="N681" s="52">
        <f>IF(M681="L","Baixa",IF(M681="A","Média",IF(M681="","","Alta")))</f>
        <v/>
      </c>
      <c r="O681" s="53">
        <f>IF(ISBLANK(H681),"",IF(H681="ALI",IF(M681="L",7,IF(M681="A",10,15)),IF(H681="AIE",IF(M681="L",5,IF(M681="A",7,10)),IF(H681="SE",IF(M681="L",4,IF(M681="A",5,7)),IF(OR(H681="EE",H681="CE"),IF(M681="L",3,IF(M681="A",4,6)))))))</f>
        <v/>
      </c>
      <c r="P681" s="54">
        <f>IF(I681="I",O681*Contagem!$W$15,IF(I681="E",O681*Contagem!$W$17,IF(I681="A",O681*Contagem!$W$16,IF(I681="T",O681*Contagem!$W$18,""))))</f>
        <v/>
      </c>
      <c r="Q681" s="55" t="n"/>
    </row>
    <row r="682" ht="12" customHeight="1" s="73">
      <c r="A682" s="14">
        <f>IF(H682="",IF(C682="",A681,A681+1),A681)</f>
        <v/>
      </c>
      <c r="B682" s="48">
        <f>IF(A682=A681,"",CONCATENATE("F",A682))</f>
        <v/>
      </c>
      <c r="C682" s="85" t="n"/>
      <c r="D682" s="142" t="n"/>
      <c r="E682" s="142" t="n"/>
      <c r="F682" s="142" t="n"/>
      <c r="G682" s="143" t="n"/>
      <c r="H682" s="56" t="n"/>
      <c r="I682" s="57" t="n"/>
      <c r="J682" s="56" t="n"/>
      <c r="K682" s="56" t="n"/>
      <c r="L682" s="50">
        <f>CONCATENATE(H682,M682)</f>
        <v/>
      </c>
      <c r="M682" s="51">
        <f>IF(OR(ISBLANK(J682),ISBLANK(K682)),IF(OR(H682="ALI",H682="AIE"),"L",IF(ISBLANK(H682),"","A")),IF(H682="EE",IF(K682&gt;=3,IF(J682&gt;=5,"H","A"),IF(K682&gt;=2,IF(J682&gt;=16,"H",IF(J682&lt;=4,"L","A")),IF(J682&lt;=15,"L","A"))),IF(OR(H682="SE",H682="CE"),IF(K682&gt;=4,IF(J682&gt;=6,"H","A"),IF(K682&gt;=2,IF(J682&gt;=20,"H",IF(J682&lt;=5,"L","A")),IF(J682&lt;=19,"L","A"))),IF(OR(H682="ALI",H682="AIE"),IF(K682&gt;=6,IF(J682&gt;=20,"H","A"),IF(K682&gt;=2,IF(J682&gt;=51,"H",IF(J682&lt;=19,"L","A")),IF(J682&lt;=50,"L","A")))))))</f>
        <v/>
      </c>
      <c r="N682" s="52">
        <f>IF(M682="L","Baixa",IF(M682="A","Média",IF(M682="","","Alta")))</f>
        <v/>
      </c>
      <c r="O682" s="53">
        <f>IF(ISBLANK(H682),"",IF(H682="ALI",IF(M682="L",7,IF(M682="A",10,15)),IF(H682="AIE",IF(M682="L",5,IF(M682="A",7,10)),IF(H682="SE",IF(M682="L",4,IF(M682="A",5,7)),IF(OR(H682="EE",H682="CE"),IF(M682="L",3,IF(M682="A",4,6)))))))</f>
        <v/>
      </c>
      <c r="P682" s="54">
        <f>IF(I682="I",O682*Contagem!$W$15,IF(I682="E",O682*Contagem!$W$17,IF(I682="A",O682*Contagem!$W$16,IF(I682="T",O682*Contagem!$W$18,""))))</f>
        <v/>
      </c>
      <c r="Q682" s="55" t="n"/>
    </row>
    <row r="683" ht="12" customHeight="1" s="73">
      <c r="A683" s="14">
        <f>IF(H683="",IF(C683="",A682,A682+1),A682)</f>
        <v/>
      </c>
      <c r="B683" s="48">
        <f>IF(A683=A682,"",CONCATENATE("F",A683))</f>
        <v/>
      </c>
      <c r="C683" s="85" t="n"/>
      <c r="D683" s="142" t="n"/>
      <c r="E683" s="142" t="n"/>
      <c r="F683" s="142" t="n"/>
      <c r="G683" s="143" t="n"/>
      <c r="H683" s="56" t="n"/>
      <c r="I683" s="57" t="n"/>
      <c r="J683" s="56" t="n"/>
      <c r="K683" s="56" t="n"/>
      <c r="L683" s="50">
        <f>CONCATENATE(H683,M683)</f>
        <v/>
      </c>
      <c r="M683" s="51">
        <f>IF(OR(ISBLANK(J683),ISBLANK(K683)),IF(OR(H683="ALI",H683="AIE"),"L",IF(ISBLANK(H683),"","A")),IF(H683="EE",IF(K683&gt;=3,IF(J683&gt;=5,"H","A"),IF(K683&gt;=2,IF(J683&gt;=16,"H",IF(J683&lt;=4,"L","A")),IF(J683&lt;=15,"L","A"))),IF(OR(H683="SE",H683="CE"),IF(K683&gt;=4,IF(J683&gt;=6,"H","A"),IF(K683&gt;=2,IF(J683&gt;=20,"H",IF(J683&lt;=5,"L","A")),IF(J683&lt;=19,"L","A"))),IF(OR(H683="ALI",H683="AIE"),IF(K683&gt;=6,IF(J683&gt;=20,"H","A"),IF(K683&gt;=2,IF(J683&gt;=51,"H",IF(J683&lt;=19,"L","A")),IF(J683&lt;=50,"L","A")))))))</f>
        <v/>
      </c>
      <c r="N683" s="52">
        <f>IF(M683="L","Baixa",IF(M683="A","Média",IF(M683="","","Alta")))</f>
        <v/>
      </c>
      <c r="O683" s="53">
        <f>IF(ISBLANK(H683),"",IF(H683="ALI",IF(M683="L",7,IF(M683="A",10,15)),IF(H683="AIE",IF(M683="L",5,IF(M683="A",7,10)),IF(H683="SE",IF(M683="L",4,IF(M683="A",5,7)),IF(OR(H683="EE",H683="CE"),IF(M683="L",3,IF(M683="A",4,6)))))))</f>
        <v/>
      </c>
      <c r="P683" s="54">
        <f>IF(I683="I",O683*Contagem!$W$15,IF(I683="E",O683*Contagem!$W$17,IF(I683="A",O683*Contagem!$W$16,IF(I683="T",O683*Contagem!$W$18,""))))</f>
        <v/>
      </c>
      <c r="Q683" s="55" t="n"/>
    </row>
    <row r="684" ht="12" customHeight="1" s="73">
      <c r="A684" s="14">
        <f>IF(H684="",IF(C684="",A683,A683+1),A683)</f>
        <v/>
      </c>
      <c r="B684" s="48">
        <f>IF(A684=A683,"",CONCATENATE("F",A684))</f>
        <v/>
      </c>
      <c r="C684" s="85" t="n"/>
      <c r="D684" s="142" t="n"/>
      <c r="E684" s="142" t="n"/>
      <c r="F684" s="142" t="n"/>
      <c r="G684" s="143" t="n"/>
      <c r="H684" s="56" t="n"/>
      <c r="I684" s="57" t="n"/>
      <c r="J684" s="56" t="n"/>
      <c r="K684" s="56" t="n"/>
      <c r="L684" s="50">
        <f>CONCATENATE(H684,M684)</f>
        <v/>
      </c>
      <c r="M684" s="51">
        <f>IF(OR(ISBLANK(J684),ISBLANK(K684)),IF(OR(H684="ALI",H684="AIE"),"L",IF(ISBLANK(H684),"","A")),IF(H684="EE",IF(K684&gt;=3,IF(J684&gt;=5,"H","A"),IF(K684&gt;=2,IF(J684&gt;=16,"H",IF(J684&lt;=4,"L","A")),IF(J684&lt;=15,"L","A"))),IF(OR(H684="SE",H684="CE"),IF(K684&gt;=4,IF(J684&gt;=6,"H","A"),IF(K684&gt;=2,IF(J684&gt;=20,"H",IF(J684&lt;=5,"L","A")),IF(J684&lt;=19,"L","A"))),IF(OR(H684="ALI",H684="AIE"),IF(K684&gt;=6,IF(J684&gt;=20,"H","A"),IF(K684&gt;=2,IF(J684&gt;=51,"H",IF(J684&lt;=19,"L","A")),IF(J684&lt;=50,"L","A")))))))</f>
        <v/>
      </c>
      <c r="N684" s="52">
        <f>IF(M684="L","Baixa",IF(M684="A","Média",IF(M684="","","Alta")))</f>
        <v/>
      </c>
      <c r="O684" s="53">
        <f>IF(ISBLANK(H684),"",IF(H684="ALI",IF(M684="L",7,IF(M684="A",10,15)),IF(H684="AIE",IF(M684="L",5,IF(M684="A",7,10)),IF(H684="SE",IF(M684="L",4,IF(M684="A",5,7)),IF(OR(H684="EE",H684="CE"),IF(M684="L",3,IF(M684="A",4,6)))))))</f>
        <v/>
      </c>
      <c r="P684" s="54">
        <f>IF(I684="I",O684*Contagem!$W$15,IF(I684="E",O684*Contagem!$W$17,IF(I684="A",O684*Contagem!$W$16,IF(I684="T",O684*Contagem!$W$18,""))))</f>
        <v/>
      </c>
      <c r="Q684" s="55" t="n"/>
    </row>
    <row r="685" ht="12" customHeight="1" s="73">
      <c r="A685" s="14">
        <f>IF(H685="",IF(C685="",A684,A684+1),A684)</f>
        <v/>
      </c>
      <c r="B685" s="48">
        <f>IF(A685=A684,"",CONCATENATE("F",A685))</f>
        <v/>
      </c>
      <c r="C685" s="85" t="n"/>
      <c r="D685" s="142" t="n"/>
      <c r="E685" s="142" t="n"/>
      <c r="F685" s="142" t="n"/>
      <c r="G685" s="143" t="n"/>
      <c r="H685" s="56" t="n"/>
      <c r="I685" s="57" t="n"/>
      <c r="J685" s="56" t="n"/>
      <c r="K685" s="56" t="n"/>
      <c r="L685" s="50">
        <f>CONCATENATE(H685,M685)</f>
        <v/>
      </c>
      <c r="M685" s="51">
        <f>IF(OR(ISBLANK(J685),ISBLANK(K685)),IF(OR(H685="ALI",H685="AIE"),"L",IF(ISBLANK(H685),"","A")),IF(H685="EE",IF(K685&gt;=3,IF(J685&gt;=5,"H","A"),IF(K685&gt;=2,IF(J685&gt;=16,"H",IF(J685&lt;=4,"L","A")),IF(J685&lt;=15,"L","A"))),IF(OR(H685="SE",H685="CE"),IF(K685&gt;=4,IF(J685&gt;=6,"H","A"),IF(K685&gt;=2,IF(J685&gt;=20,"H",IF(J685&lt;=5,"L","A")),IF(J685&lt;=19,"L","A"))),IF(OR(H685="ALI",H685="AIE"),IF(K685&gt;=6,IF(J685&gt;=20,"H","A"),IF(K685&gt;=2,IF(J685&gt;=51,"H",IF(J685&lt;=19,"L","A")),IF(J685&lt;=50,"L","A")))))))</f>
        <v/>
      </c>
      <c r="N685" s="52">
        <f>IF(M685="L","Baixa",IF(M685="A","Média",IF(M685="","","Alta")))</f>
        <v/>
      </c>
      <c r="O685" s="53">
        <f>IF(ISBLANK(H685),"",IF(H685="ALI",IF(M685="L",7,IF(M685="A",10,15)),IF(H685="AIE",IF(M685="L",5,IF(M685="A",7,10)),IF(H685="SE",IF(M685="L",4,IF(M685="A",5,7)),IF(OR(H685="EE",H685="CE"),IF(M685="L",3,IF(M685="A",4,6)))))))</f>
        <v/>
      </c>
      <c r="P685" s="54">
        <f>IF(I685="I",O685*Contagem!$W$15,IF(I685="E",O685*Contagem!$W$17,IF(I685="A",O685*Contagem!$W$16,IF(I685="T",O685*Contagem!$W$18,""))))</f>
        <v/>
      </c>
      <c r="Q685" s="55" t="n"/>
    </row>
    <row r="686" ht="12" customHeight="1" s="73">
      <c r="A686" s="14">
        <f>IF(H686="",IF(C686="",A685,A685+1),A685)</f>
        <v/>
      </c>
      <c r="B686" s="48">
        <f>IF(A686=A685,"",CONCATENATE("F",A686))</f>
        <v/>
      </c>
      <c r="C686" s="85" t="n"/>
      <c r="D686" s="142" t="n"/>
      <c r="E686" s="142" t="n"/>
      <c r="F686" s="142" t="n"/>
      <c r="G686" s="143" t="n"/>
      <c r="H686" s="56" t="n"/>
      <c r="I686" s="57" t="n"/>
      <c r="J686" s="56" t="n"/>
      <c r="K686" s="56" t="n"/>
      <c r="L686" s="50">
        <f>CONCATENATE(H686,M686)</f>
        <v/>
      </c>
      <c r="M686" s="51">
        <f>IF(OR(ISBLANK(J686),ISBLANK(K686)),IF(OR(H686="ALI",H686="AIE"),"L",IF(ISBLANK(H686),"","A")),IF(H686="EE",IF(K686&gt;=3,IF(J686&gt;=5,"H","A"),IF(K686&gt;=2,IF(J686&gt;=16,"H",IF(J686&lt;=4,"L","A")),IF(J686&lt;=15,"L","A"))),IF(OR(H686="SE",H686="CE"),IF(K686&gt;=4,IF(J686&gt;=6,"H","A"),IF(K686&gt;=2,IF(J686&gt;=20,"H",IF(J686&lt;=5,"L","A")),IF(J686&lt;=19,"L","A"))),IF(OR(H686="ALI",H686="AIE"),IF(K686&gt;=6,IF(J686&gt;=20,"H","A"),IF(K686&gt;=2,IF(J686&gt;=51,"H",IF(J686&lt;=19,"L","A")),IF(J686&lt;=50,"L","A")))))))</f>
        <v/>
      </c>
      <c r="N686" s="52">
        <f>IF(M686="L","Baixa",IF(M686="A","Média",IF(M686="","","Alta")))</f>
        <v/>
      </c>
      <c r="O686" s="53">
        <f>IF(ISBLANK(H686),"",IF(H686="ALI",IF(M686="L",7,IF(M686="A",10,15)),IF(H686="AIE",IF(M686="L",5,IF(M686="A",7,10)),IF(H686="SE",IF(M686="L",4,IF(M686="A",5,7)),IF(OR(H686="EE",H686="CE"),IF(M686="L",3,IF(M686="A",4,6)))))))</f>
        <v/>
      </c>
      <c r="P686" s="54">
        <f>IF(I686="I",O686*Contagem!$W$15,IF(I686="E",O686*Contagem!$W$17,IF(I686="A",O686*Contagem!$W$16,IF(I686="T",O686*Contagem!$W$18,""))))</f>
        <v/>
      </c>
      <c r="Q686" s="55" t="n"/>
    </row>
    <row r="687" ht="12" customHeight="1" s="73">
      <c r="A687" s="14">
        <f>IF(H687="",IF(C687="",A686,A686+1),A686)</f>
        <v/>
      </c>
      <c r="B687" s="48">
        <f>IF(A687=A686,"",CONCATENATE("F",A687))</f>
        <v/>
      </c>
      <c r="C687" s="85" t="n"/>
      <c r="D687" s="142" t="n"/>
      <c r="E687" s="142" t="n"/>
      <c r="F687" s="142" t="n"/>
      <c r="G687" s="143" t="n"/>
      <c r="H687" s="56" t="n"/>
      <c r="I687" s="57" t="n"/>
      <c r="J687" s="56" t="n"/>
      <c r="K687" s="56" t="n"/>
      <c r="L687" s="50">
        <f>CONCATENATE(H687,M687)</f>
        <v/>
      </c>
      <c r="M687" s="51">
        <f>IF(OR(ISBLANK(J687),ISBLANK(K687)),IF(OR(H687="ALI",H687="AIE"),"L",IF(ISBLANK(H687),"","A")),IF(H687="EE",IF(K687&gt;=3,IF(J687&gt;=5,"H","A"),IF(K687&gt;=2,IF(J687&gt;=16,"H",IF(J687&lt;=4,"L","A")),IF(J687&lt;=15,"L","A"))),IF(OR(H687="SE",H687="CE"),IF(K687&gt;=4,IF(J687&gt;=6,"H","A"),IF(K687&gt;=2,IF(J687&gt;=20,"H",IF(J687&lt;=5,"L","A")),IF(J687&lt;=19,"L","A"))),IF(OR(H687="ALI",H687="AIE"),IF(K687&gt;=6,IF(J687&gt;=20,"H","A"),IF(K687&gt;=2,IF(J687&gt;=51,"H",IF(J687&lt;=19,"L","A")),IF(J687&lt;=50,"L","A")))))))</f>
        <v/>
      </c>
      <c r="N687" s="52">
        <f>IF(M687="L","Baixa",IF(M687="A","Média",IF(M687="","","Alta")))</f>
        <v/>
      </c>
      <c r="O687" s="53">
        <f>IF(ISBLANK(H687),"",IF(H687="ALI",IF(M687="L",7,IF(M687="A",10,15)),IF(H687="AIE",IF(M687="L",5,IF(M687="A",7,10)),IF(H687="SE",IF(M687="L",4,IF(M687="A",5,7)),IF(OR(H687="EE",H687="CE"),IF(M687="L",3,IF(M687="A",4,6)))))))</f>
        <v/>
      </c>
      <c r="P687" s="54">
        <f>IF(I687="I",O687*Contagem!$W$15,IF(I687="E",O687*Contagem!$W$17,IF(I687="A",O687*Contagem!$W$16,IF(I687="T",O687*Contagem!$W$18,""))))</f>
        <v/>
      </c>
      <c r="Q687" s="55" t="n"/>
    </row>
    <row r="688" ht="12" customHeight="1" s="73">
      <c r="A688" s="14">
        <f>IF(H688="",IF(C688="",A687,A687+1),A687)</f>
        <v/>
      </c>
      <c r="B688" s="48">
        <f>IF(A688=A687,"",CONCATENATE("F",A688))</f>
        <v/>
      </c>
      <c r="C688" s="85" t="n"/>
      <c r="D688" s="142" t="n"/>
      <c r="E688" s="142" t="n"/>
      <c r="F688" s="142" t="n"/>
      <c r="G688" s="143" t="n"/>
      <c r="H688" s="56" t="n"/>
      <c r="I688" s="57" t="n"/>
      <c r="J688" s="56" t="n"/>
      <c r="K688" s="56" t="n"/>
      <c r="L688" s="50">
        <f>CONCATENATE(H688,M688)</f>
        <v/>
      </c>
      <c r="M688" s="51">
        <f>IF(OR(ISBLANK(J688),ISBLANK(K688)),IF(OR(H688="ALI",H688="AIE"),"L",IF(ISBLANK(H688),"","A")),IF(H688="EE",IF(K688&gt;=3,IF(J688&gt;=5,"H","A"),IF(K688&gt;=2,IF(J688&gt;=16,"H",IF(J688&lt;=4,"L","A")),IF(J688&lt;=15,"L","A"))),IF(OR(H688="SE",H688="CE"),IF(K688&gt;=4,IF(J688&gt;=6,"H","A"),IF(K688&gt;=2,IF(J688&gt;=20,"H",IF(J688&lt;=5,"L","A")),IF(J688&lt;=19,"L","A"))),IF(OR(H688="ALI",H688="AIE"),IF(K688&gt;=6,IF(J688&gt;=20,"H","A"),IF(K688&gt;=2,IF(J688&gt;=51,"H",IF(J688&lt;=19,"L","A")),IF(J688&lt;=50,"L","A")))))))</f>
        <v/>
      </c>
      <c r="N688" s="52">
        <f>IF(M688="L","Baixa",IF(M688="A","Média",IF(M688="","","Alta")))</f>
        <v/>
      </c>
      <c r="O688" s="53">
        <f>IF(ISBLANK(H688),"",IF(H688="ALI",IF(M688="L",7,IF(M688="A",10,15)),IF(H688="AIE",IF(M688="L",5,IF(M688="A",7,10)),IF(H688="SE",IF(M688="L",4,IF(M688="A",5,7)),IF(OR(H688="EE",H688="CE"),IF(M688="L",3,IF(M688="A",4,6)))))))</f>
        <v/>
      </c>
      <c r="P688" s="54">
        <f>IF(I688="I",O688*Contagem!$W$15,IF(I688="E",O688*Contagem!$W$17,IF(I688="A",O688*Contagem!$W$16,IF(I688="T",O688*Contagem!$W$18,""))))</f>
        <v/>
      </c>
      <c r="Q688" s="55" t="n"/>
    </row>
    <row r="689" ht="12" customHeight="1" s="73">
      <c r="A689" s="14">
        <f>IF(H689="",IF(C689="",A688,A688+1),A688)</f>
        <v/>
      </c>
      <c r="B689" s="48">
        <f>IF(A689=A688,"",CONCATENATE("F",A689))</f>
        <v/>
      </c>
      <c r="C689" s="85" t="n"/>
      <c r="D689" s="142" t="n"/>
      <c r="E689" s="142" t="n"/>
      <c r="F689" s="142" t="n"/>
      <c r="G689" s="143" t="n"/>
      <c r="H689" s="56" t="n"/>
      <c r="I689" s="57" t="n"/>
      <c r="J689" s="56" t="n"/>
      <c r="K689" s="56" t="n"/>
      <c r="L689" s="50">
        <f>CONCATENATE(H689,M689)</f>
        <v/>
      </c>
      <c r="M689" s="51">
        <f>IF(OR(ISBLANK(J689),ISBLANK(K689)),IF(OR(H689="ALI",H689="AIE"),"L",IF(ISBLANK(H689),"","A")),IF(H689="EE",IF(K689&gt;=3,IF(J689&gt;=5,"H","A"),IF(K689&gt;=2,IF(J689&gt;=16,"H",IF(J689&lt;=4,"L","A")),IF(J689&lt;=15,"L","A"))),IF(OR(H689="SE",H689="CE"),IF(K689&gt;=4,IF(J689&gt;=6,"H","A"),IF(K689&gt;=2,IF(J689&gt;=20,"H",IF(J689&lt;=5,"L","A")),IF(J689&lt;=19,"L","A"))),IF(OR(H689="ALI",H689="AIE"),IF(K689&gt;=6,IF(J689&gt;=20,"H","A"),IF(K689&gt;=2,IF(J689&gt;=51,"H",IF(J689&lt;=19,"L","A")),IF(J689&lt;=50,"L","A")))))))</f>
        <v/>
      </c>
      <c r="N689" s="52">
        <f>IF(M689="L","Baixa",IF(M689="A","Média",IF(M689="","","Alta")))</f>
        <v/>
      </c>
      <c r="O689" s="53">
        <f>IF(ISBLANK(H689),"",IF(H689="ALI",IF(M689="L",7,IF(M689="A",10,15)),IF(H689="AIE",IF(M689="L",5,IF(M689="A",7,10)),IF(H689="SE",IF(M689="L",4,IF(M689="A",5,7)),IF(OR(H689="EE",H689="CE"),IF(M689="L",3,IF(M689="A",4,6)))))))</f>
        <v/>
      </c>
      <c r="P689" s="54">
        <f>IF(I689="I",O689*Contagem!$W$15,IF(I689="E",O689*Contagem!$W$17,IF(I689="A",O689*Contagem!$W$16,IF(I689="T",O689*Contagem!$W$18,""))))</f>
        <v/>
      </c>
      <c r="Q689" s="55" t="n"/>
    </row>
    <row r="690" ht="12" customHeight="1" s="73">
      <c r="A690" s="14">
        <f>IF(H690="",IF(C690="",A689,A689+1),A689)</f>
        <v/>
      </c>
      <c r="B690" s="48">
        <f>IF(A690=A689,"",CONCATENATE("F",A690))</f>
        <v/>
      </c>
      <c r="C690" s="85" t="n"/>
      <c r="D690" s="142" t="n"/>
      <c r="E690" s="142" t="n"/>
      <c r="F690" s="142" t="n"/>
      <c r="G690" s="143" t="n"/>
      <c r="H690" s="56" t="n"/>
      <c r="I690" s="57" t="n"/>
      <c r="J690" s="56" t="n"/>
      <c r="K690" s="56" t="n"/>
      <c r="L690" s="50">
        <f>CONCATENATE(H690,M690)</f>
        <v/>
      </c>
      <c r="M690" s="51">
        <f>IF(OR(ISBLANK(J690),ISBLANK(K690)),IF(OR(H690="ALI",H690="AIE"),"L",IF(ISBLANK(H690),"","A")),IF(H690="EE",IF(K690&gt;=3,IF(J690&gt;=5,"H","A"),IF(K690&gt;=2,IF(J690&gt;=16,"H",IF(J690&lt;=4,"L","A")),IF(J690&lt;=15,"L","A"))),IF(OR(H690="SE",H690="CE"),IF(K690&gt;=4,IF(J690&gt;=6,"H","A"),IF(K690&gt;=2,IF(J690&gt;=20,"H",IF(J690&lt;=5,"L","A")),IF(J690&lt;=19,"L","A"))),IF(OR(H690="ALI",H690="AIE"),IF(K690&gt;=6,IF(J690&gt;=20,"H","A"),IF(K690&gt;=2,IF(J690&gt;=51,"H",IF(J690&lt;=19,"L","A")),IF(J690&lt;=50,"L","A")))))))</f>
        <v/>
      </c>
      <c r="N690" s="52">
        <f>IF(M690="L","Baixa",IF(M690="A","Média",IF(M690="","","Alta")))</f>
        <v/>
      </c>
      <c r="O690" s="53">
        <f>IF(ISBLANK(H690),"",IF(H690="ALI",IF(M690="L",7,IF(M690="A",10,15)),IF(H690="AIE",IF(M690="L",5,IF(M690="A",7,10)),IF(H690="SE",IF(M690="L",4,IF(M690="A",5,7)),IF(OR(H690="EE",H690="CE"),IF(M690="L",3,IF(M690="A",4,6)))))))</f>
        <v/>
      </c>
      <c r="P690" s="54">
        <f>IF(I690="I",O690*Contagem!$W$15,IF(I690="E",O690*Contagem!$W$17,IF(I690="A",O690*Contagem!$W$16,IF(I690="T",O690*Contagem!$W$18,""))))</f>
        <v/>
      </c>
      <c r="Q690" s="55" t="n"/>
    </row>
    <row r="691" ht="12" customHeight="1" s="73">
      <c r="A691" s="14">
        <f>IF(H691="",IF(C691="",A690,A690+1),A690)</f>
        <v/>
      </c>
      <c r="B691" s="48">
        <f>IF(A691=A690,"",CONCATENATE("F",A691))</f>
        <v/>
      </c>
      <c r="C691" s="85" t="n"/>
      <c r="D691" s="142" t="n"/>
      <c r="E691" s="142" t="n"/>
      <c r="F691" s="142" t="n"/>
      <c r="G691" s="143" t="n"/>
      <c r="H691" s="56" t="n"/>
      <c r="I691" s="57" t="n"/>
      <c r="J691" s="56" t="n"/>
      <c r="K691" s="56" t="n"/>
      <c r="L691" s="50">
        <f>CONCATENATE(H691,M691)</f>
        <v/>
      </c>
      <c r="M691" s="51">
        <f>IF(OR(ISBLANK(J691),ISBLANK(K691)),IF(OR(H691="ALI",H691="AIE"),"L",IF(ISBLANK(H691),"","A")),IF(H691="EE",IF(K691&gt;=3,IF(J691&gt;=5,"H","A"),IF(K691&gt;=2,IF(J691&gt;=16,"H",IF(J691&lt;=4,"L","A")),IF(J691&lt;=15,"L","A"))),IF(OR(H691="SE",H691="CE"),IF(K691&gt;=4,IF(J691&gt;=6,"H","A"),IF(K691&gt;=2,IF(J691&gt;=20,"H",IF(J691&lt;=5,"L","A")),IF(J691&lt;=19,"L","A"))),IF(OR(H691="ALI",H691="AIE"),IF(K691&gt;=6,IF(J691&gt;=20,"H","A"),IF(K691&gt;=2,IF(J691&gt;=51,"H",IF(J691&lt;=19,"L","A")),IF(J691&lt;=50,"L","A")))))))</f>
        <v/>
      </c>
      <c r="N691" s="52">
        <f>IF(M691="L","Baixa",IF(M691="A","Média",IF(M691="","","Alta")))</f>
        <v/>
      </c>
      <c r="O691" s="53">
        <f>IF(ISBLANK(H691),"",IF(H691="ALI",IF(M691="L",7,IF(M691="A",10,15)),IF(H691="AIE",IF(M691="L",5,IF(M691="A",7,10)),IF(H691="SE",IF(M691="L",4,IF(M691="A",5,7)),IF(OR(H691="EE",H691="CE"),IF(M691="L",3,IF(M691="A",4,6)))))))</f>
        <v/>
      </c>
      <c r="P691" s="54">
        <f>IF(I691="I",O691*Contagem!$W$15,IF(I691="E",O691*Contagem!$W$17,IF(I691="A",O691*Contagem!$W$16,IF(I691="T",O691*Contagem!$W$18,""))))</f>
        <v/>
      </c>
      <c r="Q691" s="55" t="n"/>
    </row>
    <row r="692" ht="12" customHeight="1" s="73">
      <c r="A692" s="14">
        <f>IF(H692="",IF(C692="",A691,A691+1),A691)</f>
        <v/>
      </c>
      <c r="B692" s="48">
        <f>IF(A692=A691,"",CONCATENATE("F",A692))</f>
        <v/>
      </c>
      <c r="C692" s="85" t="n"/>
      <c r="D692" s="142" t="n"/>
      <c r="E692" s="142" t="n"/>
      <c r="F692" s="142" t="n"/>
      <c r="G692" s="143" t="n"/>
      <c r="H692" s="56" t="n"/>
      <c r="I692" s="57" t="n"/>
      <c r="J692" s="56" t="n"/>
      <c r="K692" s="56" t="n"/>
      <c r="L692" s="50">
        <f>CONCATENATE(H692,M692)</f>
        <v/>
      </c>
      <c r="M692" s="51">
        <f>IF(OR(ISBLANK(J692),ISBLANK(K692)),IF(OR(H692="ALI",H692="AIE"),"L",IF(ISBLANK(H692),"","A")),IF(H692="EE",IF(K692&gt;=3,IF(J692&gt;=5,"H","A"),IF(K692&gt;=2,IF(J692&gt;=16,"H",IF(J692&lt;=4,"L","A")),IF(J692&lt;=15,"L","A"))),IF(OR(H692="SE",H692="CE"),IF(K692&gt;=4,IF(J692&gt;=6,"H","A"),IF(K692&gt;=2,IF(J692&gt;=20,"H",IF(J692&lt;=5,"L","A")),IF(J692&lt;=19,"L","A"))),IF(OR(H692="ALI",H692="AIE"),IF(K692&gt;=6,IF(J692&gt;=20,"H","A"),IF(K692&gt;=2,IF(J692&gt;=51,"H",IF(J692&lt;=19,"L","A")),IF(J692&lt;=50,"L","A")))))))</f>
        <v/>
      </c>
      <c r="N692" s="52">
        <f>IF(M692="L","Baixa",IF(M692="A","Média",IF(M692="","","Alta")))</f>
        <v/>
      </c>
      <c r="O692" s="53">
        <f>IF(ISBLANK(H692),"",IF(H692="ALI",IF(M692="L",7,IF(M692="A",10,15)),IF(H692="AIE",IF(M692="L",5,IF(M692="A",7,10)),IF(H692="SE",IF(M692="L",4,IF(M692="A",5,7)),IF(OR(H692="EE",H692="CE"),IF(M692="L",3,IF(M692="A",4,6)))))))</f>
        <v/>
      </c>
      <c r="P692" s="54">
        <f>IF(I692="I",O692*Contagem!$W$15,IF(I692="E",O692*Contagem!$W$17,IF(I692="A",O692*Contagem!$W$16,IF(I692="T",O692*Contagem!$W$18,""))))</f>
        <v/>
      </c>
      <c r="Q692" s="55" t="n"/>
    </row>
    <row r="693" ht="12" customHeight="1" s="73">
      <c r="A693" s="14">
        <f>IF(H693="",IF(C693="",A692,A692+1),A692)</f>
        <v/>
      </c>
      <c r="B693" s="48">
        <f>IF(A693=A692,"",CONCATENATE("F",A693))</f>
        <v/>
      </c>
      <c r="C693" s="85" t="n"/>
      <c r="D693" s="142" t="n"/>
      <c r="E693" s="142" t="n"/>
      <c r="F693" s="142" t="n"/>
      <c r="G693" s="143" t="n"/>
      <c r="H693" s="56" t="n"/>
      <c r="I693" s="57" t="n"/>
      <c r="J693" s="56" t="n"/>
      <c r="K693" s="56" t="n"/>
      <c r="L693" s="50">
        <f>CONCATENATE(H693,M693)</f>
        <v/>
      </c>
      <c r="M693" s="51">
        <f>IF(OR(ISBLANK(J693),ISBLANK(K693)),IF(OR(H693="ALI",H693="AIE"),"L",IF(ISBLANK(H693),"","A")),IF(H693="EE",IF(K693&gt;=3,IF(J693&gt;=5,"H","A"),IF(K693&gt;=2,IF(J693&gt;=16,"H",IF(J693&lt;=4,"L","A")),IF(J693&lt;=15,"L","A"))),IF(OR(H693="SE",H693="CE"),IF(K693&gt;=4,IF(J693&gt;=6,"H","A"),IF(K693&gt;=2,IF(J693&gt;=20,"H",IF(J693&lt;=5,"L","A")),IF(J693&lt;=19,"L","A"))),IF(OR(H693="ALI",H693="AIE"),IF(K693&gt;=6,IF(J693&gt;=20,"H","A"),IF(K693&gt;=2,IF(J693&gt;=51,"H",IF(J693&lt;=19,"L","A")),IF(J693&lt;=50,"L","A")))))))</f>
        <v/>
      </c>
      <c r="N693" s="52">
        <f>IF(M693="L","Baixa",IF(M693="A","Média",IF(M693="","","Alta")))</f>
        <v/>
      </c>
      <c r="O693" s="53">
        <f>IF(ISBLANK(H693),"",IF(H693="ALI",IF(M693="L",7,IF(M693="A",10,15)),IF(H693="AIE",IF(M693="L",5,IF(M693="A",7,10)),IF(H693="SE",IF(M693="L",4,IF(M693="A",5,7)),IF(OR(H693="EE",H693="CE"),IF(M693="L",3,IF(M693="A",4,6)))))))</f>
        <v/>
      </c>
      <c r="P693" s="54">
        <f>IF(I693="I",O693*Contagem!$W$15,IF(I693="E",O693*Contagem!$W$17,IF(I693="A",O693*Contagem!$W$16,IF(I693="T",O693*Contagem!$W$18,""))))</f>
        <v/>
      </c>
      <c r="Q693" s="55" t="n"/>
    </row>
    <row r="694" ht="12" customHeight="1" s="73">
      <c r="A694" s="14">
        <f>IF(H694="",IF(C694="",A693,A693+1),A693)</f>
        <v/>
      </c>
      <c r="B694" s="48">
        <f>IF(A694=A693,"",CONCATENATE("F",A694))</f>
        <v/>
      </c>
      <c r="C694" s="85" t="n"/>
      <c r="D694" s="142" t="n"/>
      <c r="E694" s="142" t="n"/>
      <c r="F694" s="142" t="n"/>
      <c r="G694" s="143" t="n"/>
      <c r="H694" s="56" t="n"/>
      <c r="I694" s="57" t="n"/>
      <c r="J694" s="56" t="n"/>
      <c r="K694" s="56" t="n"/>
      <c r="L694" s="50">
        <f>CONCATENATE(H694,M694)</f>
        <v/>
      </c>
      <c r="M694" s="51">
        <f>IF(OR(ISBLANK(J694),ISBLANK(K694)),IF(OR(H694="ALI",H694="AIE"),"L",IF(ISBLANK(H694),"","A")),IF(H694="EE",IF(K694&gt;=3,IF(J694&gt;=5,"H","A"),IF(K694&gt;=2,IF(J694&gt;=16,"H",IF(J694&lt;=4,"L","A")),IF(J694&lt;=15,"L","A"))),IF(OR(H694="SE",H694="CE"),IF(K694&gt;=4,IF(J694&gt;=6,"H","A"),IF(K694&gt;=2,IF(J694&gt;=20,"H",IF(J694&lt;=5,"L","A")),IF(J694&lt;=19,"L","A"))),IF(OR(H694="ALI",H694="AIE"),IF(K694&gt;=6,IF(J694&gt;=20,"H","A"),IF(K694&gt;=2,IF(J694&gt;=51,"H",IF(J694&lt;=19,"L","A")),IF(J694&lt;=50,"L","A")))))))</f>
        <v/>
      </c>
      <c r="N694" s="52">
        <f>IF(M694="L","Baixa",IF(M694="A","Média",IF(M694="","","Alta")))</f>
        <v/>
      </c>
      <c r="O694" s="53">
        <f>IF(ISBLANK(H694),"",IF(H694="ALI",IF(M694="L",7,IF(M694="A",10,15)),IF(H694="AIE",IF(M694="L",5,IF(M694="A",7,10)),IF(H694="SE",IF(M694="L",4,IF(M694="A",5,7)),IF(OR(H694="EE",H694="CE"),IF(M694="L",3,IF(M694="A",4,6)))))))</f>
        <v/>
      </c>
      <c r="P694" s="54">
        <f>IF(I694="I",O694*Contagem!$W$15,IF(I694="E",O694*Contagem!$W$17,IF(I694="A",O694*Contagem!$W$16,IF(I694="T",O694*Contagem!$W$18,""))))</f>
        <v/>
      </c>
      <c r="Q694" s="55" t="n"/>
    </row>
    <row r="695" ht="12" customHeight="1" s="73">
      <c r="A695" s="14">
        <f>IF(H695="",IF(C695="",A694,A694+1),A694)</f>
        <v/>
      </c>
      <c r="B695" s="48">
        <f>IF(A695=A694,"",CONCATENATE("F",A695))</f>
        <v/>
      </c>
      <c r="C695" s="85" t="n"/>
      <c r="D695" s="142" t="n"/>
      <c r="E695" s="142" t="n"/>
      <c r="F695" s="142" t="n"/>
      <c r="G695" s="143" t="n"/>
      <c r="H695" s="56" t="n"/>
      <c r="I695" s="57" t="n"/>
      <c r="J695" s="56" t="n"/>
      <c r="K695" s="56" t="n"/>
      <c r="L695" s="50">
        <f>CONCATENATE(H695,M695)</f>
        <v/>
      </c>
      <c r="M695" s="51">
        <f>IF(OR(ISBLANK(J695),ISBLANK(K695)),IF(OR(H695="ALI",H695="AIE"),"L",IF(ISBLANK(H695),"","A")),IF(H695="EE",IF(K695&gt;=3,IF(J695&gt;=5,"H","A"),IF(K695&gt;=2,IF(J695&gt;=16,"H",IF(J695&lt;=4,"L","A")),IF(J695&lt;=15,"L","A"))),IF(OR(H695="SE",H695="CE"),IF(K695&gt;=4,IF(J695&gt;=6,"H","A"),IF(K695&gt;=2,IF(J695&gt;=20,"H",IF(J695&lt;=5,"L","A")),IF(J695&lt;=19,"L","A"))),IF(OR(H695="ALI",H695="AIE"),IF(K695&gt;=6,IF(J695&gt;=20,"H","A"),IF(K695&gt;=2,IF(J695&gt;=51,"H",IF(J695&lt;=19,"L","A")),IF(J695&lt;=50,"L","A")))))))</f>
        <v/>
      </c>
      <c r="N695" s="52">
        <f>IF(M695="L","Baixa",IF(M695="A","Média",IF(M695="","","Alta")))</f>
        <v/>
      </c>
      <c r="O695" s="53">
        <f>IF(ISBLANK(H695),"",IF(H695="ALI",IF(M695="L",7,IF(M695="A",10,15)),IF(H695="AIE",IF(M695="L",5,IF(M695="A",7,10)),IF(H695="SE",IF(M695="L",4,IF(M695="A",5,7)),IF(OR(H695="EE",H695="CE"),IF(M695="L",3,IF(M695="A",4,6)))))))</f>
        <v/>
      </c>
      <c r="P695" s="54">
        <f>IF(I695="I",O695*Contagem!$W$15,IF(I695="E",O695*Contagem!$W$17,IF(I695="A",O695*Contagem!$W$16,IF(I695="T",O695*Contagem!$W$18,""))))</f>
        <v/>
      </c>
      <c r="Q695" s="55" t="n"/>
    </row>
    <row r="696" ht="12" customHeight="1" s="73">
      <c r="A696" s="14">
        <f>IF(H696="",IF(C696="",A695,A695+1),A695)</f>
        <v/>
      </c>
      <c r="B696" s="48">
        <f>IF(A696=A695,"",CONCATENATE("F",A696))</f>
        <v/>
      </c>
      <c r="C696" s="85" t="n"/>
      <c r="D696" s="142" t="n"/>
      <c r="E696" s="142" t="n"/>
      <c r="F696" s="142" t="n"/>
      <c r="G696" s="143" t="n"/>
      <c r="H696" s="56" t="n"/>
      <c r="I696" s="57" t="n"/>
      <c r="J696" s="56" t="n"/>
      <c r="K696" s="56" t="n"/>
      <c r="L696" s="50">
        <f>CONCATENATE(H696,M696)</f>
        <v/>
      </c>
      <c r="M696" s="51">
        <f>IF(OR(ISBLANK(J696),ISBLANK(K696)),IF(OR(H696="ALI",H696="AIE"),"L",IF(ISBLANK(H696),"","A")),IF(H696="EE",IF(K696&gt;=3,IF(J696&gt;=5,"H","A"),IF(K696&gt;=2,IF(J696&gt;=16,"H",IF(J696&lt;=4,"L","A")),IF(J696&lt;=15,"L","A"))),IF(OR(H696="SE",H696="CE"),IF(K696&gt;=4,IF(J696&gt;=6,"H","A"),IF(K696&gt;=2,IF(J696&gt;=20,"H",IF(J696&lt;=5,"L","A")),IF(J696&lt;=19,"L","A"))),IF(OR(H696="ALI",H696="AIE"),IF(K696&gt;=6,IF(J696&gt;=20,"H","A"),IF(K696&gt;=2,IF(J696&gt;=51,"H",IF(J696&lt;=19,"L","A")),IF(J696&lt;=50,"L","A")))))))</f>
        <v/>
      </c>
      <c r="N696" s="52">
        <f>IF(M696="L","Baixa",IF(M696="A","Média",IF(M696="","","Alta")))</f>
        <v/>
      </c>
      <c r="O696" s="53">
        <f>IF(ISBLANK(H696),"",IF(H696="ALI",IF(M696="L",7,IF(M696="A",10,15)),IF(H696="AIE",IF(M696="L",5,IF(M696="A",7,10)),IF(H696="SE",IF(M696="L",4,IF(M696="A",5,7)),IF(OR(H696="EE",H696="CE"),IF(M696="L",3,IF(M696="A",4,6)))))))</f>
        <v/>
      </c>
      <c r="P696" s="54">
        <f>IF(I696="I",O696*Contagem!$W$15,IF(I696="E",O696*Contagem!$W$17,IF(I696="A",O696*Contagem!$W$16,IF(I696="T",O696*Contagem!$W$18,""))))</f>
        <v/>
      </c>
      <c r="Q696" s="55" t="n"/>
    </row>
    <row r="697" ht="12" customHeight="1" s="73">
      <c r="A697" s="14">
        <f>IF(H697="",IF(C697="",A696,A696+1),A696)</f>
        <v/>
      </c>
      <c r="B697" s="48">
        <f>IF(A697=A696,"",CONCATENATE("F",A697))</f>
        <v/>
      </c>
      <c r="C697" s="85" t="n"/>
      <c r="D697" s="142" t="n"/>
      <c r="E697" s="142" t="n"/>
      <c r="F697" s="142" t="n"/>
      <c r="G697" s="143" t="n"/>
      <c r="H697" s="56" t="n"/>
      <c r="I697" s="57" t="n"/>
      <c r="J697" s="56" t="n"/>
      <c r="K697" s="56" t="n"/>
      <c r="L697" s="50">
        <f>CONCATENATE(H697,M697)</f>
        <v/>
      </c>
      <c r="M697" s="51">
        <f>IF(OR(ISBLANK(J697),ISBLANK(K697)),IF(OR(H697="ALI",H697="AIE"),"L",IF(ISBLANK(H697),"","A")),IF(H697="EE",IF(K697&gt;=3,IF(J697&gt;=5,"H","A"),IF(K697&gt;=2,IF(J697&gt;=16,"H",IF(J697&lt;=4,"L","A")),IF(J697&lt;=15,"L","A"))),IF(OR(H697="SE",H697="CE"),IF(K697&gt;=4,IF(J697&gt;=6,"H","A"),IF(K697&gt;=2,IF(J697&gt;=20,"H",IF(J697&lt;=5,"L","A")),IF(J697&lt;=19,"L","A"))),IF(OR(H697="ALI",H697="AIE"),IF(K697&gt;=6,IF(J697&gt;=20,"H","A"),IF(K697&gt;=2,IF(J697&gt;=51,"H",IF(J697&lt;=19,"L","A")),IF(J697&lt;=50,"L","A")))))))</f>
        <v/>
      </c>
      <c r="N697" s="52">
        <f>IF(M697="L","Baixa",IF(M697="A","Média",IF(M697="","","Alta")))</f>
        <v/>
      </c>
      <c r="O697" s="53">
        <f>IF(ISBLANK(H697),"",IF(H697="ALI",IF(M697="L",7,IF(M697="A",10,15)),IF(H697="AIE",IF(M697="L",5,IF(M697="A",7,10)),IF(H697="SE",IF(M697="L",4,IF(M697="A",5,7)),IF(OR(H697="EE",H697="CE"),IF(M697="L",3,IF(M697="A",4,6)))))))</f>
        <v/>
      </c>
      <c r="P697" s="54">
        <f>IF(I697="I",O697*Contagem!$W$15,IF(I697="E",O697*Contagem!$W$17,IF(I697="A",O697*Contagem!$W$16,IF(I697="T",O697*Contagem!$W$18,""))))</f>
        <v/>
      </c>
      <c r="Q697" s="55" t="n"/>
    </row>
    <row r="698" ht="12" customHeight="1" s="73">
      <c r="A698" s="14">
        <f>IF(H698="",IF(C698="",A697,A697+1),A697)</f>
        <v/>
      </c>
      <c r="B698" s="48">
        <f>IF(A698=A697,"",CONCATENATE("F",A698))</f>
        <v/>
      </c>
      <c r="C698" s="85" t="n"/>
      <c r="D698" s="142" t="n"/>
      <c r="E698" s="142" t="n"/>
      <c r="F698" s="142" t="n"/>
      <c r="G698" s="143" t="n"/>
      <c r="H698" s="56" t="n"/>
      <c r="I698" s="57" t="n"/>
      <c r="J698" s="56" t="n"/>
      <c r="K698" s="56" t="n"/>
      <c r="L698" s="50">
        <f>CONCATENATE(H698,M698)</f>
        <v/>
      </c>
      <c r="M698" s="51">
        <f>IF(OR(ISBLANK(J698),ISBLANK(K698)),IF(OR(H698="ALI",H698="AIE"),"L",IF(ISBLANK(H698),"","A")),IF(H698="EE",IF(K698&gt;=3,IF(J698&gt;=5,"H","A"),IF(K698&gt;=2,IF(J698&gt;=16,"H",IF(J698&lt;=4,"L","A")),IF(J698&lt;=15,"L","A"))),IF(OR(H698="SE",H698="CE"),IF(K698&gt;=4,IF(J698&gt;=6,"H","A"),IF(K698&gt;=2,IF(J698&gt;=20,"H",IF(J698&lt;=5,"L","A")),IF(J698&lt;=19,"L","A"))),IF(OR(H698="ALI",H698="AIE"),IF(K698&gt;=6,IF(J698&gt;=20,"H","A"),IF(K698&gt;=2,IF(J698&gt;=51,"H",IF(J698&lt;=19,"L","A")),IF(J698&lt;=50,"L","A")))))))</f>
        <v/>
      </c>
      <c r="N698" s="52">
        <f>IF(M698="L","Baixa",IF(M698="A","Média",IF(M698="","","Alta")))</f>
        <v/>
      </c>
      <c r="O698" s="53">
        <f>IF(ISBLANK(H698),"",IF(H698="ALI",IF(M698="L",7,IF(M698="A",10,15)),IF(H698="AIE",IF(M698="L",5,IF(M698="A",7,10)),IF(H698="SE",IF(M698="L",4,IF(M698="A",5,7)),IF(OR(H698="EE",H698="CE"),IF(M698="L",3,IF(M698="A",4,6)))))))</f>
        <v/>
      </c>
      <c r="P698" s="54">
        <f>IF(I698="I",O698*Contagem!$W$15,IF(I698="E",O698*Contagem!$W$17,IF(I698="A",O698*Contagem!$W$16,IF(I698="T",O698*Contagem!$W$18,""))))</f>
        <v/>
      </c>
      <c r="Q698" s="55" t="n"/>
    </row>
    <row r="699" ht="12" customHeight="1" s="73">
      <c r="A699" s="14">
        <f>IF(H699="",IF(C699="",A698,A698+1),A698)</f>
        <v/>
      </c>
      <c r="B699" s="48">
        <f>IF(A699=A698,"",CONCATENATE("F",A699))</f>
        <v/>
      </c>
      <c r="C699" s="85" t="n"/>
      <c r="D699" s="142" t="n"/>
      <c r="E699" s="142" t="n"/>
      <c r="F699" s="142" t="n"/>
      <c r="G699" s="143" t="n"/>
      <c r="H699" s="56" t="n"/>
      <c r="I699" s="57" t="n"/>
      <c r="J699" s="56" t="n"/>
      <c r="K699" s="56" t="n"/>
      <c r="L699" s="50">
        <f>CONCATENATE(H699,M699)</f>
        <v/>
      </c>
      <c r="M699" s="51">
        <f>IF(OR(ISBLANK(J699),ISBLANK(K699)),IF(OR(H699="ALI",H699="AIE"),"L",IF(ISBLANK(H699),"","A")),IF(H699="EE",IF(K699&gt;=3,IF(J699&gt;=5,"H","A"),IF(K699&gt;=2,IF(J699&gt;=16,"H",IF(J699&lt;=4,"L","A")),IF(J699&lt;=15,"L","A"))),IF(OR(H699="SE",H699="CE"),IF(K699&gt;=4,IF(J699&gt;=6,"H","A"),IF(K699&gt;=2,IF(J699&gt;=20,"H",IF(J699&lt;=5,"L","A")),IF(J699&lt;=19,"L","A"))),IF(OR(H699="ALI",H699="AIE"),IF(K699&gt;=6,IF(J699&gt;=20,"H","A"),IF(K699&gt;=2,IF(J699&gt;=51,"H",IF(J699&lt;=19,"L","A")),IF(J699&lt;=50,"L","A")))))))</f>
        <v/>
      </c>
      <c r="N699" s="52">
        <f>IF(M699="L","Baixa",IF(M699="A","Média",IF(M699="","","Alta")))</f>
        <v/>
      </c>
      <c r="O699" s="53">
        <f>IF(ISBLANK(H699),"",IF(H699="ALI",IF(M699="L",7,IF(M699="A",10,15)),IF(H699="AIE",IF(M699="L",5,IF(M699="A",7,10)),IF(H699="SE",IF(M699="L",4,IF(M699="A",5,7)),IF(OR(H699="EE",H699="CE"),IF(M699="L",3,IF(M699="A",4,6)))))))</f>
        <v/>
      </c>
      <c r="P699" s="54">
        <f>IF(I699="I",O699*Contagem!$W$15,IF(I699="E",O699*Contagem!$W$17,IF(I699="A",O699*Contagem!$W$16,IF(I699="T",O699*Contagem!$W$18,""))))</f>
        <v/>
      </c>
      <c r="Q699" s="55" t="n"/>
    </row>
    <row r="700" ht="12" customHeight="1" s="73">
      <c r="A700" s="14">
        <f>IF(H700="",IF(C700="",A699,A699+1),A699)</f>
        <v/>
      </c>
      <c r="B700" s="48">
        <f>IF(A700=A699,"",CONCATENATE("F",A700))</f>
        <v/>
      </c>
      <c r="C700" s="85" t="n"/>
      <c r="D700" s="142" t="n"/>
      <c r="E700" s="142" t="n"/>
      <c r="F700" s="142" t="n"/>
      <c r="G700" s="143" t="n"/>
      <c r="H700" s="56" t="n"/>
      <c r="I700" s="57" t="n"/>
      <c r="J700" s="56" t="n"/>
      <c r="K700" s="56" t="n"/>
      <c r="L700" s="50">
        <f>CONCATENATE(H700,M700)</f>
        <v/>
      </c>
      <c r="M700" s="51">
        <f>IF(OR(ISBLANK(J700),ISBLANK(K700)),IF(OR(H700="ALI",H700="AIE"),"L",IF(ISBLANK(H700),"","A")),IF(H700="EE",IF(K700&gt;=3,IF(J700&gt;=5,"H","A"),IF(K700&gt;=2,IF(J700&gt;=16,"H",IF(J700&lt;=4,"L","A")),IF(J700&lt;=15,"L","A"))),IF(OR(H700="SE",H700="CE"),IF(K700&gt;=4,IF(J700&gt;=6,"H","A"),IF(K700&gt;=2,IF(J700&gt;=20,"H",IF(J700&lt;=5,"L","A")),IF(J700&lt;=19,"L","A"))),IF(OR(H700="ALI",H700="AIE"),IF(K700&gt;=6,IF(J700&gt;=20,"H","A"),IF(K700&gt;=2,IF(J700&gt;=51,"H",IF(J700&lt;=19,"L","A")),IF(J700&lt;=50,"L","A")))))))</f>
        <v/>
      </c>
      <c r="N700" s="52">
        <f>IF(M700="L","Baixa",IF(M700="A","Média",IF(M700="","","Alta")))</f>
        <v/>
      </c>
      <c r="O700" s="53">
        <f>IF(ISBLANK(H700),"",IF(H700="ALI",IF(M700="L",7,IF(M700="A",10,15)),IF(H700="AIE",IF(M700="L",5,IF(M700="A",7,10)),IF(H700="SE",IF(M700="L",4,IF(M700="A",5,7)),IF(OR(H700="EE",H700="CE"),IF(M700="L",3,IF(M700="A",4,6)))))))</f>
        <v/>
      </c>
      <c r="P700" s="54">
        <f>IF(I700="I",O700*Contagem!$W$15,IF(I700="E",O700*Contagem!$W$17,IF(I700="A",O700*Contagem!$W$16,IF(I700="T",O700*Contagem!$W$18,""))))</f>
        <v/>
      </c>
      <c r="Q700" s="55" t="n"/>
    </row>
    <row r="701" ht="12" customHeight="1" s="73">
      <c r="A701" s="14">
        <f>IF(H701="",IF(C701="",A700,A700+1),A700)</f>
        <v/>
      </c>
      <c r="B701" s="48">
        <f>IF(A701=A700,"",CONCATENATE("F",A701))</f>
        <v/>
      </c>
      <c r="C701" s="85" t="n"/>
      <c r="D701" s="142" t="n"/>
      <c r="E701" s="142" t="n"/>
      <c r="F701" s="142" t="n"/>
      <c r="G701" s="143" t="n"/>
      <c r="H701" s="56" t="n"/>
      <c r="I701" s="57" t="n"/>
      <c r="J701" s="56" t="n"/>
      <c r="K701" s="56" t="n"/>
      <c r="L701" s="50">
        <f>CONCATENATE(H701,M701)</f>
        <v/>
      </c>
      <c r="M701" s="51">
        <f>IF(OR(ISBLANK(J701),ISBLANK(K701)),IF(OR(H701="ALI",H701="AIE"),"L",IF(ISBLANK(H701),"","A")),IF(H701="EE",IF(K701&gt;=3,IF(J701&gt;=5,"H","A"),IF(K701&gt;=2,IF(J701&gt;=16,"H",IF(J701&lt;=4,"L","A")),IF(J701&lt;=15,"L","A"))),IF(OR(H701="SE",H701="CE"),IF(K701&gt;=4,IF(J701&gt;=6,"H","A"),IF(K701&gt;=2,IF(J701&gt;=20,"H",IF(J701&lt;=5,"L","A")),IF(J701&lt;=19,"L","A"))),IF(OR(H701="ALI",H701="AIE"),IF(K701&gt;=6,IF(J701&gt;=20,"H","A"),IF(K701&gt;=2,IF(J701&gt;=51,"H",IF(J701&lt;=19,"L","A")),IF(J701&lt;=50,"L","A")))))))</f>
        <v/>
      </c>
      <c r="N701" s="52">
        <f>IF(M701="L","Baixa",IF(M701="A","Média",IF(M701="","","Alta")))</f>
        <v/>
      </c>
      <c r="O701" s="53">
        <f>IF(ISBLANK(H701),"",IF(H701="ALI",IF(M701="L",7,IF(M701="A",10,15)),IF(H701="AIE",IF(M701="L",5,IF(M701="A",7,10)),IF(H701="SE",IF(M701="L",4,IF(M701="A",5,7)),IF(OR(H701="EE",H701="CE"),IF(M701="L",3,IF(M701="A",4,6)))))))</f>
        <v/>
      </c>
      <c r="P701" s="54">
        <f>IF(I701="I",O701*Contagem!$W$15,IF(I701="E",O701*Contagem!$W$17,IF(I701="A",O701*Contagem!$W$16,IF(I701="T",O701*Contagem!$W$18,""))))</f>
        <v/>
      </c>
      <c r="Q701" s="55" t="n"/>
    </row>
    <row r="702" ht="12" customHeight="1" s="73">
      <c r="A702" s="14">
        <f>IF(H702="",IF(C702="",A701,A701+1),A701)</f>
        <v/>
      </c>
      <c r="B702" s="48">
        <f>IF(A702=A701,"",CONCATENATE("F",A702))</f>
        <v/>
      </c>
      <c r="C702" s="85" t="n"/>
      <c r="D702" s="142" t="n"/>
      <c r="E702" s="142" t="n"/>
      <c r="F702" s="142" t="n"/>
      <c r="G702" s="143" t="n"/>
      <c r="H702" s="56" t="n"/>
      <c r="I702" s="57" t="n"/>
      <c r="J702" s="56" t="n"/>
      <c r="K702" s="56" t="n"/>
      <c r="L702" s="50">
        <f>CONCATENATE(H702,M702)</f>
        <v/>
      </c>
      <c r="M702" s="51">
        <f>IF(OR(ISBLANK(J702),ISBLANK(K702)),IF(OR(H702="ALI",H702="AIE"),"L",IF(ISBLANK(H702),"","A")),IF(H702="EE",IF(K702&gt;=3,IF(J702&gt;=5,"H","A"),IF(K702&gt;=2,IF(J702&gt;=16,"H",IF(J702&lt;=4,"L","A")),IF(J702&lt;=15,"L","A"))),IF(OR(H702="SE",H702="CE"),IF(K702&gt;=4,IF(J702&gt;=6,"H","A"),IF(K702&gt;=2,IF(J702&gt;=20,"H",IF(J702&lt;=5,"L","A")),IF(J702&lt;=19,"L","A"))),IF(OR(H702="ALI",H702="AIE"),IF(K702&gt;=6,IF(J702&gt;=20,"H","A"),IF(K702&gt;=2,IF(J702&gt;=51,"H",IF(J702&lt;=19,"L","A")),IF(J702&lt;=50,"L","A")))))))</f>
        <v/>
      </c>
      <c r="N702" s="52">
        <f>IF(M702="L","Baixa",IF(M702="A","Média",IF(M702="","","Alta")))</f>
        <v/>
      </c>
      <c r="O702" s="53">
        <f>IF(ISBLANK(H702),"",IF(H702="ALI",IF(M702="L",7,IF(M702="A",10,15)),IF(H702="AIE",IF(M702="L",5,IF(M702="A",7,10)),IF(H702="SE",IF(M702="L",4,IF(M702="A",5,7)),IF(OR(H702="EE",H702="CE"),IF(M702="L",3,IF(M702="A",4,6)))))))</f>
        <v/>
      </c>
      <c r="P702" s="54">
        <f>IF(I702="I",O702*Contagem!$W$15,IF(I702="E",O702*Contagem!$W$17,IF(I702="A",O702*Contagem!$W$16,IF(I702="T",O702*Contagem!$W$18,""))))</f>
        <v/>
      </c>
      <c r="Q702" s="55" t="n"/>
    </row>
    <row r="703" ht="12" customHeight="1" s="73">
      <c r="A703" s="14">
        <f>IF(H703="",IF(C703="",A702,A702+1),A702)</f>
        <v/>
      </c>
      <c r="B703" s="48">
        <f>IF(A703=A702,"",CONCATENATE("F",A703))</f>
        <v/>
      </c>
      <c r="C703" s="85" t="n"/>
      <c r="D703" s="142" t="n"/>
      <c r="E703" s="142" t="n"/>
      <c r="F703" s="142" t="n"/>
      <c r="G703" s="143" t="n"/>
      <c r="H703" s="56" t="n"/>
      <c r="I703" s="57" t="n"/>
      <c r="J703" s="56" t="n"/>
      <c r="K703" s="56" t="n"/>
      <c r="L703" s="50">
        <f>CONCATENATE(H703,M703)</f>
        <v/>
      </c>
      <c r="M703" s="51">
        <f>IF(OR(ISBLANK(J703),ISBLANK(K703)),IF(OR(H703="ALI",H703="AIE"),"L",IF(ISBLANK(H703),"","A")),IF(H703="EE",IF(K703&gt;=3,IF(J703&gt;=5,"H","A"),IF(K703&gt;=2,IF(J703&gt;=16,"H",IF(J703&lt;=4,"L","A")),IF(J703&lt;=15,"L","A"))),IF(OR(H703="SE",H703="CE"),IF(K703&gt;=4,IF(J703&gt;=6,"H","A"),IF(K703&gt;=2,IF(J703&gt;=20,"H",IF(J703&lt;=5,"L","A")),IF(J703&lt;=19,"L","A"))),IF(OR(H703="ALI",H703="AIE"),IF(K703&gt;=6,IF(J703&gt;=20,"H","A"),IF(K703&gt;=2,IF(J703&gt;=51,"H",IF(J703&lt;=19,"L","A")),IF(J703&lt;=50,"L","A")))))))</f>
        <v/>
      </c>
      <c r="N703" s="52">
        <f>IF(M703="L","Baixa",IF(M703="A","Média",IF(M703="","","Alta")))</f>
        <v/>
      </c>
      <c r="O703" s="53">
        <f>IF(ISBLANK(H703),"",IF(H703="ALI",IF(M703="L",7,IF(M703="A",10,15)),IF(H703="AIE",IF(M703="L",5,IF(M703="A",7,10)),IF(H703="SE",IF(M703="L",4,IF(M703="A",5,7)),IF(OR(H703="EE",H703="CE"),IF(M703="L",3,IF(M703="A",4,6)))))))</f>
        <v/>
      </c>
      <c r="P703" s="54">
        <f>IF(I703="I",O703*Contagem!$W$15,IF(I703="E",O703*Contagem!$W$17,IF(I703="A",O703*Contagem!$W$16,IF(I703="T",O703*Contagem!$W$18,""))))</f>
        <v/>
      </c>
      <c r="Q703" s="55" t="n"/>
    </row>
    <row r="704" ht="12" customHeight="1" s="73">
      <c r="A704" s="14">
        <f>IF(H704="",IF(C704="",A703,A703+1),A703)</f>
        <v/>
      </c>
      <c r="B704" s="48">
        <f>IF(A704=A703,"",CONCATENATE("F",A704))</f>
        <v/>
      </c>
      <c r="C704" s="85" t="n"/>
      <c r="D704" s="142" t="n"/>
      <c r="E704" s="142" t="n"/>
      <c r="F704" s="142" t="n"/>
      <c r="G704" s="143" t="n"/>
      <c r="H704" s="56" t="n"/>
      <c r="I704" s="57" t="n"/>
      <c r="J704" s="56" t="n"/>
      <c r="K704" s="56" t="n"/>
      <c r="L704" s="50">
        <f>CONCATENATE(H704,M704)</f>
        <v/>
      </c>
      <c r="M704" s="51">
        <f>IF(OR(ISBLANK(J704),ISBLANK(K704)),IF(OR(H704="ALI",H704="AIE"),"L",IF(ISBLANK(H704),"","A")),IF(H704="EE",IF(K704&gt;=3,IF(J704&gt;=5,"H","A"),IF(K704&gt;=2,IF(J704&gt;=16,"H",IF(J704&lt;=4,"L","A")),IF(J704&lt;=15,"L","A"))),IF(OR(H704="SE",H704="CE"),IF(K704&gt;=4,IF(J704&gt;=6,"H","A"),IF(K704&gt;=2,IF(J704&gt;=20,"H",IF(J704&lt;=5,"L","A")),IF(J704&lt;=19,"L","A"))),IF(OR(H704="ALI",H704="AIE"),IF(K704&gt;=6,IF(J704&gt;=20,"H","A"),IF(K704&gt;=2,IF(J704&gt;=51,"H",IF(J704&lt;=19,"L","A")),IF(J704&lt;=50,"L","A")))))))</f>
        <v/>
      </c>
      <c r="N704" s="52">
        <f>IF(M704="L","Baixa",IF(M704="A","Média",IF(M704="","","Alta")))</f>
        <v/>
      </c>
      <c r="O704" s="53">
        <f>IF(ISBLANK(H704),"",IF(H704="ALI",IF(M704="L",7,IF(M704="A",10,15)),IF(H704="AIE",IF(M704="L",5,IF(M704="A",7,10)),IF(H704="SE",IF(M704="L",4,IF(M704="A",5,7)),IF(OR(H704="EE",H704="CE"),IF(M704="L",3,IF(M704="A",4,6)))))))</f>
        <v/>
      </c>
      <c r="P704" s="54">
        <f>IF(I704="I",O704*Contagem!$W$15,IF(I704="E",O704*Contagem!$W$17,IF(I704="A",O704*Contagem!$W$16,IF(I704="T",O704*Contagem!$W$18,""))))</f>
        <v/>
      </c>
      <c r="Q704" s="55" t="n"/>
    </row>
    <row r="705" ht="12" customHeight="1" s="73">
      <c r="A705" s="14">
        <f>IF(H705="",IF(C705="",A704,A704+1),A704)</f>
        <v/>
      </c>
      <c r="B705" s="48">
        <f>IF(A705=A704,"",CONCATENATE("F",A705))</f>
        <v/>
      </c>
      <c r="C705" s="85" t="n"/>
      <c r="D705" s="142" t="n"/>
      <c r="E705" s="142" t="n"/>
      <c r="F705" s="142" t="n"/>
      <c r="G705" s="143" t="n"/>
      <c r="H705" s="56" t="n"/>
      <c r="I705" s="57" t="n"/>
      <c r="J705" s="56" t="n"/>
      <c r="K705" s="56" t="n"/>
      <c r="L705" s="50">
        <f>CONCATENATE(H705,M705)</f>
        <v/>
      </c>
      <c r="M705" s="51">
        <f>IF(OR(ISBLANK(J705),ISBLANK(K705)),IF(OR(H705="ALI",H705="AIE"),"L",IF(ISBLANK(H705),"","A")),IF(H705="EE",IF(K705&gt;=3,IF(J705&gt;=5,"H","A"),IF(K705&gt;=2,IF(J705&gt;=16,"H",IF(J705&lt;=4,"L","A")),IF(J705&lt;=15,"L","A"))),IF(OR(H705="SE",H705="CE"),IF(K705&gt;=4,IF(J705&gt;=6,"H","A"),IF(K705&gt;=2,IF(J705&gt;=20,"H",IF(J705&lt;=5,"L","A")),IF(J705&lt;=19,"L","A"))),IF(OR(H705="ALI",H705="AIE"),IF(K705&gt;=6,IF(J705&gt;=20,"H","A"),IF(K705&gt;=2,IF(J705&gt;=51,"H",IF(J705&lt;=19,"L","A")),IF(J705&lt;=50,"L","A")))))))</f>
        <v/>
      </c>
      <c r="N705" s="52">
        <f>IF(M705="L","Baixa",IF(M705="A","Média",IF(M705="","","Alta")))</f>
        <v/>
      </c>
      <c r="O705" s="53">
        <f>IF(ISBLANK(H705),"",IF(H705="ALI",IF(M705="L",7,IF(M705="A",10,15)),IF(H705="AIE",IF(M705="L",5,IF(M705="A",7,10)),IF(H705="SE",IF(M705="L",4,IF(M705="A",5,7)),IF(OR(H705="EE",H705="CE"),IF(M705="L",3,IF(M705="A",4,6)))))))</f>
        <v/>
      </c>
      <c r="P705" s="54">
        <f>IF(I705="I",O705*Contagem!$W$15,IF(I705="E",O705*Contagem!$W$17,IF(I705="A",O705*Contagem!$W$16,IF(I705="T",O705*Contagem!$W$18,""))))</f>
        <v/>
      </c>
      <c r="Q705" s="55" t="n"/>
    </row>
    <row r="706" ht="12" customHeight="1" s="73">
      <c r="A706" s="14">
        <f>IF(H706="",IF(C706="",A705,A705+1),A705)</f>
        <v/>
      </c>
      <c r="B706" s="48">
        <f>IF(A706=A705,"",CONCATENATE("F",A706))</f>
        <v/>
      </c>
      <c r="C706" s="85" t="n"/>
      <c r="D706" s="142" t="n"/>
      <c r="E706" s="142" t="n"/>
      <c r="F706" s="142" t="n"/>
      <c r="G706" s="143" t="n"/>
      <c r="H706" s="56" t="n"/>
      <c r="I706" s="57" t="n"/>
      <c r="J706" s="56" t="n"/>
      <c r="K706" s="56" t="n"/>
      <c r="L706" s="50">
        <f>CONCATENATE(H706,M706)</f>
        <v/>
      </c>
      <c r="M706" s="51">
        <f>IF(OR(ISBLANK(J706),ISBLANK(K706)),IF(OR(H706="ALI",H706="AIE"),"L",IF(ISBLANK(H706),"","A")),IF(H706="EE",IF(K706&gt;=3,IF(J706&gt;=5,"H","A"),IF(K706&gt;=2,IF(J706&gt;=16,"H",IF(J706&lt;=4,"L","A")),IF(J706&lt;=15,"L","A"))),IF(OR(H706="SE",H706="CE"),IF(K706&gt;=4,IF(J706&gt;=6,"H","A"),IF(K706&gt;=2,IF(J706&gt;=20,"H",IF(J706&lt;=5,"L","A")),IF(J706&lt;=19,"L","A"))),IF(OR(H706="ALI",H706="AIE"),IF(K706&gt;=6,IF(J706&gt;=20,"H","A"),IF(K706&gt;=2,IF(J706&gt;=51,"H",IF(J706&lt;=19,"L","A")),IF(J706&lt;=50,"L","A")))))))</f>
        <v/>
      </c>
      <c r="N706" s="52">
        <f>IF(M706="L","Baixa",IF(M706="A","Média",IF(M706="","","Alta")))</f>
        <v/>
      </c>
      <c r="O706" s="53">
        <f>IF(ISBLANK(H706),"",IF(H706="ALI",IF(M706="L",7,IF(M706="A",10,15)),IF(H706="AIE",IF(M706="L",5,IF(M706="A",7,10)),IF(H706="SE",IF(M706="L",4,IF(M706="A",5,7)),IF(OR(H706="EE",H706="CE"),IF(M706="L",3,IF(M706="A",4,6)))))))</f>
        <v/>
      </c>
      <c r="P706" s="54">
        <f>IF(I706="I",O706*Contagem!$W$15,IF(I706="E",O706*Contagem!$W$17,IF(I706="A",O706*Contagem!$W$16,IF(I706="T",O706*Contagem!$W$18,""))))</f>
        <v/>
      </c>
      <c r="Q706" s="55" t="n"/>
    </row>
    <row r="707" ht="12" customHeight="1" s="73">
      <c r="A707" s="14">
        <f>IF(H707="",IF(C707="",A706,A706+1),A706)</f>
        <v/>
      </c>
      <c r="B707" s="48">
        <f>IF(A707=A706,"",CONCATENATE("F",A707))</f>
        <v/>
      </c>
      <c r="C707" s="85" t="n"/>
      <c r="D707" s="142" t="n"/>
      <c r="E707" s="142" t="n"/>
      <c r="F707" s="142" t="n"/>
      <c r="G707" s="143" t="n"/>
      <c r="H707" s="56" t="n"/>
      <c r="I707" s="57" t="n"/>
      <c r="J707" s="56" t="n"/>
      <c r="K707" s="56" t="n"/>
      <c r="L707" s="50">
        <f>CONCATENATE(H707,M707)</f>
        <v/>
      </c>
      <c r="M707" s="51">
        <f>IF(OR(ISBLANK(J707),ISBLANK(K707)),IF(OR(H707="ALI",H707="AIE"),"L",IF(ISBLANK(H707),"","A")),IF(H707="EE",IF(K707&gt;=3,IF(J707&gt;=5,"H","A"),IF(K707&gt;=2,IF(J707&gt;=16,"H",IF(J707&lt;=4,"L","A")),IF(J707&lt;=15,"L","A"))),IF(OR(H707="SE",H707="CE"),IF(K707&gt;=4,IF(J707&gt;=6,"H","A"),IF(K707&gt;=2,IF(J707&gt;=20,"H",IF(J707&lt;=5,"L","A")),IF(J707&lt;=19,"L","A"))),IF(OR(H707="ALI",H707="AIE"),IF(K707&gt;=6,IF(J707&gt;=20,"H","A"),IF(K707&gt;=2,IF(J707&gt;=51,"H",IF(J707&lt;=19,"L","A")),IF(J707&lt;=50,"L","A")))))))</f>
        <v/>
      </c>
      <c r="N707" s="52">
        <f>IF(M707="L","Baixa",IF(M707="A","Média",IF(M707="","","Alta")))</f>
        <v/>
      </c>
      <c r="O707" s="53">
        <f>IF(ISBLANK(H707),"",IF(H707="ALI",IF(M707="L",7,IF(M707="A",10,15)),IF(H707="AIE",IF(M707="L",5,IF(M707="A",7,10)),IF(H707="SE",IF(M707="L",4,IF(M707="A",5,7)),IF(OR(H707="EE",H707="CE"),IF(M707="L",3,IF(M707="A",4,6)))))))</f>
        <v/>
      </c>
      <c r="P707" s="54">
        <f>IF(I707="I",O707*Contagem!$W$15,IF(I707="E",O707*Contagem!$W$17,IF(I707="A",O707*Contagem!$W$16,IF(I707="T",O707*Contagem!$W$18,""))))</f>
        <v/>
      </c>
      <c r="Q707" s="55" t="n"/>
    </row>
    <row r="708" ht="12" customHeight="1" s="73">
      <c r="A708" s="14">
        <f>IF(H708="",IF(C708="",A707,A707+1),A707)</f>
        <v/>
      </c>
      <c r="B708" s="48">
        <f>IF(A708=A707,"",CONCATENATE("F",A708))</f>
        <v/>
      </c>
      <c r="C708" s="85" t="n"/>
      <c r="D708" s="142" t="n"/>
      <c r="E708" s="142" t="n"/>
      <c r="F708" s="142" t="n"/>
      <c r="G708" s="143" t="n"/>
      <c r="H708" s="56" t="n"/>
      <c r="I708" s="57" t="n"/>
      <c r="J708" s="56" t="n"/>
      <c r="K708" s="56" t="n"/>
      <c r="L708" s="50">
        <f>CONCATENATE(H708,M708)</f>
        <v/>
      </c>
      <c r="M708" s="51">
        <f>IF(OR(ISBLANK(J708),ISBLANK(K708)),IF(OR(H708="ALI",H708="AIE"),"L",IF(ISBLANK(H708),"","A")),IF(H708="EE",IF(K708&gt;=3,IF(J708&gt;=5,"H","A"),IF(K708&gt;=2,IF(J708&gt;=16,"H",IF(J708&lt;=4,"L","A")),IF(J708&lt;=15,"L","A"))),IF(OR(H708="SE",H708="CE"),IF(K708&gt;=4,IF(J708&gt;=6,"H","A"),IF(K708&gt;=2,IF(J708&gt;=20,"H",IF(J708&lt;=5,"L","A")),IF(J708&lt;=19,"L","A"))),IF(OR(H708="ALI",H708="AIE"),IF(K708&gt;=6,IF(J708&gt;=20,"H","A"),IF(K708&gt;=2,IF(J708&gt;=51,"H",IF(J708&lt;=19,"L","A")),IF(J708&lt;=50,"L","A")))))))</f>
        <v/>
      </c>
      <c r="N708" s="52">
        <f>IF(M708="L","Baixa",IF(M708="A","Média",IF(M708="","","Alta")))</f>
        <v/>
      </c>
      <c r="O708" s="53">
        <f>IF(ISBLANK(H708),"",IF(H708="ALI",IF(M708="L",7,IF(M708="A",10,15)),IF(H708="AIE",IF(M708="L",5,IF(M708="A",7,10)),IF(H708="SE",IF(M708="L",4,IF(M708="A",5,7)),IF(OR(H708="EE",H708="CE"),IF(M708="L",3,IF(M708="A",4,6)))))))</f>
        <v/>
      </c>
      <c r="P708" s="54">
        <f>IF(I708="I",O708*Contagem!$W$15,IF(I708="E",O708*Contagem!$W$17,IF(I708="A",O708*Contagem!$W$16,IF(I708="T",O708*Contagem!$W$18,""))))</f>
        <v/>
      </c>
      <c r="Q708" s="55" t="n"/>
    </row>
    <row r="709" ht="12" customHeight="1" s="73">
      <c r="A709" s="14">
        <f>IF(H709="",IF(C709="",A708,A708+1),A708)</f>
        <v/>
      </c>
      <c r="B709" s="48">
        <f>IF(A709=A708,"",CONCATENATE("F",A709))</f>
        <v/>
      </c>
      <c r="C709" s="85" t="n"/>
      <c r="D709" s="142" t="n"/>
      <c r="E709" s="142" t="n"/>
      <c r="F709" s="142" t="n"/>
      <c r="G709" s="143" t="n"/>
      <c r="H709" s="56" t="n"/>
      <c r="I709" s="57" t="n"/>
      <c r="J709" s="56" t="n"/>
      <c r="K709" s="56" t="n"/>
      <c r="L709" s="50">
        <f>CONCATENATE(H709,M709)</f>
        <v/>
      </c>
      <c r="M709" s="51">
        <f>IF(OR(ISBLANK(J709),ISBLANK(K709)),IF(OR(H709="ALI",H709="AIE"),"L",IF(ISBLANK(H709),"","A")),IF(H709="EE",IF(K709&gt;=3,IF(J709&gt;=5,"H","A"),IF(K709&gt;=2,IF(J709&gt;=16,"H",IF(J709&lt;=4,"L","A")),IF(J709&lt;=15,"L","A"))),IF(OR(H709="SE",H709="CE"),IF(K709&gt;=4,IF(J709&gt;=6,"H","A"),IF(K709&gt;=2,IF(J709&gt;=20,"H",IF(J709&lt;=5,"L","A")),IF(J709&lt;=19,"L","A"))),IF(OR(H709="ALI",H709="AIE"),IF(K709&gt;=6,IF(J709&gt;=20,"H","A"),IF(K709&gt;=2,IF(J709&gt;=51,"H",IF(J709&lt;=19,"L","A")),IF(J709&lt;=50,"L","A")))))))</f>
        <v/>
      </c>
      <c r="N709" s="52">
        <f>IF(M709="L","Baixa",IF(M709="A","Média",IF(M709="","","Alta")))</f>
        <v/>
      </c>
      <c r="O709" s="53">
        <f>IF(ISBLANK(H709),"",IF(H709="ALI",IF(M709="L",7,IF(M709="A",10,15)),IF(H709="AIE",IF(M709="L",5,IF(M709="A",7,10)),IF(H709="SE",IF(M709="L",4,IF(M709="A",5,7)),IF(OR(H709="EE",H709="CE"),IF(M709="L",3,IF(M709="A",4,6)))))))</f>
        <v/>
      </c>
      <c r="P709" s="54">
        <f>IF(I709="I",O709*Contagem!$W$15,IF(I709="E",O709*Contagem!$W$17,IF(I709="A",O709*Contagem!$W$16,IF(I709="T",O709*Contagem!$W$18,""))))</f>
        <v/>
      </c>
      <c r="Q709" s="55" t="n"/>
    </row>
    <row r="710" ht="12" customHeight="1" s="73">
      <c r="A710" s="14">
        <f>IF(H710="",IF(C710="",A709,A709+1),A709)</f>
        <v/>
      </c>
      <c r="B710" s="48">
        <f>IF(A710=A709,"",CONCATENATE("F",A710))</f>
        <v/>
      </c>
      <c r="C710" s="85" t="n"/>
      <c r="D710" s="142" t="n"/>
      <c r="E710" s="142" t="n"/>
      <c r="F710" s="142" t="n"/>
      <c r="G710" s="143" t="n"/>
      <c r="H710" s="56" t="n"/>
      <c r="I710" s="57" t="n"/>
      <c r="J710" s="56" t="n"/>
      <c r="K710" s="56" t="n"/>
      <c r="L710" s="50">
        <f>CONCATENATE(H710,M710)</f>
        <v/>
      </c>
      <c r="M710" s="51">
        <f>IF(OR(ISBLANK(J710),ISBLANK(K710)),IF(OR(H710="ALI",H710="AIE"),"L",IF(ISBLANK(H710),"","A")),IF(H710="EE",IF(K710&gt;=3,IF(J710&gt;=5,"H","A"),IF(K710&gt;=2,IF(J710&gt;=16,"H",IF(J710&lt;=4,"L","A")),IF(J710&lt;=15,"L","A"))),IF(OR(H710="SE",H710="CE"),IF(K710&gt;=4,IF(J710&gt;=6,"H","A"),IF(K710&gt;=2,IF(J710&gt;=20,"H",IF(J710&lt;=5,"L","A")),IF(J710&lt;=19,"L","A"))),IF(OR(H710="ALI",H710="AIE"),IF(K710&gt;=6,IF(J710&gt;=20,"H","A"),IF(K710&gt;=2,IF(J710&gt;=51,"H",IF(J710&lt;=19,"L","A")),IF(J710&lt;=50,"L","A")))))))</f>
        <v/>
      </c>
      <c r="N710" s="52">
        <f>IF(M710="L","Baixa",IF(M710="A","Média",IF(M710="","","Alta")))</f>
        <v/>
      </c>
      <c r="O710" s="53">
        <f>IF(ISBLANK(H710),"",IF(H710="ALI",IF(M710="L",7,IF(M710="A",10,15)),IF(H710="AIE",IF(M710="L",5,IF(M710="A",7,10)),IF(H710="SE",IF(M710="L",4,IF(M710="A",5,7)),IF(OR(H710="EE",H710="CE"),IF(M710="L",3,IF(M710="A",4,6)))))))</f>
        <v/>
      </c>
      <c r="P710" s="54">
        <f>IF(I710="I",O710*Contagem!$W$15,IF(I710="E",O710*Contagem!$W$17,IF(I710="A",O710*Contagem!$W$16,IF(I710="T",O710*Contagem!$W$18,""))))</f>
        <v/>
      </c>
      <c r="Q710" s="55" t="n"/>
    </row>
    <row r="711" ht="12" customHeight="1" s="73">
      <c r="A711" s="14">
        <f>IF(H711="",IF(C711="",A710,A710+1),A710)</f>
        <v/>
      </c>
      <c r="B711" s="48">
        <f>IF(A711=A710,"",CONCATENATE("F",A711))</f>
        <v/>
      </c>
      <c r="C711" s="85" t="n"/>
      <c r="D711" s="142" t="n"/>
      <c r="E711" s="142" t="n"/>
      <c r="F711" s="142" t="n"/>
      <c r="G711" s="143" t="n"/>
      <c r="H711" s="56" t="n"/>
      <c r="I711" s="57" t="n"/>
      <c r="J711" s="56" t="n"/>
      <c r="K711" s="56" t="n"/>
      <c r="L711" s="50">
        <f>CONCATENATE(H711,M711)</f>
        <v/>
      </c>
      <c r="M711" s="51">
        <f>IF(OR(ISBLANK(J711),ISBLANK(K711)),IF(OR(H711="ALI",H711="AIE"),"L",IF(ISBLANK(H711),"","A")),IF(H711="EE",IF(K711&gt;=3,IF(J711&gt;=5,"H","A"),IF(K711&gt;=2,IF(J711&gt;=16,"H",IF(J711&lt;=4,"L","A")),IF(J711&lt;=15,"L","A"))),IF(OR(H711="SE",H711="CE"),IF(K711&gt;=4,IF(J711&gt;=6,"H","A"),IF(K711&gt;=2,IF(J711&gt;=20,"H",IF(J711&lt;=5,"L","A")),IF(J711&lt;=19,"L","A"))),IF(OR(H711="ALI",H711="AIE"),IF(K711&gt;=6,IF(J711&gt;=20,"H","A"),IF(K711&gt;=2,IF(J711&gt;=51,"H",IF(J711&lt;=19,"L","A")),IF(J711&lt;=50,"L","A")))))))</f>
        <v/>
      </c>
      <c r="N711" s="52">
        <f>IF(M711="L","Baixa",IF(M711="A","Média",IF(M711="","","Alta")))</f>
        <v/>
      </c>
      <c r="O711" s="53">
        <f>IF(ISBLANK(H711),"",IF(H711="ALI",IF(M711="L",7,IF(M711="A",10,15)),IF(H711="AIE",IF(M711="L",5,IF(M711="A",7,10)),IF(H711="SE",IF(M711="L",4,IF(M711="A",5,7)),IF(OR(H711="EE",H711="CE"),IF(M711="L",3,IF(M711="A",4,6)))))))</f>
        <v/>
      </c>
      <c r="P711" s="54">
        <f>IF(I711="I",O711*Contagem!$W$15,IF(I711="E",O711*Contagem!$W$17,IF(I711="A",O711*Contagem!$W$16,IF(I711="T",O711*Contagem!$W$18,""))))</f>
        <v/>
      </c>
      <c r="Q711" s="55" t="n"/>
    </row>
    <row r="712" ht="12" customHeight="1" s="73">
      <c r="A712" s="14">
        <f>IF(H712="",IF(C712="",A711,A711+1),A711)</f>
        <v/>
      </c>
      <c r="B712" s="48">
        <f>IF(A712=A711,"",CONCATENATE("F",A712))</f>
        <v/>
      </c>
      <c r="C712" s="85" t="n"/>
      <c r="D712" s="142" t="n"/>
      <c r="E712" s="142" t="n"/>
      <c r="F712" s="142" t="n"/>
      <c r="G712" s="143" t="n"/>
      <c r="H712" s="56" t="n"/>
      <c r="I712" s="57" t="n"/>
      <c r="J712" s="56" t="n"/>
      <c r="K712" s="56" t="n"/>
      <c r="L712" s="50">
        <f>CONCATENATE(H712,M712)</f>
        <v/>
      </c>
      <c r="M712" s="51">
        <f>IF(OR(ISBLANK(J712),ISBLANK(K712)),IF(OR(H712="ALI",H712="AIE"),"L",IF(ISBLANK(H712),"","A")),IF(H712="EE",IF(K712&gt;=3,IF(J712&gt;=5,"H","A"),IF(K712&gt;=2,IF(J712&gt;=16,"H",IF(J712&lt;=4,"L","A")),IF(J712&lt;=15,"L","A"))),IF(OR(H712="SE",H712="CE"),IF(K712&gt;=4,IF(J712&gt;=6,"H","A"),IF(K712&gt;=2,IF(J712&gt;=20,"H",IF(J712&lt;=5,"L","A")),IF(J712&lt;=19,"L","A"))),IF(OR(H712="ALI",H712="AIE"),IF(K712&gt;=6,IF(J712&gt;=20,"H","A"),IF(K712&gt;=2,IF(J712&gt;=51,"H",IF(J712&lt;=19,"L","A")),IF(J712&lt;=50,"L","A")))))))</f>
        <v/>
      </c>
      <c r="N712" s="52">
        <f>IF(M712="L","Baixa",IF(M712="A","Média",IF(M712="","","Alta")))</f>
        <v/>
      </c>
      <c r="O712" s="53">
        <f>IF(ISBLANK(H712),"",IF(H712="ALI",IF(M712="L",7,IF(M712="A",10,15)),IF(H712="AIE",IF(M712="L",5,IF(M712="A",7,10)),IF(H712="SE",IF(M712="L",4,IF(M712="A",5,7)),IF(OR(H712="EE",H712="CE"),IF(M712="L",3,IF(M712="A",4,6)))))))</f>
        <v/>
      </c>
      <c r="P712" s="54">
        <f>IF(I712="I",O712*Contagem!$W$15,IF(I712="E",O712*Contagem!$W$17,IF(I712="A",O712*Contagem!$W$16,IF(I712="T",O712*Contagem!$W$18,""))))</f>
        <v/>
      </c>
      <c r="Q712" s="55" t="n"/>
    </row>
    <row r="713" ht="12" customHeight="1" s="73">
      <c r="A713" s="14">
        <f>IF(H713="",IF(C713="",A712,A712+1),A712)</f>
        <v/>
      </c>
      <c r="B713" s="48">
        <f>IF(A713=A712,"",CONCATENATE("F",A713))</f>
        <v/>
      </c>
      <c r="C713" s="85" t="n"/>
      <c r="D713" s="142" t="n"/>
      <c r="E713" s="142" t="n"/>
      <c r="F713" s="142" t="n"/>
      <c r="G713" s="143" t="n"/>
      <c r="H713" s="56" t="n"/>
      <c r="I713" s="57" t="n"/>
      <c r="J713" s="56" t="n"/>
      <c r="K713" s="56" t="n"/>
      <c r="L713" s="50">
        <f>CONCATENATE(H713,M713)</f>
        <v/>
      </c>
      <c r="M713" s="51">
        <f>IF(OR(ISBLANK(J713),ISBLANK(K713)),IF(OR(H713="ALI",H713="AIE"),"L",IF(ISBLANK(H713),"","A")),IF(H713="EE",IF(K713&gt;=3,IF(J713&gt;=5,"H","A"),IF(K713&gt;=2,IF(J713&gt;=16,"H",IF(J713&lt;=4,"L","A")),IF(J713&lt;=15,"L","A"))),IF(OR(H713="SE",H713="CE"),IF(K713&gt;=4,IF(J713&gt;=6,"H","A"),IF(K713&gt;=2,IF(J713&gt;=20,"H",IF(J713&lt;=5,"L","A")),IF(J713&lt;=19,"L","A"))),IF(OR(H713="ALI",H713="AIE"),IF(K713&gt;=6,IF(J713&gt;=20,"H","A"),IF(K713&gt;=2,IF(J713&gt;=51,"H",IF(J713&lt;=19,"L","A")),IF(J713&lt;=50,"L","A")))))))</f>
        <v/>
      </c>
      <c r="N713" s="52">
        <f>IF(M713="L","Baixa",IF(M713="A","Média",IF(M713="","","Alta")))</f>
        <v/>
      </c>
      <c r="O713" s="53">
        <f>IF(ISBLANK(H713),"",IF(H713="ALI",IF(M713="L",7,IF(M713="A",10,15)),IF(H713="AIE",IF(M713="L",5,IF(M713="A",7,10)),IF(H713="SE",IF(M713="L",4,IF(M713="A",5,7)),IF(OR(H713="EE",H713="CE"),IF(M713="L",3,IF(M713="A",4,6)))))))</f>
        <v/>
      </c>
      <c r="P713" s="54">
        <f>IF(I713="I",O713*Contagem!$W$15,IF(I713="E",O713*Contagem!$W$17,IF(I713="A",O713*Contagem!$W$16,IF(I713="T",O713*Contagem!$W$18,""))))</f>
        <v/>
      </c>
      <c r="Q713" s="55" t="n"/>
    </row>
    <row r="714" ht="12" customHeight="1" s="73">
      <c r="A714" s="14">
        <f>IF(H714="",IF(C714="",A713,A713+1),A713)</f>
        <v/>
      </c>
      <c r="B714" s="48">
        <f>IF(A714=A713,"",CONCATENATE("F",A714))</f>
        <v/>
      </c>
      <c r="C714" s="85" t="n"/>
      <c r="D714" s="142" t="n"/>
      <c r="E714" s="142" t="n"/>
      <c r="F714" s="142" t="n"/>
      <c r="G714" s="143" t="n"/>
      <c r="H714" s="56" t="n"/>
      <c r="I714" s="57" t="n"/>
      <c r="J714" s="56" t="n"/>
      <c r="K714" s="56" t="n"/>
      <c r="L714" s="50">
        <f>CONCATENATE(H714,M714)</f>
        <v/>
      </c>
      <c r="M714" s="51">
        <f>IF(OR(ISBLANK(J714),ISBLANK(K714)),IF(OR(H714="ALI",H714="AIE"),"L",IF(ISBLANK(H714),"","A")),IF(H714="EE",IF(K714&gt;=3,IF(J714&gt;=5,"H","A"),IF(K714&gt;=2,IF(J714&gt;=16,"H",IF(J714&lt;=4,"L","A")),IF(J714&lt;=15,"L","A"))),IF(OR(H714="SE",H714="CE"),IF(K714&gt;=4,IF(J714&gt;=6,"H","A"),IF(K714&gt;=2,IF(J714&gt;=20,"H",IF(J714&lt;=5,"L","A")),IF(J714&lt;=19,"L","A"))),IF(OR(H714="ALI",H714="AIE"),IF(K714&gt;=6,IF(J714&gt;=20,"H","A"),IF(K714&gt;=2,IF(J714&gt;=51,"H",IF(J714&lt;=19,"L","A")),IF(J714&lt;=50,"L","A")))))))</f>
        <v/>
      </c>
      <c r="N714" s="52">
        <f>IF(M714="L","Baixa",IF(M714="A","Média",IF(M714="","","Alta")))</f>
        <v/>
      </c>
      <c r="O714" s="53">
        <f>IF(ISBLANK(H714),"",IF(H714="ALI",IF(M714="L",7,IF(M714="A",10,15)),IF(H714="AIE",IF(M714="L",5,IF(M714="A",7,10)),IF(H714="SE",IF(M714="L",4,IF(M714="A",5,7)),IF(OR(H714="EE",H714="CE"),IF(M714="L",3,IF(M714="A",4,6)))))))</f>
        <v/>
      </c>
      <c r="P714" s="54">
        <f>IF(I714="I",O714*Contagem!$W$15,IF(I714="E",O714*Contagem!$W$17,IF(I714="A",O714*Contagem!$W$16,IF(I714="T",O714*Contagem!$W$18,""))))</f>
        <v/>
      </c>
      <c r="Q714" s="55" t="n"/>
    </row>
    <row r="715" ht="12" customHeight="1" s="73">
      <c r="A715" s="14">
        <f>IF(H715="",IF(C715="",A714,A714+1),A714)</f>
        <v/>
      </c>
      <c r="B715" s="48">
        <f>IF(A715=A714,"",CONCATENATE("F",A715))</f>
        <v/>
      </c>
      <c r="C715" s="85" t="n"/>
      <c r="D715" s="142" t="n"/>
      <c r="E715" s="142" t="n"/>
      <c r="F715" s="142" t="n"/>
      <c r="G715" s="143" t="n"/>
      <c r="H715" s="56" t="n"/>
      <c r="I715" s="57" t="n"/>
      <c r="J715" s="56" t="n"/>
      <c r="K715" s="56" t="n"/>
      <c r="L715" s="50">
        <f>CONCATENATE(H715,M715)</f>
        <v/>
      </c>
      <c r="M715" s="51">
        <f>IF(OR(ISBLANK(J715),ISBLANK(K715)),IF(OR(H715="ALI",H715="AIE"),"L",IF(ISBLANK(H715),"","A")),IF(H715="EE",IF(K715&gt;=3,IF(J715&gt;=5,"H","A"),IF(K715&gt;=2,IF(J715&gt;=16,"H",IF(J715&lt;=4,"L","A")),IF(J715&lt;=15,"L","A"))),IF(OR(H715="SE",H715="CE"),IF(K715&gt;=4,IF(J715&gt;=6,"H","A"),IF(K715&gt;=2,IF(J715&gt;=20,"H",IF(J715&lt;=5,"L","A")),IF(J715&lt;=19,"L","A"))),IF(OR(H715="ALI",H715="AIE"),IF(K715&gt;=6,IF(J715&gt;=20,"H","A"),IF(K715&gt;=2,IF(J715&gt;=51,"H",IF(J715&lt;=19,"L","A")),IF(J715&lt;=50,"L","A")))))))</f>
        <v/>
      </c>
      <c r="N715" s="52">
        <f>IF(M715="L","Baixa",IF(M715="A","Média",IF(M715="","","Alta")))</f>
        <v/>
      </c>
      <c r="O715" s="53">
        <f>IF(ISBLANK(H715),"",IF(H715="ALI",IF(M715="L",7,IF(M715="A",10,15)),IF(H715="AIE",IF(M715="L",5,IF(M715="A",7,10)),IF(H715="SE",IF(M715="L",4,IF(M715="A",5,7)),IF(OR(H715="EE",H715="CE"),IF(M715="L",3,IF(M715="A",4,6)))))))</f>
        <v/>
      </c>
      <c r="P715" s="54">
        <f>IF(I715="I",O715*Contagem!$W$15,IF(I715="E",O715*Contagem!$W$17,IF(I715="A",O715*Contagem!$W$16,IF(I715="T",O715*Contagem!$W$18,""))))</f>
        <v/>
      </c>
      <c r="Q715" s="55" t="n"/>
    </row>
    <row r="716" ht="12" customHeight="1" s="73">
      <c r="A716" s="14">
        <f>IF(H716="",IF(C716="",A715,A715+1),A715)</f>
        <v/>
      </c>
      <c r="B716" s="48">
        <f>IF(A716=A715,"",CONCATENATE("F",A716))</f>
        <v/>
      </c>
      <c r="C716" s="85" t="n"/>
      <c r="D716" s="142" t="n"/>
      <c r="E716" s="142" t="n"/>
      <c r="F716" s="142" t="n"/>
      <c r="G716" s="143" t="n"/>
      <c r="H716" s="56" t="n"/>
      <c r="I716" s="57" t="n"/>
      <c r="J716" s="56" t="n"/>
      <c r="K716" s="56" t="n"/>
      <c r="L716" s="50">
        <f>CONCATENATE(H716,M716)</f>
        <v/>
      </c>
      <c r="M716" s="51">
        <f>IF(OR(ISBLANK(J716),ISBLANK(K716)),IF(OR(H716="ALI",H716="AIE"),"L",IF(ISBLANK(H716),"","A")),IF(H716="EE",IF(K716&gt;=3,IF(J716&gt;=5,"H","A"),IF(K716&gt;=2,IF(J716&gt;=16,"H",IF(J716&lt;=4,"L","A")),IF(J716&lt;=15,"L","A"))),IF(OR(H716="SE",H716="CE"),IF(K716&gt;=4,IF(J716&gt;=6,"H","A"),IF(K716&gt;=2,IF(J716&gt;=20,"H",IF(J716&lt;=5,"L","A")),IF(J716&lt;=19,"L","A"))),IF(OR(H716="ALI",H716="AIE"),IF(K716&gt;=6,IF(J716&gt;=20,"H","A"),IF(K716&gt;=2,IF(J716&gt;=51,"H",IF(J716&lt;=19,"L","A")),IF(J716&lt;=50,"L","A")))))))</f>
        <v/>
      </c>
      <c r="N716" s="52">
        <f>IF(M716="L","Baixa",IF(M716="A","Média",IF(M716="","","Alta")))</f>
        <v/>
      </c>
      <c r="O716" s="53">
        <f>IF(ISBLANK(H716),"",IF(H716="ALI",IF(M716="L",7,IF(M716="A",10,15)),IF(H716="AIE",IF(M716="L",5,IF(M716="A",7,10)),IF(H716="SE",IF(M716="L",4,IF(M716="A",5,7)),IF(OR(H716="EE",H716="CE"),IF(M716="L",3,IF(M716="A",4,6)))))))</f>
        <v/>
      </c>
      <c r="P716" s="54">
        <f>IF(I716="I",O716*Contagem!$W$15,IF(I716="E",O716*Contagem!$W$17,IF(I716="A",O716*Contagem!$W$16,IF(I716="T",O716*Contagem!$W$18,""))))</f>
        <v/>
      </c>
      <c r="Q716" s="55" t="n"/>
    </row>
    <row r="717" ht="12" customHeight="1" s="73">
      <c r="A717" s="14">
        <f>IF(H717="",IF(C717="",A716,A716+1),A716)</f>
        <v/>
      </c>
      <c r="B717" s="48">
        <f>IF(A717=A716,"",CONCATENATE("F",A717))</f>
        <v/>
      </c>
      <c r="C717" s="85" t="n"/>
      <c r="D717" s="142" t="n"/>
      <c r="E717" s="142" t="n"/>
      <c r="F717" s="142" t="n"/>
      <c r="G717" s="143" t="n"/>
      <c r="H717" s="56" t="n"/>
      <c r="I717" s="57" t="n"/>
      <c r="J717" s="56" t="n"/>
      <c r="K717" s="56" t="n"/>
      <c r="L717" s="50">
        <f>CONCATENATE(H717,M717)</f>
        <v/>
      </c>
      <c r="M717" s="51">
        <f>IF(OR(ISBLANK(J717),ISBLANK(K717)),IF(OR(H717="ALI",H717="AIE"),"L",IF(ISBLANK(H717),"","A")),IF(H717="EE",IF(K717&gt;=3,IF(J717&gt;=5,"H","A"),IF(K717&gt;=2,IF(J717&gt;=16,"H",IF(J717&lt;=4,"L","A")),IF(J717&lt;=15,"L","A"))),IF(OR(H717="SE",H717="CE"),IF(K717&gt;=4,IF(J717&gt;=6,"H","A"),IF(K717&gt;=2,IF(J717&gt;=20,"H",IF(J717&lt;=5,"L","A")),IF(J717&lt;=19,"L","A"))),IF(OR(H717="ALI",H717="AIE"),IF(K717&gt;=6,IF(J717&gt;=20,"H","A"),IF(K717&gt;=2,IF(J717&gt;=51,"H",IF(J717&lt;=19,"L","A")),IF(J717&lt;=50,"L","A")))))))</f>
        <v/>
      </c>
      <c r="N717" s="52">
        <f>IF(M717="L","Baixa",IF(M717="A","Média",IF(M717="","","Alta")))</f>
        <v/>
      </c>
      <c r="O717" s="53">
        <f>IF(ISBLANK(H717),"",IF(H717="ALI",IF(M717="L",7,IF(M717="A",10,15)),IF(H717="AIE",IF(M717="L",5,IF(M717="A",7,10)),IF(H717="SE",IF(M717="L",4,IF(M717="A",5,7)),IF(OR(H717="EE",H717="CE"),IF(M717="L",3,IF(M717="A",4,6)))))))</f>
        <v/>
      </c>
      <c r="P717" s="54">
        <f>IF(I717="I",O717*Contagem!$W$15,IF(I717="E",O717*Contagem!$W$17,IF(I717="A",O717*Contagem!$W$16,IF(I717="T",O717*Contagem!$W$18,""))))</f>
        <v/>
      </c>
      <c r="Q717" s="55" t="n"/>
    </row>
    <row r="718" ht="12" customHeight="1" s="73">
      <c r="A718" s="14">
        <f>IF(H718="",IF(C718="",A717,A717+1),A717)</f>
        <v/>
      </c>
      <c r="B718" s="48">
        <f>IF(A718=A717,"",CONCATENATE("F",A718))</f>
        <v/>
      </c>
      <c r="C718" s="85" t="n"/>
      <c r="D718" s="142" t="n"/>
      <c r="E718" s="142" t="n"/>
      <c r="F718" s="142" t="n"/>
      <c r="G718" s="143" t="n"/>
      <c r="H718" s="56" t="n"/>
      <c r="I718" s="57" t="n"/>
      <c r="J718" s="56" t="n"/>
      <c r="K718" s="56" t="n"/>
      <c r="L718" s="50">
        <f>CONCATENATE(H718,M718)</f>
        <v/>
      </c>
      <c r="M718" s="51">
        <f>IF(OR(ISBLANK(J718),ISBLANK(K718)),IF(OR(H718="ALI",H718="AIE"),"L",IF(ISBLANK(H718),"","A")),IF(H718="EE",IF(K718&gt;=3,IF(J718&gt;=5,"H","A"),IF(K718&gt;=2,IF(J718&gt;=16,"H",IF(J718&lt;=4,"L","A")),IF(J718&lt;=15,"L","A"))),IF(OR(H718="SE",H718="CE"),IF(K718&gt;=4,IF(J718&gt;=6,"H","A"),IF(K718&gt;=2,IF(J718&gt;=20,"H",IF(J718&lt;=5,"L","A")),IF(J718&lt;=19,"L","A"))),IF(OR(H718="ALI",H718="AIE"),IF(K718&gt;=6,IF(J718&gt;=20,"H","A"),IF(K718&gt;=2,IF(J718&gt;=51,"H",IF(J718&lt;=19,"L","A")),IF(J718&lt;=50,"L","A")))))))</f>
        <v/>
      </c>
      <c r="N718" s="52">
        <f>IF(M718="L","Baixa",IF(M718="A","Média",IF(M718="","","Alta")))</f>
        <v/>
      </c>
      <c r="O718" s="53">
        <f>IF(ISBLANK(H718),"",IF(H718="ALI",IF(M718="L",7,IF(M718="A",10,15)),IF(H718="AIE",IF(M718="L",5,IF(M718="A",7,10)),IF(H718="SE",IF(M718="L",4,IF(M718="A",5,7)),IF(OR(H718="EE",H718="CE"),IF(M718="L",3,IF(M718="A",4,6)))))))</f>
        <v/>
      </c>
      <c r="P718" s="54">
        <f>IF(I718="I",O718*Contagem!$W$15,IF(I718="E",O718*Contagem!$W$17,IF(I718="A",O718*Contagem!$W$16,IF(I718="T",O718*Contagem!$W$18,""))))</f>
        <v/>
      </c>
      <c r="Q718" s="55" t="n"/>
    </row>
    <row r="719" ht="12" customHeight="1" s="73">
      <c r="A719" s="14">
        <f>IF(H719="",IF(C719="",A718,A718+1),A718)</f>
        <v/>
      </c>
      <c r="B719" s="48">
        <f>IF(A719=A718,"",CONCATENATE("F",A719))</f>
        <v/>
      </c>
      <c r="C719" s="85" t="n"/>
      <c r="D719" s="142" t="n"/>
      <c r="E719" s="142" t="n"/>
      <c r="F719" s="142" t="n"/>
      <c r="G719" s="143" t="n"/>
      <c r="H719" s="56" t="n"/>
      <c r="I719" s="57" t="n"/>
      <c r="J719" s="56" t="n"/>
      <c r="K719" s="56" t="n"/>
      <c r="L719" s="50">
        <f>CONCATENATE(H719,M719)</f>
        <v/>
      </c>
      <c r="M719" s="51">
        <f>IF(OR(ISBLANK(J719),ISBLANK(K719)),IF(OR(H719="ALI",H719="AIE"),"L",IF(ISBLANK(H719),"","A")),IF(H719="EE",IF(K719&gt;=3,IF(J719&gt;=5,"H","A"),IF(K719&gt;=2,IF(J719&gt;=16,"H",IF(J719&lt;=4,"L","A")),IF(J719&lt;=15,"L","A"))),IF(OR(H719="SE",H719="CE"),IF(K719&gt;=4,IF(J719&gt;=6,"H","A"),IF(K719&gt;=2,IF(J719&gt;=20,"H",IF(J719&lt;=5,"L","A")),IF(J719&lt;=19,"L","A"))),IF(OR(H719="ALI",H719="AIE"),IF(K719&gt;=6,IF(J719&gt;=20,"H","A"),IF(K719&gt;=2,IF(J719&gt;=51,"H",IF(J719&lt;=19,"L","A")),IF(J719&lt;=50,"L","A")))))))</f>
        <v/>
      </c>
      <c r="N719" s="52">
        <f>IF(M719="L","Baixa",IF(M719="A","Média",IF(M719="","","Alta")))</f>
        <v/>
      </c>
      <c r="O719" s="53">
        <f>IF(ISBLANK(H719),"",IF(H719="ALI",IF(M719="L",7,IF(M719="A",10,15)),IF(H719="AIE",IF(M719="L",5,IF(M719="A",7,10)),IF(H719="SE",IF(M719="L",4,IF(M719="A",5,7)),IF(OR(H719="EE",H719="CE"),IF(M719="L",3,IF(M719="A",4,6)))))))</f>
        <v/>
      </c>
      <c r="P719" s="54">
        <f>IF(I719="I",O719*Contagem!$W$15,IF(I719="E",O719*Contagem!$W$17,IF(I719="A",O719*Contagem!$W$16,IF(I719="T",O719*Contagem!$W$18,""))))</f>
        <v/>
      </c>
      <c r="Q719" s="55" t="n"/>
    </row>
    <row r="720" ht="12" customHeight="1" s="73">
      <c r="A720" s="14">
        <f>IF(H720="",IF(C720="",A719,A719+1),A719)</f>
        <v/>
      </c>
      <c r="B720" s="48">
        <f>IF(A720=A719,"",CONCATENATE("F",A720))</f>
        <v/>
      </c>
      <c r="C720" s="85" t="n"/>
      <c r="D720" s="142" t="n"/>
      <c r="E720" s="142" t="n"/>
      <c r="F720" s="142" t="n"/>
      <c r="G720" s="143" t="n"/>
      <c r="H720" s="56" t="n"/>
      <c r="I720" s="57" t="n"/>
      <c r="J720" s="56" t="n"/>
      <c r="K720" s="56" t="n"/>
      <c r="L720" s="50">
        <f>CONCATENATE(H720,M720)</f>
        <v/>
      </c>
      <c r="M720" s="51">
        <f>IF(OR(ISBLANK(J720),ISBLANK(K720)),IF(OR(H720="ALI",H720="AIE"),"L",IF(ISBLANK(H720),"","A")),IF(H720="EE",IF(K720&gt;=3,IF(J720&gt;=5,"H","A"),IF(K720&gt;=2,IF(J720&gt;=16,"H",IF(J720&lt;=4,"L","A")),IF(J720&lt;=15,"L","A"))),IF(OR(H720="SE",H720="CE"),IF(K720&gt;=4,IF(J720&gt;=6,"H","A"),IF(K720&gt;=2,IF(J720&gt;=20,"H",IF(J720&lt;=5,"L","A")),IF(J720&lt;=19,"L","A"))),IF(OR(H720="ALI",H720="AIE"),IF(K720&gt;=6,IF(J720&gt;=20,"H","A"),IF(K720&gt;=2,IF(J720&gt;=51,"H",IF(J720&lt;=19,"L","A")),IF(J720&lt;=50,"L","A")))))))</f>
        <v/>
      </c>
      <c r="N720" s="52">
        <f>IF(M720="L","Baixa",IF(M720="A","Média",IF(M720="","","Alta")))</f>
        <v/>
      </c>
      <c r="O720" s="53">
        <f>IF(ISBLANK(H720),"",IF(H720="ALI",IF(M720="L",7,IF(M720="A",10,15)),IF(H720="AIE",IF(M720="L",5,IF(M720="A",7,10)),IF(H720="SE",IF(M720="L",4,IF(M720="A",5,7)),IF(OR(H720="EE",H720="CE"),IF(M720="L",3,IF(M720="A",4,6)))))))</f>
        <v/>
      </c>
      <c r="P720" s="54">
        <f>IF(I720="I",O720*Contagem!$W$15,IF(I720="E",O720*Contagem!$W$17,IF(I720="A",O720*Contagem!$W$16,IF(I720="T",O720*Contagem!$W$18,""))))</f>
        <v/>
      </c>
      <c r="Q720" s="55" t="n"/>
    </row>
    <row r="721" ht="12" customHeight="1" s="73">
      <c r="A721" s="14">
        <f>IF(H721="",IF(C721="",A720,A720+1),A720)</f>
        <v/>
      </c>
      <c r="B721" s="48">
        <f>IF(A721=A720,"",CONCATENATE("F",A721))</f>
        <v/>
      </c>
      <c r="C721" s="85" t="n"/>
      <c r="D721" s="142" t="n"/>
      <c r="E721" s="142" t="n"/>
      <c r="F721" s="142" t="n"/>
      <c r="G721" s="143" t="n"/>
      <c r="H721" s="56" t="n"/>
      <c r="I721" s="57" t="n"/>
      <c r="J721" s="56" t="n"/>
      <c r="K721" s="56" t="n"/>
      <c r="L721" s="50">
        <f>CONCATENATE(H721,M721)</f>
        <v/>
      </c>
      <c r="M721" s="51">
        <f>IF(OR(ISBLANK(J721),ISBLANK(K721)),IF(OR(H721="ALI",H721="AIE"),"L",IF(ISBLANK(H721),"","A")),IF(H721="EE",IF(K721&gt;=3,IF(J721&gt;=5,"H","A"),IF(K721&gt;=2,IF(J721&gt;=16,"H",IF(J721&lt;=4,"L","A")),IF(J721&lt;=15,"L","A"))),IF(OR(H721="SE",H721="CE"),IF(K721&gt;=4,IF(J721&gt;=6,"H","A"),IF(K721&gt;=2,IF(J721&gt;=20,"H",IF(J721&lt;=5,"L","A")),IF(J721&lt;=19,"L","A"))),IF(OR(H721="ALI",H721="AIE"),IF(K721&gt;=6,IF(J721&gt;=20,"H","A"),IF(K721&gt;=2,IF(J721&gt;=51,"H",IF(J721&lt;=19,"L","A")),IF(J721&lt;=50,"L","A")))))))</f>
        <v/>
      </c>
      <c r="N721" s="52">
        <f>IF(M721="L","Baixa",IF(M721="A","Média",IF(M721="","","Alta")))</f>
        <v/>
      </c>
      <c r="O721" s="53">
        <f>IF(ISBLANK(H721),"",IF(H721="ALI",IF(M721="L",7,IF(M721="A",10,15)),IF(H721="AIE",IF(M721="L",5,IF(M721="A",7,10)),IF(H721="SE",IF(M721="L",4,IF(M721="A",5,7)),IF(OR(H721="EE",H721="CE"),IF(M721="L",3,IF(M721="A",4,6)))))))</f>
        <v/>
      </c>
      <c r="P721" s="54">
        <f>IF(I721="I",O721*Contagem!$W$15,IF(I721="E",O721*Contagem!$W$17,IF(I721="A",O721*Contagem!$W$16,IF(I721="T",O721*Contagem!$W$18,""))))</f>
        <v/>
      </c>
      <c r="Q721" s="55" t="n"/>
    </row>
    <row r="722" ht="12" customHeight="1" s="73">
      <c r="A722" s="14">
        <f>IF(H722="",IF(C722="",A721,A721+1),A721)</f>
        <v/>
      </c>
      <c r="B722" s="48">
        <f>IF(A722=A721,"",CONCATENATE("F",A722))</f>
        <v/>
      </c>
      <c r="C722" s="85" t="n"/>
      <c r="D722" s="142" t="n"/>
      <c r="E722" s="142" t="n"/>
      <c r="F722" s="142" t="n"/>
      <c r="G722" s="143" t="n"/>
      <c r="H722" s="56" t="n"/>
      <c r="I722" s="57" t="n"/>
      <c r="J722" s="56" t="n"/>
      <c r="K722" s="56" t="n"/>
      <c r="L722" s="50">
        <f>CONCATENATE(H722,M722)</f>
        <v/>
      </c>
      <c r="M722" s="51">
        <f>IF(OR(ISBLANK(J722),ISBLANK(K722)),IF(OR(H722="ALI",H722="AIE"),"L",IF(ISBLANK(H722),"","A")),IF(H722="EE",IF(K722&gt;=3,IF(J722&gt;=5,"H","A"),IF(K722&gt;=2,IF(J722&gt;=16,"H",IF(J722&lt;=4,"L","A")),IF(J722&lt;=15,"L","A"))),IF(OR(H722="SE",H722="CE"),IF(K722&gt;=4,IF(J722&gt;=6,"H","A"),IF(K722&gt;=2,IF(J722&gt;=20,"H",IF(J722&lt;=5,"L","A")),IF(J722&lt;=19,"L","A"))),IF(OR(H722="ALI",H722="AIE"),IF(K722&gt;=6,IF(J722&gt;=20,"H","A"),IF(K722&gt;=2,IF(J722&gt;=51,"H",IF(J722&lt;=19,"L","A")),IF(J722&lt;=50,"L","A")))))))</f>
        <v/>
      </c>
      <c r="N722" s="52">
        <f>IF(M722="L","Baixa",IF(M722="A","Média",IF(M722="","","Alta")))</f>
        <v/>
      </c>
      <c r="O722" s="53">
        <f>IF(ISBLANK(H722),"",IF(H722="ALI",IF(M722="L",7,IF(M722="A",10,15)),IF(H722="AIE",IF(M722="L",5,IF(M722="A",7,10)),IF(H722="SE",IF(M722="L",4,IF(M722="A",5,7)),IF(OR(H722="EE",H722="CE"),IF(M722="L",3,IF(M722="A",4,6)))))))</f>
        <v/>
      </c>
      <c r="P722" s="54">
        <f>IF(I722="I",O722*Contagem!$W$15,IF(I722="E",O722*Contagem!$W$17,IF(I722="A",O722*Contagem!$W$16,IF(I722="T",O722*Contagem!$W$18,""))))</f>
        <v/>
      </c>
      <c r="Q722" s="55" t="n"/>
    </row>
    <row r="723" ht="12" customHeight="1" s="73">
      <c r="A723" s="14">
        <f>IF(H723="",IF(C723="",A722,A722+1),A722)</f>
        <v/>
      </c>
      <c r="B723" s="48">
        <f>IF(A723=A722,"",CONCATENATE("F",A723))</f>
        <v/>
      </c>
      <c r="C723" s="85" t="n"/>
      <c r="D723" s="142" t="n"/>
      <c r="E723" s="142" t="n"/>
      <c r="F723" s="142" t="n"/>
      <c r="G723" s="143" t="n"/>
      <c r="H723" s="56" t="n"/>
      <c r="I723" s="57" t="n"/>
      <c r="J723" s="56" t="n"/>
      <c r="K723" s="56" t="n"/>
      <c r="L723" s="50">
        <f>CONCATENATE(H723,M723)</f>
        <v/>
      </c>
      <c r="M723" s="51">
        <f>IF(OR(ISBLANK(J723),ISBLANK(K723)),IF(OR(H723="ALI",H723="AIE"),"L",IF(ISBLANK(H723),"","A")),IF(H723="EE",IF(K723&gt;=3,IF(J723&gt;=5,"H","A"),IF(K723&gt;=2,IF(J723&gt;=16,"H",IF(J723&lt;=4,"L","A")),IF(J723&lt;=15,"L","A"))),IF(OR(H723="SE",H723="CE"),IF(K723&gt;=4,IF(J723&gt;=6,"H","A"),IF(K723&gt;=2,IF(J723&gt;=20,"H",IF(J723&lt;=5,"L","A")),IF(J723&lt;=19,"L","A"))),IF(OR(H723="ALI",H723="AIE"),IF(K723&gt;=6,IF(J723&gt;=20,"H","A"),IF(K723&gt;=2,IF(J723&gt;=51,"H",IF(J723&lt;=19,"L","A")),IF(J723&lt;=50,"L","A")))))))</f>
        <v/>
      </c>
      <c r="N723" s="52">
        <f>IF(M723="L","Baixa",IF(M723="A","Média",IF(M723="","","Alta")))</f>
        <v/>
      </c>
      <c r="O723" s="53">
        <f>IF(ISBLANK(H723),"",IF(H723="ALI",IF(M723="L",7,IF(M723="A",10,15)),IF(H723="AIE",IF(M723="L",5,IF(M723="A",7,10)),IF(H723="SE",IF(M723="L",4,IF(M723="A",5,7)),IF(OR(H723="EE",H723="CE"),IF(M723="L",3,IF(M723="A",4,6)))))))</f>
        <v/>
      </c>
      <c r="P723" s="54">
        <f>IF(I723="I",O723*Contagem!$W$15,IF(I723="E",O723*Contagem!$W$17,IF(I723="A",O723*Contagem!$W$16,IF(I723="T",O723*Contagem!$W$18,""))))</f>
        <v/>
      </c>
      <c r="Q723" s="55" t="n"/>
    </row>
    <row r="724" ht="12" customHeight="1" s="73">
      <c r="A724" s="14">
        <f>IF(H724="",IF(C724="",A723,A723+1),A723)</f>
        <v/>
      </c>
      <c r="B724" s="48">
        <f>IF(A724=A723,"",CONCATENATE("F",A724))</f>
        <v/>
      </c>
      <c r="C724" s="85" t="n"/>
      <c r="D724" s="142" t="n"/>
      <c r="E724" s="142" t="n"/>
      <c r="F724" s="142" t="n"/>
      <c r="G724" s="143" t="n"/>
      <c r="H724" s="56" t="n"/>
      <c r="I724" s="57" t="n"/>
      <c r="J724" s="56" t="n"/>
      <c r="K724" s="56" t="n"/>
      <c r="L724" s="50">
        <f>CONCATENATE(H724,M724)</f>
        <v/>
      </c>
      <c r="M724" s="51">
        <f>IF(OR(ISBLANK(J724),ISBLANK(K724)),IF(OR(H724="ALI",H724="AIE"),"L",IF(ISBLANK(H724),"","A")),IF(H724="EE",IF(K724&gt;=3,IF(J724&gt;=5,"H","A"),IF(K724&gt;=2,IF(J724&gt;=16,"H",IF(J724&lt;=4,"L","A")),IF(J724&lt;=15,"L","A"))),IF(OR(H724="SE",H724="CE"),IF(K724&gt;=4,IF(J724&gt;=6,"H","A"),IF(K724&gt;=2,IF(J724&gt;=20,"H",IF(J724&lt;=5,"L","A")),IF(J724&lt;=19,"L","A"))),IF(OR(H724="ALI",H724="AIE"),IF(K724&gt;=6,IF(J724&gt;=20,"H","A"),IF(K724&gt;=2,IF(J724&gt;=51,"H",IF(J724&lt;=19,"L","A")),IF(J724&lt;=50,"L","A")))))))</f>
        <v/>
      </c>
      <c r="N724" s="52">
        <f>IF(M724="L","Baixa",IF(M724="A","Média",IF(M724="","","Alta")))</f>
        <v/>
      </c>
      <c r="O724" s="53">
        <f>IF(ISBLANK(H724),"",IF(H724="ALI",IF(M724="L",7,IF(M724="A",10,15)),IF(H724="AIE",IF(M724="L",5,IF(M724="A",7,10)),IF(H724="SE",IF(M724="L",4,IF(M724="A",5,7)),IF(OR(H724="EE",H724="CE"),IF(M724="L",3,IF(M724="A",4,6)))))))</f>
        <v/>
      </c>
      <c r="P724" s="54">
        <f>IF(I724="I",O724*Contagem!$W$15,IF(I724="E",O724*Contagem!$W$17,IF(I724="A",O724*Contagem!$W$16,IF(I724="T",O724*Contagem!$W$18,""))))</f>
        <v/>
      </c>
      <c r="Q724" s="55" t="n"/>
    </row>
    <row r="725" ht="12" customHeight="1" s="73">
      <c r="A725" s="14">
        <f>IF(H725="",IF(C725="",A724,A724+1),A724)</f>
        <v/>
      </c>
      <c r="B725" s="48">
        <f>IF(A725=A724,"",CONCATENATE("F",A725))</f>
        <v/>
      </c>
      <c r="C725" s="85" t="n"/>
      <c r="D725" s="142" t="n"/>
      <c r="E725" s="142" t="n"/>
      <c r="F725" s="142" t="n"/>
      <c r="G725" s="143" t="n"/>
      <c r="H725" s="56" t="n"/>
      <c r="I725" s="57" t="n"/>
      <c r="J725" s="56" t="n"/>
      <c r="K725" s="56" t="n"/>
      <c r="L725" s="50">
        <f>CONCATENATE(H725,M725)</f>
        <v/>
      </c>
      <c r="M725" s="51">
        <f>IF(OR(ISBLANK(J725),ISBLANK(K725)),IF(OR(H725="ALI",H725="AIE"),"L",IF(ISBLANK(H725),"","A")),IF(H725="EE",IF(K725&gt;=3,IF(J725&gt;=5,"H","A"),IF(K725&gt;=2,IF(J725&gt;=16,"H",IF(J725&lt;=4,"L","A")),IF(J725&lt;=15,"L","A"))),IF(OR(H725="SE",H725="CE"),IF(K725&gt;=4,IF(J725&gt;=6,"H","A"),IF(K725&gt;=2,IF(J725&gt;=20,"H",IF(J725&lt;=5,"L","A")),IF(J725&lt;=19,"L","A"))),IF(OR(H725="ALI",H725="AIE"),IF(K725&gt;=6,IF(J725&gt;=20,"H","A"),IF(K725&gt;=2,IF(J725&gt;=51,"H",IF(J725&lt;=19,"L","A")),IF(J725&lt;=50,"L","A")))))))</f>
        <v/>
      </c>
      <c r="N725" s="52">
        <f>IF(M725="L","Baixa",IF(M725="A","Média",IF(M725="","","Alta")))</f>
        <v/>
      </c>
      <c r="O725" s="53">
        <f>IF(ISBLANK(H725),"",IF(H725="ALI",IF(M725="L",7,IF(M725="A",10,15)),IF(H725="AIE",IF(M725="L",5,IF(M725="A",7,10)),IF(H725="SE",IF(M725="L",4,IF(M725="A",5,7)),IF(OR(H725="EE",H725="CE"),IF(M725="L",3,IF(M725="A",4,6)))))))</f>
        <v/>
      </c>
      <c r="P725" s="54">
        <f>IF(I725="I",O725*Contagem!$W$15,IF(I725="E",O725*Contagem!$W$17,IF(I725="A",O725*Contagem!$W$16,IF(I725="T",O725*Contagem!$W$18,""))))</f>
        <v/>
      </c>
      <c r="Q725" s="55" t="n"/>
    </row>
    <row r="726" ht="12" customHeight="1" s="73">
      <c r="A726" s="14">
        <f>IF(H726="",IF(C726="",A725,A725+1),A725)</f>
        <v/>
      </c>
      <c r="B726" s="48">
        <f>IF(A726=A725,"",CONCATENATE("F",A726))</f>
        <v/>
      </c>
      <c r="C726" s="85" t="n"/>
      <c r="D726" s="142" t="n"/>
      <c r="E726" s="142" t="n"/>
      <c r="F726" s="142" t="n"/>
      <c r="G726" s="143" t="n"/>
      <c r="H726" s="56" t="n"/>
      <c r="I726" s="57" t="n"/>
      <c r="J726" s="56" t="n"/>
      <c r="K726" s="56" t="n"/>
      <c r="L726" s="50">
        <f>CONCATENATE(H726,M726)</f>
        <v/>
      </c>
      <c r="M726" s="51">
        <f>IF(OR(ISBLANK(J726),ISBLANK(K726)),IF(OR(H726="ALI",H726="AIE"),"L",IF(ISBLANK(H726),"","A")),IF(H726="EE",IF(K726&gt;=3,IF(J726&gt;=5,"H","A"),IF(K726&gt;=2,IF(J726&gt;=16,"H",IF(J726&lt;=4,"L","A")),IF(J726&lt;=15,"L","A"))),IF(OR(H726="SE",H726="CE"),IF(K726&gt;=4,IF(J726&gt;=6,"H","A"),IF(K726&gt;=2,IF(J726&gt;=20,"H",IF(J726&lt;=5,"L","A")),IF(J726&lt;=19,"L","A"))),IF(OR(H726="ALI",H726="AIE"),IF(K726&gt;=6,IF(J726&gt;=20,"H","A"),IF(K726&gt;=2,IF(J726&gt;=51,"H",IF(J726&lt;=19,"L","A")),IF(J726&lt;=50,"L","A")))))))</f>
        <v/>
      </c>
      <c r="N726" s="52">
        <f>IF(M726="L","Baixa",IF(M726="A","Média",IF(M726="","","Alta")))</f>
        <v/>
      </c>
      <c r="O726" s="53">
        <f>IF(ISBLANK(H726),"",IF(H726="ALI",IF(M726="L",7,IF(M726="A",10,15)),IF(H726="AIE",IF(M726="L",5,IF(M726="A",7,10)),IF(H726="SE",IF(M726="L",4,IF(M726="A",5,7)),IF(OR(H726="EE",H726="CE"),IF(M726="L",3,IF(M726="A",4,6)))))))</f>
        <v/>
      </c>
      <c r="P726" s="54">
        <f>IF(I726="I",O726*Contagem!$W$15,IF(I726="E",O726*Contagem!$W$17,IF(I726="A",O726*Contagem!$W$16,IF(I726="T",O726*Contagem!$W$18,""))))</f>
        <v/>
      </c>
      <c r="Q726" s="55" t="n"/>
    </row>
    <row r="727" ht="12" customHeight="1" s="73">
      <c r="A727" s="14">
        <f>IF(H727="",IF(C727="",A726,A726+1),A726)</f>
        <v/>
      </c>
      <c r="B727" s="48">
        <f>IF(A727=A726,"",CONCATENATE("F",A727))</f>
        <v/>
      </c>
      <c r="C727" s="85" t="n"/>
      <c r="D727" s="142" t="n"/>
      <c r="E727" s="142" t="n"/>
      <c r="F727" s="142" t="n"/>
      <c r="G727" s="143" t="n"/>
      <c r="H727" s="56" t="n"/>
      <c r="I727" s="57" t="n"/>
      <c r="J727" s="56" t="n"/>
      <c r="K727" s="56" t="n"/>
      <c r="L727" s="50">
        <f>CONCATENATE(H727,M727)</f>
        <v/>
      </c>
      <c r="M727" s="51">
        <f>IF(OR(ISBLANK(J727),ISBLANK(K727)),IF(OR(H727="ALI",H727="AIE"),"L",IF(ISBLANK(H727),"","A")),IF(H727="EE",IF(K727&gt;=3,IF(J727&gt;=5,"H","A"),IF(K727&gt;=2,IF(J727&gt;=16,"H",IF(J727&lt;=4,"L","A")),IF(J727&lt;=15,"L","A"))),IF(OR(H727="SE",H727="CE"),IF(K727&gt;=4,IF(J727&gt;=6,"H","A"),IF(K727&gt;=2,IF(J727&gt;=20,"H",IF(J727&lt;=5,"L","A")),IF(J727&lt;=19,"L","A"))),IF(OR(H727="ALI",H727="AIE"),IF(K727&gt;=6,IF(J727&gt;=20,"H","A"),IF(K727&gt;=2,IF(J727&gt;=51,"H",IF(J727&lt;=19,"L","A")),IF(J727&lt;=50,"L","A")))))))</f>
        <v/>
      </c>
      <c r="N727" s="52">
        <f>IF(M727="L","Baixa",IF(M727="A","Média",IF(M727="","","Alta")))</f>
        <v/>
      </c>
      <c r="O727" s="53">
        <f>IF(ISBLANK(H727),"",IF(H727="ALI",IF(M727="L",7,IF(M727="A",10,15)),IF(H727="AIE",IF(M727="L",5,IF(M727="A",7,10)),IF(H727="SE",IF(M727="L",4,IF(M727="A",5,7)),IF(OR(H727="EE",H727="CE"),IF(M727="L",3,IF(M727="A",4,6)))))))</f>
        <v/>
      </c>
      <c r="P727" s="54">
        <f>IF(I727="I",O727*Contagem!$W$15,IF(I727="E",O727*Contagem!$W$17,IF(I727="A",O727*Contagem!$W$16,IF(I727="T",O727*Contagem!$W$18,""))))</f>
        <v/>
      </c>
      <c r="Q727" s="55" t="n"/>
    </row>
    <row r="728" ht="12" customHeight="1" s="73">
      <c r="A728" s="14">
        <f>IF(H728="",IF(C728="",A727,A727+1),A727)</f>
        <v/>
      </c>
      <c r="B728" s="48">
        <f>IF(A728=A727,"",CONCATENATE("F",A728))</f>
        <v/>
      </c>
      <c r="C728" s="85" t="n"/>
      <c r="D728" s="142" t="n"/>
      <c r="E728" s="142" t="n"/>
      <c r="F728" s="142" t="n"/>
      <c r="G728" s="143" t="n"/>
      <c r="H728" s="56" t="n"/>
      <c r="I728" s="57" t="n"/>
      <c r="J728" s="56" t="n"/>
      <c r="K728" s="56" t="n"/>
      <c r="L728" s="50">
        <f>CONCATENATE(H728,M728)</f>
        <v/>
      </c>
      <c r="M728" s="51">
        <f>IF(OR(ISBLANK(J728),ISBLANK(K728)),IF(OR(H728="ALI",H728="AIE"),"L",IF(ISBLANK(H728),"","A")),IF(H728="EE",IF(K728&gt;=3,IF(J728&gt;=5,"H","A"),IF(K728&gt;=2,IF(J728&gt;=16,"H",IF(J728&lt;=4,"L","A")),IF(J728&lt;=15,"L","A"))),IF(OR(H728="SE",H728="CE"),IF(K728&gt;=4,IF(J728&gt;=6,"H","A"),IF(K728&gt;=2,IF(J728&gt;=20,"H",IF(J728&lt;=5,"L","A")),IF(J728&lt;=19,"L","A"))),IF(OR(H728="ALI",H728="AIE"),IF(K728&gt;=6,IF(J728&gt;=20,"H","A"),IF(K728&gt;=2,IF(J728&gt;=51,"H",IF(J728&lt;=19,"L","A")),IF(J728&lt;=50,"L","A")))))))</f>
        <v/>
      </c>
      <c r="N728" s="52">
        <f>IF(M728="L","Baixa",IF(M728="A","Média",IF(M728="","","Alta")))</f>
        <v/>
      </c>
      <c r="O728" s="53">
        <f>IF(ISBLANK(H728),"",IF(H728="ALI",IF(M728="L",7,IF(M728="A",10,15)),IF(H728="AIE",IF(M728="L",5,IF(M728="A",7,10)),IF(H728="SE",IF(M728="L",4,IF(M728="A",5,7)),IF(OR(H728="EE",H728="CE"),IF(M728="L",3,IF(M728="A",4,6)))))))</f>
        <v/>
      </c>
      <c r="P728" s="54">
        <f>IF(I728="I",O728*Contagem!$W$15,IF(I728="E",O728*Contagem!$W$17,IF(I728="A",O728*Contagem!$W$16,IF(I728="T",O728*Contagem!$W$18,""))))</f>
        <v/>
      </c>
      <c r="Q728" s="55" t="n"/>
    </row>
    <row r="729" ht="12" customHeight="1" s="73">
      <c r="A729" s="14">
        <f>IF(H729="",IF(C729="",A728,A728+1),A728)</f>
        <v/>
      </c>
      <c r="B729" s="48">
        <f>IF(A729=A728,"",CONCATENATE("F",A729))</f>
        <v/>
      </c>
      <c r="C729" s="85" t="n"/>
      <c r="D729" s="142" t="n"/>
      <c r="E729" s="142" t="n"/>
      <c r="F729" s="142" t="n"/>
      <c r="G729" s="143" t="n"/>
      <c r="H729" s="56" t="n"/>
      <c r="I729" s="57" t="n"/>
      <c r="J729" s="56" t="n"/>
      <c r="K729" s="56" t="n"/>
      <c r="L729" s="50">
        <f>CONCATENATE(H729,M729)</f>
        <v/>
      </c>
      <c r="M729" s="51">
        <f>IF(OR(ISBLANK(J729),ISBLANK(K729)),IF(OR(H729="ALI",H729="AIE"),"L",IF(ISBLANK(H729),"","A")),IF(H729="EE",IF(K729&gt;=3,IF(J729&gt;=5,"H","A"),IF(K729&gt;=2,IF(J729&gt;=16,"H",IF(J729&lt;=4,"L","A")),IF(J729&lt;=15,"L","A"))),IF(OR(H729="SE",H729="CE"),IF(K729&gt;=4,IF(J729&gt;=6,"H","A"),IF(K729&gt;=2,IF(J729&gt;=20,"H",IF(J729&lt;=5,"L","A")),IF(J729&lt;=19,"L","A"))),IF(OR(H729="ALI",H729="AIE"),IF(K729&gt;=6,IF(J729&gt;=20,"H","A"),IF(K729&gt;=2,IF(J729&gt;=51,"H",IF(J729&lt;=19,"L","A")),IF(J729&lt;=50,"L","A")))))))</f>
        <v/>
      </c>
      <c r="N729" s="52">
        <f>IF(M729="L","Baixa",IF(M729="A","Média",IF(M729="","","Alta")))</f>
        <v/>
      </c>
      <c r="O729" s="53">
        <f>IF(ISBLANK(H729),"",IF(H729="ALI",IF(M729="L",7,IF(M729="A",10,15)),IF(H729="AIE",IF(M729="L",5,IF(M729="A",7,10)),IF(H729="SE",IF(M729="L",4,IF(M729="A",5,7)),IF(OR(H729="EE",H729="CE"),IF(M729="L",3,IF(M729="A",4,6)))))))</f>
        <v/>
      </c>
      <c r="P729" s="54">
        <f>IF(I729="I",O729*Contagem!$W$15,IF(I729="E",O729*Contagem!$W$17,IF(I729="A",O729*Contagem!$W$16,IF(I729="T",O729*Contagem!$W$18,""))))</f>
        <v/>
      </c>
      <c r="Q729" s="55" t="n"/>
    </row>
    <row r="730" ht="12" customHeight="1" s="73">
      <c r="A730" s="14">
        <f>IF(H730="",IF(C730="",A729,A729+1),A729)</f>
        <v/>
      </c>
      <c r="B730" s="48">
        <f>IF(A730=A729,"",CONCATENATE("F",A730))</f>
        <v/>
      </c>
      <c r="C730" s="85" t="n"/>
      <c r="D730" s="142" t="n"/>
      <c r="E730" s="142" t="n"/>
      <c r="F730" s="142" t="n"/>
      <c r="G730" s="143" t="n"/>
      <c r="H730" s="56" t="n"/>
      <c r="I730" s="57" t="n"/>
      <c r="J730" s="56" t="n"/>
      <c r="K730" s="56" t="n"/>
      <c r="L730" s="50">
        <f>CONCATENATE(H730,M730)</f>
        <v/>
      </c>
      <c r="M730" s="51">
        <f>IF(OR(ISBLANK(J730),ISBLANK(K730)),IF(OR(H730="ALI",H730="AIE"),"L",IF(ISBLANK(H730),"","A")),IF(H730="EE",IF(K730&gt;=3,IF(J730&gt;=5,"H","A"),IF(K730&gt;=2,IF(J730&gt;=16,"H",IF(J730&lt;=4,"L","A")),IF(J730&lt;=15,"L","A"))),IF(OR(H730="SE",H730="CE"),IF(K730&gt;=4,IF(J730&gt;=6,"H","A"),IF(K730&gt;=2,IF(J730&gt;=20,"H",IF(J730&lt;=5,"L","A")),IF(J730&lt;=19,"L","A"))),IF(OR(H730="ALI",H730="AIE"),IF(K730&gt;=6,IF(J730&gt;=20,"H","A"),IF(K730&gt;=2,IF(J730&gt;=51,"H",IF(J730&lt;=19,"L","A")),IF(J730&lt;=50,"L","A")))))))</f>
        <v/>
      </c>
      <c r="N730" s="52">
        <f>IF(M730="L","Baixa",IF(M730="A","Média",IF(M730="","","Alta")))</f>
        <v/>
      </c>
      <c r="O730" s="53">
        <f>IF(ISBLANK(H730),"",IF(H730="ALI",IF(M730="L",7,IF(M730="A",10,15)),IF(H730="AIE",IF(M730="L",5,IF(M730="A",7,10)),IF(H730="SE",IF(M730="L",4,IF(M730="A",5,7)),IF(OR(H730="EE",H730="CE"),IF(M730="L",3,IF(M730="A",4,6)))))))</f>
        <v/>
      </c>
      <c r="P730" s="54">
        <f>IF(I730="I",O730*Contagem!$W$15,IF(I730="E",O730*Contagem!$W$17,IF(I730="A",O730*Contagem!$W$16,IF(I730="T",O730*Contagem!$W$18,""))))</f>
        <v/>
      </c>
      <c r="Q730" s="55" t="n"/>
    </row>
    <row r="731" ht="12" customHeight="1" s="73">
      <c r="A731" s="14">
        <f>IF(H731="",IF(C731="",A730,A730+1),A730)</f>
        <v/>
      </c>
      <c r="B731" s="48">
        <f>IF(A731=A730,"",CONCATENATE("F",A731))</f>
        <v/>
      </c>
      <c r="C731" s="85" t="n"/>
      <c r="D731" s="142" t="n"/>
      <c r="E731" s="142" t="n"/>
      <c r="F731" s="142" t="n"/>
      <c r="G731" s="143" t="n"/>
      <c r="H731" s="56" t="n"/>
      <c r="I731" s="57" t="n"/>
      <c r="J731" s="56" t="n"/>
      <c r="K731" s="56" t="n"/>
      <c r="L731" s="50">
        <f>CONCATENATE(H731,M731)</f>
        <v/>
      </c>
      <c r="M731" s="51">
        <f>IF(OR(ISBLANK(J731),ISBLANK(K731)),IF(OR(H731="ALI",H731="AIE"),"L",IF(ISBLANK(H731),"","A")),IF(H731="EE",IF(K731&gt;=3,IF(J731&gt;=5,"H","A"),IF(K731&gt;=2,IF(J731&gt;=16,"H",IF(J731&lt;=4,"L","A")),IF(J731&lt;=15,"L","A"))),IF(OR(H731="SE",H731="CE"),IF(K731&gt;=4,IF(J731&gt;=6,"H","A"),IF(K731&gt;=2,IF(J731&gt;=20,"H",IF(J731&lt;=5,"L","A")),IF(J731&lt;=19,"L","A"))),IF(OR(H731="ALI",H731="AIE"),IF(K731&gt;=6,IF(J731&gt;=20,"H","A"),IF(K731&gt;=2,IF(J731&gt;=51,"H",IF(J731&lt;=19,"L","A")),IF(J731&lt;=50,"L","A")))))))</f>
        <v/>
      </c>
      <c r="N731" s="52">
        <f>IF(M731="L","Baixa",IF(M731="A","Média",IF(M731="","","Alta")))</f>
        <v/>
      </c>
      <c r="O731" s="53">
        <f>IF(ISBLANK(H731),"",IF(H731="ALI",IF(M731="L",7,IF(M731="A",10,15)),IF(H731="AIE",IF(M731="L",5,IF(M731="A",7,10)),IF(H731="SE",IF(M731="L",4,IF(M731="A",5,7)),IF(OR(H731="EE",H731="CE"),IF(M731="L",3,IF(M731="A",4,6)))))))</f>
        <v/>
      </c>
      <c r="P731" s="54">
        <f>IF(I731="I",O731*Contagem!$W$15,IF(I731="E",O731*Contagem!$W$17,IF(I731="A",O731*Contagem!$W$16,IF(I731="T",O731*Contagem!$W$18,""))))</f>
        <v/>
      </c>
      <c r="Q731" s="55" t="n"/>
    </row>
    <row r="732" ht="12" customHeight="1" s="73">
      <c r="A732" s="14">
        <f>IF(H732="",IF(C732="",A731,A731+1),A731)</f>
        <v/>
      </c>
      <c r="B732" s="48">
        <f>IF(A732=A731,"",CONCATENATE("F",A732))</f>
        <v/>
      </c>
      <c r="C732" s="85" t="n"/>
      <c r="D732" s="142" t="n"/>
      <c r="E732" s="142" t="n"/>
      <c r="F732" s="142" t="n"/>
      <c r="G732" s="143" t="n"/>
      <c r="H732" s="56" t="n"/>
      <c r="I732" s="57" t="n"/>
      <c r="J732" s="56" t="n"/>
      <c r="K732" s="56" t="n"/>
      <c r="L732" s="50">
        <f>CONCATENATE(H732,M732)</f>
        <v/>
      </c>
      <c r="M732" s="51">
        <f>IF(OR(ISBLANK(J732),ISBLANK(K732)),IF(OR(H732="ALI",H732="AIE"),"L",IF(ISBLANK(H732),"","A")),IF(H732="EE",IF(K732&gt;=3,IF(J732&gt;=5,"H","A"),IF(K732&gt;=2,IF(J732&gt;=16,"H",IF(J732&lt;=4,"L","A")),IF(J732&lt;=15,"L","A"))),IF(OR(H732="SE",H732="CE"),IF(K732&gt;=4,IF(J732&gt;=6,"H","A"),IF(K732&gt;=2,IF(J732&gt;=20,"H",IF(J732&lt;=5,"L","A")),IF(J732&lt;=19,"L","A"))),IF(OR(H732="ALI",H732="AIE"),IF(K732&gt;=6,IF(J732&gt;=20,"H","A"),IF(K732&gt;=2,IF(J732&gt;=51,"H",IF(J732&lt;=19,"L","A")),IF(J732&lt;=50,"L","A")))))))</f>
        <v/>
      </c>
      <c r="N732" s="52">
        <f>IF(M732="L","Baixa",IF(M732="A","Média",IF(M732="","","Alta")))</f>
        <v/>
      </c>
      <c r="O732" s="53">
        <f>IF(ISBLANK(H732),"",IF(H732="ALI",IF(M732="L",7,IF(M732="A",10,15)),IF(H732="AIE",IF(M732="L",5,IF(M732="A",7,10)),IF(H732="SE",IF(M732="L",4,IF(M732="A",5,7)),IF(OR(H732="EE",H732="CE"),IF(M732="L",3,IF(M732="A",4,6)))))))</f>
        <v/>
      </c>
      <c r="P732" s="54">
        <f>IF(I732="I",O732*Contagem!$W$15,IF(I732="E",O732*Contagem!$W$17,IF(I732="A",O732*Contagem!$W$16,IF(I732="T",O732*Contagem!$W$18,""))))</f>
        <v/>
      </c>
      <c r="Q732" s="55" t="n"/>
    </row>
    <row r="733" ht="12" customHeight="1" s="73">
      <c r="A733" s="14">
        <f>IF(H733="",IF(C733="",A732,A732+1),A732)</f>
        <v/>
      </c>
      <c r="B733" s="48">
        <f>IF(A733=A732,"",CONCATENATE("F",A733))</f>
        <v/>
      </c>
      <c r="C733" s="85" t="n"/>
      <c r="D733" s="142" t="n"/>
      <c r="E733" s="142" t="n"/>
      <c r="F733" s="142" t="n"/>
      <c r="G733" s="143" t="n"/>
      <c r="H733" s="56" t="n"/>
      <c r="I733" s="57" t="n"/>
      <c r="J733" s="56" t="n"/>
      <c r="K733" s="56" t="n"/>
      <c r="L733" s="50">
        <f>CONCATENATE(H733,M733)</f>
        <v/>
      </c>
      <c r="M733" s="51">
        <f>IF(OR(ISBLANK(J733),ISBLANK(K733)),IF(OR(H733="ALI",H733="AIE"),"L",IF(ISBLANK(H733),"","A")),IF(H733="EE",IF(K733&gt;=3,IF(J733&gt;=5,"H","A"),IF(K733&gt;=2,IF(J733&gt;=16,"H",IF(J733&lt;=4,"L","A")),IF(J733&lt;=15,"L","A"))),IF(OR(H733="SE",H733="CE"),IF(K733&gt;=4,IF(J733&gt;=6,"H","A"),IF(K733&gt;=2,IF(J733&gt;=20,"H",IF(J733&lt;=5,"L","A")),IF(J733&lt;=19,"L","A"))),IF(OR(H733="ALI",H733="AIE"),IF(K733&gt;=6,IF(J733&gt;=20,"H","A"),IF(K733&gt;=2,IF(J733&gt;=51,"H",IF(J733&lt;=19,"L","A")),IF(J733&lt;=50,"L","A")))))))</f>
        <v/>
      </c>
      <c r="N733" s="52">
        <f>IF(M733="L","Baixa",IF(M733="A","Média",IF(M733="","","Alta")))</f>
        <v/>
      </c>
      <c r="O733" s="53">
        <f>IF(ISBLANK(H733),"",IF(H733="ALI",IF(M733="L",7,IF(M733="A",10,15)),IF(H733="AIE",IF(M733="L",5,IF(M733="A",7,10)),IF(H733="SE",IF(M733="L",4,IF(M733="A",5,7)),IF(OR(H733="EE",H733="CE"),IF(M733="L",3,IF(M733="A",4,6)))))))</f>
        <v/>
      </c>
      <c r="P733" s="54">
        <f>IF(I733="I",O733*Contagem!$W$15,IF(I733="E",O733*Contagem!$W$17,IF(I733="A",O733*Contagem!$W$16,IF(I733="T",O733*Contagem!$W$18,""))))</f>
        <v/>
      </c>
      <c r="Q733" s="55" t="n"/>
    </row>
    <row r="734" ht="12" customHeight="1" s="73">
      <c r="A734" s="14">
        <f>IF(H734="",IF(C734="",A733,A733+1),A733)</f>
        <v/>
      </c>
      <c r="B734" s="48">
        <f>IF(A734=A733,"",CONCATENATE("F",A734))</f>
        <v/>
      </c>
      <c r="C734" s="85" t="n"/>
      <c r="D734" s="142" t="n"/>
      <c r="E734" s="142" t="n"/>
      <c r="F734" s="142" t="n"/>
      <c r="G734" s="143" t="n"/>
      <c r="H734" s="56" t="n"/>
      <c r="I734" s="57" t="n"/>
      <c r="J734" s="56" t="n"/>
      <c r="K734" s="56" t="n"/>
      <c r="L734" s="50">
        <f>CONCATENATE(H734,M734)</f>
        <v/>
      </c>
      <c r="M734" s="51">
        <f>IF(OR(ISBLANK(J734),ISBLANK(K734)),IF(OR(H734="ALI",H734="AIE"),"L",IF(ISBLANK(H734),"","A")),IF(H734="EE",IF(K734&gt;=3,IF(J734&gt;=5,"H","A"),IF(K734&gt;=2,IF(J734&gt;=16,"H",IF(J734&lt;=4,"L","A")),IF(J734&lt;=15,"L","A"))),IF(OR(H734="SE",H734="CE"),IF(K734&gt;=4,IF(J734&gt;=6,"H","A"),IF(K734&gt;=2,IF(J734&gt;=20,"H",IF(J734&lt;=5,"L","A")),IF(J734&lt;=19,"L","A"))),IF(OR(H734="ALI",H734="AIE"),IF(K734&gt;=6,IF(J734&gt;=20,"H","A"),IF(K734&gt;=2,IF(J734&gt;=51,"H",IF(J734&lt;=19,"L","A")),IF(J734&lt;=50,"L","A")))))))</f>
        <v/>
      </c>
      <c r="N734" s="52">
        <f>IF(M734="L","Baixa",IF(M734="A","Média",IF(M734="","","Alta")))</f>
        <v/>
      </c>
      <c r="O734" s="53">
        <f>IF(ISBLANK(H734),"",IF(H734="ALI",IF(M734="L",7,IF(M734="A",10,15)),IF(H734="AIE",IF(M734="L",5,IF(M734="A",7,10)),IF(H734="SE",IF(M734="L",4,IF(M734="A",5,7)),IF(OR(H734="EE",H734="CE"),IF(M734="L",3,IF(M734="A",4,6)))))))</f>
        <v/>
      </c>
      <c r="P734" s="54">
        <f>IF(I734="I",O734*Contagem!$W$15,IF(I734="E",O734*Contagem!$W$17,IF(I734="A",O734*Contagem!$W$16,IF(I734="T",O734*Contagem!$W$18,""))))</f>
        <v/>
      </c>
      <c r="Q734" s="55" t="n"/>
    </row>
    <row r="735" ht="12" customHeight="1" s="73">
      <c r="A735" s="14">
        <f>IF(H735="",IF(C735="",A734,A734+1),A734)</f>
        <v/>
      </c>
      <c r="B735" s="48">
        <f>IF(A735=A734,"",CONCATENATE("F",A735))</f>
        <v/>
      </c>
      <c r="C735" s="85" t="n"/>
      <c r="D735" s="142" t="n"/>
      <c r="E735" s="142" t="n"/>
      <c r="F735" s="142" t="n"/>
      <c r="G735" s="143" t="n"/>
      <c r="H735" s="56" t="n"/>
      <c r="I735" s="57" t="n"/>
      <c r="J735" s="56" t="n"/>
      <c r="K735" s="56" t="n"/>
      <c r="L735" s="50">
        <f>CONCATENATE(H735,M735)</f>
        <v/>
      </c>
      <c r="M735" s="51">
        <f>IF(OR(ISBLANK(J735),ISBLANK(K735)),IF(OR(H735="ALI",H735="AIE"),"L",IF(ISBLANK(H735),"","A")),IF(H735="EE",IF(K735&gt;=3,IF(J735&gt;=5,"H","A"),IF(K735&gt;=2,IF(J735&gt;=16,"H",IF(J735&lt;=4,"L","A")),IF(J735&lt;=15,"L","A"))),IF(OR(H735="SE",H735="CE"),IF(K735&gt;=4,IF(J735&gt;=6,"H","A"),IF(K735&gt;=2,IF(J735&gt;=20,"H",IF(J735&lt;=5,"L","A")),IF(J735&lt;=19,"L","A"))),IF(OR(H735="ALI",H735="AIE"),IF(K735&gt;=6,IF(J735&gt;=20,"H","A"),IF(K735&gt;=2,IF(J735&gt;=51,"H",IF(J735&lt;=19,"L","A")),IF(J735&lt;=50,"L","A")))))))</f>
        <v/>
      </c>
      <c r="N735" s="52">
        <f>IF(M735="L","Baixa",IF(M735="A","Média",IF(M735="","","Alta")))</f>
        <v/>
      </c>
      <c r="O735" s="53">
        <f>IF(ISBLANK(H735),"",IF(H735="ALI",IF(M735="L",7,IF(M735="A",10,15)),IF(H735="AIE",IF(M735="L",5,IF(M735="A",7,10)),IF(H735="SE",IF(M735="L",4,IF(M735="A",5,7)),IF(OR(H735="EE",H735="CE"),IF(M735="L",3,IF(M735="A",4,6)))))))</f>
        <v/>
      </c>
      <c r="P735" s="54">
        <f>IF(I735="I",O735*Contagem!$W$15,IF(I735="E",O735*Contagem!$W$17,IF(I735="A",O735*Contagem!$W$16,IF(I735="T",O735*Contagem!$W$18,""))))</f>
        <v/>
      </c>
      <c r="Q735" s="55" t="n"/>
    </row>
    <row r="736" ht="12" customHeight="1" s="73">
      <c r="A736" s="14">
        <f>IF(H736="",IF(C736="",A735,A735+1),A735)</f>
        <v/>
      </c>
      <c r="B736" s="48">
        <f>IF(A736=A735,"",CONCATENATE("F",A736))</f>
        <v/>
      </c>
      <c r="C736" s="85" t="n"/>
      <c r="D736" s="142" t="n"/>
      <c r="E736" s="142" t="n"/>
      <c r="F736" s="142" t="n"/>
      <c r="G736" s="143" t="n"/>
      <c r="H736" s="56" t="n"/>
      <c r="I736" s="57" t="n"/>
      <c r="J736" s="56" t="n"/>
      <c r="K736" s="56" t="n"/>
      <c r="L736" s="50">
        <f>CONCATENATE(H736,M736)</f>
        <v/>
      </c>
      <c r="M736" s="51">
        <f>IF(OR(ISBLANK(J736),ISBLANK(K736)),IF(OR(H736="ALI",H736="AIE"),"L",IF(ISBLANK(H736),"","A")),IF(H736="EE",IF(K736&gt;=3,IF(J736&gt;=5,"H","A"),IF(K736&gt;=2,IF(J736&gt;=16,"H",IF(J736&lt;=4,"L","A")),IF(J736&lt;=15,"L","A"))),IF(OR(H736="SE",H736="CE"),IF(K736&gt;=4,IF(J736&gt;=6,"H","A"),IF(K736&gt;=2,IF(J736&gt;=20,"H",IF(J736&lt;=5,"L","A")),IF(J736&lt;=19,"L","A"))),IF(OR(H736="ALI",H736="AIE"),IF(K736&gt;=6,IF(J736&gt;=20,"H","A"),IF(K736&gt;=2,IF(J736&gt;=51,"H",IF(J736&lt;=19,"L","A")),IF(J736&lt;=50,"L","A")))))))</f>
        <v/>
      </c>
      <c r="N736" s="52">
        <f>IF(M736="L","Baixa",IF(M736="A","Média",IF(M736="","","Alta")))</f>
        <v/>
      </c>
      <c r="O736" s="53">
        <f>IF(ISBLANK(H736),"",IF(H736="ALI",IF(M736="L",7,IF(M736="A",10,15)),IF(H736="AIE",IF(M736="L",5,IF(M736="A",7,10)),IF(H736="SE",IF(M736="L",4,IF(M736="A",5,7)),IF(OR(H736="EE",H736="CE"),IF(M736="L",3,IF(M736="A",4,6)))))))</f>
        <v/>
      </c>
      <c r="P736" s="54">
        <f>IF(I736="I",O736*Contagem!$W$15,IF(I736="E",O736*Contagem!$W$17,IF(I736="A",O736*Contagem!$W$16,IF(I736="T",O736*Contagem!$W$18,""))))</f>
        <v/>
      </c>
      <c r="Q736" s="55" t="n"/>
    </row>
    <row r="737" ht="12" customHeight="1" s="73">
      <c r="A737" s="14">
        <f>IF(H737="",IF(C737="",A736,A736+1),A736)</f>
        <v/>
      </c>
      <c r="B737" s="48">
        <f>IF(A737=A736,"",CONCATENATE("F",A737))</f>
        <v/>
      </c>
      <c r="C737" s="85" t="n"/>
      <c r="D737" s="142" t="n"/>
      <c r="E737" s="142" t="n"/>
      <c r="F737" s="142" t="n"/>
      <c r="G737" s="143" t="n"/>
      <c r="H737" s="56" t="n"/>
      <c r="I737" s="57" t="n"/>
      <c r="J737" s="56" t="n"/>
      <c r="K737" s="56" t="n"/>
      <c r="L737" s="50">
        <f>CONCATENATE(H737,M737)</f>
        <v/>
      </c>
      <c r="M737" s="51">
        <f>IF(OR(ISBLANK(J737),ISBLANK(K737)),IF(OR(H737="ALI",H737="AIE"),"L",IF(ISBLANK(H737),"","A")),IF(H737="EE",IF(K737&gt;=3,IF(J737&gt;=5,"H","A"),IF(K737&gt;=2,IF(J737&gt;=16,"H",IF(J737&lt;=4,"L","A")),IF(J737&lt;=15,"L","A"))),IF(OR(H737="SE",H737="CE"),IF(K737&gt;=4,IF(J737&gt;=6,"H","A"),IF(K737&gt;=2,IF(J737&gt;=20,"H",IF(J737&lt;=5,"L","A")),IF(J737&lt;=19,"L","A"))),IF(OR(H737="ALI",H737="AIE"),IF(K737&gt;=6,IF(J737&gt;=20,"H","A"),IF(K737&gt;=2,IF(J737&gt;=51,"H",IF(J737&lt;=19,"L","A")),IF(J737&lt;=50,"L","A")))))))</f>
        <v/>
      </c>
      <c r="N737" s="52">
        <f>IF(M737="L","Baixa",IF(M737="A","Média",IF(M737="","","Alta")))</f>
        <v/>
      </c>
      <c r="O737" s="53">
        <f>IF(ISBLANK(H737),"",IF(H737="ALI",IF(M737="L",7,IF(M737="A",10,15)),IF(H737="AIE",IF(M737="L",5,IF(M737="A",7,10)),IF(H737="SE",IF(M737="L",4,IF(M737="A",5,7)),IF(OR(H737="EE",H737="CE"),IF(M737="L",3,IF(M737="A",4,6)))))))</f>
        <v/>
      </c>
      <c r="P737" s="54">
        <f>IF(I737="I",O737*Contagem!$W$15,IF(I737="E",O737*Contagem!$W$17,IF(I737="A",O737*Contagem!$W$16,IF(I737="T",O737*Contagem!$W$18,""))))</f>
        <v/>
      </c>
      <c r="Q737" s="55" t="n"/>
    </row>
    <row r="738" ht="12" customHeight="1" s="73">
      <c r="A738" s="14">
        <f>IF(H738="",IF(C738="",A737,A737+1),A737)</f>
        <v/>
      </c>
      <c r="B738" s="48">
        <f>IF(A738=A737,"",CONCATENATE("F",A738))</f>
        <v/>
      </c>
      <c r="C738" s="85" t="n"/>
      <c r="D738" s="142" t="n"/>
      <c r="E738" s="142" t="n"/>
      <c r="F738" s="142" t="n"/>
      <c r="G738" s="143" t="n"/>
      <c r="H738" s="56" t="n"/>
      <c r="I738" s="57" t="n"/>
      <c r="J738" s="56" t="n"/>
      <c r="K738" s="56" t="n"/>
      <c r="L738" s="50">
        <f>CONCATENATE(H738,M738)</f>
        <v/>
      </c>
      <c r="M738" s="51">
        <f>IF(OR(ISBLANK(J738),ISBLANK(K738)),IF(OR(H738="ALI",H738="AIE"),"L",IF(ISBLANK(H738),"","A")),IF(H738="EE",IF(K738&gt;=3,IF(J738&gt;=5,"H","A"),IF(K738&gt;=2,IF(J738&gt;=16,"H",IF(J738&lt;=4,"L","A")),IF(J738&lt;=15,"L","A"))),IF(OR(H738="SE",H738="CE"),IF(K738&gt;=4,IF(J738&gt;=6,"H","A"),IF(K738&gt;=2,IF(J738&gt;=20,"H",IF(J738&lt;=5,"L","A")),IF(J738&lt;=19,"L","A"))),IF(OR(H738="ALI",H738="AIE"),IF(K738&gt;=6,IF(J738&gt;=20,"H","A"),IF(K738&gt;=2,IF(J738&gt;=51,"H",IF(J738&lt;=19,"L","A")),IF(J738&lt;=50,"L","A")))))))</f>
        <v/>
      </c>
      <c r="N738" s="52">
        <f>IF(M738="L","Baixa",IF(M738="A","Média",IF(M738="","","Alta")))</f>
        <v/>
      </c>
      <c r="O738" s="53">
        <f>IF(ISBLANK(H738),"",IF(H738="ALI",IF(M738="L",7,IF(M738="A",10,15)),IF(H738="AIE",IF(M738="L",5,IF(M738="A",7,10)),IF(H738="SE",IF(M738="L",4,IF(M738="A",5,7)),IF(OR(H738="EE",H738="CE"),IF(M738="L",3,IF(M738="A",4,6)))))))</f>
        <v/>
      </c>
      <c r="P738" s="54">
        <f>IF(I738="I",O738*Contagem!$W$15,IF(I738="E",O738*Contagem!$W$17,IF(I738="A",O738*Contagem!$W$16,IF(I738="T",O738*Contagem!$W$18,""))))</f>
        <v/>
      </c>
      <c r="Q738" s="55" t="n"/>
    </row>
    <row r="739" ht="12" customHeight="1" s="73">
      <c r="A739" s="14">
        <f>IF(H739="",IF(C739="",A738,A738+1),A738)</f>
        <v/>
      </c>
      <c r="B739" s="48">
        <f>IF(A739=A738,"",CONCATENATE("F",A739))</f>
        <v/>
      </c>
      <c r="C739" s="85" t="n"/>
      <c r="D739" s="142" t="n"/>
      <c r="E739" s="142" t="n"/>
      <c r="F739" s="142" t="n"/>
      <c r="G739" s="143" t="n"/>
      <c r="H739" s="56" t="n"/>
      <c r="I739" s="57" t="n"/>
      <c r="J739" s="56" t="n"/>
      <c r="K739" s="56" t="n"/>
      <c r="L739" s="50">
        <f>CONCATENATE(H739,M739)</f>
        <v/>
      </c>
      <c r="M739" s="51">
        <f>IF(OR(ISBLANK(J739),ISBLANK(K739)),IF(OR(H739="ALI",H739="AIE"),"L",IF(ISBLANK(H739),"","A")),IF(H739="EE",IF(K739&gt;=3,IF(J739&gt;=5,"H","A"),IF(K739&gt;=2,IF(J739&gt;=16,"H",IF(J739&lt;=4,"L","A")),IF(J739&lt;=15,"L","A"))),IF(OR(H739="SE",H739="CE"),IF(K739&gt;=4,IF(J739&gt;=6,"H","A"),IF(K739&gt;=2,IF(J739&gt;=20,"H",IF(J739&lt;=5,"L","A")),IF(J739&lt;=19,"L","A"))),IF(OR(H739="ALI",H739="AIE"),IF(K739&gt;=6,IF(J739&gt;=20,"H","A"),IF(K739&gt;=2,IF(J739&gt;=51,"H",IF(J739&lt;=19,"L","A")),IF(J739&lt;=50,"L","A")))))))</f>
        <v/>
      </c>
      <c r="N739" s="52">
        <f>IF(M739="L","Baixa",IF(M739="A","Média",IF(M739="","","Alta")))</f>
        <v/>
      </c>
      <c r="O739" s="53">
        <f>IF(ISBLANK(H739),"",IF(H739="ALI",IF(M739="L",7,IF(M739="A",10,15)),IF(H739="AIE",IF(M739="L",5,IF(M739="A",7,10)),IF(H739="SE",IF(M739="L",4,IF(M739="A",5,7)),IF(OR(H739="EE",H739="CE"),IF(M739="L",3,IF(M739="A",4,6)))))))</f>
        <v/>
      </c>
      <c r="P739" s="54">
        <f>IF(I739="I",O739*Contagem!$W$15,IF(I739="E",O739*Contagem!$W$17,IF(I739="A",O739*Contagem!$W$16,IF(I739="T",O739*Contagem!$W$18,""))))</f>
        <v/>
      </c>
      <c r="Q739" s="55" t="n"/>
    </row>
    <row r="740" ht="12" customHeight="1" s="73">
      <c r="A740" s="14">
        <f>IF(H740="",IF(C740="",A739,A739+1),A739)</f>
        <v/>
      </c>
      <c r="B740" s="48">
        <f>IF(A740=A739,"",CONCATENATE("F",A740))</f>
        <v/>
      </c>
      <c r="C740" s="85" t="n"/>
      <c r="D740" s="142" t="n"/>
      <c r="E740" s="142" t="n"/>
      <c r="F740" s="142" t="n"/>
      <c r="G740" s="143" t="n"/>
      <c r="H740" s="56" t="n"/>
      <c r="I740" s="57" t="n"/>
      <c r="J740" s="56" t="n"/>
      <c r="K740" s="56" t="n"/>
      <c r="L740" s="50">
        <f>CONCATENATE(H740,M740)</f>
        <v/>
      </c>
      <c r="M740" s="51">
        <f>IF(OR(ISBLANK(J740),ISBLANK(K740)),IF(OR(H740="ALI",H740="AIE"),"L",IF(ISBLANK(H740),"","A")),IF(H740="EE",IF(K740&gt;=3,IF(J740&gt;=5,"H","A"),IF(K740&gt;=2,IF(J740&gt;=16,"H",IF(J740&lt;=4,"L","A")),IF(J740&lt;=15,"L","A"))),IF(OR(H740="SE",H740="CE"),IF(K740&gt;=4,IF(J740&gt;=6,"H","A"),IF(K740&gt;=2,IF(J740&gt;=20,"H",IF(J740&lt;=5,"L","A")),IF(J740&lt;=19,"L","A"))),IF(OR(H740="ALI",H740="AIE"),IF(K740&gt;=6,IF(J740&gt;=20,"H","A"),IF(K740&gt;=2,IF(J740&gt;=51,"H",IF(J740&lt;=19,"L","A")),IF(J740&lt;=50,"L","A")))))))</f>
        <v/>
      </c>
      <c r="N740" s="52">
        <f>IF(M740="L","Baixa",IF(M740="A","Média",IF(M740="","","Alta")))</f>
        <v/>
      </c>
      <c r="O740" s="53">
        <f>IF(ISBLANK(H740),"",IF(H740="ALI",IF(M740="L",7,IF(M740="A",10,15)),IF(H740="AIE",IF(M740="L",5,IF(M740="A",7,10)),IF(H740="SE",IF(M740="L",4,IF(M740="A",5,7)),IF(OR(H740="EE",H740="CE"),IF(M740="L",3,IF(M740="A",4,6)))))))</f>
        <v/>
      </c>
      <c r="P740" s="54">
        <f>IF(I740="I",O740*Contagem!$W$15,IF(I740="E",O740*Contagem!$W$17,IF(I740="A",O740*Contagem!$W$16,IF(I740="T",O740*Contagem!$W$18,""))))</f>
        <v/>
      </c>
      <c r="Q740" s="55" t="n"/>
    </row>
    <row r="741" ht="12" customHeight="1" s="73">
      <c r="A741" s="14">
        <f>IF(H741="",IF(C741="",A740,A740+1),A740)</f>
        <v/>
      </c>
      <c r="B741" s="48">
        <f>IF(A741=A740,"",CONCATENATE("F",A741))</f>
        <v/>
      </c>
      <c r="C741" s="85" t="n"/>
      <c r="D741" s="142" t="n"/>
      <c r="E741" s="142" t="n"/>
      <c r="F741" s="142" t="n"/>
      <c r="G741" s="143" t="n"/>
      <c r="H741" s="56" t="n"/>
      <c r="I741" s="57" t="n"/>
      <c r="J741" s="56" t="n"/>
      <c r="K741" s="56" t="n"/>
      <c r="L741" s="50">
        <f>CONCATENATE(H741,M741)</f>
        <v/>
      </c>
      <c r="M741" s="51">
        <f>IF(OR(ISBLANK(J741),ISBLANK(K741)),IF(OR(H741="ALI",H741="AIE"),"L",IF(ISBLANK(H741),"","A")),IF(H741="EE",IF(K741&gt;=3,IF(J741&gt;=5,"H","A"),IF(K741&gt;=2,IF(J741&gt;=16,"H",IF(J741&lt;=4,"L","A")),IF(J741&lt;=15,"L","A"))),IF(OR(H741="SE",H741="CE"),IF(K741&gt;=4,IF(J741&gt;=6,"H","A"),IF(K741&gt;=2,IF(J741&gt;=20,"H",IF(J741&lt;=5,"L","A")),IF(J741&lt;=19,"L","A"))),IF(OR(H741="ALI",H741="AIE"),IF(K741&gt;=6,IF(J741&gt;=20,"H","A"),IF(K741&gt;=2,IF(J741&gt;=51,"H",IF(J741&lt;=19,"L","A")),IF(J741&lt;=50,"L","A")))))))</f>
        <v/>
      </c>
      <c r="N741" s="52">
        <f>IF(M741="L","Baixa",IF(M741="A","Média",IF(M741="","","Alta")))</f>
        <v/>
      </c>
      <c r="O741" s="53">
        <f>IF(ISBLANK(H741),"",IF(H741="ALI",IF(M741="L",7,IF(M741="A",10,15)),IF(H741="AIE",IF(M741="L",5,IF(M741="A",7,10)),IF(H741="SE",IF(M741="L",4,IF(M741="A",5,7)),IF(OR(H741="EE",H741="CE"),IF(M741="L",3,IF(M741="A",4,6)))))))</f>
        <v/>
      </c>
      <c r="P741" s="54">
        <f>IF(I741="I",O741*Contagem!$W$15,IF(I741="E",O741*Contagem!$W$17,IF(I741="A",O741*Contagem!$W$16,IF(I741="T",O741*Contagem!$W$18,""))))</f>
        <v/>
      </c>
      <c r="Q741" s="55" t="n"/>
    </row>
    <row r="742" ht="12" customHeight="1" s="73">
      <c r="A742" s="14">
        <f>IF(H742="",IF(C742="",A741,A741+1),A741)</f>
        <v/>
      </c>
      <c r="B742" s="48">
        <f>IF(A742=A741,"",CONCATENATE("F",A742))</f>
        <v/>
      </c>
      <c r="C742" s="85" t="n"/>
      <c r="D742" s="142" t="n"/>
      <c r="E742" s="142" t="n"/>
      <c r="F742" s="142" t="n"/>
      <c r="G742" s="143" t="n"/>
      <c r="H742" s="56" t="n"/>
      <c r="I742" s="57" t="n"/>
      <c r="J742" s="56" t="n"/>
      <c r="K742" s="56" t="n"/>
      <c r="L742" s="50">
        <f>CONCATENATE(H742,M742)</f>
        <v/>
      </c>
      <c r="M742" s="51">
        <f>IF(OR(ISBLANK(J742),ISBLANK(K742)),IF(OR(H742="ALI",H742="AIE"),"L",IF(ISBLANK(H742),"","A")),IF(H742="EE",IF(K742&gt;=3,IF(J742&gt;=5,"H","A"),IF(K742&gt;=2,IF(J742&gt;=16,"H",IF(J742&lt;=4,"L","A")),IF(J742&lt;=15,"L","A"))),IF(OR(H742="SE",H742="CE"),IF(K742&gt;=4,IF(J742&gt;=6,"H","A"),IF(K742&gt;=2,IF(J742&gt;=20,"H",IF(J742&lt;=5,"L","A")),IF(J742&lt;=19,"L","A"))),IF(OR(H742="ALI",H742="AIE"),IF(K742&gt;=6,IF(J742&gt;=20,"H","A"),IF(K742&gt;=2,IF(J742&gt;=51,"H",IF(J742&lt;=19,"L","A")),IF(J742&lt;=50,"L","A")))))))</f>
        <v/>
      </c>
      <c r="N742" s="52">
        <f>IF(M742="L","Baixa",IF(M742="A","Média",IF(M742="","","Alta")))</f>
        <v/>
      </c>
      <c r="O742" s="53">
        <f>IF(ISBLANK(H742),"",IF(H742="ALI",IF(M742="L",7,IF(M742="A",10,15)),IF(H742="AIE",IF(M742="L",5,IF(M742="A",7,10)),IF(H742="SE",IF(M742="L",4,IF(M742="A",5,7)),IF(OR(H742="EE",H742="CE"),IF(M742="L",3,IF(M742="A",4,6)))))))</f>
        <v/>
      </c>
      <c r="P742" s="54">
        <f>IF(I742="I",O742*Contagem!$W$15,IF(I742="E",O742*Contagem!$W$17,IF(I742="A",O742*Contagem!$W$16,IF(I742="T",O742*Contagem!$W$18,""))))</f>
        <v/>
      </c>
      <c r="Q742" s="55" t="n"/>
    </row>
    <row r="743" ht="12" customHeight="1" s="73">
      <c r="A743" s="14">
        <f>IF(H743="",IF(C743="",A742,A742+1),A742)</f>
        <v/>
      </c>
      <c r="B743" s="48">
        <f>IF(A743=A742,"",CONCATENATE("F",A743))</f>
        <v/>
      </c>
      <c r="C743" s="85" t="n"/>
      <c r="D743" s="142" t="n"/>
      <c r="E743" s="142" t="n"/>
      <c r="F743" s="142" t="n"/>
      <c r="G743" s="143" t="n"/>
      <c r="H743" s="56" t="n"/>
      <c r="I743" s="57" t="n"/>
      <c r="J743" s="56" t="n"/>
      <c r="K743" s="56" t="n"/>
      <c r="L743" s="50">
        <f>CONCATENATE(H743,M743)</f>
        <v/>
      </c>
      <c r="M743" s="51">
        <f>IF(OR(ISBLANK(J743),ISBLANK(K743)),IF(OR(H743="ALI",H743="AIE"),"L",IF(ISBLANK(H743),"","A")),IF(H743="EE",IF(K743&gt;=3,IF(J743&gt;=5,"H","A"),IF(K743&gt;=2,IF(J743&gt;=16,"H",IF(J743&lt;=4,"L","A")),IF(J743&lt;=15,"L","A"))),IF(OR(H743="SE",H743="CE"),IF(K743&gt;=4,IF(J743&gt;=6,"H","A"),IF(K743&gt;=2,IF(J743&gt;=20,"H",IF(J743&lt;=5,"L","A")),IF(J743&lt;=19,"L","A"))),IF(OR(H743="ALI",H743="AIE"),IF(K743&gt;=6,IF(J743&gt;=20,"H","A"),IF(K743&gt;=2,IF(J743&gt;=51,"H",IF(J743&lt;=19,"L","A")),IF(J743&lt;=50,"L","A")))))))</f>
        <v/>
      </c>
      <c r="N743" s="52">
        <f>IF(M743="L","Baixa",IF(M743="A","Média",IF(M743="","","Alta")))</f>
        <v/>
      </c>
      <c r="O743" s="53">
        <f>IF(ISBLANK(H743),"",IF(H743="ALI",IF(M743="L",7,IF(M743="A",10,15)),IF(H743="AIE",IF(M743="L",5,IF(M743="A",7,10)),IF(H743="SE",IF(M743="L",4,IF(M743="A",5,7)),IF(OR(H743="EE",H743="CE"),IF(M743="L",3,IF(M743="A",4,6)))))))</f>
        <v/>
      </c>
      <c r="P743" s="54">
        <f>IF(I743="I",O743*Contagem!$W$15,IF(I743="E",O743*Contagem!$W$17,IF(I743="A",O743*Contagem!$W$16,IF(I743="T",O743*Contagem!$W$18,""))))</f>
        <v/>
      </c>
      <c r="Q743" s="55" t="n"/>
    </row>
    <row r="744" ht="12" customHeight="1" s="73">
      <c r="A744" s="14">
        <f>IF(H744="",IF(C744="",A743,A743+1),A743)</f>
        <v/>
      </c>
      <c r="B744" s="48">
        <f>IF(A744=A743,"",CONCATENATE("F",A744))</f>
        <v/>
      </c>
      <c r="C744" s="85" t="n"/>
      <c r="D744" s="142" t="n"/>
      <c r="E744" s="142" t="n"/>
      <c r="F744" s="142" t="n"/>
      <c r="G744" s="143" t="n"/>
      <c r="H744" s="56" t="n"/>
      <c r="I744" s="57" t="n"/>
      <c r="J744" s="56" t="n"/>
      <c r="K744" s="56" t="n"/>
      <c r="L744" s="50">
        <f>CONCATENATE(H744,M744)</f>
        <v/>
      </c>
      <c r="M744" s="51">
        <f>IF(OR(ISBLANK(J744),ISBLANK(K744)),IF(OR(H744="ALI",H744="AIE"),"L",IF(ISBLANK(H744),"","A")),IF(H744="EE",IF(K744&gt;=3,IF(J744&gt;=5,"H","A"),IF(K744&gt;=2,IF(J744&gt;=16,"H",IF(J744&lt;=4,"L","A")),IF(J744&lt;=15,"L","A"))),IF(OR(H744="SE",H744="CE"),IF(K744&gt;=4,IF(J744&gt;=6,"H","A"),IF(K744&gt;=2,IF(J744&gt;=20,"H",IF(J744&lt;=5,"L","A")),IF(J744&lt;=19,"L","A"))),IF(OR(H744="ALI",H744="AIE"),IF(K744&gt;=6,IF(J744&gt;=20,"H","A"),IF(K744&gt;=2,IF(J744&gt;=51,"H",IF(J744&lt;=19,"L","A")),IF(J744&lt;=50,"L","A")))))))</f>
        <v/>
      </c>
      <c r="N744" s="52">
        <f>IF(M744="L","Baixa",IF(M744="A","Média",IF(M744="","","Alta")))</f>
        <v/>
      </c>
      <c r="O744" s="53">
        <f>IF(ISBLANK(H744),"",IF(H744="ALI",IF(M744="L",7,IF(M744="A",10,15)),IF(H744="AIE",IF(M744="L",5,IF(M744="A",7,10)),IF(H744="SE",IF(M744="L",4,IF(M744="A",5,7)),IF(OR(H744="EE",H744="CE"),IF(M744="L",3,IF(M744="A",4,6)))))))</f>
        <v/>
      </c>
      <c r="P744" s="54">
        <f>IF(I744="I",O744*Contagem!$W$15,IF(I744="E",O744*Contagem!$W$17,IF(I744="A",O744*Contagem!$W$16,IF(I744="T",O744*Contagem!$W$18,""))))</f>
        <v/>
      </c>
      <c r="Q744" s="55" t="n"/>
    </row>
    <row r="745" ht="12" customHeight="1" s="73">
      <c r="A745" s="14">
        <f>IF(H745="",IF(C745="",A744,A744+1),A744)</f>
        <v/>
      </c>
      <c r="B745" s="48">
        <f>IF(A745=A744,"",CONCATENATE("F",A745))</f>
        <v/>
      </c>
      <c r="C745" s="85" t="n"/>
      <c r="D745" s="142" t="n"/>
      <c r="E745" s="142" t="n"/>
      <c r="F745" s="142" t="n"/>
      <c r="G745" s="143" t="n"/>
      <c r="H745" s="56" t="n"/>
      <c r="I745" s="57" t="n"/>
      <c r="J745" s="56" t="n"/>
      <c r="K745" s="56" t="n"/>
      <c r="L745" s="50">
        <f>CONCATENATE(H745,M745)</f>
        <v/>
      </c>
      <c r="M745" s="51">
        <f>IF(OR(ISBLANK(J745),ISBLANK(K745)),IF(OR(H745="ALI",H745="AIE"),"L",IF(ISBLANK(H745),"","A")),IF(H745="EE",IF(K745&gt;=3,IF(J745&gt;=5,"H","A"),IF(K745&gt;=2,IF(J745&gt;=16,"H",IF(J745&lt;=4,"L","A")),IF(J745&lt;=15,"L","A"))),IF(OR(H745="SE",H745="CE"),IF(K745&gt;=4,IF(J745&gt;=6,"H","A"),IF(K745&gt;=2,IF(J745&gt;=20,"H",IF(J745&lt;=5,"L","A")),IF(J745&lt;=19,"L","A"))),IF(OR(H745="ALI",H745="AIE"),IF(K745&gt;=6,IF(J745&gt;=20,"H","A"),IF(K745&gt;=2,IF(J745&gt;=51,"H",IF(J745&lt;=19,"L","A")),IF(J745&lt;=50,"L","A")))))))</f>
        <v/>
      </c>
      <c r="N745" s="52">
        <f>IF(M745="L","Baixa",IF(M745="A","Média",IF(M745="","","Alta")))</f>
        <v/>
      </c>
      <c r="O745" s="53">
        <f>IF(ISBLANK(H745),"",IF(H745="ALI",IF(M745="L",7,IF(M745="A",10,15)),IF(H745="AIE",IF(M745="L",5,IF(M745="A",7,10)),IF(H745="SE",IF(M745="L",4,IF(M745="A",5,7)),IF(OR(H745="EE",H745="CE"),IF(M745="L",3,IF(M745="A",4,6)))))))</f>
        <v/>
      </c>
      <c r="P745" s="54">
        <f>IF(I745="I",O745*Contagem!$W$15,IF(I745="E",O745*Contagem!$W$17,IF(I745="A",O745*Contagem!$W$16,IF(I745="T",O745*Contagem!$W$18,""))))</f>
        <v/>
      </c>
      <c r="Q745" s="55" t="n"/>
    </row>
    <row r="746" ht="12" customHeight="1" s="73">
      <c r="A746" s="14">
        <f>IF(H746="",IF(C746="",A745,A745+1),A745)</f>
        <v/>
      </c>
      <c r="B746" s="48">
        <f>IF(A746=A745,"",CONCATENATE("F",A746))</f>
        <v/>
      </c>
      <c r="C746" s="85" t="n"/>
      <c r="D746" s="142" t="n"/>
      <c r="E746" s="142" t="n"/>
      <c r="F746" s="142" t="n"/>
      <c r="G746" s="143" t="n"/>
      <c r="H746" s="56" t="n"/>
      <c r="I746" s="57" t="n"/>
      <c r="J746" s="56" t="n"/>
      <c r="K746" s="56" t="n"/>
      <c r="L746" s="50">
        <f>CONCATENATE(H746,M746)</f>
        <v/>
      </c>
      <c r="M746" s="51">
        <f>IF(OR(ISBLANK(J746),ISBLANK(K746)),IF(OR(H746="ALI",H746="AIE"),"L",IF(ISBLANK(H746),"","A")),IF(H746="EE",IF(K746&gt;=3,IF(J746&gt;=5,"H","A"),IF(K746&gt;=2,IF(J746&gt;=16,"H",IF(J746&lt;=4,"L","A")),IF(J746&lt;=15,"L","A"))),IF(OR(H746="SE",H746="CE"),IF(K746&gt;=4,IF(J746&gt;=6,"H","A"),IF(K746&gt;=2,IF(J746&gt;=20,"H",IF(J746&lt;=5,"L","A")),IF(J746&lt;=19,"L","A"))),IF(OR(H746="ALI",H746="AIE"),IF(K746&gt;=6,IF(J746&gt;=20,"H","A"),IF(K746&gt;=2,IF(J746&gt;=51,"H",IF(J746&lt;=19,"L","A")),IF(J746&lt;=50,"L","A")))))))</f>
        <v/>
      </c>
      <c r="N746" s="52">
        <f>IF(M746="L","Baixa",IF(M746="A","Média",IF(M746="","","Alta")))</f>
        <v/>
      </c>
      <c r="O746" s="53">
        <f>IF(ISBLANK(H746),"",IF(H746="ALI",IF(M746="L",7,IF(M746="A",10,15)),IF(H746="AIE",IF(M746="L",5,IF(M746="A",7,10)),IF(H746="SE",IF(M746="L",4,IF(M746="A",5,7)),IF(OR(H746="EE",H746="CE"),IF(M746="L",3,IF(M746="A",4,6)))))))</f>
        <v/>
      </c>
      <c r="P746" s="54">
        <f>IF(I746="I",O746*Contagem!$W$15,IF(I746="E",O746*Contagem!$W$17,IF(I746="A",O746*Contagem!$W$16,IF(I746="T",O746*Contagem!$W$18,""))))</f>
        <v/>
      </c>
      <c r="Q746" s="55" t="n"/>
    </row>
    <row r="747" ht="12" customHeight="1" s="73">
      <c r="A747" s="14">
        <f>IF(H747="",IF(C747="",A746,A746+1),A746)</f>
        <v/>
      </c>
      <c r="B747" s="48">
        <f>IF(A747=A746,"",CONCATENATE("F",A747))</f>
        <v/>
      </c>
      <c r="C747" s="85" t="n"/>
      <c r="D747" s="142" t="n"/>
      <c r="E747" s="142" t="n"/>
      <c r="F747" s="142" t="n"/>
      <c r="G747" s="143" t="n"/>
      <c r="H747" s="56" t="n"/>
      <c r="I747" s="57" t="n"/>
      <c r="J747" s="56" t="n"/>
      <c r="K747" s="56" t="n"/>
      <c r="L747" s="50">
        <f>CONCATENATE(H747,M747)</f>
        <v/>
      </c>
      <c r="M747" s="51">
        <f>IF(OR(ISBLANK(J747),ISBLANK(K747)),IF(OR(H747="ALI",H747="AIE"),"L",IF(ISBLANK(H747),"","A")),IF(H747="EE",IF(K747&gt;=3,IF(J747&gt;=5,"H","A"),IF(K747&gt;=2,IF(J747&gt;=16,"H",IF(J747&lt;=4,"L","A")),IF(J747&lt;=15,"L","A"))),IF(OR(H747="SE",H747="CE"),IF(K747&gt;=4,IF(J747&gt;=6,"H","A"),IF(K747&gt;=2,IF(J747&gt;=20,"H",IF(J747&lt;=5,"L","A")),IF(J747&lt;=19,"L","A"))),IF(OR(H747="ALI",H747="AIE"),IF(K747&gt;=6,IF(J747&gt;=20,"H","A"),IF(K747&gt;=2,IF(J747&gt;=51,"H",IF(J747&lt;=19,"L","A")),IF(J747&lt;=50,"L","A")))))))</f>
        <v/>
      </c>
      <c r="N747" s="52">
        <f>IF(M747="L","Baixa",IF(M747="A","Média",IF(M747="","","Alta")))</f>
        <v/>
      </c>
      <c r="O747" s="53">
        <f>IF(ISBLANK(H747),"",IF(H747="ALI",IF(M747="L",7,IF(M747="A",10,15)),IF(H747="AIE",IF(M747="L",5,IF(M747="A",7,10)),IF(H747="SE",IF(M747="L",4,IF(M747="A",5,7)),IF(OR(H747="EE",H747="CE"),IF(M747="L",3,IF(M747="A",4,6)))))))</f>
        <v/>
      </c>
      <c r="P747" s="54">
        <f>IF(I747="I",O747*Contagem!$W$15,IF(I747="E",O747*Contagem!$W$17,IF(I747="A",O747*Contagem!$W$16,IF(I747="T",O747*Contagem!$W$18,""))))</f>
        <v/>
      </c>
      <c r="Q747" s="55" t="n"/>
    </row>
    <row r="748" ht="12" customHeight="1" s="73">
      <c r="A748" s="14">
        <f>IF(H748="",IF(C748="",A747,A747+1),A747)</f>
        <v/>
      </c>
      <c r="B748" s="48">
        <f>IF(A748=A747,"",CONCATENATE("F",A748))</f>
        <v/>
      </c>
      <c r="C748" s="85" t="n"/>
      <c r="D748" s="142" t="n"/>
      <c r="E748" s="142" t="n"/>
      <c r="F748" s="142" t="n"/>
      <c r="G748" s="143" t="n"/>
      <c r="H748" s="56" t="n"/>
      <c r="I748" s="57" t="n"/>
      <c r="J748" s="56" t="n"/>
      <c r="K748" s="56" t="n"/>
      <c r="L748" s="50">
        <f>CONCATENATE(H748,M748)</f>
        <v/>
      </c>
      <c r="M748" s="51">
        <f>IF(OR(ISBLANK(J748),ISBLANK(K748)),IF(OR(H748="ALI",H748="AIE"),"L",IF(ISBLANK(H748),"","A")),IF(H748="EE",IF(K748&gt;=3,IF(J748&gt;=5,"H","A"),IF(K748&gt;=2,IF(J748&gt;=16,"H",IF(J748&lt;=4,"L","A")),IF(J748&lt;=15,"L","A"))),IF(OR(H748="SE",H748="CE"),IF(K748&gt;=4,IF(J748&gt;=6,"H","A"),IF(K748&gt;=2,IF(J748&gt;=20,"H",IF(J748&lt;=5,"L","A")),IF(J748&lt;=19,"L","A"))),IF(OR(H748="ALI",H748="AIE"),IF(K748&gt;=6,IF(J748&gt;=20,"H","A"),IF(K748&gt;=2,IF(J748&gt;=51,"H",IF(J748&lt;=19,"L","A")),IF(J748&lt;=50,"L","A")))))))</f>
        <v/>
      </c>
      <c r="N748" s="52">
        <f>IF(M748="L","Baixa",IF(M748="A","Média",IF(M748="","","Alta")))</f>
        <v/>
      </c>
      <c r="O748" s="53">
        <f>IF(ISBLANK(H748),"",IF(H748="ALI",IF(M748="L",7,IF(M748="A",10,15)),IF(H748="AIE",IF(M748="L",5,IF(M748="A",7,10)),IF(H748="SE",IF(M748="L",4,IF(M748="A",5,7)),IF(OR(H748="EE",H748="CE"),IF(M748="L",3,IF(M748="A",4,6)))))))</f>
        <v/>
      </c>
      <c r="P748" s="54">
        <f>IF(I748="I",O748*Contagem!$W$15,IF(I748="E",O748*Contagem!$W$17,IF(I748="A",O748*Contagem!$W$16,IF(I748="T",O748*Contagem!$W$18,""))))</f>
        <v/>
      </c>
      <c r="Q748" s="55" t="n"/>
    </row>
    <row r="749" ht="12" customHeight="1" s="73">
      <c r="A749" s="14">
        <f>IF(H749="",IF(C749="",A748,A748+1),A748)</f>
        <v/>
      </c>
      <c r="B749" s="48">
        <f>IF(A749=A748,"",CONCATENATE("F",A749))</f>
        <v/>
      </c>
      <c r="C749" s="85" t="n"/>
      <c r="D749" s="142" t="n"/>
      <c r="E749" s="142" t="n"/>
      <c r="F749" s="142" t="n"/>
      <c r="G749" s="143" t="n"/>
      <c r="H749" s="56" t="n"/>
      <c r="I749" s="57" t="n"/>
      <c r="J749" s="56" t="n"/>
      <c r="K749" s="56" t="n"/>
      <c r="L749" s="50">
        <f>CONCATENATE(H749,M749)</f>
        <v/>
      </c>
      <c r="M749" s="51">
        <f>IF(OR(ISBLANK(J749),ISBLANK(K749)),IF(OR(H749="ALI",H749="AIE"),"L",IF(ISBLANK(H749),"","A")),IF(H749="EE",IF(K749&gt;=3,IF(J749&gt;=5,"H","A"),IF(K749&gt;=2,IF(J749&gt;=16,"H",IF(J749&lt;=4,"L","A")),IF(J749&lt;=15,"L","A"))),IF(OR(H749="SE",H749="CE"),IF(K749&gt;=4,IF(J749&gt;=6,"H","A"),IF(K749&gt;=2,IF(J749&gt;=20,"H",IF(J749&lt;=5,"L","A")),IF(J749&lt;=19,"L","A"))),IF(OR(H749="ALI",H749="AIE"),IF(K749&gt;=6,IF(J749&gt;=20,"H","A"),IF(K749&gt;=2,IF(J749&gt;=51,"H",IF(J749&lt;=19,"L","A")),IF(J749&lt;=50,"L","A")))))))</f>
        <v/>
      </c>
      <c r="N749" s="52">
        <f>IF(M749="L","Baixa",IF(M749="A","Média",IF(M749="","","Alta")))</f>
        <v/>
      </c>
      <c r="O749" s="53">
        <f>IF(ISBLANK(H749),"",IF(H749="ALI",IF(M749="L",7,IF(M749="A",10,15)),IF(H749="AIE",IF(M749="L",5,IF(M749="A",7,10)),IF(H749="SE",IF(M749="L",4,IF(M749="A",5,7)),IF(OR(H749="EE",H749="CE"),IF(M749="L",3,IF(M749="A",4,6)))))))</f>
        <v/>
      </c>
      <c r="P749" s="54">
        <f>IF(I749="I",O749*Contagem!$W$15,IF(I749="E",O749*Contagem!$W$17,IF(I749="A",O749*Contagem!$W$16,IF(I749="T",O749*Contagem!$W$18,""))))</f>
        <v/>
      </c>
      <c r="Q749" s="55" t="n"/>
    </row>
    <row r="750" ht="12" customHeight="1" s="73">
      <c r="A750" s="14">
        <f>IF(H750="",IF(C750="",A749,A749+1),A749)</f>
        <v/>
      </c>
      <c r="B750" s="48">
        <f>IF(A750=A749,"",CONCATENATE("F",A750))</f>
        <v/>
      </c>
      <c r="C750" s="85" t="n"/>
      <c r="D750" s="142" t="n"/>
      <c r="E750" s="142" t="n"/>
      <c r="F750" s="142" t="n"/>
      <c r="G750" s="143" t="n"/>
      <c r="H750" s="56" t="n"/>
      <c r="I750" s="57" t="n"/>
      <c r="J750" s="56" t="n"/>
      <c r="K750" s="56" t="n"/>
      <c r="L750" s="50">
        <f>CONCATENATE(H750,M750)</f>
        <v/>
      </c>
      <c r="M750" s="51">
        <f>IF(OR(ISBLANK(J750),ISBLANK(K750)),IF(OR(H750="ALI",H750="AIE"),"L",IF(ISBLANK(H750),"","A")),IF(H750="EE",IF(K750&gt;=3,IF(J750&gt;=5,"H","A"),IF(K750&gt;=2,IF(J750&gt;=16,"H",IF(J750&lt;=4,"L","A")),IF(J750&lt;=15,"L","A"))),IF(OR(H750="SE",H750="CE"),IF(K750&gt;=4,IF(J750&gt;=6,"H","A"),IF(K750&gt;=2,IF(J750&gt;=20,"H",IF(J750&lt;=5,"L","A")),IF(J750&lt;=19,"L","A"))),IF(OR(H750="ALI",H750="AIE"),IF(K750&gt;=6,IF(J750&gt;=20,"H","A"),IF(K750&gt;=2,IF(J750&gt;=51,"H",IF(J750&lt;=19,"L","A")),IF(J750&lt;=50,"L","A")))))))</f>
        <v/>
      </c>
      <c r="N750" s="52">
        <f>IF(M750="L","Baixa",IF(M750="A","Média",IF(M750="","","Alta")))</f>
        <v/>
      </c>
      <c r="O750" s="53">
        <f>IF(ISBLANK(H750),"",IF(H750="ALI",IF(M750="L",7,IF(M750="A",10,15)),IF(H750="AIE",IF(M750="L",5,IF(M750="A",7,10)),IF(H750="SE",IF(M750="L",4,IF(M750="A",5,7)),IF(OR(H750="EE",H750="CE"),IF(M750="L",3,IF(M750="A",4,6)))))))</f>
        <v/>
      </c>
      <c r="P750" s="54">
        <f>IF(I750="I",O750*Contagem!$W$15,IF(I750="E",O750*Contagem!$W$17,IF(I750="A",O750*Contagem!$W$16,IF(I750="T",O750*Contagem!$W$18,""))))</f>
        <v/>
      </c>
      <c r="Q750" s="55" t="n"/>
    </row>
    <row r="751" ht="12" customHeight="1" s="73">
      <c r="A751" s="14">
        <f>IF(H751="",IF(C751="",A750,A750+1),A750)</f>
        <v/>
      </c>
      <c r="B751" s="48">
        <f>IF(A751=A750,"",CONCATENATE("F",A751))</f>
        <v/>
      </c>
      <c r="C751" s="85" t="n"/>
      <c r="D751" s="142" t="n"/>
      <c r="E751" s="142" t="n"/>
      <c r="F751" s="142" t="n"/>
      <c r="G751" s="143" t="n"/>
      <c r="H751" s="56" t="n"/>
      <c r="I751" s="57" t="n"/>
      <c r="J751" s="56" t="n"/>
      <c r="K751" s="56" t="n"/>
      <c r="L751" s="50">
        <f>CONCATENATE(H751,M751)</f>
        <v/>
      </c>
      <c r="M751" s="51">
        <f>IF(OR(ISBLANK(J751),ISBLANK(K751)),IF(OR(H751="ALI",H751="AIE"),"L",IF(ISBLANK(H751),"","A")),IF(H751="EE",IF(K751&gt;=3,IF(J751&gt;=5,"H","A"),IF(K751&gt;=2,IF(J751&gt;=16,"H",IF(J751&lt;=4,"L","A")),IF(J751&lt;=15,"L","A"))),IF(OR(H751="SE",H751="CE"),IF(K751&gt;=4,IF(J751&gt;=6,"H","A"),IF(K751&gt;=2,IF(J751&gt;=20,"H",IF(J751&lt;=5,"L","A")),IF(J751&lt;=19,"L","A"))),IF(OR(H751="ALI",H751="AIE"),IF(K751&gt;=6,IF(J751&gt;=20,"H","A"),IF(K751&gt;=2,IF(J751&gt;=51,"H",IF(J751&lt;=19,"L","A")),IF(J751&lt;=50,"L","A")))))))</f>
        <v/>
      </c>
      <c r="N751" s="52">
        <f>IF(M751="L","Baixa",IF(M751="A","Média",IF(M751="","","Alta")))</f>
        <v/>
      </c>
      <c r="O751" s="53">
        <f>IF(ISBLANK(H751),"",IF(H751="ALI",IF(M751="L",7,IF(M751="A",10,15)),IF(H751="AIE",IF(M751="L",5,IF(M751="A",7,10)),IF(H751="SE",IF(M751="L",4,IF(M751="A",5,7)),IF(OR(H751="EE",H751="CE"),IF(M751="L",3,IF(M751="A",4,6)))))))</f>
        <v/>
      </c>
      <c r="P751" s="54">
        <f>IF(I751="I",O751*Contagem!$W$15,IF(I751="E",O751*Contagem!$W$17,IF(I751="A",O751*Contagem!$W$16,IF(I751="T",O751*Contagem!$W$18,""))))</f>
        <v/>
      </c>
      <c r="Q751" s="55" t="n"/>
    </row>
    <row r="752" ht="12" customHeight="1" s="73">
      <c r="A752" s="14">
        <f>IF(H752="",IF(C752="",A751,A751+1),A751)</f>
        <v/>
      </c>
      <c r="B752" s="48">
        <f>IF(A752=A751,"",CONCATENATE("F",A752))</f>
        <v/>
      </c>
      <c r="C752" s="85" t="n"/>
      <c r="D752" s="142" t="n"/>
      <c r="E752" s="142" t="n"/>
      <c r="F752" s="142" t="n"/>
      <c r="G752" s="143" t="n"/>
      <c r="H752" s="56" t="n"/>
      <c r="I752" s="57" t="n"/>
      <c r="J752" s="56" t="n"/>
      <c r="K752" s="56" t="n"/>
      <c r="L752" s="50">
        <f>CONCATENATE(H752,M752)</f>
        <v/>
      </c>
      <c r="M752" s="51">
        <f>IF(OR(ISBLANK(J752),ISBLANK(K752)),IF(OR(H752="ALI",H752="AIE"),"L",IF(ISBLANK(H752),"","A")),IF(H752="EE",IF(K752&gt;=3,IF(J752&gt;=5,"H","A"),IF(K752&gt;=2,IF(J752&gt;=16,"H",IF(J752&lt;=4,"L","A")),IF(J752&lt;=15,"L","A"))),IF(OR(H752="SE",H752="CE"),IF(K752&gt;=4,IF(J752&gt;=6,"H","A"),IF(K752&gt;=2,IF(J752&gt;=20,"H",IF(J752&lt;=5,"L","A")),IF(J752&lt;=19,"L","A"))),IF(OR(H752="ALI",H752="AIE"),IF(K752&gt;=6,IF(J752&gt;=20,"H","A"),IF(K752&gt;=2,IF(J752&gt;=51,"H",IF(J752&lt;=19,"L","A")),IF(J752&lt;=50,"L","A")))))))</f>
        <v/>
      </c>
      <c r="N752" s="52">
        <f>IF(M752="L","Baixa",IF(M752="A","Média",IF(M752="","","Alta")))</f>
        <v/>
      </c>
      <c r="O752" s="53">
        <f>IF(ISBLANK(H752),"",IF(H752="ALI",IF(M752="L",7,IF(M752="A",10,15)),IF(H752="AIE",IF(M752="L",5,IF(M752="A",7,10)),IF(H752="SE",IF(M752="L",4,IF(M752="A",5,7)),IF(OR(H752="EE",H752="CE"),IF(M752="L",3,IF(M752="A",4,6)))))))</f>
        <v/>
      </c>
      <c r="P752" s="54">
        <f>IF(I752="I",O752*Contagem!$W$15,IF(I752="E",O752*Contagem!$W$17,IF(I752="A",O752*Contagem!$W$16,IF(I752="T",O752*Contagem!$W$18,""))))</f>
        <v/>
      </c>
      <c r="Q752" s="55" t="n"/>
    </row>
    <row r="753" ht="12" customHeight="1" s="73">
      <c r="A753" s="14">
        <f>IF(H753="",IF(C753="",A752,A752+1),A752)</f>
        <v/>
      </c>
      <c r="B753" s="48">
        <f>IF(A753=A752,"",CONCATENATE("F",A753))</f>
        <v/>
      </c>
      <c r="C753" s="85" t="n"/>
      <c r="D753" s="142" t="n"/>
      <c r="E753" s="142" t="n"/>
      <c r="F753" s="142" t="n"/>
      <c r="G753" s="143" t="n"/>
      <c r="H753" s="56" t="n"/>
      <c r="I753" s="57" t="n"/>
      <c r="J753" s="56" t="n"/>
      <c r="K753" s="56" t="n"/>
      <c r="L753" s="50">
        <f>CONCATENATE(H753,M753)</f>
        <v/>
      </c>
      <c r="M753" s="51">
        <f>IF(OR(ISBLANK(J753),ISBLANK(K753)),IF(OR(H753="ALI",H753="AIE"),"L",IF(ISBLANK(H753),"","A")),IF(H753="EE",IF(K753&gt;=3,IF(J753&gt;=5,"H","A"),IF(K753&gt;=2,IF(J753&gt;=16,"H",IF(J753&lt;=4,"L","A")),IF(J753&lt;=15,"L","A"))),IF(OR(H753="SE",H753="CE"),IF(K753&gt;=4,IF(J753&gt;=6,"H","A"),IF(K753&gt;=2,IF(J753&gt;=20,"H",IF(J753&lt;=5,"L","A")),IF(J753&lt;=19,"L","A"))),IF(OR(H753="ALI",H753="AIE"),IF(K753&gt;=6,IF(J753&gt;=20,"H","A"),IF(K753&gt;=2,IF(J753&gt;=51,"H",IF(J753&lt;=19,"L","A")),IF(J753&lt;=50,"L","A")))))))</f>
        <v/>
      </c>
      <c r="N753" s="52">
        <f>IF(M753="L","Baixa",IF(M753="A","Média",IF(M753="","","Alta")))</f>
        <v/>
      </c>
      <c r="O753" s="53">
        <f>IF(ISBLANK(H753),"",IF(H753="ALI",IF(M753="L",7,IF(M753="A",10,15)),IF(H753="AIE",IF(M753="L",5,IF(M753="A",7,10)),IF(H753="SE",IF(M753="L",4,IF(M753="A",5,7)),IF(OR(H753="EE",H753="CE"),IF(M753="L",3,IF(M753="A",4,6)))))))</f>
        <v/>
      </c>
      <c r="P753" s="54">
        <f>IF(I753="I",O753*Contagem!$W$15,IF(I753="E",O753*Contagem!$W$17,IF(I753="A",O753*Contagem!$W$16,IF(I753="T",O753*Contagem!$W$18,""))))</f>
        <v/>
      </c>
      <c r="Q753" s="55" t="n"/>
    </row>
    <row r="754" ht="12" customHeight="1" s="73">
      <c r="A754" s="14">
        <f>IF(H754="",IF(C754="",A753,A753+1),A753)</f>
        <v/>
      </c>
      <c r="B754" s="48">
        <f>IF(A754=A753,"",CONCATENATE("F",A754))</f>
        <v/>
      </c>
      <c r="C754" s="85" t="n"/>
      <c r="D754" s="142" t="n"/>
      <c r="E754" s="142" t="n"/>
      <c r="F754" s="142" t="n"/>
      <c r="G754" s="143" t="n"/>
      <c r="H754" s="56" t="n"/>
      <c r="I754" s="57" t="n"/>
      <c r="J754" s="56" t="n"/>
      <c r="K754" s="56" t="n"/>
      <c r="L754" s="50">
        <f>CONCATENATE(H754,M754)</f>
        <v/>
      </c>
      <c r="M754" s="51">
        <f>IF(OR(ISBLANK(J754),ISBLANK(K754)),IF(OR(H754="ALI",H754="AIE"),"L",IF(ISBLANK(H754),"","A")),IF(H754="EE",IF(K754&gt;=3,IF(J754&gt;=5,"H","A"),IF(K754&gt;=2,IF(J754&gt;=16,"H",IF(J754&lt;=4,"L","A")),IF(J754&lt;=15,"L","A"))),IF(OR(H754="SE",H754="CE"),IF(K754&gt;=4,IF(J754&gt;=6,"H","A"),IF(K754&gt;=2,IF(J754&gt;=20,"H",IF(J754&lt;=5,"L","A")),IF(J754&lt;=19,"L","A"))),IF(OR(H754="ALI",H754="AIE"),IF(K754&gt;=6,IF(J754&gt;=20,"H","A"),IF(K754&gt;=2,IF(J754&gt;=51,"H",IF(J754&lt;=19,"L","A")),IF(J754&lt;=50,"L","A")))))))</f>
        <v/>
      </c>
      <c r="N754" s="52">
        <f>IF(M754="L","Baixa",IF(M754="A","Média",IF(M754="","","Alta")))</f>
        <v/>
      </c>
      <c r="O754" s="53">
        <f>IF(ISBLANK(H754),"",IF(H754="ALI",IF(M754="L",7,IF(M754="A",10,15)),IF(H754="AIE",IF(M754="L",5,IF(M754="A",7,10)),IF(H754="SE",IF(M754="L",4,IF(M754="A",5,7)),IF(OR(H754="EE",H754="CE"),IF(M754="L",3,IF(M754="A",4,6)))))))</f>
        <v/>
      </c>
      <c r="P754" s="54">
        <f>IF(I754="I",O754*Contagem!$W$15,IF(I754="E",O754*Contagem!$W$17,IF(I754="A",O754*Contagem!$W$16,IF(I754="T",O754*Contagem!$W$18,""))))</f>
        <v/>
      </c>
      <c r="Q754" s="55" t="n"/>
    </row>
    <row r="755" ht="12" customHeight="1" s="73">
      <c r="A755" s="14">
        <f>IF(H755="",IF(C755="",A754,A754+1),A754)</f>
        <v/>
      </c>
      <c r="B755" s="48">
        <f>IF(A755=A754,"",CONCATENATE("F",A755))</f>
        <v/>
      </c>
      <c r="C755" s="85" t="n"/>
      <c r="D755" s="142" t="n"/>
      <c r="E755" s="142" t="n"/>
      <c r="F755" s="142" t="n"/>
      <c r="G755" s="143" t="n"/>
      <c r="H755" s="56" t="n"/>
      <c r="I755" s="57" t="n"/>
      <c r="J755" s="56" t="n"/>
      <c r="K755" s="56" t="n"/>
      <c r="L755" s="50">
        <f>CONCATENATE(H755,M755)</f>
        <v/>
      </c>
      <c r="M755" s="51">
        <f>IF(OR(ISBLANK(J755),ISBLANK(K755)),IF(OR(H755="ALI",H755="AIE"),"L",IF(ISBLANK(H755),"","A")),IF(H755="EE",IF(K755&gt;=3,IF(J755&gt;=5,"H","A"),IF(K755&gt;=2,IF(J755&gt;=16,"H",IF(J755&lt;=4,"L","A")),IF(J755&lt;=15,"L","A"))),IF(OR(H755="SE",H755="CE"),IF(K755&gt;=4,IF(J755&gt;=6,"H","A"),IF(K755&gt;=2,IF(J755&gt;=20,"H",IF(J755&lt;=5,"L","A")),IF(J755&lt;=19,"L","A"))),IF(OR(H755="ALI",H755="AIE"),IF(K755&gt;=6,IF(J755&gt;=20,"H","A"),IF(K755&gt;=2,IF(J755&gt;=51,"H",IF(J755&lt;=19,"L","A")),IF(J755&lt;=50,"L","A")))))))</f>
        <v/>
      </c>
      <c r="N755" s="52">
        <f>IF(M755="L","Baixa",IF(M755="A","Média",IF(M755="","","Alta")))</f>
        <v/>
      </c>
      <c r="O755" s="53">
        <f>IF(ISBLANK(H755),"",IF(H755="ALI",IF(M755="L",7,IF(M755="A",10,15)),IF(H755="AIE",IF(M755="L",5,IF(M755="A",7,10)),IF(H755="SE",IF(M755="L",4,IF(M755="A",5,7)),IF(OR(H755="EE",H755="CE"),IF(M755="L",3,IF(M755="A",4,6)))))))</f>
        <v/>
      </c>
      <c r="P755" s="54">
        <f>IF(I755="I",O755*Contagem!$W$15,IF(I755="E",O755*Contagem!$W$17,IF(I755="A",O755*Contagem!$W$16,IF(I755="T",O755*Contagem!$W$18,""))))</f>
        <v/>
      </c>
      <c r="Q755" s="55" t="n"/>
    </row>
    <row r="756" ht="12" customHeight="1" s="73">
      <c r="A756" s="14">
        <f>IF(H756="",IF(C756="",A755,A755+1),A755)</f>
        <v/>
      </c>
      <c r="B756" s="48">
        <f>IF(A756=A755,"",CONCATENATE("F",A756))</f>
        <v/>
      </c>
      <c r="C756" s="85" t="n"/>
      <c r="D756" s="142" t="n"/>
      <c r="E756" s="142" t="n"/>
      <c r="F756" s="142" t="n"/>
      <c r="G756" s="143" t="n"/>
      <c r="H756" s="56" t="n"/>
      <c r="I756" s="57" t="n"/>
      <c r="J756" s="56" t="n"/>
      <c r="K756" s="56" t="n"/>
      <c r="L756" s="50">
        <f>CONCATENATE(H756,M756)</f>
        <v/>
      </c>
      <c r="M756" s="51">
        <f>IF(OR(ISBLANK(J756),ISBLANK(K756)),IF(OR(H756="ALI",H756="AIE"),"L",IF(ISBLANK(H756),"","A")),IF(H756="EE",IF(K756&gt;=3,IF(J756&gt;=5,"H","A"),IF(K756&gt;=2,IF(J756&gt;=16,"H",IF(J756&lt;=4,"L","A")),IF(J756&lt;=15,"L","A"))),IF(OR(H756="SE",H756="CE"),IF(K756&gt;=4,IF(J756&gt;=6,"H","A"),IF(K756&gt;=2,IF(J756&gt;=20,"H",IF(J756&lt;=5,"L","A")),IF(J756&lt;=19,"L","A"))),IF(OR(H756="ALI",H756="AIE"),IF(K756&gt;=6,IF(J756&gt;=20,"H","A"),IF(K756&gt;=2,IF(J756&gt;=51,"H",IF(J756&lt;=19,"L","A")),IF(J756&lt;=50,"L","A")))))))</f>
        <v/>
      </c>
      <c r="N756" s="52">
        <f>IF(M756="L","Baixa",IF(M756="A","Média",IF(M756="","","Alta")))</f>
        <v/>
      </c>
      <c r="O756" s="53">
        <f>IF(ISBLANK(H756),"",IF(H756="ALI",IF(M756="L",7,IF(M756="A",10,15)),IF(H756="AIE",IF(M756="L",5,IF(M756="A",7,10)),IF(H756="SE",IF(M756="L",4,IF(M756="A",5,7)),IF(OR(H756="EE",H756="CE"),IF(M756="L",3,IF(M756="A",4,6)))))))</f>
        <v/>
      </c>
      <c r="P756" s="54">
        <f>IF(I756="I",O756*Contagem!$W$15,IF(I756="E",O756*Contagem!$W$17,IF(I756="A",O756*Contagem!$W$16,IF(I756="T",O756*Contagem!$W$18,""))))</f>
        <v/>
      </c>
      <c r="Q756" s="55" t="n"/>
    </row>
    <row r="757" ht="12" customHeight="1" s="73">
      <c r="A757" s="14">
        <f>IF(H757="",IF(C757="",A756,A756+1),A756)</f>
        <v/>
      </c>
      <c r="B757" s="48">
        <f>IF(A757=A756,"",CONCATENATE("F",A757))</f>
        <v/>
      </c>
      <c r="C757" s="85" t="n"/>
      <c r="D757" s="142" t="n"/>
      <c r="E757" s="142" t="n"/>
      <c r="F757" s="142" t="n"/>
      <c r="G757" s="143" t="n"/>
      <c r="H757" s="56" t="n"/>
      <c r="I757" s="57" t="n"/>
      <c r="J757" s="56" t="n"/>
      <c r="K757" s="56" t="n"/>
      <c r="L757" s="50">
        <f>CONCATENATE(H757,M757)</f>
        <v/>
      </c>
      <c r="M757" s="51">
        <f>IF(OR(ISBLANK(J757),ISBLANK(K757)),IF(OR(H757="ALI",H757="AIE"),"L",IF(ISBLANK(H757),"","A")),IF(H757="EE",IF(K757&gt;=3,IF(J757&gt;=5,"H","A"),IF(K757&gt;=2,IF(J757&gt;=16,"H",IF(J757&lt;=4,"L","A")),IF(J757&lt;=15,"L","A"))),IF(OR(H757="SE",H757="CE"),IF(K757&gt;=4,IF(J757&gt;=6,"H","A"),IF(K757&gt;=2,IF(J757&gt;=20,"H",IF(J757&lt;=5,"L","A")),IF(J757&lt;=19,"L","A"))),IF(OR(H757="ALI",H757="AIE"),IF(K757&gt;=6,IF(J757&gt;=20,"H","A"),IF(K757&gt;=2,IF(J757&gt;=51,"H",IF(J757&lt;=19,"L","A")),IF(J757&lt;=50,"L","A")))))))</f>
        <v/>
      </c>
      <c r="N757" s="52">
        <f>IF(M757="L","Baixa",IF(M757="A","Média",IF(M757="","","Alta")))</f>
        <v/>
      </c>
      <c r="O757" s="53">
        <f>IF(ISBLANK(H757),"",IF(H757="ALI",IF(M757="L",7,IF(M757="A",10,15)),IF(H757="AIE",IF(M757="L",5,IF(M757="A",7,10)),IF(H757="SE",IF(M757="L",4,IF(M757="A",5,7)),IF(OR(H757="EE",H757="CE"),IF(M757="L",3,IF(M757="A",4,6)))))))</f>
        <v/>
      </c>
      <c r="P757" s="54">
        <f>IF(I757="I",O757*Contagem!$W$15,IF(I757="E",O757*Contagem!$W$17,IF(I757="A",O757*Contagem!$W$16,IF(I757="T",O757*Contagem!$W$18,""))))</f>
        <v/>
      </c>
      <c r="Q757" s="55" t="n"/>
    </row>
    <row r="758" ht="12" customHeight="1" s="73">
      <c r="A758" s="14">
        <f>IF(H758="",IF(C758="",A757,A757+1),A757)</f>
        <v/>
      </c>
      <c r="B758" s="48">
        <f>IF(A758=A757,"",CONCATENATE("F",A758))</f>
        <v/>
      </c>
      <c r="C758" s="85" t="n"/>
      <c r="D758" s="142" t="n"/>
      <c r="E758" s="142" t="n"/>
      <c r="F758" s="142" t="n"/>
      <c r="G758" s="143" t="n"/>
      <c r="H758" s="56" t="n"/>
      <c r="I758" s="57" t="n"/>
      <c r="J758" s="56" t="n"/>
      <c r="K758" s="56" t="n"/>
      <c r="L758" s="50">
        <f>CONCATENATE(H758,M758)</f>
        <v/>
      </c>
      <c r="M758" s="51">
        <f>IF(OR(ISBLANK(J758),ISBLANK(K758)),IF(OR(H758="ALI",H758="AIE"),"L",IF(ISBLANK(H758),"","A")),IF(H758="EE",IF(K758&gt;=3,IF(J758&gt;=5,"H","A"),IF(K758&gt;=2,IF(J758&gt;=16,"H",IF(J758&lt;=4,"L","A")),IF(J758&lt;=15,"L","A"))),IF(OR(H758="SE",H758="CE"),IF(K758&gt;=4,IF(J758&gt;=6,"H","A"),IF(K758&gt;=2,IF(J758&gt;=20,"H",IF(J758&lt;=5,"L","A")),IF(J758&lt;=19,"L","A"))),IF(OR(H758="ALI",H758="AIE"),IF(K758&gt;=6,IF(J758&gt;=20,"H","A"),IF(K758&gt;=2,IF(J758&gt;=51,"H",IF(J758&lt;=19,"L","A")),IF(J758&lt;=50,"L","A")))))))</f>
        <v/>
      </c>
      <c r="N758" s="52">
        <f>IF(M758="L","Baixa",IF(M758="A","Média",IF(M758="","","Alta")))</f>
        <v/>
      </c>
      <c r="O758" s="53">
        <f>IF(ISBLANK(H758),"",IF(H758="ALI",IF(M758="L",7,IF(M758="A",10,15)),IF(H758="AIE",IF(M758="L",5,IF(M758="A",7,10)),IF(H758="SE",IF(M758="L",4,IF(M758="A",5,7)),IF(OR(H758="EE",H758="CE"),IF(M758="L",3,IF(M758="A",4,6)))))))</f>
        <v/>
      </c>
      <c r="P758" s="54">
        <f>IF(I758="I",O758*Contagem!$W$15,IF(I758="E",O758*Contagem!$W$17,IF(I758="A",O758*Contagem!$W$16,IF(I758="T",O758*Contagem!$W$18,""))))</f>
        <v/>
      </c>
      <c r="Q758" s="55" t="n"/>
    </row>
    <row r="759" ht="12" customHeight="1" s="73">
      <c r="A759" s="14">
        <f>IF(H759="",IF(C759="",A758,A758+1),A758)</f>
        <v/>
      </c>
      <c r="B759" s="48">
        <f>IF(A759=A758,"",CONCATENATE("F",A759))</f>
        <v/>
      </c>
      <c r="C759" s="85" t="n"/>
      <c r="D759" s="142" t="n"/>
      <c r="E759" s="142" t="n"/>
      <c r="F759" s="142" t="n"/>
      <c r="G759" s="143" t="n"/>
      <c r="H759" s="56" t="n"/>
      <c r="I759" s="57" t="n"/>
      <c r="J759" s="56" t="n"/>
      <c r="K759" s="56" t="n"/>
      <c r="L759" s="50">
        <f>CONCATENATE(H759,M759)</f>
        <v/>
      </c>
      <c r="M759" s="51">
        <f>IF(OR(ISBLANK(J759),ISBLANK(K759)),IF(OR(H759="ALI",H759="AIE"),"L",IF(ISBLANK(H759),"","A")),IF(H759="EE",IF(K759&gt;=3,IF(J759&gt;=5,"H","A"),IF(K759&gt;=2,IF(J759&gt;=16,"H",IF(J759&lt;=4,"L","A")),IF(J759&lt;=15,"L","A"))),IF(OR(H759="SE",H759="CE"),IF(K759&gt;=4,IF(J759&gt;=6,"H","A"),IF(K759&gt;=2,IF(J759&gt;=20,"H",IF(J759&lt;=5,"L","A")),IF(J759&lt;=19,"L","A"))),IF(OR(H759="ALI",H759="AIE"),IF(K759&gt;=6,IF(J759&gt;=20,"H","A"),IF(K759&gt;=2,IF(J759&gt;=51,"H",IF(J759&lt;=19,"L","A")),IF(J759&lt;=50,"L","A")))))))</f>
        <v/>
      </c>
      <c r="N759" s="52">
        <f>IF(M759="L","Baixa",IF(M759="A","Média",IF(M759="","","Alta")))</f>
        <v/>
      </c>
      <c r="O759" s="53">
        <f>IF(ISBLANK(H759),"",IF(H759="ALI",IF(M759="L",7,IF(M759="A",10,15)),IF(H759="AIE",IF(M759="L",5,IF(M759="A",7,10)),IF(H759="SE",IF(M759="L",4,IF(M759="A",5,7)),IF(OR(H759="EE",H759="CE"),IF(M759="L",3,IF(M759="A",4,6)))))))</f>
        <v/>
      </c>
      <c r="P759" s="54">
        <f>IF(I759="I",O759*Contagem!$W$15,IF(I759="E",O759*Contagem!$W$17,IF(I759="A",O759*Contagem!$W$16,IF(I759="T",O759*Contagem!$W$18,""))))</f>
        <v/>
      </c>
      <c r="Q759" s="55" t="n"/>
    </row>
    <row r="760" ht="12" customHeight="1" s="73">
      <c r="A760" s="14">
        <f>IF(H760="",IF(C760="",A759,A759+1),A759)</f>
        <v/>
      </c>
      <c r="B760" s="48">
        <f>IF(A760=A759,"",CONCATENATE("F",A760))</f>
        <v/>
      </c>
      <c r="C760" s="85" t="n"/>
      <c r="D760" s="142" t="n"/>
      <c r="E760" s="142" t="n"/>
      <c r="F760" s="142" t="n"/>
      <c r="G760" s="143" t="n"/>
      <c r="H760" s="56" t="n"/>
      <c r="I760" s="57" t="n"/>
      <c r="J760" s="56" t="n"/>
      <c r="K760" s="56" t="n"/>
      <c r="L760" s="50">
        <f>CONCATENATE(H760,M760)</f>
        <v/>
      </c>
      <c r="M760" s="51">
        <f>IF(OR(ISBLANK(J760),ISBLANK(K760)),IF(OR(H760="ALI",H760="AIE"),"L",IF(ISBLANK(H760),"","A")),IF(H760="EE",IF(K760&gt;=3,IF(J760&gt;=5,"H","A"),IF(K760&gt;=2,IF(J760&gt;=16,"H",IF(J760&lt;=4,"L","A")),IF(J760&lt;=15,"L","A"))),IF(OR(H760="SE",H760="CE"),IF(K760&gt;=4,IF(J760&gt;=6,"H","A"),IF(K760&gt;=2,IF(J760&gt;=20,"H",IF(J760&lt;=5,"L","A")),IF(J760&lt;=19,"L","A"))),IF(OR(H760="ALI",H760="AIE"),IF(K760&gt;=6,IF(J760&gt;=20,"H","A"),IF(K760&gt;=2,IF(J760&gt;=51,"H",IF(J760&lt;=19,"L","A")),IF(J760&lt;=50,"L","A")))))))</f>
        <v/>
      </c>
      <c r="N760" s="52">
        <f>IF(M760="L","Baixa",IF(M760="A","Média",IF(M760="","","Alta")))</f>
        <v/>
      </c>
      <c r="O760" s="53">
        <f>IF(ISBLANK(H760),"",IF(H760="ALI",IF(M760="L",7,IF(M760="A",10,15)),IF(H760="AIE",IF(M760="L",5,IF(M760="A",7,10)),IF(H760="SE",IF(M760="L",4,IF(M760="A",5,7)),IF(OR(H760="EE",H760="CE"),IF(M760="L",3,IF(M760="A",4,6)))))))</f>
        <v/>
      </c>
      <c r="P760" s="54">
        <f>IF(I760="I",O760*Contagem!$W$15,IF(I760="E",O760*Contagem!$W$17,IF(I760="A",O760*Contagem!$W$16,IF(I760="T",O760*Contagem!$W$18,""))))</f>
        <v/>
      </c>
      <c r="Q760" s="55" t="n"/>
    </row>
    <row r="761" ht="12" customHeight="1" s="73">
      <c r="A761" s="14">
        <f>IF(H761="",IF(C761="",A760,A760+1),A760)</f>
        <v/>
      </c>
      <c r="B761" s="48">
        <f>IF(A761=A760,"",CONCATENATE("F",A761))</f>
        <v/>
      </c>
      <c r="C761" s="85" t="n"/>
      <c r="D761" s="142" t="n"/>
      <c r="E761" s="142" t="n"/>
      <c r="F761" s="142" t="n"/>
      <c r="G761" s="143" t="n"/>
      <c r="H761" s="56" t="n"/>
      <c r="I761" s="57" t="n"/>
      <c r="J761" s="56" t="n"/>
      <c r="K761" s="56" t="n"/>
      <c r="L761" s="50">
        <f>CONCATENATE(H761,M761)</f>
        <v/>
      </c>
      <c r="M761" s="51">
        <f>IF(OR(ISBLANK(J761),ISBLANK(K761)),IF(OR(H761="ALI",H761="AIE"),"L",IF(ISBLANK(H761),"","A")),IF(H761="EE",IF(K761&gt;=3,IF(J761&gt;=5,"H","A"),IF(K761&gt;=2,IF(J761&gt;=16,"H",IF(J761&lt;=4,"L","A")),IF(J761&lt;=15,"L","A"))),IF(OR(H761="SE",H761="CE"),IF(K761&gt;=4,IF(J761&gt;=6,"H","A"),IF(K761&gt;=2,IF(J761&gt;=20,"H",IF(J761&lt;=5,"L","A")),IF(J761&lt;=19,"L","A"))),IF(OR(H761="ALI",H761="AIE"),IF(K761&gt;=6,IF(J761&gt;=20,"H","A"),IF(K761&gt;=2,IF(J761&gt;=51,"H",IF(J761&lt;=19,"L","A")),IF(J761&lt;=50,"L","A")))))))</f>
        <v/>
      </c>
      <c r="N761" s="52">
        <f>IF(M761="L","Baixa",IF(M761="A","Média",IF(M761="","","Alta")))</f>
        <v/>
      </c>
      <c r="O761" s="53">
        <f>IF(ISBLANK(H761),"",IF(H761="ALI",IF(M761="L",7,IF(M761="A",10,15)),IF(H761="AIE",IF(M761="L",5,IF(M761="A",7,10)),IF(H761="SE",IF(M761="L",4,IF(M761="A",5,7)),IF(OR(H761="EE",H761="CE"),IF(M761="L",3,IF(M761="A",4,6)))))))</f>
        <v/>
      </c>
      <c r="P761" s="54">
        <f>IF(I761="I",O761*Contagem!$W$15,IF(I761="E",O761*Contagem!$W$17,IF(I761="A",O761*Contagem!$W$16,IF(I761="T",O761*Contagem!$W$18,""))))</f>
        <v/>
      </c>
      <c r="Q761" s="55" t="n"/>
    </row>
    <row r="762" ht="12" customHeight="1" s="73">
      <c r="A762" s="14">
        <f>IF(H762="",IF(C762="",A761,A761+1),A761)</f>
        <v/>
      </c>
      <c r="B762" s="48">
        <f>IF(A762=A761,"",CONCATENATE("F",A762))</f>
        <v/>
      </c>
      <c r="C762" s="85" t="n"/>
      <c r="D762" s="142" t="n"/>
      <c r="E762" s="142" t="n"/>
      <c r="F762" s="142" t="n"/>
      <c r="G762" s="143" t="n"/>
      <c r="H762" s="56" t="n"/>
      <c r="I762" s="57" t="n"/>
      <c r="J762" s="56" t="n"/>
      <c r="K762" s="56" t="n"/>
      <c r="L762" s="50">
        <f>CONCATENATE(H762,M762)</f>
        <v/>
      </c>
      <c r="M762" s="51">
        <f>IF(OR(ISBLANK(J762),ISBLANK(K762)),IF(OR(H762="ALI",H762="AIE"),"L",IF(ISBLANK(H762),"","A")),IF(H762="EE",IF(K762&gt;=3,IF(J762&gt;=5,"H","A"),IF(K762&gt;=2,IF(J762&gt;=16,"H",IF(J762&lt;=4,"L","A")),IF(J762&lt;=15,"L","A"))),IF(OR(H762="SE",H762="CE"),IF(K762&gt;=4,IF(J762&gt;=6,"H","A"),IF(K762&gt;=2,IF(J762&gt;=20,"H",IF(J762&lt;=5,"L","A")),IF(J762&lt;=19,"L","A"))),IF(OR(H762="ALI",H762="AIE"),IF(K762&gt;=6,IF(J762&gt;=20,"H","A"),IF(K762&gt;=2,IF(J762&gt;=51,"H",IF(J762&lt;=19,"L","A")),IF(J762&lt;=50,"L","A")))))))</f>
        <v/>
      </c>
      <c r="N762" s="52">
        <f>IF(M762="L","Baixa",IF(M762="A","Média",IF(M762="","","Alta")))</f>
        <v/>
      </c>
      <c r="O762" s="53">
        <f>IF(ISBLANK(H762),"",IF(H762="ALI",IF(M762="L",7,IF(M762="A",10,15)),IF(H762="AIE",IF(M762="L",5,IF(M762="A",7,10)),IF(H762="SE",IF(M762="L",4,IF(M762="A",5,7)),IF(OR(H762="EE",H762="CE"),IF(M762="L",3,IF(M762="A",4,6)))))))</f>
        <v/>
      </c>
      <c r="P762" s="54">
        <f>IF(I762="I",O762*Contagem!$W$15,IF(I762="E",O762*Contagem!$W$17,IF(I762="A",O762*Contagem!$W$16,IF(I762="T",O762*Contagem!$W$18,""))))</f>
        <v/>
      </c>
      <c r="Q762" s="55" t="n"/>
    </row>
    <row r="763" ht="12" customHeight="1" s="73">
      <c r="A763" s="14">
        <f>IF(H763="",IF(C763="",A762,A762+1),A762)</f>
        <v/>
      </c>
      <c r="B763" s="48">
        <f>IF(A763=A762,"",CONCATENATE("F",A763))</f>
        <v/>
      </c>
      <c r="C763" s="85" t="n"/>
      <c r="D763" s="142" t="n"/>
      <c r="E763" s="142" t="n"/>
      <c r="F763" s="142" t="n"/>
      <c r="G763" s="143" t="n"/>
      <c r="H763" s="56" t="n"/>
      <c r="I763" s="57" t="n"/>
      <c r="J763" s="56" t="n"/>
      <c r="K763" s="56" t="n"/>
      <c r="L763" s="50">
        <f>CONCATENATE(H763,M763)</f>
        <v/>
      </c>
      <c r="M763" s="51">
        <f>IF(OR(ISBLANK(J763),ISBLANK(K763)),IF(OR(H763="ALI",H763="AIE"),"L",IF(ISBLANK(H763),"","A")),IF(H763="EE",IF(K763&gt;=3,IF(J763&gt;=5,"H","A"),IF(K763&gt;=2,IF(J763&gt;=16,"H",IF(J763&lt;=4,"L","A")),IF(J763&lt;=15,"L","A"))),IF(OR(H763="SE",H763="CE"),IF(K763&gt;=4,IF(J763&gt;=6,"H","A"),IF(K763&gt;=2,IF(J763&gt;=20,"H",IF(J763&lt;=5,"L","A")),IF(J763&lt;=19,"L","A"))),IF(OR(H763="ALI",H763="AIE"),IF(K763&gt;=6,IF(J763&gt;=20,"H","A"),IF(K763&gt;=2,IF(J763&gt;=51,"H",IF(J763&lt;=19,"L","A")),IF(J763&lt;=50,"L","A")))))))</f>
        <v/>
      </c>
      <c r="N763" s="52">
        <f>IF(M763="L","Baixa",IF(M763="A","Média",IF(M763="","","Alta")))</f>
        <v/>
      </c>
      <c r="O763" s="53">
        <f>IF(ISBLANK(H763),"",IF(H763="ALI",IF(M763="L",7,IF(M763="A",10,15)),IF(H763="AIE",IF(M763="L",5,IF(M763="A",7,10)),IF(H763="SE",IF(M763="L",4,IF(M763="A",5,7)),IF(OR(H763="EE",H763="CE"),IF(M763="L",3,IF(M763="A",4,6)))))))</f>
        <v/>
      </c>
      <c r="P763" s="54">
        <f>IF(I763="I",O763*Contagem!$W$15,IF(I763="E",O763*Contagem!$W$17,IF(I763="A",O763*Contagem!$W$16,IF(I763="T",O763*Contagem!$W$18,""))))</f>
        <v/>
      </c>
      <c r="Q763" s="55" t="n"/>
    </row>
    <row r="764" ht="12" customHeight="1" s="73">
      <c r="A764" s="14">
        <f>IF(H764="",IF(C764="",A763,A763+1),A763)</f>
        <v/>
      </c>
      <c r="B764" s="48">
        <f>IF(A764=A763,"",CONCATENATE("F",A764))</f>
        <v/>
      </c>
      <c r="C764" s="85" t="n"/>
      <c r="D764" s="142" t="n"/>
      <c r="E764" s="142" t="n"/>
      <c r="F764" s="142" t="n"/>
      <c r="G764" s="143" t="n"/>
      <c r="H764" s="56" t="n"/>
      <c r="I764" s="57" t="n"/>
      <c r="J764" s="56" t="n"/>
      <c r="K764" s="56" t="n"/>
      <c r="L764" s="50">
        <f>CONCATENATE(H764,M764)</f>
        <v/>
      </c>
      <c r="M764" s="51">
        <f>IF(OR(ISBLANK(J764),ISBLANK(K764)),IF(OR(H764="ALI",H764="AIE"),"L",IF(ISBLANK(H764),"","A")),IF(H764="EE",IF(K764&gt;=3,IF(J764&gt;=5,"H","A"),IF(K764&gt;=2,IF(J764&gt;=16,"H",IF(J764&lt;=4,"L","A")),IF(J764&lt;=15,"L","A"))),IF(OR(H764="SE",H764="CE"),IF(K764&gt;=4,IF(J764&gt;=6,"H","A"),IF(K764&gt;=2,IF(J764&gt;=20,"H",IF(J764&lt;=5,"L","A")),IF(J764&lt;=19,"L","A"))),IF(OR(H764="ALI",H764="AIE"),IF(K764&gt;=6,IF(J764&gt;=20,"H","A"),IF(K764&gt;=2,IF(J764&gt;=51,"H",IF(J764&lt;=19,"L","A")),IF(J764&lt;=50,"L","A")))))))</f>
        <v/>
      </c>
      <c r="N764" s="52">
        <f>IF(M764="L","Baixa",IF(M764="A","Média",IF(M764="","","Alta")))</f>
        <v/>
      </c>
      <c r="O764" s="53">
        <f>IF(ISBLANK(H764),"",IF(H764="ALI",IF(M764="L",7,IF(M764="A",10,15)),IF(H764="AIE",IF(M764="L",5,IF(M764="A",7,10)),IF(H764="SE",IF(M764="L",4,IF(M764="A",5,7)),IF(OR(H764="EE",H764="CE"),IF(M764="L",3,IF(M764="A",4,6)))))))</f>
        <v/>
      </c>
      <c r="P764" s="54">
        <f>IF(I764="I",O764*Contagem!$W$15,IF(I764="E",O764*Contagem!$W$17,IF(I764="A",O764*Contagem!$W$16,IF(I764="T",O764*Contagem!$W$18,""))))</f>
        <v/>
      </c>
      <c r="Q764" s="55" t="n"/>
    </row>
    <row r="765" ht="12" customHeight="1" s="73">
      <c r="A765" s="14">
        <f>IF(H765="",IF(C765="",A764,A764+1),A764)</f>
        <v/>
      </c>
      <c r="B765" s="48">
        <f>IF(A765=A764,"",CONCATENATE("F",A765))</f>
        <v/>
      </c>
      <c r="C765" s="85" t="n"/>
      <c r="D765" s="142" t="n"/>
      <c r="E765" s="142" t="n"/>
      <c r="F765" s="142" t="n"/>
      <c r="G765" s="143" t="n"/>
      <c r="H765" s="56" t="n"/>
      <c r="I765" s="57" t="n"/>
      <c r="J765" s="56" t="n"/>
      <c r="K765" s="56" t="n"/>
      <c r="L765" s="50">
        <f>CONCATENATE(H765,M765)</f>
        <v/>
      </c>
      <c r="M765" s="51">
        <f>IF(OR(ISBLANK(J765),ISBLANK(K765)),IF(OR(H765="ALI",H765="AIE"),"L",IF(ISBLANK(H765),"","A")),IF(H765="EE",IF(K765&gt;=3,IF(J765&gt;=5,"H","A"),IF(K765&gt;=2,IF(J765&gt;=16,"H",IF(J765&lt;=4,"L","A")),IF(J765&lt;=15,"L","A"))),IF(OR(H765="SE",H765="CE"),IF(K765&gt;=4,IF(J765&gt;=6,"H","A"),IF(K765&gt;=2,IF(J765&gt;=20,"H",IF(J765&lt;=5,"L","A")),IF(J765&lt;=19,"L","A"))),IF(OR(H765="ALI",H765="AIE"),IF(K765&gt;=6,IF(J765&gt;=20,"H","A"),IF(K765&gt;=2,IF(J765&gt;=51,"H",IF(J765&lt;=19,"L","A")),IF(J765&lt;=50,"L","A")))))))</f>
        <v/>
      </c>
      <c r="N765" s="52">
        <f>IF(M765="L","Baixa",IF(M765="A","Média",IF(M765="","","Alta")))</f>
        <v/>
      </c>
      <c r="O765" s="53">
        <f>IF(ISBLANK(H765),"",IF(H765="ALI",IF(M765="L",7,IF(M765="A",10,15)),IF(H765="AIE",IF(M765="L",5,IF(M765="A",7,10)),IF(H765="SE",IF(M765="L",4,IF(M765="A",5,7)),IF(OR(H765="EE",H765="CE"),IF(M765="L",3,IF(M765="A",4,6)))))))</f>
        <v/>
      </c>
      <c r="P765" s="54">
        <f>IF(I765="I",O765*Contagem!$W$15,IF(I765="E",O765*Contagem!$W$17,IF(I765="A",O765*Contagem!$W$16,IF(I765="T",O765*Contagem!$W$18,""))))</f>
        <v/>
      </c>
      <c r="Q765" s="55" t="n"/>
    </row>
    <row r="766" ht="12" customHeight="1" s="73">
      <c r="A766" s="14">
        <f>IF(H766="",IF(C766="",A765,A765+1),A765)</f>
        <v/>
      </c>
      <c r="B766" s="48">
        <f>IF(A766=A765,"",CONCATENATE("F",A766))</f>
        <v/>
      </c>
      <c r="C766" s="85" t="n"/>
      <c r="D766" s="142" t="n"/>
      <c r="E766" s="142" t="n"/>
      <c r="F766" s="142" t="n"/>
      <c r="G766" s="143" t="n"/>
      <c r="H766" s="56" t="n"/>
      <c r="I766" s="57" t="n"/>
      <c r="J766" s="56" t="n"/>
      <c r="K766" s="56" t="n"/>
      <c r="L766" s="50">
        <f>CONCATENATE(H766,M766)</f>
        <v/>
      </c>
      <c r="M766" s="51">
        <f>IF(OR(ISBLANK(J766),ISBLANK(K766)),IF(OR(H766="ALI",H766="AIE"),"L",IF(ISBLANK(H766),"","A")),IF(H766="EE",IF(K766&gt;=3,IF(J766&gt;=5,"H","A"),IF(K766&gt;=2,IF(J766&gt;=16,"H",IF(J766&lt;=4,"L","A")),IF(J766&lt;=15,"L","A"))),IF(OR(H766="SE",H766="CE"),IF(K766&gt;=4,IF(J766&gt;=6,"H","A"),IF(K766&gt;=2,IF(J766&gt;=20,"H",IF(J766&lt;=5,"L","A")),IF(J766&lt;=19,"L","A"))),IF(OR(H766="ALI",H766="AIE"),IF(K766&gt;=6,IF(J766&gt;=20,"H","A"),IF(K766&gt;=2,IF(J766&gt;=51,"H",IF(J766&lt;=19,"L","A")),IF(J766&lt;=50,"L","A")))))))</f>
        <v/>
      </c>
      <c r="N766" s="52">
        <f>IF(M766="L","Baixa",IF(M766="A","Média",IF(M766="","","Alta")))</f>
        <v/>
      </c>
      <c r="O766" s="53">
        <f>IF(ISBLANK(H766),"",IF(H766="ALI",IF(M766="L",7,IF(M766="A",10,15)),IF(H766="AIE",IF(M766="L",5,IF(M766="A",7,10)),IF(H766="SE",IF(M766="L",4,IF(M766="A",5,7)),IF(OR(H766="EE",H766="CE"),IF(M766="L",3,IF(M766="A",4,6)))))))</f>
        <v/>
      </c>
      <c r="P766" s="54">
        <f>IF(I766="I",O766*Contagem!$W$15,IF(I766="E",O766*Contagem!$W$17,IF(I766="A",O766*Contagem!$W$16,IF(I766="T",O766*Contagem!$W$18,""))))</f>
        <v/>
      </c>
      <c r="Q766" s="55" t="n"/>
    </row>
    <row r="767" ht="12" customHeight="1" s="73">
      <c r="A767" s="14">
        <f>IF(H767="",IF(C767="",A766,A766+1),A766)</f>
        <v/>
      </c>
      <c r="B767" s="48">
        <f>IF(A767=A766,"",CONCATENATE("F",A767))</f>
        <v/>
      </c>
      <c r="C767" s="85" t="n"/>
      <c r="D767" s="142" t="n"/>
      <c r="E767" s="142" t="n"/>
      <c r="F767" s="142" t="n"/>
      <c r="G767" s="143" t="n"/>
      <c r="H767" s="56" t="n"/>
      <c r="I767" s="57" t="n"/>
      <c r="J767" s="56" t="n"/>
      <c r="K767" s="56" t="n"/>
      <c r="L767" s="50">
        <f>CONCATENATE(H767,M767)</f>
        <v/>
      </c>
      <c r="M767" s="51">
        <f>IF(OR(ISBLANK(J767),ISBLANK(K767)),IF(OR(H767="ALI",H767="AIE"),"L",IF(ISBLANK(H767),"","A")),IF(H767="EE",IF(K767&gt;=3,IF(J767&gt;=5,"H","A"),IF(K767&gt;=2,IF(J767&gt;=16,"H",IF(J767&lt;=4,"L","A")),IF(J767&lt;=15,"L","A"))),IF(OR(H767="SE",H767="CE"),IF(K767&gt;=4,IF(J767&gt;=6,"H","A"),IF(K767&gt;=2,IF(J767&gt;=20,"H",IF(J767&lt;=5,"L","A")),IF(J767&lt;=19,"L","A"))),IF(OR(H767="ALI",H767="AIE"),IF(K767&gt;=6,IF(J767&gt;=20,"H","A"),IF(K767&gt;=2,IF(J767&gt;=51,"H",IF(J767&lt;=19,"L","A")),IF(J767&lt;=50,"L","A")))))))</f>
        <v/>
      </c>
      <c r="N767" s="52">
        <f>IF(M767="L","Baixa",IF(M767="A","Média",IF(M767="","","Alta")))</f>
        <v/>
      </c>
      <c r="O767" s="53">
        <f>IF(ISBLANK(H767),"",IF(H767="ALI",IF(M767="L",7,IF(M767="A",10,15)),IF(H767="AIE",IF(M767="L",5,IF(M767="A",7,10)),IF(H767="SE",IF(M767="L",4,IF(M767="A",5,7)),IF(OR(H767="EE",H767="CE"),IF(M767="L",3,IF(M767="A",4,6)))))))</f>
        <v/>
      </c>
      <c r="P767" s="54">
        <f>IF(I767="I",O767*Contagem!$W$15,IF(I767="E",O767*Contagem!$W$17,IF(I767="A",O767*Contagem!$W$16,IF(I767="T",O767*Contagem!$W$18,""))))</f>
        <v/>
      </c>
      <c r="Q767" s="55" t="n"/>
    </row>
    <row r="768" ht="12" customHeight="1" s="73">
      <c r="A768" s="14">
        <f>IF(H768="",IF(C768="",A767,A767+1),A767)</f>
        <v/>
      </c>
      <c r="B768" s="48">
        <f>IF(A768=A767,"",CONCATENATE("F",A768))</f>
        <v/>
      </c>
      <c r="C768" s="85" t="n"/>
      <c r="D768" s="142" t="n"/>
      <c r="E768" s="142" t="n"/>
      <c r="F768" s="142" t="n"/>
      <c r="G768" s="143" t="n"/>
      <c r="H768" s="56" t="n"/>
      <c r="I768" s="57" t="n"/>
      <c r="J768" s="56" t="n"/>
      <c r="K768" s="56" t="n"/>
      <c r="L768" s="50">
        <f>CONCATENATE(H768,M768)</f>
        <v/>
      </c>
      <c r="M768" s="51">
        <f>IF(OR(ISBLANK(J768),ISBLANK(K768)),IF(OR(H768="ALI",H768="AIE"),"L",IF(ISBLANK(H768),"","A")),IF(H768="EE",IF(K768&gt;=3,IF(J768&gt;=5,"H","A"),IF(K768&gt;=2,IF(J768&gt;=16,"H",IF(J768&lt;=4,"L","A")),IF(J768&lt;=15,"L","A"))),IF(OR(H768="SE",H768="CE"),IF(K768&gt;=4,IF(J768&gt;=6,"H","A"),IF(K768&gt;=2,IF(J768&gt;=20,"H",IF(J768&lt;=5,"L","A")),IF(J768&lt;=19,"L","A"))),IF(OR(H768="ALI",H768="AIE"),IF(K768&gt;=6,IF(J768&gt;=20,"H","A"),IF(K768&gt;=2,IF(J768&gt;=51,"H",IF(J768&lt;=19,"L","A")),IF(J768&lt;=50,"L","A")))))))</f>
        <v/>
      </c>
      <c r="N768" s="52">
        <f>IF(M768="L","Baixa",IF(M768="A","Média",IF(M768="","","Alta")))</f>
        <v/>
      </c>
      <c r="O768" s="53">
        <f>IF(ISBLANK(H768),"",IF(H768="ALI",IF(M768="L",7,IF(M768="A",10,15)),IF(H768="AIE",IF(M768="L",5,IF(M768="A",7,10)),IF(H768="SE",IF(M768="L",4,IF(M768="A",5,7)),IF(OR(H768="EE",H768="CE"),IF(M768="L",3,IF(M768="A",4,6)))))))</f>
        <v/>
      </c>
      <c r="P768" s="54">
        <f>IF(I768="I",O768*Contagem!$W$15,IF(I768="E",O768*Contagem!$W$17,IF(I768="A",O768*Contagem!$W$16,IF(I768="T",O768*Contagem!$W$18,""))))</f>
        <v/>
      </c>
      <c r="Q768" s="55" t="n"/>
    </row>
    <row r="769" ht="12" customHeight="1" s="73">
      <c r="A769" s="14">
        <f>IF(H769="",IF(C769="",A768,A768+1),A768)</f>
        <v/>
      </c>
      <c r="B769" s="48">
        <f>IF(A769=A768,"",CONCATENATE("F",A769))</f>
        <v/>
      </c>
      <c r="C769" s="85" t="n"/>
      <c r="D769" s="142" t="n"/>
      <c r="E769" s="142" t="n"/>
      <c r="F769" s="142" t="n"/>
      <c r="G769" s="143" t="n"/>
      <c r="H769" s="56" t="n"/>
      <c r="I769" s="57" t="n"/>
      <c r="J769" s="56" t="n"/>
      <c r="K769" s="56" t="n"/>
      <c r="L769" s="50">
        <f>CONCATENATE(H769,M769)</f>
        <v/>
      </c>
      <c r="M769" s="51">
        <f>IF(OR(ISBLANK(J769),ISBLANK(K769)),IF(OR(H769="ALI",H769="AIE"),"L",IF(ISBLANK(H769),"","A")),IF(H769="EE",IF(K769&gt;=3,IF(J769&gt;=5,"H","A"),IF(K769&gt;=2,IF(J769&gt;=16,"H",IF(J769&lt;=4,"L","A")),IF(J769&lt;=15,"L","A"))),IF(OR(H769="SE",H769="CE"),IF(K769&gt;=4,IF(J769&gt;=6,"H","A"),IF(K769&gt;=2,IF(J769&gt;=20,"H",IF(J769&lt;=5,"L","A")),IF(J769&lt;=19,"L","A"))),IF(OR(H769="ALI",H769="AIE"),IF(K769&gt;=6,IF(J769&gt;=20,"H","A"),IF(K769&gt;=2,IF(J769&gt;=51,"H",IF(J769&lt;=19,"L","A")),IF(J769&lt;=50,"L","A")))))))</f>
        <v/>
      </c>
      <c r="N769" s="52">
        <f>IF(M769="L","Baixa",IF(M769="A","Média",IF(M769="","","Alta")))</f>
        <v/>
      </c>
      <c r="O769" s="53">
        <f>IF(ISBLANK(H769),"",IF(H769="ALI",IF(M769="L",7,IF(M769="A",10,15)),IF(H769="AIE",IF(M769="L",5,IF(M769="A",7,10)),IF(H769="SE",IF(M769="L",4,IF(M769="A",5,7)),IF(OR(H769="EE",H769="CE"),IF(M769="L",3,IF(M769="A",4,6)))))))</f>
        <v/>
      </c>
      <c r="P769" s="54">
        <f>IF(I769="I",O769*Contagem!$W$15,IF(I769="E",O769*Contagem!$W$17,IF(I769="A",O769*Contagem!$W$16,IF(I769="T",O769*Contagem!$W$18,""))))</f>
        <v/>
      </c>
      <c r="Q769" s="55" t="n"/>
    </row>
    <row r="770" ht="12" customHeight="1" s="73">
      <c r="A770" s="14">
        <f>IF(H770="",IF(C770="",A769,A769+1),A769)</f>
        <v/>
      </c>
      <c r="B770" s="48">
        <f>IF(A770=A769,"",CONCATENATE("F",A770))</f>
        <v/>
      </c>
      <c r="C770" s="85" t="n"/>
      <c r="D770" s="142" t="n"/>
      <c r="E770" s="142" t="n"/>
      <c r="F770" s="142" t="n"/>
      <c r="G770" s="143" t="n"/>
      <c r="H770" s="56" t="n"/>
      <c r="I770" s="57" t="n"/>
      <c r="J770" s="56" t="n"/>
      <c r="K770" s="56" t="n"/>
      <c r="L770" s="50">
        <f>CONCATENATE(H770,M770)</f>
        <v/>
      </c>
      <c r="M770" s="51">
        <f>IF(OR(ISBLANK(J770),ISBLANK(K770)),IF(OR(H770="ALI",H770="AIE"),"L",IF(ISBLANK(H770),"","A")),IF(H770="EE",IF(K770&gt;=3,IF(J770&gt;=5,"H","A"),IF(K770&gt;=2,IF(J770&gt;=16,"H",IF(J770&lt;=4,"L","A")),IF(J770&lt;=15,"L","A"))),IF(OR(H770="SE",H770="CE"),IF(K770&gt;=4,IF(J770&gt;=6,"H","A"),IF(K770&gt;=2,IF(J770&gt;=20,"H",IF(J770&lt;=5,"L","A")),IF(J770&lt;=19,"L","A"))),IF(OR(H770="ALI",H770="AIE"),IF(K770&gt;=6,IF(J770&gt;=20,"H","A"),IF(K770&gt;=2,IF(J770&gt;=51,"H",IF(J770&lt;=19,"L","A")),IF(J770&lt;=50,"L","A")))))))</f>
        <v/>
      </c>
      <c r="N770" s="52">
        <f>IF(M770="L","Baixa",IF(M770="A","Média",IF(M770="","","Alta")))</f>
        <v/>
      </c>
      <c r="O770" s="53">
        <f>IF(ISBLANK(H770),"",IF(H770="ALI",IF(M770="L",7,IF(M770="A",10,15)),IF(H770="AIE",IF(M770="L",5,IF(M770="A",7,10)),IF(H770="SE",IF(M770="L",4,IF(M770="A",5,7)),IF(OR(H770="EE",H770="CE"),IF(M770="L",3,IF(M770="A",4,6)))))))</f>
        <v/>
      </c>
      <c r="P770" s="54">
        <f>IF(I770="I",O770*Contagem!$W$15,IF(I770="E",O770*Contagem!$W$17,IF(I770="A",O770*Contagem!$W$16,IF(I770="T",O770*Contagem!$W$18,""))))</f>
        <v/>
      </c>
      <c r="Q770" s="55" t="n"/>
    </row>
    <row r="771" ht="12" customHeight="1" s="73">
      <c r="A771" s="14">
        <f>IF(H771="",IF(C771="",A770,A770+1),A770)</f>
        <v/>
      </c>
      <c r="B771" s="48">
        <f>IF(A771=A770,"",CONCATENATE("F",A771))</f>
        <v/>
      </c>
      <c r="C771" s="85" t="n"/>
      <c r="D771" s="142" t="n"/>
      <c r="E771" s="142" t="n"/>
      <c r="F771" s="142" t="n"/>
      <c r="G771" s="143" t="n"/>
      <c r="H771" s="56" t="n"/>
      <c r="I771" s="57" t="n"/>
      <c r="J771" s="56" t="n"/>
      <c r="K771" s="56" t="n"/>
      <c r="L771" s="50">
        <f>CONCATENATE(H771,M771)</f>
        <v/>
      </c>
      <c r="M771" s="51">
        <f>IF(OR(ISBLANK(J771),ISBLANK(K771)),IF(OR(H771="ALI",H771="AIE"),"L",IF(ISBLANK(H771),"","A")),IF(H771="EE",IF(K771&gt;=3,IF(J771&gt;=5,"H","A"),IF(K771&gt;=2,IF(J771&gt;=16,"H",IF(J771&lt;=4,"L","A")),IF(J771&lt;=15,"L","A"))),IF(OR(H771="SE",H771="CE"),IF(K771&gt;=4,IF(J771&gt;=6,"H","A"),IF(K771&gt;=2,IF(J771&gt;=20,"H",IF(J771&lt;=5,"L","A")),IF(J771&lt;=19,"L","A"))),IF(OR(H771="ALI",H771="AIE"),IF(K771&gt;=6,IF(J771&gt;=20,"H","A"),IF(K771&gt;=2,IF(J771&gt;=51,"H",IF(J771&lt;=19,"L","A")),IF(J771&lt;=50,"L","A")))))))</f>
        <v/>
      </c>
      <c r="N771" s="52">
        <f>IF(M771="L","Baixa",IF(M771="A","Média",IF(M771="","","Alta")))</f>
        <v/>
      </c>
      <c r="O771" s="53">
        <f>IF(ISBLANK(H771),"",IF(H771="ALI",IF(M771="L",7,IF(M771="A",10,15)),IF(H771="AIE",IF(M771="L",5,IF(M771="A",7,10)),IF(H771="SE",IF(M771="L",4,IF(M771="A",5,7)),IF(OR(H771="EE",H771="CE"),IF(M771="L",3,IF(M771="A",4,6)))))))</f>
        <v/>
      </c>
      <c r="P771" s="54">
        <f>IF(I771="I",O771*Contagem!$W$15,IF(I771="E",O771*Contagem!$W$17,IF(I771="A",O771*Contagem!$W$16,IF(I771="T",O771*Contagem!$W$18,""))))</f>
        <v/>
      </c>
      <c r="Q771" s="55" t="n"/>
    </row>
    <row r="772" ht="12" customHeight="1" s="73">
      <c r="A772" s="14">
        <f>IF(H772="",IF(C772="",A771,A771+1),A771)</f>
        <v/>
      </c>
      <c r="B772" s="48">
        <f>IF(A772=A771,"",CONCATENATE("F",A772))</f>
        <v/>
      </c>
      <c r="C772" s="85" t="n"/>
      <c r="D772" s="142" t="n"/>
      <c r="E772" s="142" t="n"/>
      <c r="F772" s="142" t="n"/>
      <c r="G772" s="143" t="n"/>
      <c r="H772" s="56" t="n"/>
      <c r="I772" s="57" t="n"/>
      <c r="J772" s="56" t="n"/>
      <c r="K772" s="56" t="n"/>
      <c r="L772" s="50">
        <f>CONCATENATE(H772,M772)</f>
        <v/>
      </c>
      <c r="M772" s="51">
        <f>IF(OR(ISBLANK(J772),ISBLANK(K772)),IF(OR(H772="ALI",H772="AIE"),"L",IF(ISBLANK(H772),"","A")),IF(H772="EE",IF(K772&gt;=3,IF(J772&gt;=5,"H","A"),IF(K772&gt;=2,IF(J772&gt;=16,"H",IF(J772&lt;=4,"L","A")),IF(J772&lt;=15,"L","A"))),IF(OR(H772="SE",H772="CE"),IF(K772&gt;=4,IF(J772&gt;=6,"H","A"),IF(K772&gt;=2,IF(J772&gt;=20,"H",IF(J772&lt;=5,"L","A")),IF(J772&lt;=19,"L","A"))),IF(OR(H772="ALI",H772="AIE"),IF(K772&gt;=6,IF(J772&gt;=20,"H","A"),IF(K772&gt;=2,IF(J772&gt;=51,"H",IF(J772&lt;=19,"L","A")),IF(J772&lt;=50,"L","A")))))))</f>
        <v/>
      </c>
      <c r="N772" s="52">
        <f>IF(M772="L","Baixa",IF(M772="A","Média",IF(M772="","","Alta")))</f>
        <v/>
      </c>
      <c r="O772" s="53">
        <f>IF(ISBLANK(H772),"",IF(H772="ALI",IF(M772="L",7,IF(M772="A",10,15)),IF(H772="AIE",IF(M772="L",5,IF(M772="A",7,10)),IF(H772="SE",IF(M772="L",4,IF(M772="A",5,7)),IF(OR(H772="EE",H772="CE"),IF(M772="L",3,IF(M772="A",4,6)))))))</f>
        <v/>
      </c>
      <c r="P772" s="54">
        <f>IF(I772="I",O772*Contagem!$W$15,IF(I772="E",O772*Contagem!$W$17,IF(I772="A",O772*Contagem!$W$16,IF(I772="T",O772*Contagem!$W$18,""))))</f>
        <v/>
      </c>
      <c r="Q772" s="55" t="n"/>
    </row>
    <row r="773" ht="12" customHeight="1" s="73">
      <c r="A773" s="14">
        <f>IF(H773="",IF(C773="",A772,A772+1),A772)</f>
        <v/>
      </c>
      <c r="B773" s="48">
        <f>IF(A773=A772,"",CONCATENATE("F",A773))</f>
        <v/>
      </c>
      <c r="C773" s="85" t="n"/>
      <c r="D773" s="142" t="n"/>
      <c r="E773" s="142" t="n"/>
      <c r="F773" s="142" t="n"/>
      <c r="G773" s="143" t="n"/>
      <c r="H773" s="56" t="n"/>
      <c r="I773" s="57" t="n"/>
      <c r="J773" s="56" t="n"/>
      <c r="K773" s="56" t="n"/>
      <c r="L773" s="50">
        <f>CONCATENATE(H773,M773)</f>
        <v/>
      </c>
      <c r="M773" s="51">
        <f>IF(OR(ISBLANK(J773),ISBLANK(K773)),IF(OR(H773="ALI",H773="AIE"),"L",IF(ISBLANK(H773),"","A")),IF(H773="EE",IF(K773&gt;=3,IF(J773&gt;=5,"H","A"),IF(K773&gt;=2,IF(J773&gt;=16,"H",IF(J773&lt;=4,"L","A")),IF(J773&lt;=15,"L","A"))),IF(OR(H773="SE",H773="CE"),IF(K773&gt;=4,IF(J773&gt;=6,"H","A"),IF(K773&gt;=2,IF(J773&gt;=20,"H",IF(J773&lt;=5,"L","A")),IF(J773&lt;=19,"L","A"))),IF(OR(H773="ALI",H773="AIE"),IF(K773&gt;=6,IF(J773&gt;=20,"H","A"),IF(K773&gt;=2,IF(J773&gt;=51,"H",IF(J773&lt;=19,"L","A")),IF(J773&lt;=50,"L","A")))))))</f>
        <v/>
      </c>
      <c r="N773" s="52">
        <f>IF(M773="L","Baixa",IF(M773="A","Média",IF(M773="","","Alta")))</f>
        <v/>
      </c>
      <c r="O773" s="53">
        <f>IF(ISBLANK(H773),"",IF(H773="ALI",IF(M773="L",7,IF(M773="A",10,15)),IF(H773="AIE",IF(M773="L",5,IF(M773="A",7,10)),IF(H773="SE",IF(M773="L",4,IF(M773="A",5,7)),IF(OR(H773="EE",H773="CE"),IF(M773="L",3,IF(M773="A",4,6)))))))</f>
        <v/>
      </c>
      <c r="P773" s="54">
        <f>IF(I773="I",O773*Contagem!$W$15,IF(I773="E",O773*Contagem!$W$17,IF(I773="A",O773*Contagem!$W$16,IF(I773="T",O773*Contagem!$W$18,""))))</f>
        <v/>
      </c>
      <c r="Q773" s="55" t="n"/>
    </row>
    <row r="774" ht="12" customHeight="1" s="73">
      <c r="A774" s="14">
        <f>IF(H774="",IF(C774="",A773,A773+1),A773)</f>
        <v/>
      </c>
      <c r="B774" s="48">
        <f>IF(A774=A773,"",CONCATENATE("F",A774))</f>
        <v/>
      </c>
      <c r="C774" s="85" t="n"/>
      <c r="D774" s="142" t="n"/>
      <c r="E774" s="142" t="n"/>
      <c r="F774" s="142" t="n"/>
      <c r="G774" s="143" t="n"/>
      <c r="H774" s="56" t="n"/>
      <c r="I774" s="57" t="n"/>
      <c r="J774" s="56" t="n"/>
      <c r="K774" s="56" t="n"/>
      <c r="L774" s="50">
        <f>CONCATENATE(H774,M774)</f>
        <v/>
      </c>
      <c r="M774" s="51">
        <f>IF(OR(ISBLANK(J774),ISBLANK(K774)),IF(OR(H774="ALI",H774="AIE"),"L",IF(ISBLANK(H774),"","A")),IF(H774="EE",IF(K774&gt;=3,IF(J774&gt;=5,"H","A"),IF(K774&gt;=2,IF(J774&gt;=16,"H",IF(J774&lt;=4,"L","A")),IF(J774&lt;=15,"L","A"))),IF(OR(H774="SE",H774="CE"),IF(K774&gt;=4,IF(J774&gt;=6,"H","A"),IF(K774&gt;=2,IF(J774&gt;=20,"H",IF(J774&lt;=5,"L","A")),IF(J774&lt;=19,"L","A"))),IF(OR(H774="ALI",H774="AIE"),IF(K774&gt;=6,IF(J774&gt;=20,"H","A"),IF(K774&gt;=2,IF(J774&gt;=51,"H",IF(J774&lt;=19,"L","A")),IF(J774&lt;=50,"L","A")))))))</f>
        <v/>
      </c>
      <c r="N774" s="52">
        <f>IF(M774="L","Baixa",IF(M774="A","Média",IF(M774="","","Alta")))</f>
        <v/>
      </c>
      <c r="O774" s="53">
        <f>IF(ISBLANK(H774),"",IF(H774="ALI",IF(M774="L",7,IF(M774="A",10,15)),IF(H774="AIE",IF(M774="L",5,IF(M774="A",7,10)),IF(H774="SE",IF(M774="L",4,IF(M774="A",5,7)),IF(OR(H774="EE",H774="CE"),IF(M774="L",3,IF(M774="A",4,6)))))))</f>
        <v/>
      </c>
      <c r="P774" s="54">
        <f>IF(I774="I",O774*Contagem!$W$15,IF(I774="E",O774*Contagem!$W$17,IF(I774="A",O774*Contagem!$W$16,IF(I774="T",O774*Contagem!$W$18,""))))</f>
        <v/>
      </c>
      <c r="Q774" s="55" t="n"/>
    </row>
    <row r="775" ht="12" customHeight="1" s="73">
      <c r="A775" s="14">
        <f>IF(H775="",IF(C775="",A774,A774+1),A774)</f>
        <v/>
      </c>
      <c r="B775" s="48">
        <f>IF(A775=A774,"",CONCATENATE("F",A775))</f>
        <v/>
      </c>
      <c r="C775" s="85" t="n"/>
      <c r="D775" s="142" t="n"/>
      <c r="E775" s="142" t="n"/>
      <c r="F775" s="142" t="n"/>
      <c r="G775" s="143" t="n"/>
      <c r="H775" s="56" t="n"/>
      <c r="I775" s="57" t="n"/>
      <c r="J775" s="56" t="n"/>
      <c r="K775" s="56" t="n"/>
      <c r="L775" s="50">
        <f>CONCATENATE(H775,M775)</f>
        <v/>
      </c>
      <c r="M775" s="51">
        <f>IF(OR(ISBLANK(J775),ISBLANK(K775)),IF(OR(H775="ALI",H775="AIE"),"L",IF(ISBLANK(H775),"","A")),IF(H775="EE",IF(K775&gt;=3,IF(J775&gt;=5,"H","A"),IF(K775&gt;=2,IF(J775&gt;=16,"H",IF(J775&lt;=4,"L","A")),IF(J775&lt;=15,"L","A"))),IF(OR(H775="SE",H775="CE"),IF(K775&gt;=4,IF(J775&gt;=6,"H","A"),IF(K775&gt;=2,IF(J775&gt;=20,"H",IF(J775&lt;=5,"L","A")),IF(J775&lt;=19,"L","A"))),IF(OR(H775="ALI",H775="AIE"),IF(K775&gt;=6,IF(J775&gt;=20,"H","A"),IF(K775&gt;=2,IF(J775&gt;=51,"H",IF(J775&lt;=19,"L","A")),IF(J775&lt;=50,"L","A")))))))</f>
        <v/>
      </c>
      <c r="N775" s="52">
        <f>IF(M775="L","Baixa",IF(M775="A","Média",IF(M775="","","Alta")))</f>
        <v/>
      </c>
      <c r="O775" s="53">
        <f>IF(ISBLANK(H775),"",IF(H775="ALI",IF(M775="L",7,IF(M775="A",10,15)),IF(H775="AIE",IF(M775="L",5,IF(M775="A",7,10)),IF(H775="SE",IF(M775="L",4,IF(M775="A",5,7)),IF(OR(H775="EE",H775="CE"),IF(M775="L",3,IF(M775="A",4,6)))))))</f>
        <v/>
      </c>
      <c r="P775" s="54">
        <f>IF(I775="I",O775*Contagem!$W$15,IF(I775="E",O775*Contagem!$W$17,IF(I775="A",O775*Contagem!$W$16,IF(I775="T",O775*Contagem!$W$18,""))))</f>
        <v/>
      </c>
      <c r="Q775" s="55" t="n"/>
    </row>
    <row r="776" ht="12" customHeight="1" s="73">
      <c r="A776" s="14">
        <f>IF(H776="",IF(C776="",A775,A775+1),A775)</f>
        <v/>
      </c>
      <c r="B776" s="48">
        <f>IF(A776=A775,"",CONCATENATE("F",A776))</f>
        <v/>
      </c>
      <c r="C776" s="85" t="n"/>
      <c r="D776" s="142" t="n"/>
      <c r="E776" s="142" t="n"/>
      <c r="F776" s="142" t="n"/>
      <c r="G776" s="143" t="n"/>
      <c r="H776" s="56" t="n"/>
      <c r="I776" s="57" t="n"/>
      <c r="J776" s="56" t="n"/>
      <c r="K776" s="56" t="n"/>
      <c r="L776" s="50">
        <f>CONCATENATE(H776,M776)</f>
        <v/>
      </c>
      <c r="M776" s="51">
        <f>IF(OR(ISBLANK(J776),ISBLANK(K776)),IF(OR(H776="ALI",H776="AIE"),"L",IF(ISBLANK(H776),"","A")),IF(H776="EE",IF(K776&gt;=3,IF(J776&gt;=5,"H","A"),IF(K776&gt;=2,IF(J776&gt;=16,"H",IF(J776&lt;=4,"L","A")),IF(J776&lt;=15,"L","A"))),IF(OR(H776="SE",H776="CE"),IF(K776&gt;=4,IF(J776&gt;=6,"H","A"),IF(K776&gt;=2,IF(J776&gt;=20,"H",IF(J776&lt;=5,"L","A")),IF(J776&lt;=19,"L","A"))),IF(OR(H776="ALI",H776="AIE"),IF(K776&gt;=6,IF(J776&gt;=20,"H","A"),IF(K776&gt;=2,IF(J776&gt;=51,"H",IF(J776&lt;=19,"L","A")),IF(J776&lt;=50,"L","A")))))))</f>
        <v/>
      </c>
      <c r="N776" s="52">
        <f>IF(M776="L","Baixa",IF(M776="A","Média",IF(M776="","","Alta")))</f>
        <v/>
      </c>
      <c r="O776" s="53">
        <f>IF(ISBLANK(H776),"",IF(H776="ALI",IF(M776="L",7,IF(M776="A",10,15)),IF(H776="AIE",IF(M776="L",5,IF(M776="A",7,10)),IF(H776="SE",IF(M776="L",4,IF(M776="A",5,7)),IF(OR(H776="EE",H776="CE"),IF(M776="L",3,IF(M776="A",4,6)))))))</f>
        <v/>
      </c>
      <c r="P776" s="54">
        <f>IF(I776="I",O776*Contagem!$W$15,IF(I776="E",O776*Contagem!$W$17,IF(I776="A",O776*Contagem!$W$16,IF(I776="T",O776*Contagem!$W$18,""))))</f>
        <v/>
      </c>
      <c r="Q776" s="55" t="n"/>
    </row>
    <row r="777" ht="12" customHeight="1" s="73">
      <c r="A777" s="14">
        <f>IF(H777="",IF(C777="",A776,A776+1),A776)</f>
        <v/>
      </c>
      <c r="B777" s="48">
        <f>IF(A777=A776,"",CONCATENATE("F",A777))</f>
        <v/>
      </c>
      <c r="C777" s="85" t="n"/>
      <c r="D777" s="142" t="n"/>
      <c r="E777" s="142" t="n"/>
      <c r="F777" s="142" t="n"/>
      <c r="G777" s="143" t="n"/>
      <c r="H777" s="56" t="n"/>
      <c r="I777" s="57" t="n"/>
      <c r="J777" s="56" t="n"/>
      <c r="K777" s="56" t="n"/>
      <c r="L777" s="50">
        <f>CONCATENATE(H777,M777)</f>
        <v/>
      </c>
      <c r="M777" s="51">
        <f>IF(OR(ISBLANK(J777),ISBLANK(K777)),IF(OR(H777="ALI",H777="AIE"),"L",IF(ISBLANK(H777),"","A")),IF(H777="EE",IF(K777&gt;=3,IF(J777&gt;=5,"H","A"),IF(K777&gt;=2,IF(J777&gt;=16,"H",IF(J777&lt;=4,"L","A")),IF(J777&lt;=15,"L","A"))),IF(OR(H777="SE",H777="CE"),IF(K777&gt;=4,IF(J777&gt;=6,"H","A"),IF(K777&gt;=2,IF(J777&gt;=20,"H",IF(J777&lt;=5,"L","A")),IF(J777&lt;=19,"L","A"))),IF(OR(H777="ALI",H777="AIE"),IF(K777&gt;=6,IF(J777&gt;=20,"H","A"),IF(K777&gt;=2,IF(J777&gt;=51,"H",IF(J777&lt;=19,"L","A")),IF(J777&lt;=50,"L","A")))))))</f>
        <v/>
      </c>
      <c r="N777" s="52">
        <f>IF(M777="L","Baixa",IF(M777="A","Média",IF(M777="","","Alta")))</f>
        <v/>
      </c>
      <c r="O777" s="53">
        <f>IF(ISBLANK(H777),"",IF(H777="ALI",IF(M777="L",7,IF(M777="A",10,15)),IF(H777="AIE",IF(M777="L",5,IF(M777="A",7,10)),IF(H777="SE",IF(M777="L",4,IF(M777="A",5,7)),IF(OR(H777="EE",H777="CE"),IF(M777="L",3,IF(M777="A",4,6)))))))</f>
        <v/>
      </c>
      <c r="P777" s="54">
        <f>IF(I777="I",O777*Contagem!$W$15,IF(I777="E",O777*Contagem!$W$17,IF(I777="A",O777*Contagem!$W$16,IF(I777="T",O777*Contagem!$W$18,""))))</f>
        <v/>
      </c>
      <c r="Q777" s="55" t="n"/>
    </row>
    <row r="778" ht="12" customHeight="1" s="73">
      <c r="A778" s="14">
        <f>IF(H778="",IF(C778="",A777,A777+1),A777)</f>
        <v/>
      </c>
      <c r="B778" s="48">
        <f>IF(A778=A777,"",CONCATENATE("F",A778))</f>
        <v/>
      </c>
      <c r="C778" s="85" t="n"/>
      <c r="D778" s="142" t="n"/>
      <c r="E778" s="142" t="n"/>
      <c r="F778" s="142" t="n"/>
      <c r="G778" s="143" t="n"/>
      <c r="H778" s="56" t="n"/>
      <c r="I778" s="57" t="n"/>
      <c r="J778" s="56" t="n"/>
      <c r="K778" s="56" t="n"/>
      <c r="L778" s="50">
        <f>CONCATENATE(H778,M778)</f>
        <v/>
      </c>
      <c r="M778" s="51">
        <f>IF(OR(ISBLANK(J778),ISBLANK(K778)),IF(OR(H778="ALI",H778="AIE"),"L",IF(ISBLANK(H778),"","A")),IF(H778="EE",IF(K778&gt;=3,IF(J778&gt;=5,"H","A"),IF(K778&gt;=2,IF(J778&gt;=16,"H",IF(J778&lt;=4,"L","A")),IF(J778&lt;=15,"L","A"))),IF(OR(H778="SE",H778="CE"),IF(K778&gt;=4,IF(J778&gt;=6,"H","A"),IF(K778&gt;=2,IF(J778&gt;=20,"H",IF(J778&lt;=5,"L","A")),IF(J778&lt;=19,"L","A"))),IF(OR(H778="ALI",H778="AIE"),IF(K778&gt;=6,IF(J778&gt;=20,"H","A"),IF(K778&gt;=2,IF(J778&gt;=51,"H",IF(J778&lt;=19,"L","A")),IF(J778&lt;=50,"L","A")))))))</f>
        <v/>
      </c>
      <c r="N778" s="52">
        <f>IF(M778="L","Baixa",IF(M778="A","Média",IF(M778="","","Alta")))</f>
        <v/>
      </c>
      <c r="O778" s="53">
        <f>IF(ISBLANK(H778),"",IF(H778="ALI",IF(M778="L",7,IF(M778="A",10,15)),IF(H778="AIE",IF(M778="L",5,IF(M778="A",7,10)),IF(H778="SE",IF(M778="L",4,IF(M778="A",5,7)),IF(OR(H778="EE",H778="CE"),IF(M778="L",3,IF(M778="A",4,6)))))))</f>
        <v/>
      </c>
      <c r="P778" s="54">
        <f>IF(I778="I",O778*Contagem!$W$15,IF(I778="E",O778*Contagem!$W$17,IF(I778="A",O778*Contagem!$W$16,IF(I778="T",O778*Contagem!$W$18,""))))</f>
        <v/>
      </c>
      <c r="Q778" s="55" t="n"/>
    </row>
    <row r="779" ht="12" customHeight="1" s="73">
      <c r="A779" s="14">
        <f>IF(H779="",IF(C779="",A778,A778+1),A778)</f>
        <v/>
      </c>
      <c r="B779" s="48">
        <f>IF(A779=A778,"",CONCATENATE("F",A779))</f>
        <v/>
      </c>
      <c r="C779" s="85" t="n"/>
      <c r="D779" s="142" t="n"/>
      <c r="E779" s="142" t="n"/>
      <c r="F779" s="142" t="n"/>
      <c r="G779" s="143" t="n"/>
      <c r="H779" s="56" t="n"/>
      <c r="I779" s="57" t="n"/>
      <c r="J779" s="56" t="n"/>
      <c r="K779" s="56" t="n"/>
      <c r="L779" s="50">
        <f>CONCATENATE(H779,M779)</f>
        <v/>
      </c>
      <c r="M779" s="51">
        <f>IF(OR(ISBLANK(J779),ISBLANK(K779)),IF(OR(H779="ALI",H779="AIE"),"L",IF(ISBLANK(H779),"","A")),IF(H779="EE",IF(K779&gt;=3,IF(J779&gt;=5,"H","A"),IF(K779&gt;=2,IF(J779&gt;=16,"H",IF(J779&lt;=4,"L","A")),IF(J779&lt;=15,"L","A"))),IF(OR(H779="SE",H779="CE"),IF(K779&gt;=4,IF(J779&gt;=6,"H","A"),IF(K779&gt;=2,IF(J779&gt;=20,"H",IF(J779&lt;=5,"L","A")),IF(J779&lt;=19,"L","A"))),IF(OR(H779="ALI",H779="AIE"),IF(K779&gt;=6,IF(J779&gt;=20,"H","A"),IF(K779&gt;=2,IF(J779&gt;=51,"H",IF(J779&lt;=19,"L","A")),IF(J779&lt;=50,"L","A")))))))</f>
        <v/>
      </c>
      <c r="N779" s="52">
        <f>IF(M779="L","Baixa",IF(M779="A","Média",IF(M779="","","Alta")))</f>
        <v/>
      </c>
      <c r="O779" s="53">
        <f>IF(ISBLANK(H779),"",IF(H779="ALI",IF(M779="L",7,IF(M779="A",10,15)),IF(H779="AIE",IF(M779="L",5,IF(M779="A",7,10)),IF(H779="SE",IF(M779="L",4,IF(M779="A",5,7)),IF(OR(H779="EE",H779="CE"),IF(M779="L",3,IF(M779="A",4,6)))))))</f>
        <v/>
      </c>
      <c r="P779" s="54">
        <f>IF(I779="I",O779*Contagem!$W$15,IF(I779="E",O779*Contagem!$W$17,IF(I779="A",O779*Contagem!$W$16,IF(I779="T",O779*Contagem!$W$18,""))))</f>
        <v/>
      </c>
      <c r="Q779" s="55" t="n"/>
    </row>
    <row r="780" ht="12" customHeight="1" s="73">
      <c r="A780" s="14">
        <f>IF(H780="",IF(C780="",A779,A779+1),A779)</f>
        <v/>
      </c>
      <c r="B780" s="48">
        <f>IF(A780=A779,"",CONCATENATE("F",A780))</f>
        <v/>
      </c>
      <c r="C780" s="85" t="n"/>
      <c r="D780" s="142" t="n"/>
      <c r="E780" s="142" t="n"/>
      <c r="F780" s="142" t="n"/>
      <c r="G780" s="143" t="n"/>
      <c r="H780" s="56" t="n"/>
      <c r="I780" s="57" t="n"/>
      <c r="J780" s="56" t="n"/>
      <c r="K780" s="56" t="n"/>
      <c r="L780" s="50">
        <f>CONCATENATE(H780,M780)</f>
        <v/>
      </c>
      <c r="M780" s="51">
        <f>IF(OR(ISBLANK(J780),ISBLANK(K780)),IF(OR(H780="ALI",H780="AIE"),"L",IF(ISBLANK(H780),"","A")),IF(H780="EE",IF(K780&gt;=3,IF(J780&gt;=5,"H","A"),IF(K780&gt;=2,IF(J780&gt;=16,"H",IF(J780&lt;=4,"L","A")),IF(J780&lt;=15,"L","A"))),IF(OR(H780="SE",H780="CE"),IF(K780&gt;=4,IF(J780&gt;=6,"H","A"),IF(K780&gt;=2,IF(J780&gt;=20,"H",IF(J780&lt;=5,"L","A")),IF(J780&lt;=19,"L","A"))),IF(OR(H780="ALI",H780="AIE"),IF(K780&gt;=6,IF(J780&gt;=20,"H","A"),IF(K780&gt;=2,IF(J780&gt;=51,"H",IF(J780&lt;=19,"L","A")),IF(J780&lt;=50,"L","A")))))))</f>
        <v/>
      </c>
      <c r="N780" s="52">
        <f>IF(M780="L","Baixa",IF(M780="A","Média",IF(M780="","","Alta")))</f>
        <v/>
      </c>
      <c r="O780" s="53">
        <f>IF(ISBLANK(H780),"",IF(H780="ALI",IF(M780="L",7,IF(M780="A",10,15)),IF(H780="AIE",IF(M780="L",5,IF(M780="A",7,10)),IF(H780="SE",IF(M780="L",4,IF(M780="A",5,7)),IF(OR(H780="EE",H780="CE"),IF(M780="L",3,IF(M780="A",4,6)))))))</f>
        <v/>
      </c>
      <c r="P780" s="54">
        <f>IF(I780="I",O780*Contagem!$W$15,IF(I780="E",O780*Contagem!$W$17,IF(I780="A",O780*Contagem!$W$16,IF(I780="T",O780*Contagem!$W$18,""))))</f>
        <v/>
      </c>
      <c r="Q780" s="55" t="n"/>
    </row>
    <row r="781" ht="12" customHeight="1" s="73">
      <c r="A781" s="14">
        <f>IF(H781="",IF(C781="",A780,A780+1),A780)</f>
        <v/>
      </c>
      <c r="B781" s="48">
        <f>IF(A781=A780,"",CONCATENATE("F",A781))</f>
        <v/>
      </c>
      <c r="C781" s="85" t="n"/>
      <c r="D781" s="142" t="n"/>
      <c r="E781" s="142" t="n"/>
      <c r="F781" s="142" t="n"/>
      <c r="G781" s="143" t="n"/>
      <c r="H781" s="56" t="n"/>
      <c r="I781" s="57" t="n"/>
      <c r="J781" s="56" t="n"/>
      <c r="K781" s="56" t="n"/>
      <c r="L781" s="50">
        <f>CONCATENATE(H781,M781)</f>
        <v/>
      </c>
      <c r="M781" s="51">
        <f>IF(OR(ISBLANK(J781),ISBLANK(K781)),IF(OR(H781="ALI",H781="AIE"),"L",IF(ISBLANK(H781),"","A")),IF(H781="EE",IF(K781&gt;=3,IF(J781&gt;=5,"H","A"),IF(K781&gt;=2,IF(J781&gt;=16,"H",IF(J781&lt;=4,"L","A")),IF(J781&lt;=15,"L","A"))),IF(OR(H781="SE",H781="CE"),IF(K781&gt;=4,IF(J781&gt;=6,"H","A"),IF(K781&gt;=2,IF(J781&gt;=20,"H",IF(J781&lt;=5,"L","A")),IF(J781&lt;=19,"L","A"))),IF(OR(H781="ALI",H781="AIE"),IF(K781&gt;=6,IF(J781&gt;=20,"H","A"),IF(K781&gt;=2,IF(J781&gt;=51,"H",IF(J781&lt;=19,"L","A")),IF(J781&lt;=50,"L","A")))))))</f>
        <v/>
      </c>
      <c r="N781" s="52">
        <f>IF(M781="L","Baixa",IF(M781="A","Média",IF(M781="","","Alta")))</f>
        <v/>
      </c>
      <c r="O781" s="53">
        <f>IF(ISBLANK(H781),"",IF(H781="ALI",IF(M781="L",7,IF(M781="A",10,15)),IF(H781="AIE",IF(M781="L",5,IF(M781="A",7,10)),IF(H781="SE",IF(M781="L",4,IF(M781="A",5,7)),IF(OR(H781="EE",H781="CE"),IF(M781="L",3,IF(M781="A",4,6)))))))</f>
        <v/>
      </c>
      <c r="P781" s="54">
        <f>IF(I781="I",O781*Contagem!$W$15,IF(I781="E",O781*Contagem!$W$17,IF(I781="A",O781*Contagem!$W$16,IF(I781="T",O781*Contagem!$W$18,""))))</f>
        <v/>
      </c>
      <c r="Q781" s="55" t="n"/>
    </row>
    <row r="782" ht="12" customHeight="1" s="73">
      <c r="A782" s="14">
        <f>IF(H782="",IF(C782="",A781,A781+1),A781)</f>
        <v/>
      </c>
      <c r="B782" s="48">
        <f>IF(A782=A781,"",CONCATENATE("F",A782))</f>
        <v/>
      </c>
      <c r="C782" s="85" t="n"/>
      <c r="D782" s="142" t="n"/>
      <c r="E782" s="142" t="n"/>
      <c r="F782" s="142" t="n"/>
      <c r="G782" s="143" t="n"/>
      <c r="H782" s="56" t="n"/>
      <c r="I782" s="57" t="n"/>
      <c r="J782" s="56" t="n"/>
      <c r="K782" s="56" t="n"/>
      <c r="L782" s="50">
        <f>CONCATENATE(H782,M782)</f>
        <v/>
      </c>
      <c r="M782" s="51">
        <f>IF(OR(ISBLANK(J782),ISBLANK(K782)),IF(OR(H782="ALI",H782="AIE"),"L",IF(ISBLANK(H782),"","A")),IF(H782="EE",IF(K782&gt;=3,IF(J782&gt;=5,"H","A"),IF(K782&gt;=2,IF(J782&gt;=16,"H",IF(J782&lt;=4,"L","A")),IF(J782&lt;=15,"L","A"))),IF(OR(H782="SE",H782="CE"),IF(K782&gt;=4,IF(J782&gt;=6,"H","A"),IF(K782&gt;=2,IF(J782&gt;=20,"H",IF(J782&lt;=5,"L","A")),IF(J782&lt;=19,"L","A"))),IF(OR(H782="ALI",H782="AIE"),IF(K782&gt;=6,IF(J782&gt;=20,"H","A"),IF(K782&gt;=2,IF(J782&gt;=51,"H",IF(J782&lt;=19,"L","A")),IF(J782&lt;=50,"L","A")))))))</f>
        <v/>
      </c>
      <c r="N782" s="52">
        <f>IF(M782="L","Baixa",IF(M782="A","Média",IF(M782="","","Alta")))</f>
        <v/>
      </c>
      <c r="O782" s="53">
        <f>IF(ISBLANK(H782),"",IF(H782="ALI",IF(M782="L",7,IF(M782="A",10,15)),IF(H782="AIE",IF(M782="L",5,IF(M782="A",7,10)),IF(H782="SE",IF(M782="L",4,IF(M782="A",5,7)),IF(OR(H782="EE",H782="CE"),IF(M782="L",3,IF(M782="A",4,6)))))))</f>
        <v/>
      </c>
      <c r="P782" s="54">
        <f>IF(I782="I",O782*Contagem!$W$15,IF(I782="E",O782*Contagem!$W$17,IF(I782="A",O782*Contagem!$W$16,IF(I782="T",O782*Contagem!$W$18,""))))</f>
        <v/>
      </c>
      <c r="Q782" s="55" t="n"/>
    </row>
    <row r="783" ht="12" customHeight="1" s="73">
      <c r="A783" s="14">
        <f>IF(H783="",IF(C783="",A782,A782+1),A782)</f>
        <v/>
      </c>
      <c r="B783" s="48">
        <f>IF(A783=A782,"",CONCATENATE("F",A783))</f>
        <v/>
      </c>
      <c r="C783" s="85" t="n"/>
      <c r="D783" s="142" t="n"/>
      <c r="E783" s="142" t="n"/>
      <c r="F783" s="142" t="n"/>
      <c r="G783" s="143" t="n"/>
      <c r="H783" s="56" t="n"/>
      <c r="I783" s="57" t="n"/>
      <c r="J783" s="56" t="n"/>
      <c r="K783" s="56" t="n"/>
      <c r="L783" s="50">
        <f>CONCATENATE(H783,M783)</f>
        <v/>
      </c>
      <c r="M783" s="51">
        <f>IF(OR(ISBLANK(J783),ISBLANK(K783)),IF(OR(H783="ALI",H783="AIE"),"L",IF(ISBLANK(H783),"","A")),IF(H783="EE",IF(K783&gt;=3,IF(J783&gt;=5,"H","A"),IF(K783&gt;=2,IF(J783&gt;=16,"H",IF(J783&lt;=4,"L","A")),IF(J783&lt;=15,"L","A"))),IF(OR(H783="SE",H783="CE"),IF(K783&gt;=4,IF(J783&gt;=6,"H","A"),IF(K783&gt;=2,IF(J783&gt;=20,"H",IF(J783&lt;=5,"L","A")),IF(J783&lt;=19,"L","A"))),IF(OR(H783="ALI",H783="AIE"),IF(K783&gt;=6,IF(J783&gt;=20,"H","A"),IF(K783&gt;=2,IF(J783&gt;=51,"H",IF(J783&lt;=19,"L","A")),IF(J783&lt;=50,"L","A")))))))</f>
        <v/>
      </c>
      <c r="N783" s="52">
        <f>IF(M783="L","Baixa",IF(M783="A","Média",IF(M783="","","Alta")))</f>
        <v/>
      </c>
      <c r="O783" s="53">
        <f>IF(ISBLANK(H783),"",IF(H783="ALI",IF(M783="L",7,IF(M783="A",10,15)),IF(H783="AIE",IF(M783="L",5,IF(M783="A",7,10)),IF(H783="SE",IF(M783="L",4,IF(M783="A",5,7)),IF(OR(H783="EE",H783="CE"),IF(M783="L",3,IF(M783="A",4,6)))))))</f>
        <v/>
      </c>
      <c r="P783" s="54">
        <f>IF(I783="I",O783*Contagem!$W$15,IF(I783="E",O783*Contagem!$W$17,IF(I783="A",O783*Contagem!$W$16,IF(I783="T",O783*Contagem!$W$18,""))))</f>
        <v/>
      </c>
      <c r="Q783" s="55" t="n"/>
    </row>
    <row r="784" ht="12" customHeight="1" s="73">
      <c r="A784" s="14">
        <f>IF(H784="",IF(C784="",A783,A783+1),A783)</f>
        <v/>
      </c>
      <c r="B784" s="48">
        <f>IF(A784=A783,"",CONCATENATE("F",A784))</f>
        <v/>
      </c>
      <c r="C784" s="85" t="n"/>
      <c r="D784" s="142" t="n"/>
      <c r="E784" s="142" t="n"/>
      <c r="F784" s="142" t="n"/>
      <c r="G784" s="143" t="n"/>
      <c r="H784" s="56" t="n"/>
      <c r="I784" s="57" t="n"/>
      <c r="J784" s="56" t="n"/>
      <c r="K784" s="56" t="n"/>
      <c r="L784" s="50">
        <f>CONCATENATE(H784,M784)</f>
        <v/>
      </c>
      <c r="M784" s="51">
        <f>IF(OR(ISBLANK(J784),ISBLANK(K784)),IF(OR(H784="ALI",H784="AIE"),"L",IF(ISBLANK(H784),"","A")),IF(H784="EE",IF(K784&gt;=3,IF(J784&gt;=5,"H","A"),IF(K784&gt;=2,IF(J784&gt;=16,"H",IF(J784&lt;=4,"L","A")),IF(J784&lt;=15,"L","A"))),IF(OR(H784="SE",H784="CE"),IF(K784&gt;=4,IF(J784&gt;=6,"H","A"),IF(K784&gt;=2,IF(J784&gt;=20,"H",IF(J784&lt;=5,"L","A")),IF(J784&lt;=19,"L","A"))),IF(OR(H784="ALI",H784="AIE"),IF(K784&gt;=6,IF(J784&gt;=20,"H","A"),IF(K784&gt;=2,IF(J784&gt;=51,"H",IF(J784&lt;=19,"L","A")),IF(J784&lt;=50,"L","A")))))))</f>
        <v/>
      </c>
      <c r="N784" s="52">
        <f>IF(M784="L","Baixa",IF(M784="A","Média",IF(M784="","","Alta")))</f>
        <v/>
      </c>
      <c r="O784" s="53">
        <f>IF(ISBLANK(H784),"",IF(H784="ALI",IF(M784="L",7,IF(M784="A",10,15)),IF(H784="AIE",IF(M784="L",5,IF(M784="A",7,10)),IF(H784="SE",IF(M784="L",4,IF(M784="A",5,7)),IF(OR(H784="EE",H784="CE"),IF(M784="L",3,IF(M784="A",4,6)))))))</f>
        <v/>
      </c>
      <c r="P784" s="54">
        <f>IF(I784="I",O784*Contagem!$W$15,IF(I784="E",O784*Contagem!$W$17,IF(I784="A",O784*Contagem!$W$16,IF(I784="T",O784*Contagem!$W$18,""))))</f>
        <v/>
      </c>
      <c r="Q784" s="55" t="n"/>
    </row>
    <row r="785" ht="12" customHeight="1" s="73">
      <c r="A785" s="14">
        <f>IF(H785="",IF(C785="",A784,A784+1),A784)</f>
        <v/>
      </c>
      <c r="B785" s="48">
        <f>IF(A785=A784,"",CONCATENATE("F",A785))</f>
        <v/>
      </c>
      <c r="C785" s="85" t="n"/>
      <c r="D785" s="142" t="n"/>
      <c r="E785" s="142" t="n"/>
      <c r="F785" s="142" t="n"/>
      <c r="G785" s="143" t="n"/>
      <c r="H785" s="56" t="n"/>
      <c r="I785" s="57" t="n"/>
      <c r="J785" s="56" t="n"/>
      <c r="K785" s="56" t="n"/>
      <c r="L785" s="50">
        <f>CONCATENATE(H785,M785)</f>
        <v/>
      </c>
      <c r="M785" s="51">
        <f>IF(OR(ISBLANK(J785),ISBLANK(K785)),IF(OR(H785="ALI",H785="AIE"),"L",IF(ISBLANK(H785),"","A")),IF(H785="EE",IF(K785&gt;=3,IF(J785&gt;=5,"H","A"),IF(K785&gt;=2,IF(J785&gt;=16,"H",IF(J785&lt;=4,"L","A")),IF(J785&lt;=15,"L","A"))),IF(OR(H785="SE",H785="CE"),IF(K785&gt;=4,IF(J785&gt;=6,"H","A"),IF(K785&gt;=2,IF(J785&gt;=20,"H",IF(J785&lt;=5,"L","A")),IF(J785&lt;=19,"L","A"))),IF(OR(H785="ALI",H785="AIE"),IF(K785&gt;=6,IF(J785&gt;=20,"H","A"),IF(K785&gt;=2,IF(J785&gt;=51,"H",IF(J785&lt;=19,"L","A")),IF(J785&lt;=50,"L","A")))))))</f>
        <v/>
      </c>
      <c r="N785" s="52">
        <f>IF(M785="L","Baixa",IF(M785="A","Média",IF(M785="","","Alta")))</f>
        <v/>
      </c>
      <c r="O785" s="53">
        <f>IF(ISBLANK(H785),"",IF(H785="ALI",IF(M785="L",7,IF(M785="A",10,15)),IF(H785="AIE",IF(M785="L",5,IF(M785="A",7,10)),IF(H785="SE",IF(M785="L",4,IF(M785="A",5,7)),IF(OR(H785="EE",H785="CE"),IF(M785="L",3,IF(M785="A",4,6)))))))</f>
        <v/>
      </c>
      <c r="P785" s="54">
        <f>IF(I785="I",O785*Contagem!$W$15,IF(I785="E",O785*Contagem!$W$17,IF(I785="A",O785*Contagem!$W$16,IF(I785="T",O785*Contagem!$W$18,""))))</f>
        <v/>
      </c>
      <c r="Q785" s="55" t="n"/>
    </row>
    <row r="786" ht="12" customHeight="1" s="73">
      <c r="A786" s="14">
        <f>IF(H786="",IF(C786="",A785,A785+1),A785)</f>
        <v/>
      </c>
      <c r="B786" s="48">
        <f>IF(A786=A785,"",CONCATENATE("F",A786))</f>
        <v/>
      </c>
      <c r="C786" s="85" t="n"/>
      <c r="D786" s="142" t="n"/>
      <c r="E786" s="142" t="n"/>
      <c r="F786" s="142" t="n"/>
      <c r="G786" s="143" t="n"/>
      <c r="H786" s="56" t="n"/>
      <c r="I786" s="57" t="n"/>
      <c r="J786" s="56" t="n"/>
      <c r="K786" s="56" t="n"/>
      <c r="L786" s="50">
        <f>CONCATENATE(H786,M786)</f>
        <v/>
      </c>
      <c r="M786" s="51">
        <f>IF(OR(ISBLANK(J786),ISBLANK(K786)),IF(OR(H786="ALI",H786="AIE"),"L",IF(ISBLANK(H786),"","A")),IF(H786="EE",IF(K786&gt;=3,IF(J786&gt;=5,"H","A"),IF(K786&gt;=2,IF(J786&gt;=16,"H",IF(J786&lt;=4,"L","A")),IF(J786&lt;=15,"L","A"))),IF(OR(H786="SE",H786="CE"),IF(K786&gt;=4,IF(J786&gt;=6,"H","A"),IF(K786&gt;=2,IF(J786&gt;=20,"H",IF(J786&lt;=5,"L","A")),IF(J786&lt;=19,"L","A"))),IF(OR(H786="ALI",H786="AIE"),IF(K786&gt;=6,IF(J786&gt;=20,"H","A"),IF(K786&gt;=2,IF(J786&gt;=51,"H",IF(J786&lt;=19,"L","A")),IF(J786&lt;=50,"L","A")))))))</f>
        <v/>
      </c>
      <c r="N786" s="52">
        <f>IF(M786="L","Baixa",IF(M786="A","Média",IF(M786="","","Alta")))</f>
        <v/>
      </c>
      <c r="O786" s="53">
        <f>IF(ISBLANK(H786),"",IF(H786="ALI",IF(M786="L",7,IF(M786="A",10,15)),IF(H786="AIE",IF(M786="L",5,IF(M786="A",7,10)),IF(H786="SE",IF(M786="L",4,IF(M786="A",5,7)),IF(OR(H786="EE",H786="CE"),IF(M786="L",3,IF(M786="A",4,6)))))))</f>
        <v/>
      </c>
      <c r="P786" s="54">
        <f>IF(I786="I",O786*Contagem!$W$15,IF(I786="E",O786*Contagem!$W$17,IF(I786="A",O786*Contagem!$W$16,IF(I786="T",O786*Contagem!$W$18,""))))</f>
        <v/>
      </c>
      <c r="Q786" s="55" t="n"/>
    </row>
    <row r="787" ht="12" customHeight="1" s="73">
      <c r="A787" s="14">
        <f>IF(H787="",IF(C787="",A786,A786+1),A786)</f>
        <v/>
      </c>
      <c r="B787" s="48">
        <f>IF(A787=A786,"",CONCATENATE("F",A787))</f>
        <v/>
      </c>
      <c r="C787" s="85" t="n"/>
      <c r="D787" s="142" t="n"/>
      <c r="E787" s="142" t="n"/>
      <c r="F787" s="142" t="n"/>
      <c r="G787" s="143" t="n"/>
      <c r="H787" s="56" t="n"/>
      <c r="I787" s="57" t="n"/>
      <c r="J787" s="56" t="n"/>
      <c r="K787" s="56" t="n"/>
      <c r="L787" s="50">
        <f>CONCATENATE(H787,M787)</f>
        <v/>
      </c>
      <c r="M787" s="51">
        <f>IF(OR(ISBLANK(J787),ISBLANK(K787)),IF(OR(H787="ALI",H787="AIE"),"L",IF(ISBLANK(H787),"","A")),IF(H787="EE",IF(K787&gt;=3,IF(J787&gt;=5,"H","A"),IF(K787&gt;=2,IF(J787&gt;=16,"H",IF(J787&lt;=4,"L","A")),IF(J787&lt;=15,"L","A"))),IF(OR(H787="SE",H787="CE"),IF(K787&gt;=4,IF(J787&gt;=6,"H","A"),IF(K787&gt;=2,IF(J787&gt;=20,"H",IF(J787&lt;=5,"L","A")),IF(J787&lt;=19,"L","A"))),IF(OR(H787="ALI",H787="AIE"),IF(K787&gt;=6,IF(J787&gt;=20,"H","A"),IF(K787&gt;=2,IF(J787&gt;=51,"H",IF(J787&lt;=19,"L","A")),IF(J787&lt;=50,"L","A")))))))</f>
        <v/>
      </c>
      <c r="N787" s="52">
        <f>IF(M787="L","Baixa",IF(M787="A","Média",IF(M787="","","Alta")))</f>
        <v/>
      </c>
      <c r="O787" s="53">
        <f>IF(ISBLANK(H787),"",IF(H787="ALI",IF(M787="L",7,IF(M787="A",10,15)),IF(H787="AIE",IF(M787="L",5,IF(M787="A",7,10)),IF(H787="SE",IF(M787="L",4,IF(M787="A",5,7)),IF(OR(H787="EE",H787="CE"),IF(M787="L",3,IF(M787="A",4,6)))))))</f>
        <v/>
      </c>
      <c r="P787" s="54">
        <f>IF(I787="I",O787*Contagem!$W$15,IF(I787="E",O787*Contagem!$W$17,IF(I787="A",O787*Contagem!$W$16,IF(I787="T",O787*Contagem!$W$18,""))))</f>
        <v/>
      </c>
      <c r="Q787" s="55" t="n"/>
    </row>
    <row r="788" ht="12" customHeight="1" s="73">
      <c r="A788" s="14">
        <f>IF(H788="",IF(C788="",A787,A787+1),A787)</f>
        <v/>
      </c>
      <c r="B788" s="48">
        <f>IF(A788=A787,"",CONCATENATE("F",A788))</f>
        <v/>
      </c>
      <c r="C788" s="85" t="n"/>
      <c r="D788" s="142" t="n"/>
      <c r="E788" s="142" t="n"/>
      <c r="F788" s="142" t="n"/>
      <c r="G788" s="143" t="n"/>
      <c r="H788" s="56" t="n"/>
      <c r="I788" s="57" t="n"/>
      <c r="J788" s="56" t="n"/>
      <c r="K788" s="56" t="n"/>
      <c r="L788" s="50">
        <f>CONCATENATE(H788,M788)</f>
        <v/>
      </c>
      <c r="M788" s="51">
        <f>IF(OR(ISBLANK(J788),ISBLANK(K788)),IF(OR(H788="ALI",H788="AIE"),"L",IF(ISBLANK(H788),"","A")),IF(H788="EE",IF(K788&gt;=3,IF(J788&gt;=5,"H","A"),IF(K788&gt;=2,IF(J788&gt;=16,"H",IF(J788&lt;=4,"L","A")),IF(J788&lt;=15,"L","A"))),IF(OR(H788="SE",H788="CE"),IF(K788&gt;=4,IF(J788&gt;=6,"H","A"),IF(K788&gt;=2,IF(J788&gt;=20,"H",IF(J788&lt;=5,"L","A")),IF(J788&lt;=19,"L","A"))),IF(OR(H788="ALI",H788="AIE"),IF(K788&gt;=6,IF(J788&gt;=20,"H","A"),IF(K788&gt;=2,IF(J788&gt;=51,"H",IF(J788&lt;=19,"L","A")),IF(J788&lt;=50,"L","A")))))))</f>
        <v/>
      </c>
      <c r="N788" s="52">
        <f>IF(M788="L","Baixa",IF(M788="A","Média",IF(M788="","","Alta")))</f>
        <v/>
      </c>
      <c r="O788" s="53">
        <f>IF(ISBLANK(H788),"",IF(H788="ALI",IF(M788="L",7,IF(M788="A",10,15)),IF(H788="AIE",IF(M788="L",5,IF(M788="A",7,10)),IF(H788="SE",IF(M788="L",4,IF(M788="A",5,7)),IF(OR(H788="EE",H788="CE"),IF(M788="L",3,IF(M788="A",4,6)))))))</f>
        <v/>
      </c>
      <c r="P788" s="54">
        <f>IF(I788="I",O788*Contagem!$W$15,IF(I788="E",O788*Contagem!$W$17,IF(I788="A",O788*Contagem!$W$16,IF(I788="T",O788*Contagem!$W$18,""))))</f>
        <v/>
      </c>
      <c r="Q788" s="55" t="n"/>
    </row>
    <row r="789" ht="12" customHeight="1" s="73">
      <c r="A789" s="14">
        <f>IF(H789="",IF(C789="",A788,A788+1),A788)</f>
        <v/>
      </c>
      <c r="B789" s="48">
        <f>IF(A789=A788,"",CONCATENATE("F",A789))</f>
        <v/>
      </c>
      <c r="C789" s="85" t="n"/>
      <c r="D789" s="142" t="n"/>
      <c r="E789" s="142" t="n"/>
      <c r="F789" s="142" t="n"/>
      <c r="G789" s="143" t="n"/>
      <c r="H789" s="56" t="n"/>
      <c r="I789" s="57" t="n"/>
      <c r="J789" s="56" t="n"/>
      <c r="K789" s="56" t="n"/>
      <c r="L789" s="50">
        <f>CONCATENATE(H789,M789)</f>
        <v/>
      </c>
      <c r="M789" s="51">
        <f>IF(OR(ISBLANK(J789),ISBLANK(K789)),IF(OR(H789="ALI",H789="AIE"),"L",IF(ISBLANK(H789),"","A")),IF(H789="EE",IF(K789&gt;=3,IF(J789&gt;=5,"H","A"),IF(K789&gt;=2,IF(J789&gt;=16,"H",IF(J789&lt;=4,"L","A")),IF(J789&lt;=15,"L","A"))),IF(OR(H789="SE",H789="CE"),IF(K789&gt;=4,IF(J789&gt;=6,"H","A"),IF(K789&gt;=2,IF(J789&gt;=20,"H",IF(J789&lt;=5,"L","A")),IF(J789&lt;=19,"L","A"))),IF(OR(H789="ALI",H789="AIE"),IF(K789&gt;=6,IF(J789&gt;=20,"H","A"),IF(K789&gt;=2,IF(J789&gt;=51,"H",IF(J789&lt;=19,"L","A")),IF(J789&lt;=50,"L","A")))))))</f>
        <v/>
      </c>
      <c r="N789" s="52">
        <f>IF(M789="L","Baixa",IF(M789="A","Média",IF(M789="","","Alta")))</f>
        <v/>
      </c>
      <c r="O789" s="53">
        <f>IF(ISBLANK(H789),"",IF(H789="ALI",IF(M789="L",7,IF(M789="A",10,15)),IF(H789="AIE",IF(M789="L",5,IF(M789="A",7,10)),IF(H789="SE",IF(M789="L",4,IF(M789="A",5,7)),IF(OR(H789="EE",H789="CE"),IF(M789="L",3,IF(M789="A",4,6)))))))</f>
        <v/>
      </c>
      <c r="P789" s="54">
        <f>IF(I789="I",O789*Contagem!$W$15,IF(I789="E",O789*Contagem!$W$17,IF(I789="A",O789*Contagem!$W$16,IF(I789="T",O789*Contagem!$W$18,""))))</f>
        <v/>
      </c>
      <c r="Q789" s="55" t="n"/>
    </row>
    <row r="790" ht="12" customHeight="1" s="73">
      <c r="A790" s="14">
        <f>IF(H790="",IF(C790="",A789,A789+1),A789)</f>
        <v/>
      </c>
      <c r="B790" s="48">
        <f>IF(A790=A789,"",CONCATENATE("F",A790))</f>
        <v/>
      </c>
      <c r="C790" s="85" t="n"/>
      <c r="D790" s="142" t="n"/>
      <c r="E790" s="142" t="n"/>
      <c r="F790" s="142" t="n"/>
      <c r="G790" s="143" t="n"/>
      <c r="H790" s="56" t="n"/>
      <c r="I790" s="57" t="n"/>
      <c r="J790" s="56" t="n"/>
      <c r="K790" s="56" t="n"/>
      <c r="L790" s="50">
        <f>CONCATENATE(H790,M790)</f>
        <v/>
      </c>
      <c r="M790" s="51">
        <f>IF(OR(ISBLANK(J790),ISBLANK(K790)),IF(OR(H790="ALI",H790="AIE"),"L",IF(ISBLANK(H790),"","A")),IF(H790="EE",IF(K790&gt;=3,IF(J790&gt;=5,"H","A"),IF(K790&gt;=2,IF(J790&gt;=16,"H",IF(J790&lt;=4,"L","A")),IF(J790&lt;=15,"L","A"))),IF(OR(H790="SE",H790="CE"),IF(K790&gt;=4,IF(J790&gt;=6,"H","A"),IF(K790&gt;=2,IF(J790&gt;=20,"H",IF(J790&lt;=5,"L","A")),IF(J790&lt;=19,"L","A"))),IF(OR(H790="ALI",H790="AIE"),IF(K790&gt;=6,IF(J790&gt;=20,"H","A"),IF(K790&gt;=2,IF(J790&gt;=51,"H",IF(J790&lt;=19,"L","A")),IF(J790&lt;=50,"L","A")))))))</f>
        <v/>
      </c>
      <c r="N790" s="52">
        <f>IF(M790="L","Baixa",IF(M790="A","Média",IF(M790="","","Alta")))</f>
        <v/>
      </c>
      <c r="O790" s="53">
        <f>IF(ISBLANK(H790),"",IF(H790="ALI",IF(M790="L",7,IF(M790="A",10,15)),IF(H790="AIE",IF(M790="L",5,IF(M790="A",7,10)),IF(H790="SE",IF(M790="L",4,IF(M790="A",5,7)),IF(OR(H790="EE",H790="CE"),IF(M790="L",3,IF(M790="A",4,6)))))))</f>
        <v/>
      </c>
      <c r="P790" s="54">
        <f>IF(I790="I",O790*Contagem!$W$15,IF(I790="E",O790*Contagem!$W$17,IF(I790="A",O790*Contagem!$W$16,IF(I790="T",O790*Contagem!$W$18,""))))</f>
        <v/>
      </c>
      <c r="Q790" s="55" t="n"/>
    </row>
    <row r="791" ht="12" customHeight="1" s="73">
      <c r="A791" s="14">
        <f>IF(H791="",IF(C791="",A790,A790+1),A790)</f>
        <v/>
      </c>
      <c r="B791" s="48">
        <f>IF(A791=A790,"",CONCATENATE("F",A791))</f>
        <v/>
      </c>
      <c r="C791" s="85" t="n"/>
      <c r="D791" s="142" t="n"/>
      <c r="E791" s="142" t="n"/>
      <c r="F791" s="142" t="n"/>
      <c r="G791" s="143" t="n"/>
      <c r="H791" s="56" t="n"/>
      <c r="I791" s="57" t="n"/>
      <c r="J791" s="56" t="n"/>
      <c r="K791" s="56" t="n"/>
      <c r="L791" s="50">
        <f>CONCATENATE(H791,M791)</f>
        <v/>
      </c>
      <c r="M791" s="51">
        <f>IF(OR(ISBLANK(J791),ISBLANK(K791)),IF(OR(H791="ALI",H791="AIE"),"L",IF(ISBLANK(H791),"","A")),IF(H791="EE",IF(K791&gt;=3,IF(J791&gt;=5,"H","A"),IF(K791&gt;=2,IF(J791&gt;=16,"H",IF(J791&lt;=4,"L","A")),IF(J791&lt;=15,"L","A"))),IF(OR(H791="SE",H791="CE"),IF(K791&gt;=4,IF(J791&gt;=6,"H","A"),IF(K791&gt;=2,IF(J791&gt;=20,"H",IF(J791&lt;=5,"L","A")),IF(J791&lt;=19,"L","A"))),IF(OR(H791="ALI",H791="AIE"),IF(K791&gt;=6,IF(J791&gt;=20,"H","A"),IF(K791&gt;=2,IF(J791&gt;=51,"H",IF(J791&lt;=19,"L","A")),IF(J791&lt;=50,"L","A")))))))</f>
        <v/>
      </c>
      <c r="N791" s="52">
        <f>IF(M791="L","Baixa",IF(M791="A","Média",IF(M791="","","Alta")))</f>
        <v/>
      </c>
      <c r="O791" s="53">
        <f>IF(ISBLANK(H791),"",IF(H791="ALI",IF(M791="L",7,IF(M791="A",10,15)),IF(H791="AIE",IF(M791="L",5,IF(M791="A",7,10)),IF(H791="SE",IF(M791="L",4,IF(M791="A",5,7)),IF(OR(H791="EE",H791="CE"),IF(M791="L",3,IF(M791="A",4,6)))))))</f>
        <v/>
      </c>
      <c r="P791" s="54">
        <f>IF(I791="I",O791*Contagem!$W$15,IF(I791="E",O791*Contagem!$W$17,IF(I791="A",O791*Contagem!$W$16,IF(I791="T",O791*Contagem!$W$18,""))))</f>
        <v/>
      </c>
      <c r="Q791" s="55" t="n"/>
    </row>
    <row r="792" ht="12" customHeight="1" s="73">
      <c r="A792" s="14">
        <f>IF(H792="",IF(C792="",A791,A791+1),A791)</f>
        <v/>
      </c>
      <c r="B792" s="48">
        <f>IF(A792=A791,"",CONCATENATE("F",A792))</f>
        <v/>
      </c>
      <c r="C792" s="85" t="n"/>
      <c r="D792" s="142" t="n"/>
      <c r="E792" s="142" t="n"/>
      <c r="F792" s="142" t="n"/>
      <c r="G792" s="143" t="n"/>
      <c r="H792" s="56" t="n"/>
      <c r="I792" s="57" t="n"/>
      <c r="J792" s="56" t="n"/>
      <c r="K792" s="56" t="n"/>
      <c r="L792" s="50">
        <f>CONCATENATE(H792,M792)</f>
        <v/>
      </c>
      <c r="M792" s="51">
        <f>IF(OR(ISBLANK(J792),ISBLANK(K792)),IF(OR(H792="ALI",H792="AIE"),"L",IF(ISBLANK(H792),"","A")),IF(H792="EE",IF(K792&gt;=3,IF(J792&gt;=5,"H","A"),IF(K792&gt;=2,IF(J792&gt;=16,"H",IF(J792&lt;=4,"L","A")),IF(J792&lt;=15,"L","A"))),IF(OR(H792="SE",H792="CE"),IF(K792&gt;=4,IF(J792&gt;=6,"H","A"),IF(K792&gt;=2,IF(J792&gt;=20,"H",IF(J792&lt;=5,"L","A")),IF(J792&lt;=19,"L","A"))),IF(OR(H792="ALI",H792="AIE"),IF(K792&gt;=6,IF(J792&gt;=20,"H","A"),IF(K792&gt;=2,IF(J792&gt;=51,"H",IF(J792&lt;=19,"L","A")),IF(J792&lt;=50,"L","A")))))))</f>
        <v/>
      </c>
      <c r="N792" s="52">
        <f>IF(M792="L","Baixa",IF(M792="A","Média",IF(M792="","","Alta")))</f>
        <v/>
      </c>
      <c r="O792" s="53">
        <f>IF(ISBLANK(H792),"",IF(H792="ALI",IF(M792="L",7,IF(M792="A",10,15)),IF(H792="AIE",IF(M792="L",5,IF(M792="A",7,10)),IF(H792="SE",IF(M792="L",4,IF(M792="A",5,7)),IF(OR(H792="EE",H792="CE"),IF(M792="L",3,IF(M792="A",4,6)))))))</f>
        <v/>
      </c>
      <c r="P792" s="54">
        <f>IF(I792="I",O792*Contagem!$W$15,IF(I792="E",O792*Contagem!$W$17,IF(I792="A",O792*Contagem!$W$16,IF(I792="T",O792*Contagem!$W$18,""))))</f>
        <v/>
      </c>
      <c r="Q792" s="55" t="n"/>
    </row>
    <row r="793" ht="12" customHeight="1" s="73">
      <c r="A793" s="14">
        <f>IF(H793="",IF(C793="",A792,A792+1),A792)</f>
        <v/>
      </c>
      <c r="B793" s="48">
        <f>IF(A793=A792,"",CONCATENATE("F",A793))</f>
        <v/>
      </c>
      <c r="C793" s="85" t="n"/>
      <c r="D793" s="142" t="n"/>
      <c r="E793" s="142" t="n"/>
      <c r="F793" s="142" t="n"/>
      <c r="G793" s="143" t="n"/>
      <c r="H793" s="56" t="n"/>
      <c r="I793" s="57" t="n"/>
      <c r="J793" s="56" t="n"/>
      <c r="K793" s="56" t="n"/>
      <c r="L793" s="50">
        <f>CONCATENATE(H793,M793)</f>
        <v/>
      </c>
      <c r="M793" s="51">
        <f>IF(OR(ISBLANK(J793),ISBLANK(K793)),IF(OR(H793="ALI",H793="AIE"),"L",IF(ISBLANK(H793),"","A")),IF(H793="EE",IF(K793&gt;=3,IF(J793&gt;=5,"H","A"),IF(K793&gt;=2,IF(J793&gt;=16,"H",IF(J793&lt;=4,"L","A")),IF(J793&lt;=15,"L","A"))),IF(OR(H793="SE",H793="CE"),IF(K793&gt;=4,IF(J793&gt;=6,"H","A"),IF(K793&gt;=2,IF(J793&gt;=20,"H",IF(J793&lt;=5,"L","A")),IF(J793&lt;=19,"L","A"))),IF(OR(H793="ALI",H793="AIE"),IF(K793&gt;=6,IF(J793&gt;=20,"H","A"),IF(K793&gt;=2,IF(J793&gt;=51,"H",IF(J793&lt;=19,"L","A")),IF(J793&lt;=50,"L","A")))))))</f>
        <v/>
      </c>
      <c r="N793" s="52">
        <f>IF(M793="L","Baixa",IF(M793="A","Média",IF(M793="","","Alta")))</f>
        <v/>
      </c>
      <c r="O793" s="53">
        <f>IF(ISBLANK(H793),"",IF(H793="ALI",IF(M793="L",7,IF(M793="A",10,15)),IF(H793="AIE",IF(M793="L",5,IF(M793="A",7,10)),IF(H793="SE",IF(M793="L",4,IF(M793="A",5,7)),IF(OR(H793="EE",H793="CE"),IF(M793="L",3,IF(M793="A",4,6)))))))</f>
        <v/>
      </c>
      <c r="P793" s="54">
        <f>IF(I793="I",O793*Contagem!$W$15,IF(I793="E",O793*Contagem!$W$17,IF(I793="A",O793*Contagem!$W$16,IF(I793="T",O793*Contagem!$W$18,""))))</f>
        <v/>
      </c>
      <c r="Q793" s="55" t="n"/>
    </row>
    <row r="794" ht="12" customHeight="1" s="73">
      <c r="A794" s="14">
        <f>IF(H794="",IF(C794="",A793,A793+1),A793)</f>
        <v/>
      </c>
      <c r="B794" s="48">
        <f>IF(A794=A793,"",CONCATENATE("F",A794))</f>
        <v/>
      </c>
      <c r="C794" s="85" t="n"/>
      <c r="D794" s="142" t="n"/>
      <c r="E794" s="142" t="n"/>
      <c r="F794" s="142" t="n"/>
      <c r="G794" s="143" t="n"/>
      <c r="H794" s="56" t="n"/>
      <c r="I794" s="57" t="n"/>
      <c r="J794" s="56" t="n"/>
      <c r="K794" s="56" t="n"/>
      <c r="L794" s="50">
        <f>CONCATENATE(H794,M794)</f>
        <v/>
      </c>
      <c r="M794" s="51">
        <f>IF(OR(ISBLANK(J794),ISBLANK(K794)),IF(OR(H794="ALI",H794="AIE"),"L",IF(ISBLANK(H794),"","A")),IF(H794="EE",IF(K794&gt;=3,IF(J794&gt;=5,"H","A"),IF(K794&gt;=2,IF(J794&gt;=16,"H",IF(J794&lt;=4,"L","A")),IF(J794&lt;=15,"L","A"))),IF(OR(H794="SE",H794="CE"),IF(K794&gt;=4,IF(J794&gt;=6,"H","A"),IF(K794&gt;=2,IF(J794&gt;=20,"H",IF(J794&lt;=5,"L","A")),IF(J794&lt;=19,"L","A"))),IF(OR(H794="ALI",H794="AIE"),IF(K794&gt;=6,IF(J794&gt;=20,"H","A"),IF(K794&gt;=2,IF(J794&gt;=51,"H",IF(J794&lt;=19,"L","A")),IF(J794&lt;=50,"L","A")))))))</f>
        <v/>
      </c>
      <c r="N794" s="52">
        <f>IF(M794="L","Baixa",IF(M794="A","Média",IF(M794="","","Alta")))</f>
        <v/>
      </c>
      <c r="O794" s="53">
        <f>IF(ISBLANK(H794),"",IF(H794="ALI",IF(M794="L",7,IF(M794="A",10,15)),IF(H794="AIE",IF(M794="L",5,IF(M794="A",7,10)),IF(H794="SE",IF(M794="L",4,IF(M794="A",5,7)),IF(OR(H794="EE",H794="CE"),IF(M794="L",3,IF(M794="A",4,6)))))))</f>
        <v/>
      </c>
      <c r="P794" s="54">
        <f>IF(I794="I",O794*Contagem!$W$15,IF(I794="E",O794*Contagem!$W$17,IF(I794="A",O794*Contagem!$W$16,IF(I794="T",O794*Contagem!$W$18,""))))</f>
        <v/>
      </c>
      <c r="Q794" s="55" t="n"/>
    </row>
    <row r="795" ht="12" customHeight="1" s="73">
      <c r="A795" s="14">
        <f>IF(H795="",IF(C795="",A794,A794+1),A794)</f>
        <v/>
      </c>
      <c r="B795" s="48">
        <f>IF(A795=A794,"",CONCATENATE("F",A795))</f>
        <v/>
      </c>
      <c r="C795" s="85" t="n"/>
      <c r="D795" s="142" t="n"/>
      <c r="E795" s="142" t="n"/>
      <c r="F795" s="142" t="n"/>
      <c r="G795" s="143" t="n"/>
      <c r="H795" s="56" t="n"/>
      <c r="I795" s="57" t="n"/>
      <c r="J795" s="56" t="n"/>
      <c r="K795" s="56" t="n"/>
      <c r="L795" s="50">
        <f>CONCATENATE(H795,M795)</f>
        <v/>
      </c>
      <c r="M795" s="51">
        <f>IF(OR(ISBLANK(J795),ISBLANK(K795)),IF(OR(H795="ALI",H795="AIE"),"L",IF(ISBLANK(H795),"","A")),IF(H795="EE",IF(K795&gt;=3,IF(J795&gt;=5,"H","A"),IF(K795&gt;=2,IF(J795&gt;=16,"H",IF(J795&lt;=4,"L","A")),IF(J795&lt;=15,"L","A"))),IF(OR(H795="SE",H795="CE"),IF(K795&gt;=4,IF(J795&gt;=6,"H","A"),IF(K795&gt;=2,IF(J795&gt;=20,"H",IF(J795&lt;=5,"L","A")),IF(J795&lt;=19,"L","A"))),IF(OR(H795="ALI",H795="AIE"),IF(K795&gt;=6,IF(J795&gt;=20,"H","A"),IF(K795&gt;=2,IF(J795&gt;=51,"H",IF(J795&lt;=19,"L","A")),IF(J795&lt;=50,"L","A")))))))</f>
        <v/>
      </c>
      <c r="N795" s="52">
        <f>IF(M795="L","Baixa",IF(M795="A","Média",IF(M795="","","Alta")))</f>
        <v/>
      </c>
      <c r="O795" s="53">
        <f>IF(ISBLANK(H795),"",IF(H795="ALI",IF(M795="L",7,IF(M795="A",10,15)),IF(H795="AIE",IF(M795="L",5,IF(M795="A",7,10)),IF(H795="SE",IF(M795="L",4,IF(M795="A",5,7)),IF(OR(H795="EE",H795="CE"),IF(M795="L",3,IF(M795="A",4,6)))))))</f>
        <v/>
      </c>
      <c r="P795" s="54">
        <f>IF(I795="I",O795*Contagem!$W$15,IF(I795="E",O795*Contagem!$W$17,IF(I795="A",O795*Contagem!$W$16,IF(I795="T",O795*Contagem!$W$18,""))))</f>
        <v/>
      </c>
      <c r="Q795" s="55" t="n"/>
    </row>
    <row r="796" ht="12" customHeight="1" s="73">
      <c r="A796" s="14">
        <f>IF(H796="",IF(C796="",A795,A795+1),A795)</f>
        <v/>
      </c>
      <c r="B796" s="48">
        <f>IF(A796=A795,"",CONCATENATE("F",A796))</f>
        <v/>
      </c>
      <c r="C796" s="85" t="n"/>
      <c r="D796" s="142" t="n"/>
      <c r="E796" s="142" t="n"/>
      <c r="F796" s="142" t="n"/>
      <c r="G796" s="143" t="n"/>
      <c r="H796" s="56" t="n"/>
      <c r="I796" s="57" t="n"/>
      <c r="J796" s="56" t="n"/>
      <c r="K796" s="56" t="n"/>
      <c r="L796" s="50">
        <f>CONCATENATE(H796,M796)</f>
        <v/>
      </c>
      <c r="M796" s="51">
        <f>IF(OR(ISBLANK(J796),ISBLANK(K796)),IF(OR(H796="ALI",H796="AIE"),"L",IF(ISBLANK(H796),"","A")),IF(H796="EE",IF(K796&gt;=3,IF(J796&gt;=5,"H","A"),IF(K796&gt;=2,IF(J796&gt;=16,"H",IF(J796&lt;=4,"L","A")),IF(J796&lt;=15,"L","A"))),IF(OR(H796="SE",H796="CE"),IF(K796&gt;=4,IF(J796&gt;=6,"H","A"),IF(K796&gt;=2,IF(J796&gt;=20,"H",IF(J796&lt;=5,"L","A")),IF(J796&lt;=19,"L","A"))),IF(OR(H796="ALI",H796="AIE"),IF(K796&gt;=6,IF(J796&gt;=20,"H","A"),IF(K796&gt;=2,IF(J796&gt;=51,"H",IF(J796&lt;=19,"L","A")),IF(J796&lt;=50,"L","A")))))))</f>
        <v/>
      </c>
      <c r="N796" s="52">
        <f>IF(M796="L","Baixa",IF(M796="A","Média",IF(M796="","","Alta")))</f>
        <v/>
      </c>
      <c r="O796" s="53">
        <f>IF(ISBLANK(H796),"",IF(H796="ALI",IF(M796="L",7,IF(M796="A",10,15)),IF(H796="AIE",IF(M796="L",5,IF(M796="A",7,10)),IF(H796="SE",IF(M796="L",4,IF(M796="A",5,7)),IF(OR(H796="EE",H796="CE"),IF(M796="L",3,IF(M796="A",4,6)))))))</f>
        <v/>
      </c>
      <c r="P796" s="54">
        <f>IF(I796="I",O796*Contagem!$W$15,IF(I796="E",O796*Contagem!$W$17,IF(I796="A",O796*Contagem!$W$16,IF(I796="T",O796*Contagem!$W$18,""))))</f>
        <v/>
      </c>
      <c r="Q796" s="55" t="n"/>
    </row>
    <row r="797" ht="12" customHeight="1" s="73">
      <c r="A797" s="14">
        <f>IF(H797="",IF(C797="",A796,A796+1),A796)</f>
        <v/>
      </c>
      <c r="B797" s="48">
        <f>IF(A797=A796,"",CONCATENATE("F",A797))</f>
        <v/>
      </c>
      <c r="C797" s="85" t="n"/>
      <c r="D797" s="142" t="n"/>
      <c r="E797" s="142" t="n"/>
      <c r="F797" s="142" t="n"/>
      <c r="G797" s="143" t="n"/>
      <c r="H797" s="56" t="n"/>
      <c r="I797" s="57" t="n"/>
      <c r="J797" s="56" t="n"/>
      <c r="K797" s="56" t="n"/>
      <c r="L797" s="50">
        <f>CONCATENATE(H797,M797)</f>
        <v/>
      </c>
      <c r="M797" s="51">
        <f>IF(OR(ISBLANK(J797),ISBLANK(K797)),IF(OR(H797="ALI",H797="AIE"),"L",IF(ISBLANK(H797),"","A")),IF(H797="EE",IF(K797&gt;=3,IF(J797&gt;=5,"H","A"),IF(K797&gt;=2,IF(J797&gt;=16,"H",IF(J797&lt;=4,"L","A")),IF(J797&lt;=15,"L","A"))),IF(OR(H797="SE",H797="CE"),IF(K797&gt;=4,IF(J797&gt;=6,"H","A"),IF(K797&gt;=2,IF(J797&gt;=20,"H",IF(J797&lt;=5,"L","A")),IF(J797&lt;=19,"L","A"))),IF(OR(H797="ALI",H797="AIE"),IF(K797&gt;=6,IF(J797&gt;=20,"H","A"),IF(K797&gt;=2,IF(J797&gt;=51,"H",IF(J797&lt;=19,"L","A")),IF(J797&lt;=50,"L","A")))))))</f>
        <v/>
      </c>
      <c r="N797" s="52">
        <f>IF(M797="L","Baixa",IF(M797="A","Média",IF(M797="","","Alta")))</f>
        <v/>
      </c>
      <c r="O797" s="53">
        <f>IF(ISBLANK(H797),"",IF(H797="ALI",IF(M797="L",7,IF(M797="A",10,15)),IF(H797="AIE",IF(M797="L",5,IF(M797="A",7,10)),IF(H797="SE",IF(M797="L",4,IF(M797="A",5,7)),IF(OR(H797="EE",H797="CE"),IF(M797="L",3,IF(M797="A",4,6)))))))</f>
        <v/>
      </c>
      <c r="P797" s="54">
        <f>IF(I797="I",O797*Contagem!$W$15,IF(I797="E",O797*Contagem!$W$17,IF(I797="A",O797*Contagem!$W$16,IF(I797="T",O797*Contagem!$W$18,""))))</f>
        <v/>
      </c>
      <c r="Q797" s="55" t="n"/>
    </row>
    <row r="798" ht="12" customHeight="1" s="73">
      <c r="A798" s="14">
        <f>IF(H798="",IF(C798="",A797,A797+1),A797)</f>
        <v/>
      </c>
      <c r="B798" s="48">
        <f>IF(A798=A797,"",CONCATENATE("F",A798))</f>
        <v/>
      </c>
      <c r="C798" s="85" t="n"/>
      <c r="D798" s="142" t="n"/>
      <c r="E798" s="142" t="n"/>
      <c r="F798" s="142" t="n"/>
      <c r="G798" s="143" t="n"/>
      <c r="H798" s="56" t="n"/>
      <c r="I798" s="57" t="n"/>
      <c r="J798" s="56" t="n"/>
      <c r="K798" s="56" t="n"/>
      <c r="L798" s="50">
        <f>CONCATENATE(H798,M798)</f>
        <v/>
      </c>
      <c r="M798" s="51">
        <f>IF(OR(ISBLANK(J798),ISBLANK(K798)),IF(OR(H798="ALI",H798="AIE"),"L",IF(ISBLANK(H798),"","A")),IF(H798="EE",IF(K798&gt;=3,IF(J798&gt;=5,"H","A"),IF(K798&gt;=2,IF(J798&gt;=16,"H",IF(J798&lt;=4,"L","A")),IF(J798&lt;=15,"L","A"))),IF(OR(H798="SE",H798="CE"),IF(K798&gt;=4,IF(J798&gt;=6,"H","A"),IF(K798&gt;=2,IF(J798&gt;=20,"H",IF(J798&lt;=5,"L","A")),IF(J798&lt;=19,"L","A"))),IF(OR(H798="ALI",H798="AIE"),IF(K798&gt;=6,IF(J798&gt;=20,"H","A"),IF(K798&gt;=2,IF(J798&gt;=51,"H",IF(J798&lt;=19,"L","A")),IF(J798&lt;=50,"L","A")))))))</f>
        <v/>
      </c>
      <c r="N798" s="52">
        <f>IF(M798="L","Baixa",IF(M798="A","Média",IF(M798="","","Alta")))</f>
        <v/>
      </c>
      <c r="O798" s="53">
        <f>IF(ISBLANK(H798),"",IF(H798="ALI",IF(M798="L",7,IF(M798="A",10,15)),IF(H798="AIE",IF(M798="L",5,IF(M798="A",7,10)),IF(H798="SE",IF(M798="L",4,IF(M798="A",5,7)),IF(OR(H798="EE",H798="CE"),IF(M798="L",3,IF(M798="A",4,6)))))))</f>
        <v/>
      </c>
      <c r="P798" s="54">
        <f>IF(I798="I",O798*Contagem!$W$15,IF(I798="E",O798*Contagem!$W$17,IF(I798="A",O798*Contagem!$W$16,IF(I798="T",O798*Contagem!$W$18,""))))</f>
        <v/>
      </c>
      <c r="Q798" s="55" t="n"/>
    </row>
    <row r="799" ht="12" customHeight="1" s="73">
      <c r="A799" s="14">
        <f>IF(H799="",IF(C799="",A798,A798+1),A798)</f>
        <v/>
      </c>
      <c r="B799" s="48">
        <f>IF(A799=A798,"",CONCATENATE("F",A799))</f>
        <v/>
      </c>
      <c r="C799" s="85" t="n"/>
      <c r="D799" s="142" t="n"/>
      <c r="E799" s="142" t="n"/>
      <c r="F799" s="142" t="n"/>
      <c r="G799" s="143" t="n"/>
      <c r="H799" s="56" t="n"/>
      <c r="I799" s="57" t="n"/>
      <c r="J799" s="56" t="n"/>
      <c r="K799" s="56" t="n"/>
      <c r="L799" s="50">
        <f>CONCATENATE(H799,M799)</f>
        <v/>
      </c>
      <c r="M799" s="51">
        <f>IF(OR(ISBLANK(J799),ISBLANK(K799)),IF(OR(H799="ALI",H799="AIE"),"L",IF(ISBLANK(H799),"","A")),IF(H799="EE",IF(K799&gt;=3,IF(J799&gt;=5,"H","A"),IF(K799&gt;=2,IF(J799&gt;=16,"H",IF(J799&lt;=4,"L","A")),IF(J799&lt;=15,"L","A"))),IF(OR(H799="SE",H799="CE"),IF(K799&gt;=4,IF(J799&gt;=6,"H","A"),IF(K799&gt;=2,IF(J799&gt;=20,"H",IF(J799&lt;=5,"L","A")),IF(J799&lt;=19,"L","A"))),IF(OR(H799="ALI",H799="AIE"),IF(K799&gt;=6,IF(J799&gt;=20,"H","A"),IF(K799&gt;=2,IF(J799&gt;=51,"H",IF(J799&lt;=19,"L","A")),IF(J799&lt;=50,"L","A")))))))</f>
        <v/>
      </c>
      <c r="N799" s="52">
        <f>IF(M799="L","Baixa",IF(M799="A","Média",IF(M799="","","Alta")))</f>
        <v/>
      </c>
      <c r="O799" s="53">
        <f>IF(ISBLANK(H799),"",IF(H799="ALI",IF(M799="L",7,IF(M799="A",10,15)),IF(H799="AIE",IF(M799="L",5,IF(M799="A",7,10)),IF(H799="SE",IF(M799="L",4,IF(M799="A",5,7)),IF(OR(H799="EE",H799="CE"),IF(M799="L",3,IF(M799="A",4,6)))))))</f>
        <v/>
      </c>
      <c r="P799" s="54">
        <f>IF(I799="I",O799*Contagem!$W$15,IF(I799="E",O799*Contagem!$W$17,IF(I799="A",O799*Contagem!$W$16,IF(I799="T",O799*Contagem!$W$18,""))))</f>
        <v/>
      </c>
      <c r="Q799" s="55" t="n"/>
    </row>
    <row r="800" ht="12" customHeight="1" s="73">
      <c r="A800" s="14">
        <f>IF(H800="",IF(C800="",A799,A799+1),A799)</f>
        <v/>
      </c>
      <c r="B800" s="48">
        <f>IF(A800=A799,"",CONCATENATE("F",A800))</f>
        <v/>
      </c>
      <c r="C800" s="85" t="n"/>
      <c r="D800" s="142" t="n"/>
      <c r="E800" s="142" t="n"/>
      <c r="F800" s="142" t="n"/>
      <c r="G800" s="143" t="n"/>
      <c r="H800" s="56" t="n"/>
      <c r="I800" s="57" t="n"/>
      <c r="J800" s="56" t="n"/>
      <c r="K800" s="56" t="n"/>
      <c r="L800" s="50">
        <f>CONCATENATE(H800,M800)</f>
        <v/>
      </c>
      <c r="M800" s="51">
        <f>IF(OR(ISBLANK(J800),ISBLANK(K800)),IF(OR(H800="ALI",H800="AIE"),"L",IF(ISBLANK(H800),"","A")),IF(H800="EE",IF(K800&gt;=3,IF(J800&gt;=5,"H","A"),IF(K800&gt;=2,IF(J800&gt;=16,"H",IF(J800&lt;=4,"L","A")),IF(J800&lt;=15,"L","A"))),IF(OR(H800="SE",H800="CE"),IF(K800&gt;=4,IF(J800&gt;=6,"H","A"),IF(K800&gt;=2,IF(J800&gt;=20,"H",IF(J800&lt;=5,"L","A")),IF(J800&lt;=19,"L","A"))),IF(OR(H800="ALI",H800="AIE"),IF(K800&gt;=6,IF(J800&gt;=20,"H","A"),IF(K800&gt;=2,IF(J800&gt;=51,"H",IF(J800&lt;=19,"L","A")),IF(J800&lt;=50,"L","A")))))))</f>
        <v/>
      </c>
      <c r="N800" s="52">
        <f>IF(M800="L","Baixa",IF(M800="A","Média",IF(M800="","","Alta")))</f>
        <v/>
      </c>
      <c r="O800" s="53">
        <f>IF(ISBLANK(H800),"",IF(H800="ALI",IF(M800="L",7,IF(M800="A",10,15)),IF(H800="AIE",IF(M800="L",5,IF(M800="A",7,10)),IF(H800="SE",IF(M800="L",4,IF(M800="A",5,7)),IF(OR(H800="EE",H800="CE"),IF(M800="L",3,IF(M800="A",4,6)))))))</f>
        <v/>
      </c>
      <c r="P800" s="54">
        <f>IF(I800="I",O800*Contagem!$W$15,IF(I800="E",O800*Contagem!$W$17,IF(I800="A",O800*Contagem!$W$16,IF(I800="T",O800*Contagem!$W$18,""))))</f>
        <v/>
      </c>
      <c r="Q800" s="55" t="n"/>
    </row>
    <row r="801" ht="12" customHeight="1" s="73">
      <c r="A801" s="14">
        <f>IF(H801="",IF(C801="",A800,A800+1),A800)</f>
        <v/>
      </c>
      <c r="B801" s="48">
        <f>IF(A801=A800,"",CONCATENATE("F",A801))</f>
        <v/>
      </c>
      <c r="C801" s="85" t="n"/>
      <c r="D801" s="142" t="n"/>
      <c r="E801" s="142" t="n"/>
      <c r="F801" s="142" t="n"/>
      <c r="G801" s="143" t="n"/>
      <c r="H801" s="56" t="n"/>
      <c r="I801" s="57" t="n"/>
      <c r="J801" s="56" t="n"/>
      <c r="K801" s="56" t="n"/>
      <c r="L801" s="50">
        <f>CONCATENATE(H801,M801)</f>
        <v/>
      </c>
      <c r="M801" s="51">
        <f>IF(OR(ISBLANK(J801),ISBLANK(K801)),IF(OR(H801="ALI",H801="AIE"),"L",IF(ISBLANK(H801),"","A")),IF(H801="EE",IF(K801&gt;=3,IF(J801&gt;=5,"H","A"),IF(K801&gt;=2,IF(J801&gt;=16,"H",IF(J801&lt;=4,"L","A")),IF(J801&lt;=15,"L","A"))),IF(OR(H801="SE",H801="CE"),IF(K801&gt;=4,IF(J801&gt;=6,"H","A"),IF(K801&gt;=2,IF(J801&gt;=20,"H",IF(J801&lt;=5,"L","A")),IF(J801&lt;=19,"L","A"))),IF(OR(H801="ALI",H801="AIE"),IF(K801&gt;=6,IF(J801&gt;=20,"H","A"),IF(K801&gt;=2,IF(J801&gt;=51,"H",IF(J801&lt;=19,"L","A")),IF(J801&lt;=50,"L","A")))))))</f>
        <v/>
      </c>
      <c r="N801" s="52">
        <f>IF(M801="L","Baixa",IF(M801="A","Média",IF(M801="","","Alta")))</f>
        <v/>
      </c>
      <c r="O801" s="53">
        <f>IF(ISBLANK(H801),"",IF(H801="ALI",IF(M801="L",7,IF(M801="A",10,15)),IF(H801="AIE",IF(M801="L",5,IF(M801="A",7,10)),IF(H801="SE",IF(M801="L",4,IF(M801="A",5,7)),IF(OR(H801="EE",H801="CE"),IF(M801="L",3,IF(M801="A",4,6)))))))</f>
        <v/>
      </c>
      <c r="P801" s="54">
        <f>IF(I801="I",O801*Contagem!$W$15,IF(I801="E",O801*Contagem!$W$17,IF(I801="A",O801*Contagem!$W$16,IF(I801="T",O801*Contagem!$W$18,""))))</f>
        <v/>
      </c>
      <c r="Q801" s="55" t="n"/>
    </row>
    <row r="802" ht="12" customHeight="1" s="73">
      <c r="A802" s="14">
        <f>IF(H802="",IF(C802="",A801,A801+1),A801)</f>
        <v/>
      </c>
      <c r="B802" s="48">
        <f>IF(A802=A801,"",CONCATENATE("F",A802))</f>
        <v/>
      </c>
      <c r="C802" s="85" t="n"/>
      <c r="D802" s="142" t="n"/>
      <c r="E802" s="142" t="n"/>
      <c r="F802" s="142" t="n"/>
      <c r="G802" s="143" t="n"/>
      <c r="H802" s="56" t="n"/>
      <c r="I802" s="57" t="n"/>
      <c r="J802" s="56" t="n"/>
      <c r="K802" s="56" t="n"/>
      <c r="L802" s="50">
        <f>CONCATENATE(H802,M802)</f>
        <v/>
      </c>
      <c r="M802" s="51">
        <f>IF(OR(ISBLANK(J802),ISBLANK(K802)),IF(OR(H802="ALI",H802="AIE"),"L",IF(ISBLANK(H802),"","A")),IF(H802="EE",IF(K802&gt;=3,IF(J802&gt;=5,"H","A"),IF(K802&gt;=2,IF(J802&gt;=16,"H",IF(J802&lt;=4,"L","A")),IF(J802&lt;=15,"L","A"))),IF(OR(H802="SE",H802="CE"),IF(K802&gt;=4,IF(J802&gt;=6,"H","A"),IF(K802&gt;=2,IF(J802&gt;=20,"H",IF(J802&lt;=5,"L","A")),IF(J802&lt;=19,"L","A"))),IF(OR(H802="ALI",H802="AIE"),IF(K802&gt;=6,IF(J802&gt;=20,"H","A"),IF(K802&gt;=2,IF(J802&gt;=51,"H",IF(J802&lt;=19,"L","A")),IF(J802&lt;=50,"L","A")))))))</f>
        <v/>
      </c>
      <c r="N802" s="52">
        <f>IF(M802="L","Baixa",IF(M802="A","Média",IF(M802="","","Alta")))</f>
        <v/>
      </c>
      <c r="O802" s="53">
        <f>IF(ISBLANK(H802),"",IF(H802="ALI",IF(M802="L",7,IF(M802="A",10,15)),IF(H802="AIE",IF(M802="L",5,IF(M802="A",7,10)),IF(H802="SE",IF(M802="L",4,IF(M802="A",5,7)),IF(OR(H802="EE",H802="CE"),IF(M802="L",3,IF(M802="A",4,6)))))))</f>
        <v/>
      </c>
      <c r="P802" s="54">
        <f>IF(I802="I",O802*Contagem!$W$15,IF(I802="E",O802*Contagem!$W$17,IF(I802="A",O802*Contagem!$W$16,IF(I802="T",O802*Contagem!$W$18,""))))</f>
        <v/>
      </c>
      <c r="Q802" s="55" t="n"/>
    </row>
    <row r="803" ht="12" customHeight="1" s="73">
      <c r="A803" s="14">
        <f>IF(H803="",IF(C803="",A802,A802+1),A802)</f>
        <v/>
      </c>
      <c r="B803" s="48">
        <f>IF(A803=A802,"",CONCATENATE("F",A803))</f>
        <v/>
      </c>
      <c r="C803" s="85" t="n"/>
      <c r="D803" s="142" t="n"/>
      <c r="E803" s="142" t="n"/>
      <c r="F803" s="142" t="n"/>
      <c r="G803" s="143" t="n"/>
      <c r="H803" s="56" t="n"/>
      <c r="I803" s="57" t="n"/>
      <c r="J803" s="56" t="n"/>
      <c r="K803" s="56" t="n"/>
      <c r="L803" s="50">
        <f>CONCATENATE(H803,M803)</f>
        <v/>
      </c>
      <c r="M803" s="51">
        <f>IF(OR(ISBLANK(J803),ISBLANK(K803)),IF(OR(H803="ALI",H803="AIE"),"L",IF(ISBLANK(H803),"","A")),IF(H803="EE",IF(K803&gt;=3,IF(J803&gt;=5,"H","A"),IF(K803&gt;=2,IF(J803&gt;=16,"H",IF(J803&lt;=4,"L","A")),IF(J803&lt;=15,"L","A"))),IF(OR(H803="SE",H803="CE"),IF(K803&gt;=4,IF(J803&gt;=6,"H","A"),IF(K803&gt;=2,IF(J803&gt;=20,"H",IF(J803&lt;=5,"L","A")),IF(J803&lt;=19,"L","A"))),IF(OR(H803="ALI",H803="AIE"),IF(K803&gt;=6,IF(J803&gt;=20,"H","A"),IF(K803&gt;=2,IF(J803&gt;=51,"H",IF(J803&lt;=19,"L","A")),IF(J803&lt;=50,"L","A")))))))</f>
        <v/>
      </c>
      <c r="N803" s="52">
        <f>IF(M803="L","Baixa",IF(M803="A","Média",IF(M803="","","Alta")))</f>
        <v/>
      </c>
      <c r="O803" s="53">
        <f>IF(ISBLANK(H803),"",IF(H803="ALI",IF(M803="L",7,IF(M803="A",10,15)),IF(H803="AIE",IF(M803="L",5,IF(M803="A",7,10)),IF(H803="SE",IF(M803="L",4,IF(M803="A",5,7)),IF(OR(H803="EE",H803="CE"),IF(M803="L",3,IF(M803="A",4,6)))))))</f>
        <v/>
      </c>
      <c r="P803" s="54">
        <f>IF(I803="I",O803*Contagem!$W$15,IF(I803="E",O803*Contagem!$W$17,IF(I803="A",O803*Contagem!$W$16,IF(I803="T",O803*Contagem!$W$18,""))))</f>
        <v/>
      </c>
      <c r="Q803" s="55" t="n"/>
    </row>
    <row r="804" ht="12" customHeight="1" s="73">
      <c r="A804" s="14">
        <f>IF(H804="",IF(C804="",A803,A803+1),A803)</f>
        <v/>
      </c>
      <c r="B804" s="48">
        <f>IF(A804=A803,"",CONCATENATE("F",A804))</f>
        <v/>
      </c>
      <c r="C804" s="85" t="n"/>
      <c r="D804" s="142" t="n"/>
      <c r="E804" s="142" t="n"/>
      <c r="F804" s="142" t="n"/>
      <c r="G804" s="143" t="n"/>
      <c r="H804" s="56" t="n"/>
      <c r="I804" s="57" t="n"/>
      <c r="J804" s="56" t="n"/>
      <c r="K804" s="56" t="n"/>
      <c r="L804" s="50">
        <f>CONCATENATE(H804,M804)</f>
        <v/>
      </c>
      <c r="M804" s="51">
        <f>IF(OR(ISBLANK(J804),ISBLANK(K804)),IF(OR(H804="ALI",H804="AIE"),"L",IF(ISBLANK(H804),"","A")),IF(H804="EE",IF(K804&gt;=3,IF(J804&gt;=5,"H","A"),IF(K804&gt;=2,IF(J804&gt;=16,"H",IF(J804&lt;=4,"L","A")),IF(J804&lt;=15,"L","A"))),IF(OR(H804="SE",H804="CE"),IF(K804&gt;=4,IF(J804&gt;=6,"H","A"),IF(K804&gt;=2,IF(J804&gt;=20,"H",IF(J804&lt;=5,"L","A")),IF(J804&lt;=19,"L","A"))),IF(OR(H804="ALI",H804="AIE"),IF(K804&gt;=6,IF(J804&gt;=20,"H","A"),IF(K804&gt;=2,IF(J804&gt;=51,"H",IF(J804&lt;=19,"L","A")),IF(J804&lt;=50,"L","A")))))))</f>
        <v/>
      </c>
      <c r="N804" s="52">
        <f>IF(M804="L","Baixa",IF(M804="A","Média",IF(M804="","","Alta")))</f>
        <v/>
      </c>
      <c r="O804" s="53">
        <f>IF(ISBLANK(H804),"",IF(H804="ALI",IF(M804="L",7,IF(M804="A",10,15)),IF(H804="AIE",IF(M804="L",5,IF(M804="A",7,10)),IF(H804="SE",IF(M804="L",4,IF(M804="A",5,7)),IF(OR(H804="EE",H804="CE"),IF(M804="L",3,IF(M804="A",4,6)))))))</f>
        <v/>
      </c>
      <c r="P804" s="54">
        <f>IF(I804="I",O804*Contagem!$W$15,IF(I804="E",O804*Contagem!$W$17,IF(I804="A",O804*Contagem!$W$16,IF(I804="T",O804*Contagem!$W$18,""))))</f>
        <v/>
      </c>
      <c r="Q804" s="55" t="n"/>
    </row>
    <row r="805" ht="12" customHeight="1" s="73">
      <c r="A805" s="14">
        <f>IF(H805="",IF(C805="",A804,A804+1),A804)</f>
        <v/>
      </c>
      <c r="B805" s="48">
        <f>IF(A805=A804,"",CONCATENATE("F",A805))</f>
        <v/>
      </c>
      <c r="C805" s="85" t="n"/>
      <c r="D805" s="142" t="n"/>
      <c r="E805" s="142" t="n"/>
      <c r="F805" s="142" t="n"/>
      <c r="G805" s="143" t="n"/>
      <c r="H805" s="56" t="n"/>
      <c r="I805" s="57" t="n"/>
      <c r="J805" s="56" t="n"/>
      <c r="K805" s="56" t="n"/>
      <c r="L805" s="50">
        <f>CONCATENATE(H805,M805)</f>
        <v/>
      </c>
      <c r="M805" s="51">
        <f>IF(OR(ISBLANK(J805),ISBLANK(K805)),IF(OR(H805="ALI",H805="AIE"),"L",IF(ISBLANK(H805),"","A")),IF(H805="EE",IF(K805&gt;=3,IF(J805&gt;=5,"H","A"),IF(K805&gt;=2,IF(J805&gt;=16,"H",IF(J805&lt;=4,"L","A")),IF(J805&lt;=15,"L","A"))),IF(OR(H805="SE",H805="CE"),IF(K805&gt;=4,IF(J805&gt;=6,"H","A"),IF(K805&gt;=2,IF(J805&gt;=20,"H",IF(J805&lt;=5,"L","A")),IF(J805&lt;=19,"L","A"))),IF(OR(H805="ALI",H805="AIE"),IF(K805&gt;=6,IF(J805&gt;=20,"H","A"),IF(K805&gt;=2,IF(J805&gt;=51,"H",IF(J805&lt;=19,"L","A")),IF(J805&lt;=50,"L","A")))))))</f>
        <v/>
      </c>
      <c r="N805" s="52">
        <f>IF(M805="L","Baixa",IF(M805="A","Média",IF(M805="","","Alta")))</f>
        <v/>
      </c>
      <c r="O805" s="53">
        <f>IF(ISBLANK(H805),"",IF(H805="ALI",IF(M805="L",7,IF(M805="A",10,15)),IF(H805="AIE",IF(M805="L",5,IF(M805="A",7,10)),IF(H805="SE",IF(M805="L",4,IF(M805="A",5,7)),IF(OR(H805="EE",H805="CE"),IF(M805="L",3,IF(M805="A",4,6)))))))</f>
        <v/>
      </c>
      <c r="P805" s="54">
        <f>IF(I805="I",O805*Contagem!$W$15,IF(I805="E",O805*Contagem!$W$17,IF(I805="A",O805*Contagem!$W$16,IF(I805="T",O805*Contagem!$W$18,""))))</f>
        <v/>
      </c>
      <c r="Q805" s="55" t="n"/>
    </row>
    <row r="806" ht="12" customHeight="1" s="73">
      <c r="A806" s="14">
        <f>IF(H806="",IF(C806="",A805,A805+1),A805)</f>
        <v/>
      </c>
      <c r="B806" s="48">
        <f>IF(A806=A805,"",CONCATENATE("F",A806))</f>
        <v/>
      </c>
      <c r="C806" s="85" t="n"/>
      <c r="D806" s="142" t="n"/>
      <c r="E806" s="142" t="n"/>
      <c r="F806" s="142" t="n"/>
      <c r="G806" s="143" t="n"/>
      <c r="H806" s="56" t="n"/>
      <c r="I806" s="57" t="n"/>
      <c r="J806" s="56" t="n"/>
      <c r="K806" s="56" t="n"/>
      <c r="L806" s="50">
        <f>CONCATENATE(H806,M806)</f>
        <v/>
      </c>
      <c r="M806" s="51">
        <f>IF(OR(ISBLANK(J806),ISBLANK(K806)),IF(OR(H806="ALI",H806="AIE"),"L",IF(ISBLANK(H806),"","A")),IF(H806="EE",IF(K806&gt;=3,IF(J806&gt;=5,"H","A"),IF(K806&gt;=2,IF(J806&gt;=16,"H",IF(J806&lt;=4,"L","A")),IF(J806&lt;=15,"L","A"))),IF(OR(H806="SE",H806="CE"),IF(K806&gt;=4,IF(J806&gt;=6,"H","A"),IF(K806&gt;=2,IF(J806&gt;=20,"H",IF(J806&lt;=5,"L","A")),IF(J806&lt;=19,"L","A"))),IF(OR(H806="ALI",H806="AIE"),IF(K806&gt;=6,IF(J806&gt;=20,"H","A"),IF(K806&gt;=2,IF(J806&gt;=51,"H",IF(J806&lt;=19,"L","A")),IF(J806&lt;=50,"L","A")))))))</f>
        <v/>
      </c>
      <c r="N806" s="52">
        <f>IF(M806="L","Baixa",IF(M806="A","Média",IF(M806="","","Alta")))</f>
        <v/>
      </c>
      <c r="O806" s="53">
        <f>IF(ISBLANK(H806),"",IF(H806="ALI",IF(M806="L",7,IF(M806="A",10,15)),IF(H806="AIE",IF(M806="L",5,IF(M806="A",7,10)),IF(H806="SE",IF(M806="L",4,IF(M806="A",5,7)),IF(OR(H806="EE",H806="CE"),IF(M806="L",3,IF(M806="A",4,6)))))))</f>
        <v/>
      </c>
      <c r="P806" s="54">
        <f>IF(I806="I",O806*Contagem!$W$15,IF(I806="E",O806*Contagem!$W$17,IF(I806="A",O806*Contagem!$W$16,IF(I806="T",O806*Contagem!$W$18,""))))</f>
        <v/>
      </c>
      <c r="Q806" s="55" t="n"/>
    </row>
    <row r="807" ht="12" customHeight="1" s="73">
      <c r="A807" s="14">
        <f>IF(H807="",IF(C807="",A806,A806+1),A806)</f>
        <v/>
      </c>
      <c r="B807" s="48">
        <f>IF(A807=A806,"",CONCATENATE("F",A807))</f>
        <v/>
      </c>
      <c r="C807" s="85" t="n"/>
      <c r="D807" s="142" t="n"/>
      <c r="E807" s="142" t="n"/>
      <c r="F807" s="142" t="n"/>
      <c r="G807" s="143" t="n"/>
      <c r="H807" s="56" t="n"/>
      <c r="I807" s="57" t="n"/>
      <c r="J807" s="56" t="n"/>
      <c r="K807" s="56" t="n"/>
      <c r="L807" s="50">
        <f>CONCATENATE(H807,M807)</f>
        <v/>
      </c>
      <c r="M807" s="51">
        <f>IF(OR(ISBLANK(J807),ISBLANK(K807)),IF(OR(H807="ALI",H807="AIE"),"L",IF(ISBLANK(H807),"","A")),IF(H807="EE",IF(K807&gt;=3,IF(J807&gt;=5,"H","A"),IF(K807&gt;=2,IF(J807&gt;=16,"H",IF(J807&lt;=4,"L","A")),IF(J807&lt;=15,"L","A"))),IF(OR(H807="SE",H807="CE"),IF(K807&gt;=4,IF(J807&gt;=6,"H","A"),IF(K807&gt;=2,IF(J807&gt;=20,"H",IF(J807&lt;=5,"L","A")),IF(J807&lt;=19,"L","A"))),IF(OR(H807="ALI",H807="AIE"),IF(K807&gt;=6,IF(J807&gt;=20,"H","A"),IF(K807&gt;=2,IF(J807&gt;=51,"H",IF(J807&lt;=19,"L","A")),IF(J807&lt;=50,"L","A")))))))</f>
        <v/>
      </c>
      <c r="N807" s="52">
        <f>IF(M807="L","Baixa",IF(M807="A","Média",IF(M807="","","Alta")))</f>
        <v/>
      </c>
      <c r="O807" s="53">
        <f>IF(ISBLANK(H807),"",IF(H807="ALI",IF(M807="L",7,IF(M807="A",10,15)),IF(H807="AIE",IF(M807="L",5,IF(M807="A",7,10)),IF(H807="SE",IF(M807="L",4,IF(M807="A",5,7)),IF(OR(H807="EE",H807="CE"),IF(M807="L",3,IF(M807="A",4,6)))))))</f>
        <v/>
      </c>
      <c r="P807" s="54">
        <f>IF(I807="I",O807*Contagem!$W$15,IF(I807="E",O807*Contagem!$W$17,IF(I807="A",O807*Contagem!$W$16,IF(I807="T",O807*Contagem!$W$18,""))))</f>
        <v/>
      </c>
      <c r="Q807" s="55" t="n"/>
    </row>
    <row r="808" ht="12" customHeight="1" s="73">
      <c r="A808" s="14">
        <f>IF(H808="",IF(C808="",A807,A807+1),A807)</f>
        <v/>
      </c>
      <c r="B808" s="48">
        <f>IF(A808=A807,"",CONCATENATE("F",A808))</f>
        <v/>
      </c>
      <c r="C808" s="85" t="n"/>
      <c r="D808" s="142" t="n"/>
      <c r="E808" s="142" t="n"/>
      <c r="F808" s="142" t="n"/>
      <c r="G808" s="143" t="n"/>
      <c r="H808" s="56" t="n"/>
      <c r="I808" s="57" t="n"/>
      <c r="J808" s="56" t="n"/>
      <c r="K808" s="56" t="n"/>
      <c r="L808" s="50">
        <f>CONCATENATE(H808,M808)</f>
        <v/>
      </c>
      <c r="M808" s="51">
        <f>IF(OR(ISBLANK(J808),ISBLANK(K808)),IF(OR(H808="ALI",H808="AIE"),"L",IF(ISBLANK(H808),"","A")),IF(H808="EE",IF(K808&gt;=3,IF(J808&gt;=5,"H","A"),IF(K808&gt;=2,IF(J808&gt;=16,"H",IF(J808&lt;=4,"L","A")),IF(J808&lt;=15,"L","A"))),IF(OR(H808="SE",H808="CE"),IF(K808&gt;=4,IF(J808&gt;=6,"H","A"),IF(K808&gt;=2,IF(J808&gt;=20,"H",IF(J808&lt;=5,"L","A")),IF(J808&lt;=19,"L","A"))),IF(OR(H808="ALI",H808="AIE"),IF(K808&gt;=6,IF(J808&gt;=20,"H","A"),IF(K808&gt;=2,IF(J808&gt;=51,"H",IF(J808&lt;=19,"L","A")),IF(J808&lt;=50,"L","A")))))))</f>
        <v/>
      </c>
      <c r="N808" s="52">
        <f>IF(M808="L","Baixa",IF(M808="A","Média",IF(M808="","","Alta")))</f>
        <v/>
      </c>
      <c r="O808" s="53">
        <f>IF(ISBLANK(H808),"",IF(H808="ALI",IF(M808="L",7,IF(M808="A",10,15)),IF(H808="AIE",IF(M808="L",5,IF(M808="A",7,10)),IF(H808="SE",IF(M808="L",4,IF(M808="A",5,7)),IF(OR(H808="EE",H808="CE"),IF(M808="L",3,IF(M808="A",4,6)))))))</f>
        <v/>
      </c>
      <c r="P808" s="54">
        <f>IF(I808="I",O808*Contagem!$W$15,IF(I808="E",O808*Contagem!$W$17,IF(I808="A",O808*Contagem!$W$16,IF(I808="T",O808*Contagem!$W$18,""))))</f>
        <v/>
      </c>
      <c r="Q808" s="55" t="n"/>
    </row>
    <row r="809" ht="12" customHeight="1" s="73">
      <c r="A809" s="14">
        <f>IF(H809="",IF(C809="",A808,A808+1),A808)</f>
        <v/>
      </c>
      <c r="B809" s="48">
        <f>IF(A809=A808,"",CONCATENATE("F",A809))</f>
        <v/>
      </c>
      <c r="C809" s="85" t="n"/>
      <c r="D809" s="142" t="n"/>
      <c r="E809" s="142" t="n"/>
      <c r="F809" s="142" t="n"/>
      <c r="G809" s="143" t="n"/>
      <c r="H809" s="56" t="n"/>
      <c r="I809" s="57" t="n"/>
      <c r="J809" s="56" t="n"/>
      <c r="K809" s="56" t="n"/>
      <c r="L809" s="50">
        <f>CONCATENATE(H809,M809)</f>
        <v/>
      </c>
      <c r="M809" s="51">
        <f>IF(OR(ISBLANK(J809),ISBLANK(K809)),IF(OR(H809="ALI",H809="AIE"),"L",IF(ISBLANK(H809),"","A")),IF(H809="EE",IF(K809&gt;=3,IF(J809&gt;=5,"H","A"),IF(K809&gt;=2,IF(J809&gt;=16,"H",IF(J809&lt;=4,"L","A")),IF(J809&lt;=15,"L","A"))),IF(OR(H809="SE",H809="CE"),IF(K809&gt;=4,IF(J809&gt;=6,"H","A"),IF(K809&gt;=2,IF(J809&gt;=20,"H",IF(J809&lt;=5,"L","A")),IF(J809&lt;=19,"L","A"))),IF(OR(H809="ALI",H809="AIE"),IF(K809&gt;=6,IF(J809&gt;=20,"H","A"),IF(K809&gt;=2,IF(J809&gt;=51,"H",IF(J809&lt;=19,"L","A")),IF(J809&lt;=50,"L","A")))))))</f>
        <v/>
      </c>
      <c r="N809" s="52">
        <f>IF(M809="L","Baixa",IF(M809="A","Média",IF(M809="","","Alta")))</f>
        <v/>
      </c>
      <c r="O809" s="53">
        <f>IF(ISBLANK(H809),"",IF(H809="ALI",IF(M809="L",7,IF(M809="A",10,15)),IF(H809="AIE",IF(M809="L",5,IF(M809="A",7,10)),IF(H809="SE",IF(M809="L",4,IF(M809="A",5,7)),IF(OR(H809="EE",H809="CE"),IF(M809="L",3,IF(M809="A",4,6)))))))</f>
        <v/>
      </c>
      <c r="P809" s="54">
        <f>IF(I809="I",O809*Contagem!$W$15,IF(I809="E",O809*Contagem!$W$17,IF(I809="A",O809*Contagem!$W$16,IF(I809="T",O809*Contagem!$W$18,""))))</f>
        <v/>
      </c>
      <c r="Q809" s="55" t="n"/>
    </row>
    <row r="810" ht="12" customHeight="1" s="73">
      <c r="A810" s="14">
        <f>IF(H810="",IF(C810="",A809,A809+1),A809)</f>
        <v/>
      </c>
      <c r="B810" s="48">
        <f>IF(A810=A809,"",CONCATENATE("F",A810))</f>
        <v/>
      </c>
      <c r="C810" s="85" t="n"/>
      <c r="D810" s="142" t="n"/>
      <c r="E810" s="142" t="n"/>
      <c r="F810" s="142" t="n"/>
      <c r="G810" s="143" t="n"/>
      <c r="H810" s="56" t="n"/>
      <c r="I810" s="57" t="n"/>
      <c r="J810" s="56" t="n"/>
      <c r="K810" s="56" t="n"/>
      <c r="L810" s="50">
        <f>CONCATENATE(H810,M810)</f>
        <v/>
      </c>
      <c r="M810" s="51">
        <f>IF(OR(ISBLANK(J810),ISBLANK(K810)),IF(OR(H810="ALI",H810="AIE"),"L",IF(ISBLANK(H810),"","A")),IF(H810="EE",IF(K810&gt;=3,IF(J810&gt;=5,"H","A"),IF(K810&gt;=2,IF(J810&gt;=16,"H",IF(J810&lt;=4,"L","A")),IF(J810&lt;=15,"L","A"))),IF(OR(H810="SE",H810="CE"),IF(K810&gt;=4,IF(J810&gt;=6,"H","A"),IF(K810&gt;=2,IF(J810&gt;=20,"H",IF(J810&lt;=5,"L","A")),IF(J810&lt;=19,"L","A"))),IF(OR(H810="ALI",H810="AIE"),IF(K810&gt;=6,IF(J810&gt;=20,"H","A"),IF(K810&gt;=2,IF(J810&gt;=51,"H",IF(J810&lt;=19,"L","A")),IF(J810&lt;=50,"L","A")))))))</f>
        <v/>
      </c>
      <c r="N810" s="52">
        <f>IF(M810="L","Baixa",IF(M810="A","Média",IF(M810="","","Alta")))</f>
        <v/>
      </c>
      <c r="O810" s="53">
        <f>IF(ISBLANK(H810),"",IF(H810="ALI",IF(M810="L",7,IF(M810="A",10,15)),IF(H810="AIE",IF(M810="L",5,IF(M810="A",7,10)),IF(H810="SE",IF(M810="L",4,IF(M810="A",5,7)),IF(OR(H810="EE",H810="CE"),IF(M810="L",3,IF(M810="A",4,6)))))))</f>
        <v/>
      </c>
      <c r="P810" s="54">
        <f>IF(I810="I",O810*Contagem!$W$15,IF(I810="E",O810*Contagem!$W$17,IF(I810="A",O810*Contagem!$W$16,IF(I810="T",O810*Contagem!$W$18,""))))</f>
        <v/>
      </c>
      <c r="Q810" s="55" t="n"/>
    </row>
    <row r="811" ht="12" customHeight="1" s="73">
      <c r="A811" s="14">
        <f>IF(H811="",IF(C811="",A810,A810+1),A810)</f>
        <v/>
      </c>
      <c r="B811" s="48">
        <f>IF(A811=A810,"",CONCATENATE("F",A811))</f>
        <v/>
      </c>
      <c r="C811" s="85" t="n"/>
      <c r="D811" s="142" t="n"/>
      <c r="E811" s="142" t="n"/>
      <c r="F811" s="142" t="n"/>
      <c r="G811" s="143" t="n"/>
      <c r="H811" s="56" t="n"/>
      <c r="I811" s="57" t="n"/>
      <c r="J811" s="56" t="n"/>
      <c r="K811" s="56" t="n"/>
      <c r="L811" s="50">
        <f>CONCATENATE(H811,M811)</f>
        <v/>
      </c>
      <c r="M811" s="51">
        <f>IF(OR(ISBLANK(J811),ISBLANK(K811)),IF(OR(H811="ALI",H811="AIE"),"L",IF(ISBLANK(H811),"","A")),IF(H811="EE",IF(K811&gt;=3,IF(J811&gt;=5,"H","A"),IF(K811&gt;=2,IF(J811&gt;=16,"H",IF(J811&lt;=4,"L","A")),IF(J811&lt;=15,"L","A"))),IF(OR(H811="SE",H811="CE"),IF(K811&gt;=4,IF(J811&gt;=6,"H","A"),IF(K811&gt;=2,IF(J811&gt;=20,"H",IF(J811&lt;=5,"L","A")),IF(J811&lt;=19,"L","A"))),IF(OR(H811="ALI",H811="AIE"),IF(K811&gt;=6,IF(J811&gt;=20,"H","A"),IF(K811&gt;=2,IF(J811&gt;=51,"H",IF(J811&lt;=19,"L","A")),IF(J811&lt;=50,"L","A")))))))</f>
        <v/>
      </c>
      <c r="N811" s="52">
        <f>IF(M811="L","Baixa",IF(M811="A","Média",IF(M811="","","Alta")))</f>
        <v/>
      </c>
      <c r="O811" s="53">
        <f>IF(ISBLANK(H811),"",IF(H811="ALI",IF(M811="L",7,IF(M811="A",10,15)),IF(H811="AIE",IF(M811="L",5,IF(M811="A",7,10)),IF(H811="SE",IF(M811="L",4,IF(M811="A",5,7)),IF(OR(H811="EE",H811="CE"),IF(M811="L",3,IF(M811="A",4,6)))))))</f>
        <v/>
      </c>
      <c r="P811" s="54">
        <f>IF(I811="I",O811*Contagem!$W$15,IF(I811="E",O811*Contagem!$W$17,IF(I811="A",O811*Contagem!$W$16,IF(I811="T",O811*Contagem!$W$18,""))))</f>
        <v/>
      </c>
      <c r="Q811" s="55" t="n"/>
    </row>
    <row r="812" ht="12" customHeight="1" s="73">
      <c r="A812" s="14">
        <f>IF(H812="",IF(C812="",A811,A811+1),A811)</f>
        <v/>
      </c>
      <c r="B812" s="48">
        <f>IF(A812=A811,"",CONCATENATE("F",A812))</f>
        <v/>
      </c>
      <c r="C812" s="85" t="n"/>
      <c r="D812" s="142" t="n"/>
      <c r="E812" s="142" t="n"/>
      <c r="F812" s="142" t="n"/>
      <c r="G812" s="143" t="n"/>
      <c r="H812" s="56" t="n"/>
      <c r="I812" s="57" t="n"/>
      <c r="J812" s="56" t="n"/>
      <c r="K812" s="56" t="n"/>
      <c r="L812" s="50">
        <f>CONCATENATE(H812,M812)</f>
        <v/>
      </c>
      <c r="M812" s="51">
        <f>IF(OR(ISBLANK(J812),ISBLANK(K812)),IF(OR(H812="ALI",H812="AIE"),"L",IF(ISBLANK(H812),"","A")),IF(H812="EE",IF(K812&gt;=3,IF(J812&gt;=5,"H","A"),IF(K812&gt;=2,IF(J812&gt;=16,"H",IF(J812&lt;=4,"L","A")),IF(J812&lt;=15,"L","A"))),IF(OR(H812="SE",H812="CE"),IF(K812&gt;=4,IF(J812&gt;=6,"H","A"),IF(K812&gt;=2,IF(J812&gt;=20,"H",IF(J812&lt;=5,"L","A")),IF(J812&lt;=19,"L","A"))),IF(OR(H812="ALI",H812="AIE"),IF(K812&gt;=6,IF(J812&gt;=20,"H","A"),IF(K812&gt;=2,IF(J812&gt;=51,"H",IF(J812&lt;=19,"L","A")),IF(J812&lt;=50,"L","A")))))))</f>
        <v/>
      </c>
      <c r="N812" s="52">
        <f>IF(M812="L","Baixa",IF(M812="A","Média",IF(M812="","","Alta")))</f>
        <v/>
      </c>
      <c r="O812" s="53">
        <f>IF(ISBLANK(H812),"",IF(H812="ALI",IF(M812="L",7,IF(M812="A",10,15)),IF(H812="AIE",IF(M812="L",5,IF(M812="A",7,10)),IF(H812="SE",IF(M812="L",4,IF(M812="A",5,7)),IF(OR(H812="EE",H812="CE"),IF(M812="L",3,IF(M812="A",4,6)))))))</f>
        <v/>
      </c>
      <c r="P812" s="54">
        <f>IF(I812="I",O812*Contagem!$W$15,IF(I812="E",O812*Contagem!$W$17,IF(I812="A",O812*Contagem!$W$16,IF(I812="T",O812*Contagem!$W$18,""))))</f>
        <v/>
      </c>
      <c r="Q812" s="55" t="n"/>
    </row>
    <row r="813" ht="12" customHeight="1" s="73">
      <c r="A813" s="14">
        <f>IF(H813="",IF(C813="",A812,A812+1),A812)</f>
        <v/>
      </c>
      <c r="B813" s="48">
        <f>IF(A813=A812,"",CONCATENATE("F",A813))</f>
        <v/>
      </c>
      <c r="C813" s="85" t="n"/>
      <c r="D813" s="142" t="n"/>
      <c r="E813" s="142" t="n"/>
      <c r="F813" s="142" t="n"/>
      <c r="G813" s="143" t="n"/>
      <c r="H813" s="56" t="n"/>
      <c r="I813" s="57" t="n"/>
      <c r="J813" s="56" t="n"/>
      <c r="K813" s="56" t="n"/>
      <c r="L813" s="50">
        <f>CONCATENATE(H813,M813)</f>
        <v/>
      </c>
      <c r="M813" s="51">
        <f>IF(OR(ISBLANK(J813),ISBLANK(K813)),IF(OR(H813="ALI",H813="AIE"),"L",IF(ISBLANK(H813),"","A")),IF(H813="EE",IF(K813&gt;=3,IF(J813&gt;=5,"H","A"),IF(K813&gt;=2,IF(J813&gt;=16,"H",IF(J813&lt;=4,"L","A")),IF(J813&lt;=15,"L","A"))),IF(OR(H813="SE",H813="CE"),IF(K813&gt;=4,IF(J813&gt;=6,"H","A"),IF(K813&gt;=2,IF(J813&gt;=20,"H",IF(J813&lt;=5,"L","A")),IF(J813&lt;=19,"L","A"))),IF(OR(H813="ALI",H813="AIE"),IF(K813&gt;=6,IF(J813&gt;=20,"H","A"),IF(K813&gt;=2,IF(J813&gt;=51,"H",IF(J813&lt;=19,"L","A")),IF(J813&lt;=50,"L","A")))))))</f>
        <v/>
      </c>
      <c r="N813" s="52">
        <f>IF(M813="L","Baixa",IF(M813="A","Média",IF(M813="","","Alta")))</f>
        <v/>
      </c>
      <c r="O813" s="53">
        <f>IF(ISBLANK(H813),"",IF(H813="ALI",IF(M813="L",7,IF(M813="A",10,15)),IF(H813="AIE",IF(M813="L",5,IF(M813="A",7,10)),IF(H813="SE",IF(M813="L",4,IF(M813="A",5,7)),IF(OR(H813="EE",H813="CE"),IF(M813="L",3,IF(M813="A",4,6)))))))</f>
        <v/>
      </c>
      <c r="P813" s="54">
        <f>IF(I813="I",O813*Contagem!$W$15,IF(I813="E",O813*Contagem!$W$17,IF(I813="A",O813*Contagem!$W$16,IF(I813="T",O813*Contagem!$W$18,""))))</f>
        <v/>
      </c>
      <c r="Q813" s="55" t="n"/>
    </row>
    <row r="814" ht="12" customHeight="1" s="73">
      <c r="A814" s="14">
        <f>IF(H814="",IF(C814="",A813,A813+1),A813)</f>
        <v/>
      </c>
      <c r="B814" s="48">
        <f>IF(A814=A813,"",CONCATENATE("F",A814))</f>
        <v/>
      </c>
      <c r="C814" s="85" t="n"/>
      <c r="D814" s="142" t="n"/>
      <c r="E814" s="142" t="n"/>
      <c r="F814" s="142" t="n"/>
      <c r="G814" s="143" t="n"/>
      <c r="H814" s="56" t="n"/>
      <c r="I814" s="57" t="n"/>
      <c r="J814" s="56" t="n"/>
      <c r="K814" s="56" t="n"/>
      <c r="L814" s="50">
        <f>CONCATENATE(H814,M814)</f>
        <v/>
      </c>
      <c r="M814" s="51">
        <f>IF(OR(ISBLANK(J814),ISBLANK(K814)),IF(OR(H814="ALI",H814="AIE"),"L",IF(ISBLANK(H814),"","A")),IF(H814="EE",IF(K814&gt;=3,IF(J814&gt;=5,"H","A"),IF(K814&gt;=2,IF(J814&gt;=16,"H",IF(J814&lt;=4,"L","A")),IF(J814&lt;=15,"L","A"))),IF(OR(H814="SE",H814="CE"),IF(K814&gt;=4,IF(J814&gt;=6,"H","A"),IF(K814&gt;=2,IF(J814&gt;=20,"H",IF(J814&lt;=5,"L","A")),IF(J814&lt;=19,"L","A"))),IF(OR(H814="ALI",H814="AIE"),IF(K814&gt;=6,IF(J814&gt;=20,"H","A"),IF(K814&gt;=2,IF(J814&gt;=51,"H",IF(J814&lt;=19,"L","A")),IF(J814&lt;=50,"L","A")))))))</f>
        <v/>
      </c>
      <c r="N814" s="52">
        <f>IF(M814="L","Baixa",IF(M814="A","Média",IF(M814="","","Alta")))</f>
        <v/>
      </c>
      <c r="O814" s="53">
        <f>IF(ISBLANK(H814),"",IF(H814="ALI",IF(M814="L",7,IF(M814="A",10,15)),IF(H814="AIE",IF(M814="L",5,IF(M814="A",7,10)),IF(H814="SE",IF(M814="L",4,IF(M814="A",5,7)),IF(OR(H814="EE",H814="CE"),IF(M814="L",3,IF(M814="A",4,6)))))))</f>
        <v/>
      </c>
      <c r="P814" s="54">
        <f>IF(I814="I",O814*Contagem!$W$15,IF(I814="E",O814*Contagem!$W$17,IF(I814="A",O814*Contagem!$W$16,IF(I814="T",O814*Contagem!$W$18,""))))</f>
        <v/>
      </c>
      <c r="Q814" s="55" t="n"/>
    </row>
    <row r="815" ht="12" customHeight="1" s="73">
      <c r="A815" s="14">
        <f>IF(H815="",IF(C815="",A814,A814+1),A814)</f>
        <v/>
      </c>
      <c r="B815" s="48">
        <f>IF(A815=A814,"",CONCATENATE("F",A815))</f>
        <v/>
      </c>
      <c r="C815" s="85" t="n"/>
      <c r="D815" s="142" t="n"/>
      <c r="E815" s="142" t="n"/>
      <c r="F815" s="142" t="n"/>
      <c r="G815" s="143" t="n"/>
      <c r="H815" s="56" t="n"/>
      <c r="I815" s="57" t="n"/>
      <c r="J815" s="56" t="n"/>
      <c r="K815" s="56" t="n"/>
      <c r="L815" s="50">
        <f>CONCATENATE(H815,M815)</f>
        <v/>
      </c>
      <c r="M815" s="51">
        <f>IF(OR(ISBLANK(J815),ISBLANK(K815)),IF(OR(H815="ALI",H815="AIE"),"L",IF(ISBLANK(H815),"","A")),IF(H815="EE",IF(K815&gt;=3,IF(J815&gt;=5,"H","A"),IF(K815&gt;=2,IF(J815&gt;=16,"H",IF(J815&lt;=4,"L","A")),IF(J815&lt;=15,"L","A"))),IF(OR(H815="SE",H815="CE"),IF(K815&gt;=4,IF(J815&gt;=6,"H","A"),IF(K815&gt;=2,IF(J815&gt;=20,"H",IF(J815&lt;=5,"L","A")),IF(J815&lt;=19,"L","A"))),IF(OR(H815="ALI",H815="AIE"),IF(K815&gt;=6,IF(J815&gt;=20,"H","A"),IF(K815&gt;=2,IF(J815&gt;=51,"H",IF(J815&lt;=19,"L","A")),IF(J815&lt;=50,"L","A")))))))</f>
        <v/>
      </c>
      <c r="N815" s="52">
        <f>IF(M815="L","Baixa",IF(M815="A","Média",IF(M815="","","Alta")))</f>
        <v/>
      </c>
      <c r="O815" s="53">
        <f>IF(ISBLANK(H815),"",IF(H815="ALI",IF(M815="L",7,IF(M815="A",10,15)),IF(H815="AIE",IF(M815="L",5,IF(M815="A",7,10)),IF(H815="SE",IF(M815="L",4,IF(M815="A",5,7)),IF(OR(H815="EE",H815="CE"),IF(M815="L",3,IF(M815="A",4,6)))))))</f>
        <v/>
      </c>
      <c r="P815" s="54">
        <f>IF(I815="I",O815*Contagem!$W$15,IF(I815="E",O815*Contagem!$W$17,IF(I815="A",O815*Contagem!$W$16,IF(I815="T",O815*Contagem!$W$18,""))))</f>
        <v/>
      </c>
      <c r="Q815" s="55" t="n"/>
    </row>
    <row r="816" ht="12" customHeight="1" s="73">
      <c r="A816" s="14">
        <f>IF(H816="",IF(C816="",A815,A815+1),A815)</f>
        <v/>
      </c>
      <c r="B816" s="48">
        <f>IF(A816=A815,"",CONCATENATE("F",A816))</f>
        <v/>
      </c>
      <c r="C816" s="85" t="n"/>
      <c r="D816" s="142" t="n"/>
      <c r="E816" s="142" t="n"/>
      <c r="F816" s="142" t="n"/>
      <c r="G816" s="143" t="n"/>
      <c r="H816" s="56" t="n"/>
      <c r="I816" s="57" t="n"/>
      <c r="J816" s="56" t="n"/>
      <c r="K816" s="56" t="n"/>
      <c r="L816" s="50">
        <f>CONCATENATE(H816,M816)</f>
        <v/>
      </c>
      <c r="M816" s="51">
        <f>IF(OR(ISBLANK(J816),ISBLANK(K816)),IF(OR(H816="ALI",H816="AIE"),"L",IF(ISBLANK(H816),"","A")),IF(H816="EE",IF(K816&gt;=3,IF(J816&gt;=5,"H","A"),IF(K816&gt;=2,IF(J816&gt;=16,"H",IF(J816&lt;=4,"L","A")),IF(J816&lt;=15,"L","A"))),IF(OR(H816="SE",H816="CE"),IF(K816&gt;=4,IF(J816&gt;=6,"H","A"),IF(K816&gt;=2,IF(J816&gt;=20,"H",IF(J816&lt;=5,"L","A")),IF(J816&lt;=19,"L","A"))),IF(OR(H816="ALI",H816="AIE"),IF(K816&gt;=6,IF(J816&gt;=20,"H","A"),IF(K816&gt;=2,IF(J816&gt;=51,"H",IF(J816&lt;=19,"L","A")),IF(J816&lt;=50,"L","A")))))))</f>
        <v/>
      </c>
      <c r="N816" s="52">
        <f>IF(M816="L","Baixa",IF(M816="A","Média",IF(M816="","","Alta")))</f>
        <v/>
      </c>
      <c r="O816" s="53">
        <f>IF(ISBLANK(H816),"",IF(H816="ALI",IF(M816="L",7,IF(M816="A",10,15)),IF(H816="AIE",IF(M816="L",5,IF(M816="A",7,10)),IF(H816="SE",IF(M816="L",4,IF(M816="A",5,7)),IF(OR(H816="EE",H816="CE"),IF(M816="L",3,IF(M816="A",4,6)))))))</f>
        <v/>
      </c>
      <c r="P816" s="54">
        <f>IF(I816="I",O816*Contagem!$W$15,IF(I816="E",O816*Contagem!$W$17,IF(I816="A",O816*Contagem!$W$16,IF(I816="T",O816*Contagem!$W$18,""))))</f>
        <v/>
      </c>
      <c r="Q816" s="55" t="n"/>
    </row>
    <row r="817" ht="12" customHeight="1" s="73">
      <c r="A817" s="14">
        <f>IF(H817="",IF(C817="",A816,A816+1),A816)</f>
        <v/>
      </c>
      <c r="B817" s="48">
        <f>IF(A817=A816,"",CONCATENATE("F",A817))</f>
        <v/>
      </c>
      <c r="C817" s="85" t="n"/>
      <c r="D817" s="142" t="n"/>
      <c r="E817" s="142" t="n"/>
      <c r="F817" s="142" t="n"/>
      <c r="G817" s="143" t="n"/>
      <c r="H817" s="56" t="n"/>
      <c r="I817" s="57" t="n"/>
      <c r="J817" s="56" t="n"/>
      <c r="K817" s="56" t="n"/>
      <c r="L817" s="50">
        <f>CONCATENATE(H817,M817)</f>
        <v/>
      </c>
      <c r="M817" s="51">
        <f>IF(OR(ISBLANK(J817),ISBLANK(K817)),IF(OR(H817="ALI",H817="AIE"),"L",IF(ISBLANK(H817),"","A")),IF(H817="EE",IF(K817&gt;=3,IF(J817&gt;=5,"H","A"),IF(K817&gt;=2,IF(J817&gt;=16,"H",IF(J817&lt;=4,"L","A")),IF(J817&lt;=15,"L","A"))),IF(OR(H817="SE",H817="CE"),IF(K817&gt;=4,IF(J817&gt;=6,"H","A"),IF(K817&gt;=2,IF(J817&gt;=20,"H",IF(J817&lt;=5,"L","A")),IF(J817&lt;=19,"L","A"))),IF(OR(H817="ALI",H817="AIE"),IF(K817&gt;=6,IF(J817&gt;=20,"H","A"),IF(K817&gt;=2,IF(J817&gt;=51,"H",IF(J817&lt;=19,"L","A")),IF(J817&lt;=50,"L","A")))))))</f>
        <v/>
      </c>
      <c r="N817" s="52">
        <f>IF(M817="L","Baixa",IF(M817="A","Média",IF(M817="","","Alta")))</f>
        <v/>
      </c>
      <c r="O817" s="53">
        <f>IF(ISBLANK(H817),"",IF(H817="ALI",IF(M817="L",7,IF(M817="A",10,15)),IF(H817="AIE",IF(M817="L",5,IF(M817="A",7,10)),IF(H817="SE",IF(M817="L",4,IF(M817="A",5,7)),IF(OR(H817="EE",H817="CE"),IF(M817="L",3,IF(M817="A",4,6)))))))</f>
        <v/>
      </c>
      <c r="P817" s="54">
        <f>IF(I817="I",O817*Contagem!$W$15,IF(I817="E",O817*Contagem!$W$17,IF(I817="A",O817*Contagem!$W$16,IF(I817="T",O817*Contagem!$W$18,""))))</f>
        <v/>
      </c>
      <c r="Q817" s="55" t="n"/>
    </row>
    <row r="818" ht="12" customHeight="1" s="73">
      <c r="A818" s="14">
        <f>IF(H818="",IF(C818="",A817,A817+1),A817)</f>
        <v/>
      </c>
      <c r="B818" s="48">
        <f>IF(A818=A817,"",CONCATENATE("F",A818))</f>
        <v/>
      </c>
      <c r="C818" s="85" t="n"/>
      <c r="D818" s="142" t="n"/>
      <c r="E818" s="142" t="n"/>
      <c r="F818" s="142" t="n"/>
      <c r="G818" s="143" t="n"/>
      <c r="H818" s="56" t="n"/>
      <c r="I818" s="57" t="n"/>
      <c r="J818" s="56" t="n"/>
      <c r="K818" s="56" t="n"/>
      <c r="L818" s="50">
        <f>CONCATENATE(H818,M818)</f>
        <v/>
      </c>
      <c r="M818" s="51">
        <f>IF(OR(ISBLANK(J818),ISBLANK(K818)),IF(OR(H818="ALI",H818="AIE"),"L",IF(ISBLANK(H818),"","A")),IF(H818="EE",IF(K818&gt;=3,IF(J818&gt;=5,"H","A"),IF(K818&gt;=2,IF(J818&gt;=16,"H",IF(J818&lt;=4,"L","A")),IF(J818&lt;=15,"L","A"))),IF(OR(H818="SE",H818="CE"),IF(K818&gt;=4,IF(J818&gt;=6,"H","A"),IF(K818&gt;=2,IF(J818&gt;=20,"H",IF(J818&lt;=5,"L","A")),IF(J818&lt;=19,"L","A"))),IF(OR(H818="ALI",H818="AIE"),IF(K818&gt;=6,IF(J818&gt;=20,"H","A"),IF(K818&gt;=2,IF(J818&gt;=51,"H",IF(J818&lt;=19,"L","A")),IF(J818&lt;=50,"L","A")))))))</f>
        <v/>
      </c>
      <c r="N818" s="52">
        <f>IF(M818="L","Baixa",IF(M818="A","Média",IF(M818="","","Alta")))</f>
        <v/>
      </c>
      <c r="O818" s="53">
        <f>IF(ISBLANK(H818),"",IF(H818="ALI",IF(M818="L",7,IF(M818="A",10,15)),IF(H818="AIE",IF(M818="L",5,IF(M818="A",7,10)),IF(H818="SE",IF(M818="L",4,IF(M818="A",5,7)),IF(OR(H818="EE",H818="CE"),IF(M818="L",3,IF(M818="A",4,6)))))))</f>
        <v/>
      </c>
      <c r="P818" s="54">
        <f>IF(I818="I",O818*Contagem!$W$15,IF(I818="E",O818*Contagem!$W$17,IF(I818="A",O818*Contagem!$W$16,IF(I818="T",O818*Contagem!$W$18,""))))</f>
        <v/>
      </c>
      <c r="Q818" s="55" t="n"/>
    </row>
    <row r="819" ht="12" customHeight="1" s="73">
      <c r="A819" s="14">
        <f>IF(H819="",IF(C819="",A818,A818+1),A818)</f>
        <v/>
      </c>
      <c r="B819" s="48">
        <f>IF(A819=A818,"",CONCATENATE("F",A819))</f>
        <v/>
      </c>
      <c r="C819" s="85" t="n"/>
      <c r="D819" s="142" t="n"/>
      <c r="E819" s="142" t="n"/>
      <c r="F819" s="142" t="n"/>
      <c r="G819" s="143" t="n"/>
      <c r="H819" s="56" t="n"/>
      <c r="I819" s="57" t="n"/>
      <c r="J819" s="56" t="n"/>
      <c r="K819" s="56" t="n"/>
      <c r="L819" s="50">
        <f>CONCATENATE(H819,M819)</f>
        <v/>
      </c>
      <c r="M819" s="51">
        <f>IF(OR(ISBLANK(J819),ISBLANK(K819)),IF(OR(H819="ALI",H819="AIE"),"L",IF(ISBLANK(H819),"","A")),IF(H819="EE",IF(K819&gt;=3,IF(J819&gt;=5,"H","A"),IF(K819&gt;=2,IF(J819&gt;=16,"H",IF(J819&lt;=4,"L","A")),IF(J819&lt;=15,"L","A"))),IF(OR(H819="SE",H819="CE"),IF(K819&gt;=4,IF(J819&gt;=6,"H","A"),IF(K819&gt;=2,IF(J819&gt;=20,"H",IF(J819&lt;=5,"L","A")),IF(J819&lt;=19,"L","A"))),IF(OR(H819="ALI",H819="AIE"),IF(K819&gt;=6,IF(J819&gt;=20,"H","A"),IF(K819&gt;=2,IF(J819&gt;=51,"H",IF(J819&lt;=19,"L","A")),IF(J819&lt;=50,"L","A")))))))</f>
        <v/>
      </c>
      <c r="N819" s="52">
        <f>IF(M819="L","Baixa",IF(M819="A","Média",IF(M819="","","Alta")))</f>
        <v/>
      </c>
      <c r="O819" s="53">
        <f>IF(ISBLANK(H819),"",IF(H819="ALI",IF(M819="L",7,IF(M819="A",10,15)),IF(H819="AIE",IF(M819="L",5,IF(M819="A",7,10)),IF(H819="SE",IF(M819="L",4,IF(M819="A",5,7)),IF(OR(H819="EE",H819="CE"),IF(M819="L",3,IF(M819="A",4,6)))))))</f>
        <v/>
      </c>
      <c r="P819" s="54">
        <f>IF(I819="I",O819*Contagem!$W$15,IF(I819="E",O819*Contagem!$W$17,IF(I819="A",O819*Contagem!$W$16,IF(I819="T",O819*Contagem!$W$18,""))))</f>
        <v/>
      </c>
      <c r="Q819" s="55" t="n"/>
    </row>
    <row r="820" ht="12" customHeight="1" s="73">
      <c r="A820" s="14">
        <f>IF(H820="",IF(C820="",A819,A819+1),A819)</f>
        <v/>
      </c>
      <c r="B820" s="48">
        <f>IF(A820=A819,"",CONCATENATE("F",A820))</f>
        <v/>
      </c>
      <c r="C820" s="85" t="n"/>
      <c r="D820" s="142" t="n"/>
      <c r="E820" s="142" t="n"/>
      <c r="F820" s="142" t="n"/>
      <c r="G820" s="143" t="n"/>
      <c r="H820" s="56" t="n"/>
      <c r="I820" s="57" t="n"/>
      <c r="J820" s="56" t="n"/>
      <c r="K820" s="56" t="n"/>
      <c r="L820" s="50">
        <f>CONCATENATE(H820,M820)</f>
        <v/>
      </c>
      <c r="M820" s="51">
        <f>IF(OR(ISBLANK(J820),ISBLANK(K820)),IF(OR(H820="ALI",H820="AIE"),"L",IF(ISBLANK(H820),"","A")),IF(H820="EE",IF(K820&gt;=3,IF(J820&gt;=5,"H","A"),IF(K820&gt;=2,IF(J820&gt;=16,"H",IF(J820&lt;=4,"L","A")),IF(J820&lt;=15,"L","A"))),IF(OR(H820="SE",H820="CE"),IF(K820&gt;=4,IF(J820&gt;=6,"H","A"),IF(K820&gt;=2,IF(J820&gt;=20,"H",IF(J820&lt;=5,"L","A")),IF(J820&lt;=19,"L","A"))),IF(OR(H820="ALI",H820="AIE"),IF(K820&gt;=6,IF(J820&gt;=20,"H","A"),IF(K820&gt;=2,IF(J820&gt;=51,"H",IF(J820&lt;=19,"L","A")),IF(J820&lt;=50,"L","A")))))))</f>
        <v/>
      </c>
      <c r="N820" s="52">
        <f>IF(M820="L","Baixa",IF(M820="A","Média",IF(M820="","","Alta")))</f>
        <v/>
      </c>
      <c r="O820" s="53">
        <f>IF(ISBLANK(H820),"",IF(H820="ALI",IF(M820="L",7,IF(M820="A",10,15)),IF(H820="AIE",IF(M820="L",5,IF(M820="A",7,10)),IF(H820="SE",IF(M820="L",4,IF(M820="A",5,7)),IF(OR(H820="EE",H820="CE"),IF(M820="L",3,IF(M820="A",4,6)))))))</f>
        <v/>
      </c>
      <c r="P820" s="54">
        <f>IF(I820="I",O820*Contagem!$W$15,IF(I820="E",O820*Contagem!$W$17,IF(I820="A",O820*Contagem!$W$16,IF(I820="T",O820*Contagem!$W$18,""))))</f>
        <v/>
      </c>
      <c r="Q820" s="55" t="n"/>
    </row>
    <row r="821" ht="12" customHeight="1" s="73">
      <c r="A821" s="14">
        <f>IF(H821="",IF(C821="",A820,A820+1),A820)</f>
        <v/>
      </c>
      <c r="B821" s="48">
        <f>IF(A821=A820,"",CONCATENATE("F",A821))</f>
        <v/>
      </c>
      <c r="C821" s="85" t="n"/>
      <c r="D821" s="142" t="n"/>
      <c r="E821" s="142" t="n"/>
      <c r="F821" s="142" t="n"/>
      <c r="G821" s="143" t="n"/>
      <c r="H821" s="56" t="n"/>
      <c r="I821" s="57" t="n"/>
      <c r="J821" s="56" t="n"/>
      <c r="K821" s="56" t="n"/>
      <c r="L821" s="50">
        <f>CONCATENATE(H821,M821)</f>
        <v/>
      </c>
      <c r="M821" s="51">
        <f>IF(OR(ISBLANK(J821),ISBLANK(K821)),IF(OR(H821="ALI",H821="AIE"),"L",IF(ISBLANK(H821),"","A")),IF(H821="EE",IF(K821&gt;=3,IF(J821&gt;=5,"H","A"),IF(K821&gt;=2,IF(J821&gt;=16,"H",IF(J821&lt;=4,"L","A")),IF(J821&lt;=15,"L","A"))),IF(OR(H821="SE",H821="CE"),IF(K821&gt;=4,IF(J821&gt;=6,"H","A"),IF(K821&gt;=2,IF(J821&gt;=20,"H",IF(J821&lt;=5,"L","A")),IF(J821&lt;=19,"L","A"))),IF(OR(H821="ALI",H821="AIE"),IF(K821&gt;=6,IF(J821&gt;=20,"H","A"),IF(K821&gt;=2,IF(J821&gt;=51,"H",IF(J821&lt;=19,"L","A")),IF(J821&lt;=50,"L","A")))))))</f>
        <v/>
      </c>
      <c r="N821" s="52">
        <f>IF(M821="L","Baixa",IF(M821="A","Média",IF(M821="","","Alta")))</f>
        <v/>
      </c>
      <c r="O821" s="53">
        <f>IF(ISBLANK(H821),"",IF(H821="ALI",IF(M821="L",7,IF(M821="A",10,15)),IF(H821="AIE",IF(M821="L",5,IF(M821="A",7,10)),IF(H821="SE",IF(M821="L",4,IF(M821="A",5,7)),IF(OR(H821="EE",H821="CE"),IF(M821="L",3,IF(M821="A",4,6)))))))</f>
        <v/>
      </c>
      <c r="P821" s="54">
        <f>IF(I821="I",O821*Contagem!$W$15,IF(I821="E",O821*Contagem!$W$17,IF(I821="A",O821*Contagem!$W$16,IF(I821="T",O821*Contagem!$W$18,""))))</f>
        <v/>
      </c>
      <c r="Q821" s="55" t="n"/>
    </row>
    <row r="822" ht="12" customHeight="1" s="73">
      <c r="A822" s="14">
        <f>IF(H822="",IF(C822="",A821,A821+1),A821)</f>
        <v/>
      </c>
      <c r="B822" s="48">
        <f>IF(A822=A821,"",CONCATENATE("F",A822))</f>
        <v/>
      </c>
      <c r="C822" s="85" t="n"/>
      <c r="D822" s="142" t="n"/>
      <c r="E822" s="142" t="n"/>
      <c r="F822" s="142" t="n"/>
      <c r="G822" s="143" t="n"/>
      <c r="H822" s="56" t="n"/>
      <c r="I822" s="57" t="n"/>
      <c r="J822" s="56" t="n"/>
      <c r="K822" s="56" t="n"/>
      <c r="L822" s="50">
        <f>CONCATENATE(H822,M822)</f>
        <v/>
      </c>
      <c r="M822" s="51">
        <f>IF(OR(ISBLANK(J822),ISBLANK(K822)),IF(OR(H822="ALI",H822="AIE"),"L",IF(ISBLANK(H822),"","A")),IF(H822="EE",IF(K822&gt;=3,IF(J822&gt;=5,"H","A"),IF(K822&gt;=2,IF(J822&gt;=16,"H",IF(J822&lt;=4,"L","A")),IF(J822&lt;=15,"L","A"))),IF(OR(H822="SE",H822="CE"),IF(K822&gt;=4,IF(J822&gt;=6,"H","A"),IF(K822&gt;=2,IF(J822&gt;=20,"H",IF(J822&lt;=5,"L","A")),IF(J822&lt;=19,"L","A"))),IF(OR(H822="ALI",H822="AIE"),IF(K822&gt;=6,IF(J822&gt;=20,"H","A"),IF(K822&gt;=2,IF(J822&gt;=51,"H",IF(J822&lt;=19,"L","A")),IF(J822&lt;=50,"L","A")))))))</f>
        <v/>
      </c>
      <c r="N822" s="52">
        <f>IF(M822="L","Baixa",IF(M822="A","Média",IF(M822="","","Alta")))</f>
        <v/>
      </c>
      <c r="O822" s="53">
        <f>IF(ISBLANK(H822),"",IF(H822="ALI",IF(M822="L",7,IF(M822="A",10,15)),IF(H822="AIE",IF(M822="L",5,IF(M822="A",7,10)),IF(H822="SE",IF(M822="L",4,IF(M822="A",5,7)),IF(OR(H822="EE",H822="CE"),IF(M822="L",3,IF(M822="A",4,6)))))))</f>
        <v/>
      </c>
      <c r="P822" s="54">
        <f>IF(I822="I",O822*Contagem!$W$15,IF(I822="E",O822*Contagem!$W$17,IF(I822="A",O822*Contagem!$W$16,IF(I822="T",O822*Contagem!$W$18,""))))</f>
        <v/>
      </c>
      <c r="Q822" s="55" t="n"/>
    </row>
    <row r="823" ht="12" customHeight="1" s="73">
      <c r="A823" s="14">
        <f>IF(H823="",IF(C823="",A822,A822+1),A822)</f>
        <v/>
      </c>
      <c r="B823" s="48">
        <f>IF(A823=A822,"",CONCATENATE("F",A823))</f>
        <v/>
      </c>
      <c r="C823" s="85" t="n"/>
      <c r="D823" s="142" t="n"/>
      <c r="E823" s="142" t="n"/>
      <c r="F823" s="142" t="n"/>
      <c r="G823" s="143" t="n"/>
      <c r="H823" s="56" t="n"/>
      <c r="I823" s="57" t="n"/>
      <c r="J823" s="56" t="n"/>
      <c r="K823" s="56" t="n"/>
      <c r="L823" s="50">
        <f>CONCATENATE(H823,M823)</f>
        <v/>
      </c>
      <c r="M823" s="51">
        <f>IF(OR(ISBLANK(J823),ISBLANK(K823)),IF(OR(H823="ALI",H823="AIE"),"L",IF(ISBLANK(H823),"","A")),IF(H823="EE",IF(K823&gt;=3,IF(J823&gt;=5,"H","A"),IF(K823&gt;=2,IF(J823&gt;=16,"H",IF(J823&lt;=4,"L","A")),IF(J823&lt;=15,"L","A"))),IF(OR(H823="SE",H823="CE"),IF(K823&gt;=4,IF(J823&gt;=6,"H","A"),IF(K823&gt;=2,IF(J823&gt;=20,"H",IF(J823&lt;=5,"L","A")),IF(J823&lt;=19,"L","A"))),IF(OR(H823="ALI",H823="AIE"),IF(K823&gt;=6,IF(J823&gt;=20,"H","A"),IF(K823&gt;=2,IF(J823&gt;=51,"H",IF(J823&lt;=19,"L","A")),IF(J823&lt;=50,"L","A")))))))</f>
        <v/>
      </c>
      <c r="N823" s="52">
        <f>IF(M823="L","Baixa",IF(M823="A","Média",IF(M823="","","Alta")))</f>
        <v/>
      </c>
      <c r="O823" s="53">
        <f>IF(ISBLANK(H823),"",IF(H823="ALI",IF(M823="L",7,IF(M823="A",10,15)),IF(H823="AIE",IF(M823="L",5,IF(M823="A",7,10)),IF(H823="SE",IF(M823="L",4,IF(M823="A",5,7)),IF(OR(H823="EE",H823="CE"),IF(M823="L",3,IF(M823="A",4,6)))))))</f>
        <v/>
      </c>
      <c r="P823" s="54">
        <f>IF(I823="I",O823*Contagem!$W$15,IF(I823="E",O823*Contagem!$W$17,IF(I823="A",O823*Contagem!$W$16,IF(I823="T",O823*Contagem!$W$18,""))))</f>
        <v/>
      </c>
      <c r="Q823" s="55" t="n"/>
    </row>
    <row r="824" ht="12" customHeight="1" s="73">
      <c r="A824" s="14">
        <f>IF(H824="",IF(C824="",A823,A823+1),A823)</f>
        <v/>
      </c>
      <c r="B824" s="48">
        <f>IF(A824=A823,"",CONCATENATE("F",A824))</f>
        <v/>
      </c>
      <c r="C824" s="85" t="n"/>
      <c r="D824" s="142" t="n"/>
      <c r="E824" s="142" t="n"/>
      <c r="F824" s="142" t="n"/>
      <c r="G824" s="143" t="n"/>
      <c r="H824" s="56" t="n"/>
      <c r="I824" s="57" t="n"/>
      <c r="J824" s="56" t="n"/>
      <c r="K824" s="56" t="n"/>
      <c r="L824" s="50">
        <f>CONCATENATE(H824,M824)</f>
        <v/>
      </c>
      <c r="M824" s="51">
        <f>IF(OR(ISBLANK(J824),ISBLANK(K824)),IF(OR(H824="ALI",H824="AIE"),"L",IF(ISBLANK(H824),"","A")),IF(H824="EE",IF(K824&gt;=3,IF(J824&gt;=5,"H","A"),IF(K824&gt;=2,IF(J824&gt;=16,"H",IF(J824&lt;=4,"L","A")),IF(J824&lt;=15,"L","A"))),IF(OR(H824="SE",H824="CE"),IF(K824&gt;=4,IF(J824&gt;=6,"H","A"),IF(K824&gt;=2,IF(J824&gt;=20,"H",IF(J824&lt;=5,"L","A")),IF(J824&lt;=19,"L","A"))),IF(OR(H824="ALI",H824="AIE"),IF(K824&gt;=6,IF(J824&gt;=20,"H","A"),IF(K824&gt;=2,IF(J824&gt;=51,"H",IF(J824&lt;=19,"L","A")),IF(J824&lt;=50,"L","A")))))))</f>
        <v/>
      </c>
      <c r="N824" s="52">
        <f>IF(M824="L","Baixa",IF(M824="A","Média",IF(M824="","","Alta")))</f>
        <v/>
      </c>
      <c r="O824" s="53">
        <f>IF(ISBLANK(H824),"",IF(H824="ALI",IF(M824="L",7,IF(M824="A",10,15)),IF(H824="AIE",IF(M824="L",5,IF(M824="A",7,10)),IF(H824="SE",IF(M824="L",4,IF(M824="A",5,7)),IF(OR(H824="EE",H824="CE"),IF(M824="L",3,IF(M824="A",4,6)))))))</f>
        <v/>
      </c>
      <c r="P824" s="54">
        <f>IF(I824="I",O824*Contagem!$W$15,IF(I824="E",O824*Contagem!$W$17,IF(I824="A",O824*Contagem!$W$16,IF(I824="T",O824*Contagem!$W$18,""))))</f>
        <v/>
      </c>
      <c r="Q824" s="55" t="n"/>
    </row>
    <row r="825" ht="12" customHeight="1" s="73">
      <c r="A825" s="14">
        <f>IF(H825="",IF(C825="",A824,A824+1),A824)</f>
        <v/>
      </c>
      <c r="B825" s="48">
        <f>IF(A825=A824,"",CONCATENATE("F",A825))</f>
        <v/>
      </c>
      <c r="C825" s="85" t="n"/>
      <c r="D825" s="142" t="n"/>
      <c r="E825" s="142" t="n"/>
      <c r="F825" s="142" t="n"/>
      <c r="G825" s="143" t="n"/>
      <c r="H825" s="56" t="n"/>
      <c r="I825" s="57" t="n"/>
      <c r="J825" s="56" t="n"/>
      <c r="K825" s="56" t="n"/>
      <c r="L825" s="50">
        <f>CONCATENATE(H825,M825)</f>
        <v/>
      </c>
      <c r="M825" s="51">
        <f>IF(OR(ISBLANK(J825),ISBLANK(K825)),IF(OR(H825="ALI",H825="AIE"),"L",IF(ISBLANK(H825),"","A")),IF(H825="EE",IF(K825&gt;=3,IF(J825&gt;=5,"H","A"),IF(K825&gt;=2,IF(J825&gt;=16,"H",IF(J825&lt;=4,"L","A")),IF(J825&lt;=15,"L","A"))),IF(OR(H825="SE",H825="CE"),IF(K825&gt;=4,IF(J825&gt;=6,"H","A"),IF(K825&gt;=2,IF(J825&gt;=20,"H",IF(J825&lt;=5,"L","A")),IF(J825&lt;=19,"L","A"))),IF(OR(H825="ALI",H825="AIE"),IF(K825&gt;=6,IF(J825&gt;=20,"H","A"),IF(K825&gt;=2,IF(J825&gt;=51,"H",IF(J825&lt;=19,"L","A")),IF(J825&lt;=50,"L","A")))))))</f>
        <v/>
      </c>
      <c r="N825" s="52">
        <f>IF(M825="L","Baixa",IF(M825="A","Média",IF(M825="","","Alta")))</f>
        <v/>
      </c>
      <c r="O825" s="53">
        <f>IF(ISBLANK(H825),"",IF(H825="ALI",IF(M825="L",7,IF(M825="A",10,15)),IF(H825="AIE",IF(M825="L",5,IF(M825="A",7,10)),IF(H825="SE",IF(M825="L",4,IF(M825="A",5,7)),IF(OR(H825="EE",H825="CE"),IF(M825="L",3,IF(M825="A",4,6)))))))</f>
        <v/>
      </c>
      <c r="P825" s="54">
        <f>IF(I825="I",O825*Contagem!$W$15,IF(I825="E",O825*Contagem!$W$17,IF(I825="A",O825*Contagem!$W$16,IF(I825="T",O825*Contagem!$W$18,""))))</f>
        <v/>
      </c>
      <c r="Q825" s="55" t="n"/>
    </row>
    <row r="826" ht="12" customHeight="1" s="73">
      <c r="A826" s="14">
        <f>IF(H826="",IF(C826="",A825,A825+1),A825)</f>
        <v/>
      </c>
      <c r="B826" s="48">
        <f>IF(A826=A825,"",CONCATENATE("F",A826))</f>
        <v/>
      </c>
      <c r="C826" s="85" t="n"/>
      <c r="D826" s="142" t="n"/>
      <c r="E826" s="142" t="n"/>
      <c r="F826" s="142" t="n"/>
      <c r="G826" s="143" t="n"/>
      <c r="H826" s="56" t="n"/>
      <c r="I826" s="57" t="n"/>
      <c r="J826" s="56" t="n"/>
      <c r="K826" s="56" t="n"/>
      <c r="L826" s="50">
        <f>CONCATENATE(H826,M826)</f>
        <v/>
      </c>
      <c r="M826" s="51">
        <f>IF(OR(ISBLANK(J826),ISBLANK(K826)),IF(OR(H826="ALI",H826="AIE"),"L",IF(ISBLANK(H826),"","A")),IF(H826="EE",IF(K826&gt;=3,IF(J826&gt;=5,"H","A"),IF(K826&gt;=2,IF(J826&gt;=16,"H",IF(J826&lt;=4,"L","A")),IF(J826&lt;=15,"L","A"))),IF(OR(H826="SE",H826="CE"),IF(K826&gt;=4,IF(J826&gt;=6,"H","A"),IF(K826&gt;=2,IF(J826&gt;=20,"H",IF(J826&lt;=5,"L","A")),IF(J826&lt;=19,"L","A"))),IF(OR(H826="ALI",H826="AIE"),IF(K826&gt;=6,IF(J826&gt;=20,"H","A"),IF(K826&gt;=2,IF(J826&gt;=51,"H",IF(J826&lt;=19,"L","A")),IF(J826&lt;=50,"L","A")))))))</f>
        <v/>
      </c>
      <c r="N826" s="52">
        <f>IF(M826="L","Baixa",IF(M826="A","Média",IF(M826="","","Alta")))</f>
        <v/>
      </c>
      <c r="O826" s="53">
        <f>IF(ISBLANK(H826),"",IF(H826="ALI",IF(M826="L",7,IF(M826="A",10,15)),IF(H826="AIE",IF(M826="L",5,IF(M826="A",7,10)),IF(H826="SE",IF(M826="L",4,IF(M826="A",5,7)),IF(OR(H826="EE",H826="CE"),IF(M826="L",3,IF(M826="A",4,6)))))))</f>
        <v/>
      </c>
      <c r="P826" s="54">
        <f>IF(I826="I",O826*Contagem!$W$15,IF(I826="E",O826*Contagem!$W$17,IF(I826="A",O826*Contagem!$W$16,IF(I826="T",O826*Contagem!$W$18,""))))</f>
        <v/>
      </c>
      <c r="Q826" s="55" t="n"/>
    </row>
    <row r="827" ht="12" customHeight="1" s="73">
      <c r="A827" s="14">
        <f>IF(H827="",IF(C827="",A826,A826+1),A826)</f>
        <v/>
      </c>
      <c r="B827" s="48">
        <f>IF(A827=A826,"",CONCATENATE("F",A827))</f>
        <v/>
      </c>
      <c r="C827" s="85" t="n"/>
      <c r="D827" s="142" t="n"/>
      <c r="E827" s="142" t="n"/>
      <c r="F827" s="142" t="n"/>
      <c r="G827" s="143" t="n"/>
      <c r="H827" s="56" t="n"/>
      <c r="I827" s="57" t="n"/>
      <c r="J827" s="56" t="n"/>
      <c r="K827" s="56" t="n"/>
      <c r="L827" s="50">
        <f>CONCATENATE(H827,M827)</f>
        <v/>
      </c>
      <c r="M827" s="51">
        <f>IF(OR(ISBLANK(J827),ISBLANK(K827)),IF(OR(H827="ALI",H827="AIE"),"L",IF(ISBLANK(H827),"","A")),IF(H827="EE",IF(K827&gt;=3,IF(J827&gt;=5,"H","A"),IF(K827&gt;=2,IF(J827&gt;=16,"H",IF(J827&lt;=4,"L","A")),IF(J827&lt;=15,"L","A"))),IF(OR(H827="SE",H827="CE"),IF(K827&gt;=4,IF(J827&gt;=6,"H","A"),IF(K827&gt;=2,IF(J827&gt;=20,"H",IF(J827&lt;=5,"L","A")),IF(J827&lt;=19,"L","A"))),IF(OR(H827="ALI",H827="AIE"),IF(K827&gt;=6,IF(J827&gt;=20,"H","A"),IF(K827&gt;=2,IF(J827&gt;=51,"H",IF(J827&lt;=19,"L","A")),IF(J827&lt;=50,"L","A")))))))</f>
        <v/>
      </c>
      <c r="N827" s="52">
        <f>IF(M827="L","Baixa",IF(M827="A","Média",IF(M827="","","Alta")))</f>
        <v/>
      </c>
      <c r="O827" s="53">
        <f>IF(ISBLANK(H827),"",IF(H827="ALI",IF(M827="L",7,IF(M827="A",10,15)),IF(H827="AIE",IF(M827="L",5,IF(M827="A",7,10)),IF(H827="SE",IF(M827="L",4,IF(M827="A",5,7)),IF(OR(H827="EE",H827="CE"),IF(M827="L",3,IF(M827="A",4,6)))))))</f>
        <v/>
      </c>
      <c r="P827" s="54">
        <f>IF(I827="I",O827*Contagem!$W$15,IF(I827="E",O827*Contagem!$W$17,IF(I827="A",O827*Contagem!$W$16,IF(I827="T",O827*Contagem!$W$18,""))))</f>
        <v/>
      </c>
      <c r="Q827" s="55" t="n"/>
    </row>
    <row r="828" ht="12" customHeight="1" s="73">
      <c r="A828" s="14">
        <f>IF(H828="",IF(C828="",A827,A827+1),A827)</f>
        <v/>
      </c>
      <c r="B828" s="48">
        <f>IF(A828=A827,"",CONCATENATE("F",A828))</f>
        <v/>
      </c>
      <c r="C828" s="85" t="n"/>
      <c r="D828" s="142" t="n"/>
      <c r="E828" s="142" t="n"/>
      <c r="F828" s="142" t="n"/>
      <c r="G828" s="143" t="n"/>
      <c r="H828" s="56" t="n"/>
      <c r="I828" s="57" t="n"/>
      <c r="J828" s="56" t="n"/>
      <c r="K828" s="56" t="n"/>
      <c r="L828" s="50">
        <f>CONCATENATE(H828,M828)</f>
        <v/>
      </c>
      <c r="M828" s="51">
        <f>IF(OR(ISBLANK(J828),ISBLANK(K828)),IF(OR(H828="ALI",H828="AIE"),"L",IF(ISBLANK(H828),"","A")),IF(H828="EE",IF(K828&gt;=3,IF(J828&gt;=5,"H","A"),IF(K828&gt;=2,IF(J828&gt;=16,"H",IF(J828&lt;=4,"L","A")),IF(J828&lt;=15,"L","A"))),IF(OR(H828="SE",H828="CE"),IF(K828&gt;=4,IF(J828&gt;=6,"H","A"),IF(K828&gt;=2,IF(J828&gt;=20,"H",IF(J828&lt;=5,"L","A")),IF(J828&lt;=19,"L","A"))),IF(OR(H828="ALI",H828="AIE"),IF(K828&gt;=6,IF(J828&gt;=20,"H","A"),IF(K828&gt;=2,IF(J828&gt;=51,"H",IF(J828&lt;=19,"L","A")),IF(J828&lt;=50,"L","A")))))))</f>
        <v/>
      </c>
      <c r="N828" s="52">
        <f>IF(M828="L","Baixa",IF(M828="A","Média",IF(M828="","","Alta")))</f>
        <v/>
      </c>
      <c r="O828" s="53">
        <f>IF(ISBLANK(H828),"",IF(H828="ALI",IF(M828="L",7,IF(M828="A",10,15)),IF(H828="AIE",IF(M828="L",5,IF(M828="A",7,10)),IF(H828="SE",IF(M828="L",4,IF(M828="A",5,7)),IF(OR(H828="EE",H828="CE"),IF(M828="L",3,IF(M828="A",4,6)))))))</f>
        <v/>
      </c>
      <c r="P828" s="54">
        <f>IF(I828="I",O828*Contagem!$W$15,IF(I828="E",O828*Contagem!$W$17,IF(I828="A",O828*Contagem!$W$16,IF(I828="T",O828*Contagem!$W$18,""))))</f>
        <v/>
      </c>
      <c r="Q828" s="55" t="n"/>
    </row>
    <row r="829" ht="12" customHeight="1" s="73">
      <c r="A829" s="14">
        <f>IF(H829="",IF(C829="",A828,A828+1),A828)</f>
        <v/>
      </c>
      <c r="B829" s="48">
        <f>IF(A829=A828,"",CONCATENATE("F",A829))</f>
        <v/>
      </c>
      <c r="C829" s="85" t="n"/>
      <c r="D829" s="142" t="n"/>
      <c r="E829" s="142" t="n"/>
      <c r="F829" s="142" t="n"/>
      <c r="G829" s="143" t="n"/>
      <c r="H829" s="56" t="n"/>
      <c r="I829" s="57" t="n"/>
      <c r="J829" s="56" t="n"/>
      <c r="K829" s="56" t="n"/>
      <c r="L829" s="50">
        <f>CONCATENATE(H829,M829)</f>
        <v/>
      </c>
      <c r="M829" s="51">
        <f>IF(OR(ISBLANK(J829),ISBLANK(K829)),IF(OR(H829="ALI",H829="AIE"),"L",IF(ISBLANK(H829),"","A")),IF(H829="EE",IF(K829&gt;=3,IF(J829&gt;=5,"H","A"),IF(K829&gt;=2,IF(J829&gt;=16,"H",IF(J829&lt;=4,"L","A")),IF(J829&lt;=15,"L","A"))),IF(OR(H829="SE",H829="CE"),IF(K829&gt;=4,IF(J829&gt;=6,"H","A"),IF(K829&gt;=2,IF(J829&gt;=20,"H",IF(J829&lt;=5,"L","A")),IF(J829&lt;=19,"L","A"))),IF(OR(H829="ALI",H829="AIE"),IF(K829&gt;=6,IF(J829&gt;=20,"H","A"),IF(K829&gt;=2,IF(J829&gt;=51,"H",IF(J829&lt;=19,"L","A")),IF(J829&lt;=50,"L","A")))))))</f>
        <v/>
      </c>
      <c r="N829" s="52">
        <f>IF(M829="L","Baixa",IF(M829="A","Média",IF(M829="","","Alta")))</f>
        <v/>
      </c>
      <c r="O829" s="53">
        <f>IF(ISBLANK(H829),"",IF(H829="ALI",IF(M829="L",7,IF(M829="A",10,15)),IF(H829="AIE",IF(M829="L",5,IF(M829="A",7,10)),IF(H829="SE",IF(M829="L",4,IF(M829="A",5,7)),IF(OR(H829="EE",H829="CE"),IF(M829="L",3,IF(M829="A",4,6)))))))</f>
        <v/>
      </c>
      <c r="P829" s="54">
        <f>IF(I829="I",O829*Contagem!$W$15,IF(I829="E",O829*Contagem!$W$17,IF(I829="A",O829*Contagem!$W$16,IF(I829="T",O829*Contagem!$W$18,""))))</f>
        <v/>
      </c>
      <c r="Q829" s="55" t="n"/>
    </row>
    <row r="830" ht="12" customHeight="1" s="73">
      <c r="A830" s="14">
        <f>IF(H830="",IF(C830="",A829,A829+1),A829)</f>
        <v/>
      </c>
      <c r="B830" s="48">
        <f>IF(A830=A829,"",CONCATENATE("F",A830))</f>
        <v/>
      </c>
      <c r="C830" s="85" t="n"/>
      <c r="D830" s="142" t="n"/>
      <c r="E830" s="142" t="n"/>
      <c r="F830" s="142" t="n"/>
      <c r="G830" s="143" t="n"/>
      <c r="H830" s="56" t="n"/>
      <c r="I830" s="57" t="n"/>
      <c r="J830" s="56" t="n"/>
      <c r="K830" s="56" t="n"/>
      <c r="L830" s="50">
        <f>CONCATENATE(H830,M830)</f>
        <v/>
      </c>
      <c r="M830" s="51">
        <f>IF(OR(ISBLANK(J830),ISBLANK(K830)),IF(OR(H830="ALI",H830="AIE"),"L",IF(ISBLANK(H830),"","A")),IF(H830="EE",IF(K830&gt;=3,IF(J830&gt;=5,"H","A"),IF(K830&gt;=2,IF(J830&gt;=16,"H",IF(J830&lt;=4,"L","A")),IF(J830&lt;=15,"L","A"))),IF(OR(H830="SE",H830="CE"),IF(K830&gt;=4,IF(J830&gt;=6,"H","A"),IF(K830&gt;=2,IF(J830&gt;=20,"H",IF(J830&lt;=5,"L","A")),IF(J830&lt;=19,"L","A"))),IF(OR(H830="ALI",H830="AIE"),IF(K830&gt;=6,IF(J830&gt;=20,"H","A"),IF(K830&gt;=2,IF(J830&gt;=51,"H",IF(J830&lt;=19,"L","A")),IF(J830&lt;=50,"L","A")))))))</f>
        <v/>
      </c>
      <c r="N830" s="52">
        <f>IF(M830="L","Baixa",IF(M830="A","Média",IF(M830="","","Alta")))</f>
        <v/>
      </c>
      <c r="O830" s="53">
        <f>IF(ISBLANK(H830),"",IF(H830="ALI",IF(M830="L",7,IF(M830="A",10,15)),IF(H830="AIE",IF(M830="L",5,IF(M830="A",7,10)),IF(H830="SE",IF(M830="L",4,IF(M830="A",5,7)),IF(OR(H830="EE",H830="CE"),IF(M830="L",3,IF(M830="A",4,6)))))))</f>
        <v/>
      </c>
      <c r="P830" s="54">
        <f>IF(I830="I",O830*Contagem!$W$15,IF(I830="E",O830*Contagem!$W$17,IF(I830="A",O830*Contagem!$W$16,IF(I830="T",O830*Contagem!$W$18,""))))</f>
        <v/>
      </c>
      <c r="Q830" s="55" t="n"/>
    </row>
    <row r="831" ht="12" customHeight="1" s="73">
      <c r="A831" s="14">
        <f>IF(H831="",IF(C831="",A830,A830+1),A830)</f>
        <v/>
      </c>
      <c r="B831" s="48">
        <f>IF(A831=A830,"",CONCATENATE("F",A831))</f>
        <v/>
      </c>
      <c r="C831" s="85" t="n"/>
      <c r="D831" s="142" t="n"/>
      <c r="E831" s="142" t="n"/>
      <c r="F831" s="142" t="n"/>
      <c r="G831" s="143" t="n"/>
      <c r="H831" s="56" t="n"/>
      <c r="I831" s="57" t="n"/>
      <c r="J831" s="56" t="n"/>
      <c r="K831" s="56" t="n"/>
      <c r="L831" s="50">
        <f>CONCATENATE(H831,M831)</f>
        <v/>
      </c>
      <c r="M831" s="51">
        <f>IF(OR(ISBLANK(J831),ISBLANK(K831)),IF(OR(H831="ALI",H831="AIE"),"L",IF(ISBLANK(H831),"","A")),IF(H831="EE",IF(K831&gt;=3,IF(J831&gt;=5,"H","A"),IF(K831&gt;=2,IF(J831&gt;=16,"H",IF(J831&lt;=4,"L","A")),IF(J831&lt;=15,"L","A"))),IF(OR(H831="SE",H831="CE"),IF(K831&gt;=4,IF(J831&gt;=6,"H","A"),IF(K831&gt;=2,IF(J831&gt;=20,"H",IF(J831&lt;=5,"L","A")),IF(J831&lt;=19,"L","A"))),IF(OR(H831="ALI",H831="AIE"),IF(K831&gt;=6,IF(J831&gt;=20,"H","A"),IF(K831&gt;=2,IF(J831&gt;=51,"H",IF(J831&lt;=19,"L","A")),IF(J831&lt;=50,"L","A")))))))</f>
        <v/>
      </c>
      <c r="N831" s="52">
        <f>IF(M831="L","Baixa",IF(M831="A","Média",IF(M831="","","Alta")))</f>
        <v/>
      </c>
      <c r="O831" s="53">
        <f>IF(ISBLANK(H831),"",IF(H831="ALI",IF(M831="L",7,IF(M831="A",10,15)),IF(H831="AIE",IF(M831="L",5,IF(M831="A",7,10)),IF(H831="SE",IF(M831="L",4,IF(M831="A",5,7)),IF(OR(H831="EE",H831="CE"),IF(M831="L",3,IF(M831="A",4,6)))))))</f>
        <v/>
      </c>
      <c r="P831" s="54">
        <f>IF(I831="I",O831*Contagem!$W$15,IF(I831="E",O831*Contagem!$W$17,IF(I831="A",O831*Contagem!$W$16,IF(I831="T",O831*Contagem!$W$18,""))))</f>
        <v/>
      </c>
      <c r="Q831" s="55" t="n"/>
    </row>
    <row r="832" ht="12" customHeight="1" s="73">
      <c r="A832" s="14">
        <f>IF(H832="",IF(C832="",A831,A831+1),A831)</f>
        <v/>
      </c>
      <c r="B832" s="48">
        <f>IF(A832=A831,"",CONCATENATE("F",A832))</f>
        <v/>
      </c>
      <c r="C832" s="85" t="n"/>
      <c r="D832" s="142" t="n"/>
      <c r="E832" s="142" t="n"/>
      <c r="F832" s="142" t="n"/>
      <c r="G832" s="143" t="n"/>
      <c r="H832" s="56" t="n"/>
      <c r="I832" s="57" t="n"/>
      <c r="J832" s="56" t="n"/>
      <c r="K832" s="56" t="n"/>
      <c r="L832" s="50">
        <f>CONCATENATE(H832,M832)</f>
        <v/>
      </c>
      <c r="M832" s="51">
        <f>IF(OR(ISBLANK(J832),ISBLANK(K832)),IF(OR(H832="ALI",H832="AIE"),"L",IF(ISBLANK(H832),"","A")),IF(H832="EE",IF(K832&gt;=3,IF(J832&gt;=5,"H","A"),IF(K832&gt;=2,IF(J832&gt;=16,"H",IF(J832&lt;=4,"L","A")),IF(J832&lt;=15,"L","A"))),IF(OR(H832="SE",H832="CE"),IF(K832&gt;=4,IF(J832&gt;=6,"H","A"),IF(K832&gt;=2,IF(J832&gt;=20,"H",IF(J832&lt;=5,"L","A")),IF(J832&lt;=19,"L","A"))),IF(OR(H832="ALI",H832="AIE"),IF(K832&gt;=6,IF(J832&gt;=20,"H","A"),IF(K832&gt;=2,IF(J832&gt;=51,"H",IF(J832&lt;=19,"L","A")),IF(J832&lt;=50,"L","A")))))))</f>
        <v/>
      </c>
      <c r="N832" s="52">
        <f>IF(M832="L","Baixa",IF(M832="A","Média",IF(M832="","","Alta")))</f>
        <v/>
      </c>
      <c r="O832" s="53">
        <f>IF(ISBLANK(H832),"",IF(H832="ALI",IF(M832="L",7,IF(M832="A",10,15)),IF(H832="AIE",IF(M832="L",5,IF(M832="A",7,10)),IF(H832="SE",IF(M832="L",4,IF(M832="A",5,7)),IF(OR(H832="EE",H832="CE"),IF(M832="L",3,IF(M832="A",4,6)))))))</f>
        <v/>
      </c>
      <c r="P832" s="54">
        <f>IF(I832="I",O832*Contagem!$W$15,IF(I832="E",O832*Contagem!$W$17,IF(I832="A",O832*Contagem!$W$16,IF(I832="T",O832*Contagem!$W$18,""))))</f>
        <v/>
      </c>
      <c r="Q832" s="55" t="n"/>
    </row>
    <row r="833" ht="12" customHeight="1" s="73">
      <c r="A833" s="14">
        <f>IF(H833="",IF(C833="",A832,A832+1),A832)</f>
        <v/>
      </c>
      <c r="B833" s="48">
        <f>IF(A833=A832,"",CONCATENATE("F",A833))</f>
        <v/>
      </c>
      <c r="C833" s="85" t="n"/>
      <c r="D833" s="142" t="n"/>
      <c r="E833" s="142" t="n"/>
      <c r="F833" s="142" t="n"/>
      <c r="G833" s="143" t="n"/>
      <c r="H833" s="56" t="n"/>
      <c r="I833" s="57" t="n"/>
      <c r="J833" s="56" t="n"/>
      <c r="K833" s="56" t="n"/>
      <c r="L833" s="50">
        <f>CONCATENATE(H833,M833)</f>
        <v/>
      </c>
      <c r="M833" s="51">
        <f>IF(OR(ISBLANK(J833),ISBLANK(K833)),IF(OR(H833="ALI",H833="AIE"),"L",IF(ISBLANK(H833),"","A")),IF(H833="EE",IF(K833&gt;=3,IF(J833&gt;=5,"H","A"),IF(K833&gt;=2,IF(J833&gt;=16,"H",IF(J833&lt;=4,"L","A")),IF(J833&lt;=15,"L","A"))),IF(OR(H833="SE",H833="CE"),IF(K833&gt;=4,IF(J833&gt;=6,"H","A"),IF(K833&gt;=2,IF(J833&gt;=20,"H",IF(J833&lt;=5,"L","A")),IF(J833&lt;=19,"L","A"))),IF(OR(H833="ALI",H833="AIE"),IF(K833&gt;=6,IF(J833&gt;=20,"H","A"),IF(K833&gt;=2,IF(J833&gt;=51,"H",IF(J833&lt;=19,"L","A")),IF(J833&lt;=50,"L","A")))))))</f>
        <v/>
      </c>
      <c r="N833" s="52">
        <f>IF(M833="L","Baixa",IF(M833="A","Média",IF(M833="","","Alta")))</f>
        <v/>
      </c>
      <c r="O833" s="53">
        <f>IF(ISBLANK(H833),"",IF(H833="ALI",IF(M833="L",7,IF(M833="A",10,15)),IF(H833="AIE",IF(M833="L",5,IF(M833="A",7,10)),IF(H833="SE",IF(M833="L",4,IF(M833="A",5,7)),IF(OR(H833="EE",H833="CE"),IF(M833="L",3,IF(M833="A",4,6)))))))</f>
        <v/>
      </c>
      <c r="P833" s="54">
        <f>IF(I833="I",O833*Contagem!$W$15,IF(I833="E",O833*Contagem!$W$17,IF(I833="A",O833*Contagem!$W$16,IF(I833="T",O833*Contagem!$W$18,""))))</f>
        <v/>
      </c>
      <c r="Q833" s="55" t="n"/>
    </row>
    <row r="834" ht="12" customHeight="1" s="73">
      <c r="A834" s="14">
        <f>IF(H834="",IF(C834="",A833,A833+1),A833)</f>
        <v/>
      </c>
      <c r="B834" s="48">
        <f>IF(A834=A833,"",CONCATENATE("F",A834))</f>
        <v/>
      </c>
      <c r="C834" s="85" t="n"/>
      <c r="D834" s="142" t="n"/>
      <c r="E834" s="142" t="n"/>
      <c r="F834" s="142" t="n"/>
      <c r="G834" s="143" t="n"/>
      <c r="H834" s="56" t="n"/>
      <c r="I834" s="57" t="n"/>
      <c r="J834" s="56" t="n"/>
      <c r="K834" s="56" t="n"/>
      <c r="L834" s="50">
        <f>CONCATENATE(H834,M834)</f>
        <v/>
      </c>
      <c r="M834" s="51">
        <f>IF(OR(ISBLANK(J834),ISBLANK(K834)),IF(OR(H834="ALI",H834="AIE"),"L",IF(ISBLANK(H834),"","A")),IF(H834="EE",IF(K834&gt;=3,IF(J834&gt;=5,"H","A"),IF(K834&gt;=2,IF(J834&gt;=16,"H",IF(J834&lt;=4,"L","A")),IF(J834&lt;=15,"L","A"))),IF(OR(H834="SE",H834="CE"),IF(K834&gt;=4,IF(J834&gt;=6,"H","A"),IF(K834&gt;=2,IF(J834&gt;=20,"H",IF(J834&lt;=5,"L","A")),IF(J834&lt;=19,"L","A"))),IF(OR(H834="ALI",H834="AIE"),IF(K834&gt;=6,IF(J834&gt;=20,"H","A"),IF(K834&gt;=2,IF(J834&gt;=51,"H",IF(J834&lt;=19,"L","A")),IF(J834&lt;=50,"L","A")))))))</f>
        <v/>
      </c>
      <c r="N834" s="52">
        <f>IF(M834="L","Baixa",IF(M834="A","Média",IF(M834="","","Alta")))</f>
        <v/>
      </c>
      <c r="O834" s="53">
        <f>IF(ISBLANK(H834),"",IF(H834="ALI",IF(M834="L",7,IF(M834="A",10,15)),IF(H834="AIE",IF(M834="L",5,IF(M834="A",7,10)),IF(H834="SE",IF(M834="L",4,IF(M834="A",5,7)),IF(OR(H834="EE",H834="CE"),IF(M834="L",3,IF(M834="A",4,6)))))))</f>
        <v/>
      </c>
      <c r="P834" s="54">
        <f>IF(I834="I",O834*Contagem!$W$15,IF(I834="E",O834*Contagem!$W$17,IF(I834="A",O834*Contagem!$W$16,IF(I834="T",O834*Contagem!$W$18,""))))</f>
        <v/>
      </c>
      <c r="Q834" s="55" t="n"/>
    </row>
    <row r="835" ht="12" customHeight="1" s="73">
      <c r="A835" s="14">
        <f>IF(H835="",IF(C835="",A834,A834+1),A834)</f>
        <v/>
      </c>
      <c r="B835" s="48">
        <f>IF(A835=A834,"",CONCATENATE("F",A835))</f>
        <v/>
      </c>
      <c r="C835" s="85" t="n"/>
      <c r="D835" s="142" t="n"/>
      <c r="E835" s="142" t="n"/>
      <c r="F835" s="142" t="n"/>
      <c r="G835" s="143" t="n"/>
      <c r="H835" s="56" t="n"/>
      <c r="I835" s="57" t="n"/>
      <c r="J835" s="56" t="n"/>
      <c r="K835" s="56" t="n"/>
      <c r="L835" s="50">
        <f>CONCATENATE(H835,M835)</f>
        <v/>
      </c>
      <c r="M835" s="51">
        <f>IF(OR(ISBLANK(J835),ISBLANK(K835)),IF(OR(H835="ALI",H835="AIE"),"L",IF(ISBLANK(H835),"","A")),IF(H835="EE",IF(K835&gt;=3,IF(J835&gt;=5,"H","A"),IF(K835&gt;=2,IF(J835&gt;=16,"H",IF(J835&lt;=4,"L","A")),IF(J835&lt;=15,"L","A"))),IF(OR(H835="SE",H835="CE"),IF(K835&gt;=4,IF(J835&gt;=6,"H","A"),IF(K835&gt;=2,IF(J835&gt;=20,"H",IF(J835&lt;=5,"L","A")),IF(J835&lt;=19,"L","A"))),IF(OR(H835="ALI",H835="AIE"),IF(K835&gt;=6,IF(J835&gt;=20,"H","A"),IF(K835&gt;=2,IF(J835&gt;=51,"H",IF(J835&lt;=19,"L","A")),IF(J835&lt;=50,"L","A")))))))</f>
        <v/>
      </c>
      <c r="N835" s="52">
        <f>IF(M835="L","Baixa",IF(M835="A","Média",IF(M835="","","Alta")))</f>
        <v/>
      </c>
      <c r="O835" s="53">
        <f>IF(ISBLANK(H835),"",IF(H835="ALI",IF(M835="L",7,IF(M835="A",10,15)),IF(H835="AIE",IF(M835="L",5,IF(M835="A",7,10)),IF(H835="SE",IF(M835="L",4,IF(M835="A",5,7)),IF(OR(H835="EE",H835="CE"),IF(M835="L",3,IF(M835="A",4,6)))))))</f>
        <v/>
      </c>
      <c r="P835" s="54">
        <f>IF(I835="I",O835*Contagem!$W$15,IF(I835="E",O835*Contagem!$W$17,IF(I835="A",O835*Contagem!$W$16,IF(I835="T",O835*Contagem!$W$18,""))))</f>
        <v/>
      </c>
      <c r="Q835" s="55" t="n"/>
    </row>
    <row r="836" ht="12" customHeight="1" s="73">
      <c r="A836" s="14">
        <f>IF(H836="",IF(C836="",A835,A835+1),A835)</f>
        <v/>
      </c>
      <c r="B836" s="48">
        <f>IF(A836=A835,"",CONCATENATE("F",A836))</f>
        <v/>
      </c>
      <c r="C836" s="85" t="n"/>
      <c r="D836" s="142" t="n"/>
      <c r="E836" s="142" t="n"/>
      <c r="F836" s="142" t="n"/>
      <c r="G836" s="143" t="n"/>
      <c r="H836" s="56" t="n"/>
      <c r="I836" s="57" t="n"/>
      <c r="J836" s="56" t="n"/>
      <c r="K836" s="56" t="n"/>
      <c r="L836" s="50">
        <f>CONCATENATE(H836,M836)</f>
        <v/>
      </c>
      <c r="M836" s="51">
        <f>IF(OR(ISBLANK(J836),ISBLANK(K836)),IF(OR(H836="ALI",H836="AIE"),"L",IF(ISBLANK(H836),"","A")),IF(H836="EE",IF(K836&gt;=3,IF(J836&gt;=5,"H","A"),IF(K836&gt;=2,IF(J836&gt;=16,"H",IF(J836&lt;=4,"L","A")),IF(J836&lt;=15,"L","A"))),IF(OR(H836="SE",H836="CE"),IF(K836&gt;=4,IF(J836&gt;=6,"H","A"),IF(K836&gt;=2,IF(J836&gt;=20,"H",IF(J836&lt;=5,"L","A")),IF(J836&lt;=19,"L","A"))),IF(OR(H836="ALI",H836="AIE"),IF(K836&gt;=6,IF(J836&gt;=20,"H","A"),IF(K836&gt;=2,IF(J836&gt;=51,"H",IF(J836&lt;=19,"L","A")),IF(J836&lt;=50,"L","A")))))))</f>
        <v/>
      </c>
      <c r="N836" s="52">
        <f>IF(M836="L","Baixa",IF(M836="A","Média",IF(M836="","","Alta")))</f>
        <v/>
      </c>
      <c r="O836" s="53">
        <f>IF(ISBLANK(H836),"",IF(H836="ALI",IF(M836="L",7,IF(M836="A",10,15)),IF(H836="AIE",IF(M836="L",5,IF(M836="A",7,10)),IF(H836="SE",IF(M836="L",4,IF(M836="A",5,7)),IF(OR(H836="EE",H836="CE"),IF(M836="L",3,IF(M836="A",4,6)))))))</f>
        <v/>
      </c>
      <c r="P836" s="54">
        <f>IF(I836="I",O836*Contagem!$W$15,IF(I836="E",O836*Contagem!$W$17,IF(I836="A",O836*Contagem!$W$16,IF(I836="T",O836*Contagem!$W$18,""))))</f>
        <v/>
      </c>
      <c r="Q836" s="55" t="n"/>
    </row>
    <row r="837" ht="12" customHeight="1" s="73">
      <c r="A837" s="14">
        <f>IF(H837="",IF(C837="",A836,A836+1),A836)</f>
        <v/>
      </c>
      <c r="B837" s="48">
        <f>IF(A837=A836,"",CONCATENATE("F",A837))</f>
        <v/>
      </c>
      <c r="C837" s="85" t="n"/>
      <c r="D837" s="142" t="n"/>
      <c r="E837" s="142" t="n"/>
      <c r="F837" s="142" t="n"/>
      <c r="G837" s="143" t="n"/>
      <c r="H837" s="56" t="n"/>
      <c r="I837" s="57" t="n"/>
      <c r="J837" s="56" t="n"/>
      <c r="K837" s="56" t="n"/>
      <c r="L837" s="50">
        <f>CONCATENATE(H837,M837)</f>
        <v/>
      </c>
      <c r="M837" s="51">
        <f>IF(OR(ISBLANK(J837),ISBLANK(K837)),IF(OR(H837="ALI",H837="AIE"),"L",IF(ISBLANK(H837),"","A")),IF(H837="EE",IF(K837&gt;=3,IF(J837&gt;=5,"H","A"),IF(K837&gt;=2,IF(J837&gt;=16,"H",IF(J837&lt;=4,"L","A")),IF(J837&lt;=15,"L","A"))),IF(OR(H837="SE",H837="CE"),IF(K837&gt;=4,IF(J837&gt;=6,"H","A"),IF(K837&gt;=2,IF(J837&gt;=20,"H",IF(J837&lt;=5,"L","A")),IF(J837&lt;=19,"L","A"))),IF(OR(H837="ALI",H837="AIE"),IF(K837&gt;=6,IF(J837&gt;=20,"H","A"),IF(K837&gt;=2,IF(J837&gt;=51,"H",IF(J837&lt;=19,"L","A")),IF(J837&lt;=50,"L","A")))))))</f>
        <v/>
      </c>
      <c r="N837" s="52">
        <f>IF(M837="L","Baixa",IF(M837="A","Média",IF(M837="","","Alta")))</f>
        <v/>
      </c>
      <c r="O837" s="53">
        <f>IF(ISBLANK(H837),"",IF(H837="ALI",IF(M837="L",7,IF(M837="A",10,15)),IF(H837="AIE",IF(M837="L",5,IF(M837="A",7,10)),IF(H837="SE",IF(M837="L",4,IF(M837="A",5,7)),IF(OR(H837="EE",H837="CE"),IF(M837="L",3,IF(M837="A",4,6)))))))</f>
        <v/>
      </c>
      <c r="P837" s="54">
        <f>IF(I837="I",O837*Contagem!$W$15,IF(I837="E",O837*Contagem!$W$17,IF(I837="A",O837*Contagem!$W$16,IF(I837="T",O837*Contagem!$W$18,""))))</f>
        <v/>
      </c>
      <c r="Q837" s="55" t="n"/>
    </row>
    <row r="838" ht="12" customHeight="1" s="73">
      <c r="A838" s="14">
        <f>IF(H838="",IF(C838="",A837,A837+1),A837)</f>
        <v/>
      </c>
      <c r="B838" s="48">
        <f>IF(A838=A837,"",CONCATENATE("F",A838))</f>
        <v/>
      </c>
      <c r="C838" s="85" t="n"/>
      <c r="D838" s="142" t="n"/>
      <c r="E838" s="142" t="n"/>
      <c r="F838" s="142" t="n"/>
      <c r="G838" s="143" t="n"/>
      <c r="H838" s="56" t="n"/>
      <c r="I838" s="57" t="n"/>
      <c r="J838" s="56" t="n"/>
      <c r="K838" s="56" t="n"/>
      <c r="L838" s="50">
        <f>CONCATENATE(H838,M838)</f>
        <v/>
      </c>
      <c r="M838" s="51">
        <f>IF(OR(ISBLANK(J838),ISBLANK(K838)),IF(OR(H838="ALI",H838="AIE"),"L",IF(ISBLANK(H838),"","A")),IF(H838="EE",IF(K838&gt;=3,IF(J838&gt;=5,"H","A"),IF(K838&gt;=2,IF(J838&gt;=16,"H",IF(J838&lt;=4,"L","A")),IF(J838&lt;=15,"L","A"))),IF(OR(H838="SE",H838="CE"),IF(K838&gt;=4,IF(J838&gt;=6,"H","A"),IF(K838&gt;=2,IF(J838&gt;=20,"H",IF(J838&lt;=5,"L","A")),IF(J838&lt;=19,"L","A"))),IF(OR(H838="ALI",H838="AIE"),IF(K838&gt;=6,IF(J838&gt;=20,"H","A"),IF(K838&gt;=2,IF(J838&gt;=51,"H",IF(J838&lt;=19,"L","A")),IF(J838&lt;=50,"L","A")))))))</f>
        <v/>
      </c>
      <c r="N838" s="52">
        <f>IF(M838="L","Baixa",IF(M838="A","Média",IF(M838="","","Alta")))</f>
        <v/>
      </c>
      <c r="O838" s="53">
        <f>IF(ISBLANK(H838),"",IF(H838="ALI",IF(M838="L",7,IF(M838="A",10,15)),IF(H838="AIE",IF(M838="L",5,IF(M838="A",7,10)),IF(H838="SE",IF(M838="L",4,IF(M838="A",5,7)),IF(OR(H838="EE",H838="CE"),IF(M838="L",3,IF(M838="A",4,6)))))))</f>
        <v/>
      </c>
      <c r="P838" s="54">
        <f>IF(I838="I",O838*Contagem!$W$15,IF(I838="E",O838*Contagem!$W$17,IF(I838="A",O838*Contagem!$W$16,IF(I838="T",O838*Contagem!$W$18,""))))</f>
        <v/>
      </c>
      <c r="Q838" s="55" t="n"/>
    </row>
    <row r="839" ht="12" customHeight="1" s="73">
      <c r="A839" s="14">
        <f>IF(H839="",IF(C839="",A838,A838+1),A838)</f>
        <v/>
      </c>
      <c r="B839" s="48">
        <f>IF(A839=A838,"",CONCATENATE("F",A839))</f>
        <v/>
      </c>
      <c r="C839" s="85" t="n"/>
      <c r="D839" s="142" t="n"/>
      <c r="E839" s="142" t="n"/>
      <c r="F839" s="142" t="n"/>
      <c r="G839" s="143" t="n"/>
      <c r="H839" s="56" t="n"/>
      <c r="I839" s="57" t="n"/>
      <c r="J839" s="56" t="n"/>
      <c r="K839" s="56" t="n"/>
      <c r="L839" s="50">
        <f>CONCATENATE(H839,M839)</f>
        <v/>
      </c>
      <c r="M839" s="51">
        <f>IF(OR(ISBLANK(J839),ISBLANK(K839)),IF(OR(H839="ALI",H839="AIE"),"L",IF(ISBLANK(H839),"","A")),IF(H839="EE",IF(K839&gt;=3,IF(J839&gt;=5,"H","A"),IF(K839&gt;=2,IF(J839&gt;=16,"H",IF(J839&lt;=4,"L","A")),IF(J839&lt;=15,"L","A"))),IF(OR(H839="SE",H839="CE"),IF(K839&gt;=4,IF(J839&gt;=6,"H","A"),IF(K839&gt;=2,IF(J839&gt;=20,"H",IF(J839&lt;=5,"L","A")),IF(J839&lt;=19,"L","A"))),IF(OR(H839="ALI",H839="AIE"),IF(K839&gt;=6,IF(J839&gt;=20,"H","A"),IF(K839&gt;=2,IF(J839&gt;=51,"H",IF(J839&lt;=19,"L","A")),IF(J839&lt;=50,"L","A")))))))</f>
        <v/>
      </c>
      <c r="N839" s="52">
        <f>IF(M839="L","Baixa",IF(M839="A","Média",IF(M839="","","Alta")))</f>
        <v/>
      </c>
      <c r="O839" s="53">
        <f>IF(ISBLANK(H839),"",IF(H839="ALI",IF(M839="L",7,IF(M839="A",10,15)),IF(H839="AIE",IF(M839="L",5,IF(M839="A",7,10)),IF(H839="SE",IF(M839="L",4,IF(M839="A",5,7)),IF(OR(H839="EE",H839="CE"),IF(M839="L",3,IF(M839="A",4,6)))))))</f>
        <v/>
      </c>
      <c r="P839" s="54">
        <f>IF(I839="I",O839*Contagem!$W$15,IF(I839="E",O839*Contagem!$W$17,IF(I839="A",O839*Contagem!$W$16,IF(I839="T",O839*Contagem!$W$18,""))))</f>
        <v/>
      </c>
      <c r="Q839" s="55" t="n"/>
    </row>
    <row r="840" ht="12" customHeight="1" s="73">
      <c r="A840" s="14">
        <f>IF(H840="",IF(C840="",A839,A839+1),A839)</f>
        <v/>
      </c>
      <c r="B840" s="48">
        <f>IF(A840=A839,"",CONCATENATE("F",A840))</f>
        <v/>
      </c>
      <c r="C840" s="85" t="n"/>
      <c r="D840" s="142" t="n"/>
      <c r="E840" s="142" t="n"/>
      <c r="F840" s="142" t="n"/>
      <c r="G840" s="143" t="n"/>
      <c r="H840" s="56" t="n"/>
      <c r="I840" s="57" t="n"/>
      <c r="J840" s="56" t="n"/>
      <c r="K840" s="56" t="n"/>
      <c r="L840" s="50">
        <f>CONCATENATE(H840,M840)</f>
        <v/>
      </c>
      <c r="M840" s="51">
        <f>IF(OR(ISBLANK(J840),ISBLANK(K840)),IF(OR(H840="ALI",H840="AIE"),"L",IF(ISBLANK(H840),"","A")),IF(H840="EE",IF(K840&gt;=3,IF(J840&gt;=5,"H","A"),IF(K840&gt;=2,IF(J840&gt;=16,"H",IF(J840&lt;=4,"L","A")),IF(J840&lt;=15,"L","A"))),IF(OR(H840="SE",H840="CE"),IF(K840&gt;=4,IF(J840&gt;=6,"H","A"),IF(K840&gt;=2,IF(J840&gt;=20,"H",IF(J840&lt;=5,"L","A")),IF(J840&lt;=19,"L","A"))),IF(OR(H840="ALI",H840="AIE"),IF(K840&gt;=6,IF(J840&gt;=20,"H","A"),IF(K840&gt;=2,IF(J840&gt;=51,"H",IF(J840&lt;=19,"L","A")),IF(J840&lt;=50,"L","A")))))))</f>
        <v/>
      </c>
      <c r="N840" s="52">
        <f>IF(M840="L","Baixa",IF(M840="A","Média",IF(M840="","","Alta")))</f>
        <v/>
      </c>
      <c r="O840" s="53">
        <f>IF(ISBLANK(H840),"",IF(H840="ALI",IF(M840="L",7,IF(M840="A",10,15)),IF(H840="AIE",IF(M840="L",5,IF(M840="A",7,10)),IF(H840="SE",IF(M840="L",4,IF(M840="A",5,7)),IF(OR(H840="EE",H840="CE"),IF(M840="L",3,IF(M840="A",4,6)))))))</f>
        <v/>
      </c>
      <c r="P840" s="54">
        <f>IF(I840="I",O840*Contagem!$W$15,IF(I840="E",O840*Contagem!$W$17,IF(I840="A",O840*Contagem!$W$16,IF(I840="T",O840*Contagem!$W$18,""))))</f>
        <v/>
      </c>
      <c r="Q840" s="55" t="n"/>
    </row>
    <row r="841" ht="12" customHeight="1" s="73">
      <c r="A841" s="14">
        <f>IF(H841="",IF(C841="",A840,A840+1),A840)</f>
        <v/>
      </c>
      <c r="B841" s="48">
        <f>IF(A841=A840,"",CONCATENATE("F",A841))</f>
        <v/>
      </c>
      <c r="C841" s="85" t="n"/>
      <c r="D841" s="142" t="n"/>
      <c r="E841" s="142" t="n"/>
      <c r="F841" s="142" t="n"/>
      <c r="G841" s="143" t="n"/>
      <c r="H841" s="56" t="n"/>
      <c r="I841" s="57" t="n"/>
      <c r="J841" s="56" t="n"/>
      <c r="K841" s="56" t="n"/>
      <c r="L841" s="50">
        <f>CONCATENATE(H841,M841)</f>
        <v/>
      </c>
      <c r="M841" s="51">
        <f>IF(OR(ISBLANK(J841),ISBLANK(K841)),IF(OR(H841="ALI",H841="AIE"),"L",IF(ISBLANK(H841),"","A")),IF(H841="EE",IF(K841&gt;=3,IF(J841&gt;=5,"H","A"),IF(K841&gt;=2,IF(J841&gt;=16,"H",IF(J841&lt;=4,"L","A")),IF(J841&lt;=15,"L","A"))),IF(OR(H841="SE",H841="CE"),IF(K841&gt;=4,IF(J841&gt;=6,"H","A"),IF(K841&gt;=2,IF(J841&gt;=20,"H",IF(J841&lt;=5,"L","A")),IF(J841&lt;=19,"L","A"))),IF(OR(H841="ALI",H841="AIE"),IF(K841&gt;=6,IF(J841&gt;=20,"H","A"),IF(K841&gt;=2,IF(J841&gt;=51,"H",IF(J841&lt;=19,"L","A")),IF(J841&lt;=50,"L","A")))))))</f>
        <v/>
      </c>
      <c r="N841" s="52">
        <f>IF(M841="L","Baixa",IF(M841="A","Média",IF(M841="","","Alta")))</f>
        <v/>
      </c>
      <c r="O841" s="53">
        <f>IF(ISBLANK(H841),"",IF(H841="ALI",IF(M841="L",7,IF(M841="A",10,15)),IF(H841="AIE",IF(M841="L",5,IF(M841="A",7,10)),IF(H841="SE",IF(M841="L",4,IF(M841="A",5,7)),IF(OR(H841="EE",H841="CE"),IF(M841="L",3,IF(M841="A",4,6)))))))</f>
        <v/>
      </c>
      <c r="P841" s="54">
        <f>IF(I841="I",O841*Contagem!$W$15,IF(I841="E",O841*Contagem!$W$17,IF(I841="A",O841*Contagem!$W$16,IF(I841="T",O841*Contagem!$W$18,""))))</f>
        <v/>
      </c>
      <c r="Q841" s="55" t="n"/>
    </row>
    <row r="842" ht="12" customHeight="1" s="73">
      <c r="A842" s="14">
        <f>IF(H842="",IF(C842="",A841,A841+1),A841)</f>
        <v/>
      </c>
      <c r="B842" s="48">
        <f>IF(A842=A841,"",CONCATENATE("F",A842))</f>
        <v/>
      </c>
      <c r="C842" s="85" t="n"/>
      <c r="D842" s="142" t="n"/>
      <c r="E842" s="142" t="n"/>
      <c r="F842" s="142" t="n"/>
      <c r="G842" s="143" t="n"/>
      <c r="H842" s="56" t="n"/>
      <c r="I842" s="57" t="n"/>
      <c r="J842" s="56" t="n"/>
      <c r="K842" s="56" t="n"/>
      <c r="L842" s="50">
        <f>CONCATENATE(H842,M842)</f>
        <v/>
      </c>
      <c r="M842" s="51">
        <f>IF(OR(ISBLANK(J842),ISBLANK(K842)),IF(OR(H842="ALI",H842="AIE"),"L",IF(ISBLANK(H842),"","A")),IF(H842="EE",IF(K842&gt;=3,IF(J842&gt;=5,"H","A"),IF(K842&gt;=2,IF(J842&gt;=16,"H",IF(J842&lt;=4,"L","A")),IF(J842&lt;=15,"L","A"))),IF(OR(H842="SE",H842="CE"),IF(K842&gt;=4,IF(J842&gt;=6,"H","A"),IF(K842&gt;=2,IF(J842&gt;=20,"H",IF(J842&lt;=5,"L","A")),IF(J842&lt;=19,"L","A"))),IF(OR(H842="ALI",H842="AIE"),IF(K842&gt;=6,IF(J842&gt;=20,"H","A"),IF(K842&gt;=2,IF(J842&gt;=51,"H",IF(J842&lt;=19,"L","A")),IF(J842&lt;=50,"L","A")))))))</f>
        <v/>
      </c>
      <c r="N842" s="52">
        <f>IF(M842="L","Baixa",IF(M842="A","Média",IF(M842="","","Alta")))</f>
        <v/>
      </c>
      <c r="O842" s="53">
        <f>IF(ISBLANK(H842),"",IF(H842="ALI",IF(M842="L",7,IF(M842="A",10,15)),IF(H842="AIE",IF(M842="L",5,IF(M842="A",7,10)),IF(H842="SE",IF(M842="L",4,IF(M842="A",5,7)),IF(OR(H842="EE",H842="CE"),IF(M842="L",3,IF(M842="A",4,6)))))))</f>
        <v/>
      </c>
      <c r="P842" s="54">
        <f>IF(I842="I",O842*Contagem!$W$15,IF(I842="E",O842*Contagem!$W$17,IF(I842="A",O842*Contagem!$W$16,IF(I842="T",O842*Contagem!$W$18,""))))</f>
        <v/>
      </c>
      <c r="Q842" s="55" t="n"/>
    </row>
    <row r="843" ht="12" customHeight="1" s="73">
      <c r="A843" s="14">
        <f>IF(H843="",IF(C843="",A842,A842+1),A842)</f>
        <v/>
      </c>
      <c r="B843" s="48">
        <f>IF(A843=A842,"",CONCATENATE("F",A843))</f>
        <v/>
      </c>
      <c r="C843" s="85" t="n"/>
      <c r="D843" s="142" t="n"/>
      <c r="E843" s="142" t="n"/>
      <c r="F843" s="142" t="n"/>
      <c r="G843" s="143" t="n"/>
      <c r="H843" s="56" t="n"/>
      <c r="I843" s="57" t="n"/>
      <c r="J843" s="56" t="n"/>
      <c r="K843" s="56" t="n"/>
      <c r="L843" s="50">
        <f>CONCATENATE(H843,M843)</f>
        <v/>
      </c>
      <c r="M843" s="51">
        <f>IF(OR(ISBLANK(J843),ISBLANK(K843)),IF(OR(H843="ALI",H843="AIE"),"L",IF(ISBLANK(H843),"","A")),IF(H843="EE",IF(K843&gt;=3,IF(J843&gt;=5,"H","A"),IF(K843&gt;=2,IF(J843&gt;=16,"H",IF(J843&lt;=4,"L","A")),IF(J843&lt;=15,"L","A"))),IF(OR(H843="SE",H843="CE"),IF(K843&gt;=4,IF(J843&gt;=6,"H","A"),IF(K843&gt;=2,IF(J843&gt;=20,"H",IF(J843&lt;=5,"L","A")),IF(J843&lt;=19,"L","A"))),IF(OR(H843="ALI",H843="AIE"),IF(K843&gt;=6,IF(J843&gt;=20,"H","A"),IF(K843&gt;=2,IF(J843&gt;=51,"H",IF(J843&lt;=19,"L","A")),IF(J843&lt;=50,"L","A")))))))</f>
        <v/>
      </c>
      <c r="N843" s="52">
        <f>IF(M843="L","Baixa",IF(M843="A","Média",IF(M843="","","Alta")))</f>
        <v/>
      </c>
      <c r="O843" s="53">
        <f>IF(ISBLANK(H843),"",IF(H843="ALI",IF(M843="L",7,IF(M843="A",10,15)),IF(H843="AIE",IF(M843="L",5,IF(M843="A",7,10)),IF(H843="SE",IF(M843="L",4,IF(M843="A",5,7)),IF(OR(H843="EE",H843="CE"),IF(M843="L",3,IF(M843="A",4,6)))))))</f>
        <v/>
      </c>
      <c r="P843" s="54">
        <f>IF(I843="I",O843*Contagem!$W$15,IF(I843="E",O843*Contagem!$W$17,IF(I843="A",O843*Contagem!$W$16,IF(I843="T",O843*Contagem!$W$18,""))))</f>
        <v/>
      </c>
      <c r="Q843" s="55" t="n"/>
    </row>
    <row r="844" ht="12" customHeight="1" s="73">
      <c r="A844" s="14">
        <f>IF(H844="",IF(C844="",A843,A843+1),A843)</f>
        <v/>
      </c>
      <c r="B844" s="48">
        <f>IF(A844=A843,"",CONCATENATE("F",A844))</f>
        <v/>
      </c>
      <c r="C844" s="85" t="n"/>
      <c r="D844" s="142" t="n"/>
      <c r="E844" s="142" t="n"/>
      <c r="F844" s="142" t="n"/>
      <c r="G844" s="143" t="n"/>
      <c r="H844" s="56" t="n"/>
      <c r="I844" s="57" t="n"/>
      <c r="J844" s="56" t="n"/>
      <c r="K844" s="56" t="n"/>
      <c r="L844" s="50">
        <f>CONCATENATE(H844,M844)</f>
        <v/>
      </c>
      <c r="M844" s="51">
        <f>IF(OR(ISBLANK(J844),ISBLANK(K844)),IF(OR(H844="ALI",H844="AIE"),"L",IF(ISBLANK(H844),"","A")),IF(H844="EE",IF(K844&gt;=3,IF(J844&gt;=5,"H","A"),IF(K844&gt;=2,IF(J844&gt;=16,"H",IF(J844&lt;=4,"L","A")),IF(J844&lt;=15,"L","A"))),IF(OR(H844="SE",H844="CE"),IF(K844&gt;=4,IF(J844&gt;=6,"H","A"),IF(K844&gt;=2,IF(J844&gt;=20,"H",IF(J844&lt;=5,"L","A")),IF(J844&lt;=19,"L","A"))),IF(OR(H844="ALI",H844="AIE"),IF(K844&gt;=6,IF(J844&gt;=20,"H","A"),IF(K844&gt;=2,IF(J844&gt;=51,"H",IF(J844&lt;=19,"L","A")),IF(J844&lt;=50,"L","A")))))))</f>
        <v/>
      </c>
      <c r="N844" s="52">
        <f>IF(M844="L","Baixa",IF(M844="A","Média",IF(M844="","","Alta")))</f>
        <v/>
      </c>
      <c r="O844" s="53">
        <f>IF(ISBLANK(H844),"",IF(H844="ALI",IF(M844="L",7,IF(M844="A",10,15)),IF(H844="AIE",IF(M844="L",5,IF(M844="A",7,10)),IF(H844="SE",IF(M844="L",4,IF(M844="A",5,7)),IF(OR(H844="EE",H844="CE"),IF(M844="L",3,IF(M844="A",4,6)))))))</f>
        <v/>
      </c>
      <c r="P844" s="54">
        <f>IF(I844="I",O844*Contagem!$W$15,IF(I844="E",O844*Contagem!$W$17,IF(I844="A",O844*Contagem!$W$16,IF(I844="T",O844*Contagem!$W$18,""))))</f>
        <v/>
      </c>
      <c r="Q844" s="55" t="n"/>
    </row>
    <row r="845" ht="12" customHeight="1" s="73">
      <c r="A845" s="14">
        <f>IF(H845="",IF(C845="",A844,A844+1),A844)</f>
        <v/>
      </c>
      <c r="B845" s="48">
        <f>IF(A845=A844,"",CONCATENATE("F",A845))</f>
        <v/>
      </c>
      <c r="C845" s="85" t="n"/>
      <c r="D845" s="142" t="n"/>
      <c r="E845" s="142" t="n"/>
      <c r="F845" s="142" t="n"/>
      <c r="G845" s="143" t="n"/>
      <c r="H845" s="56" t="n"/>
      <c r="I845" s="57" t="n"/>
      <c r="J845" s="56" t="n"/>
      <c r="K845" s="56" t="n"/>
      <c r="L845" s="50">
        <f>CONCATENATE(H845,M845)</f>
        <v/>
      </c>
      <c r="M845" s="51">
        <f>IF(OR(ISBLANK(J845),ISBLANK(K845)),IF(OR(H845="ALI",H845="AIE"),"L",IF(ISBLANK(H845),"","A")),IF(H845="EE",IF(K845&gt;=3,IF(J845&gt;=5,"H","A"),IF(K845&gt;=2,IF(J845&gt;=16,"H",IF(J845&lt;=4,"L","A")),IF(J845&lt;=15,"L","A"))),IF(OR(H845="SE",H845="CE"),IF(K845&gt;=4,IF(J845&gt;=6,"H","A"),IF(K845&gt;=2,IF(J845&gt;=20,"H",IF(J845&lt;=5,"L","A")),IF(J845&lt;=19,"L","A"))),IF(OR(H845="ALI",H845="AIE"),IF(K845&gt;=6,IF(J845&gt;=20,"H","A"),IF(K845&gt;=2,IF(J845&gt;=51,"H",IF(J845&lt;=19,"L","A")),IF(J845&lt;=50,"L","A")))))))</f>
        <v/>
      </c>
      <c r="N845" s="52">
        <f>IF(M845="L","Baixa",IF(M845="A","Média",IF(M845="","","Alta")))</f>
        <v/>
      </c>
      <c r="O845" s="53">
        <f>IF(ISBLANK(H845),"",IF(H845="ALI",IF(M845="L",7,IF(M845="A",10,15)),IF(H845="AIE",IF(M845="L",5,IF(M845="A",7,10)),IF(H845="SE",IF(M845="L",4,IF(M845="A",5,7)),IF(OR(H845="EE",H845="CE"),IF(M845="L",3,IF(M845="A",4,6)))))))</f>
        <v/>
      </c>
      <c r="P845" s="54">
        <f>IF(I845="I",O845*Contagem!$W$15,IF(I845="E",O845*Contagem!$W$17,IF(I845="A",O845*Contagem!$W$16,IF(I845="T",O845*Contagem!$W$18,""))))</f>
        <v/>
      </c>
      <c r="Q845" s="55" t="n"/>
    </row>
    <row r="846" ht="12" customHeight="1" s="73">
      <c r="A846" s="14">
        <f>IF(H846="",IF(C846="",A845,A845+1),A845)</f>
        <v/>
      </c>
      <c r="B846" s="48">
        <f>IF(A846=A845,"",CONCATENATE("F",A846))</f>
        <v/>
      </c>
      <c r="C846" s="85" t="n"/>
      <c r="D846" s="142" t="n"/>
      <c r="E846" s="142" t="n"/>
      <c r="F846" s="142" t="n"/>
      <c r="G846" s="143" t="n"/>
      <c r="H846" s="56" t="n"/>
      <c r="I846" s="57" t="n"/>
      <c r="J846" s="56" t="n"/>
      <c r="K846" s="56" t="n"/>
      <c r="L846" s="50">
        <f>CONCATENATE(H846,M846)</f>
        <v/>
      </c>
      <c r="M846" s="51">
        <f>IF(OR(ISBLANK(J846),ISBLANK(K846)),IF(OR(H846="ALI",H846="AIE"),"L",IF(ISBLANK(H846),"","A")),IF(H846="EE",IF(K846&gt;=3,IF(J846&gt;=5,"H","A"),IF(K846&gt;=2,IF(J846&gt;=16,"H",IF(J846&lt;=4,"L","A")),IF(J846&lt;=15,"L","A"))),IF(OR(H846="SE",H846="CE"),IF(K846&gt;=4,IF(J846&gt;=6,"H","A"),IF(K846&gt;=2,IF(J846&gt;=20,"H",IF(J846&lt;=5,"L","A")),IF(J846&lt;=19,"L","A"))),IF(OR(H846="ALI",H846="AIE"),IF(K846&gt;=6,IF(J846&gt;=20,"H","A"),IF(K846&gt;=2,IF(J846&gt;=51,"H",IF(J846&lt;=19,"L","A")),IF(J846&lt;=50,"L","A")))))))</f>
        <v/>
      </c>
      <c r="N846" s="52">
        <f>IF(M846="L","Baixa",IF(M846="A","Média",IF(M846="","","Alta")))</f>
        <v/>
      </c>
      <c r="O846" s="53">
        <f>IF(ISBLANK(H846),"",IF(H846="ALI",IF(M846="L",7,IF(M846="A",10,15)),IF(H846="AIE",IF(M846="L",5,IF(M846="A",7,10)),IF(H846="SE",IF(M846="L",4,IF(M846="A",5,7)),IF(OR(H846="EE",H846="CE"),IF(M846="L",3,IF(M846="A",4,6)))))))</f>
        <v/>
      </c>
      <c r="P846" s="54">
        <f>IF(I846="I",O846*Contagem!$W$15,IF(I846="E",O846*Contagem!$W$17,IF(I846="A",O846*Contagem!$W$16,IF(I846="T",O846*Contagem!$W$18,""))))</f>
        <v/>
      </c>
      <c r="Q846" s="55" t="n"/>
    </row>
    <row r="847" ht="12" customHeight="1" s="73">
      <c r="A847" s="14">
        <f>IF(H847="",IF(C847="",A846,A846+1),A846)</f>
        <v/>
      </c>
      <c r="B847" s="48">
        <f>IF(A847=A846,"",CONCATENATE("F",A847))</f>
        <v/>
      </c>
      <c r="C847" s="85" t="n"/>
      <c r="D847" s="142" t="n"/>
      <c r="E847" s="142" t="n"/>
      <c r="F847" s="142" t="n"/>
      <c r="G847" s="143" t="n"/>
      <c r="H847" s="56" t="n"/>
      <c r="I847" s="57" t="n"/>
      <c r="J847" s="56" t="n"/>
      <c r="K847" s="56" t="n"/>
      <c r="L847" s="50">
        <f>CONCATENATE(H847,M847)</f>
        <v/>
      </c>
      <c r="M847" s="51">
        <f>IF(OR(ISBLANK(J847),ISBLANK(K847)),IF(OR(H847="ALI",H847="AIE"),"L",IF(ISBLANK(H847),"","A")),IF(H847="EE",IF(K847&gt;=3,IF(J847&gt;=5,"H","A"),IF(K847&gt;=2,IF(J847&gt;=16,"H",IF(J847&lt;=4,"L","A")),IF(J847&lt;=15,"L","A"))),IF(OR(H847="SE",H847="CE"),IF(K847&gt;=4,IF(J847&gt;=6,"H","A"),IF(K847&gt;=2,IF(J847&gt;=20,"H",IF(J847&lt;=5,"L","A")),IF(J847&lt;=19,"L","A"))),IF(OR(H847="ALI",H847="AIE"),IF(K847&gt;=6,IF(J847&gt;=20,"H","A"),IF(K847&gt;=2,IF(J847&gt;=51,"H",IF(J847&lt;=19,"L","A")),IF(J847&lt;=50,"L","A")))))))</f>
        <v/>
      </c>
      <c r="N847" s="52">
        <f>IF(M847="L","Baixa",IF(M847="A","Média",IF(M847="","","Alta")))</f>
        <v/>
      </c>
      <c r="O847" s="53">
        <f>IF(ISBLANK(H847),"",IF(H847="ALI",IF(M847="L",7,IF(M847="A",10,15)),IF(H847="AIE",IF(M847="L",5,IF(M847="A",7,10)),IF(H847="SE",IF(M847="L",4,IF(M847="A",5,7)),IF(OR(H847="EE",H847="CE"),IF(M847="L",3,IF(M847="A",4,6)))))))</f>
        <v/>
      </c>
      <c r="P847" s="54">
        <f>IF(I847="I",O847*Contagem!$W$15,IF(I847="E",O847*Contagem!$W$17,IF(I847="A",O847*Contagem!$W$16,IF(I847="T",O847*Contagem!$W$18,""))))</f>
        <v/>
      </c>
      <c r="Q847" s="55" t="n"/>
    </row>
    <row r="848" ht="12" customHeight="1" s="73">
      <c r="A848" s="14">
        <f>IF(H848="",IF(C848="",A847,A847+1),A847)</f>
        <v/>
      </c>
      <c r="B848" s="48">
        <f>IF(A848=A847,"",CONCATENATE("F",A848))</f>
        <v/>
      </c>
      <c r="C848" s="85" t="n"/>
      <c r="D848" s="142" t="n"/>
      <c r="E848" s="142" t="n"/>
      <c r="F848" s="142" t="n"/>
      <c r="G848" s="143" t="n"/>
      <c r="H848" s="56" t="n"/>
      <c r="I848" s="57" t="n"/>
      <c r="J848" s="56" t="n"/>
      <c r="K848" s="56" t="n"/>
      <c r="L848" s="50">
        <f>CONCATENATE(H848,M848)</f>
        <v/>
      </c>
      <c r="M848" s="51">
        <f>IF(OR(ISBLANK(J848),ISBLANK(K848)),IF(OR(H848="ALI",H848="AIE"),"L",IF(ISBLANK(H848),"","A")),IF(H848="EE",IF(K848&gt;=3,IF(J848&gt;=5,"H","A"),IF(K848&gt;=2,IF(J848&gt;=16,"H",IF(J848&lt;=4,"L","A")),IF(J848&lt;=15,"L","A"))),IF(OR(H848="SE",H848="CE"),IF(K848&gt;=4,IF(J848&gt;=6,"H","A"),IF(K848&gt;=2,IF(J848&gt;=20,"H",IF(J848&lt;=5,"L","A")),IF(J848&lt;=19,"L","A"))),IF(OR(H848="ALI",H848="AIE"),IF(K848&gt;=6,IF(J848&gt;=20,"H","A"),IF(K848&gt;=2,IF(J848&gt;=51,"H",IF(J848&lt;=19,"L","A")),IF(J848&lt;=50,"L","A")))))))</f>
        <v/>
      </c>
      <c r="N848" s="52">
        <f>IF(M848="L","Baixa",IF(M848="A","Média",IF(M848="","","Alta")))</f>
        <v/>
      </c>
      <c r="O848" s="53">
        <f>IF(ISBLANK(H848),"",IF(H848="ALI",IF(M848="L",7,IF(M848="A",10,15)),IF(H848="AIE",IF(M848="L",5,IF(M848="A",7,10)),IF(H848="SE",IF(M848="L",4,IF(M848="A",5,7)),IF(OR(H848="EE",H848="CE"),IF(M848="L",3,IF(M848="A",4,6)))))))</f>
        <v/>
      </c>
      <c r="P848" s="54">
        <f>IF(I848="I",O848*Contagem!$W$15,IF(I848="E",O848*Contagem!$W$17,IF(I848="A",O848*Contagem!$W$16,IF(I848="T",O848*Contagem!$W$18,""))))</f>
        <v/>
      </c>
      <c r="Q848" s="55" t="n"/>
    </row>
    <row r="849" ht="12" customHeight="1" s="73">
      <c r="A849" s="14">
        <f>IF(H849="",IF(C849="",A848,A848+1),A848)</f>
        <v/>
      </c>
      <c r="B849" s="48">
        <f>IF(A849=A848,"",CONCATENATE("F",A849))</f>
        <v/>
      </c>
      <c r="C849" s="85" t="n"/>
      <c r="D849" s="142" t="n"/>
      <c r="E849" s="142" t="n"/>
      <c r="F849" s="142" t="n"/>
      <c r="G849" s="143" t="n"/>
      <c r="H849" s="56" t="n"/>
      <c r="I849" s="57" t="n"/>
      <c r="J849" s="56" t="n"/>
      <c r="K849" s="56" t="n"/>
      <c r="L849" s="50">
        <f>CONCATENATE(H849,M849)</f>
        <v/>
      </c>
      <c r="M849" s="51">
        <f>IF(OR(ISBLANK(J849),ISBLANK(K849)),IF(OR(H849="ALI",H849="AIE"),"L",IF(ISBLANK(H849),"","A")),IF(H849="EE",IF(K849&gt;=3,IF(J849&gt;=5,"H","A"),IF(K849&gt;=2,IF(J849&gt;=16,"H",IF(J849&lt;=4,"L","A")),IF(J849&lt;=15,"L","A"))),IF(OR(H849="SE",H849="CE"),IF(K849&gt;=4,IF(J849&gt;=6,"H","A"),IF(K849&gt;=2,IF(J849&gt;=20,"H",IF(J849&lt;=5,"L","A")),IF(J849&lt;=19,"L","A"))),IF(OR(H849="ALI",H849="AIE"),IF(K849&gt;=6,IF(J849&gt;=20,"H","A"),IF(K849&gt;=2,IF(J849&gt;=51,"H",IF(J849&lt;=19,"L","A")),IF(J849&lt;=50,"L","A")))))))</f>
        <v/>
      </c>
      <c r="N849" s="52">
        <f>IF(M849="L","Baixa",IF(M849="A","Média",IF(M849="","","Alta")))</f>
        <v/>
      </c>
      <c r="O849" s="53">
        <f>IF(ISBLANK(H849),"",IF(H849="ALI",IF(M849="L",7,IF(M849="A",10,15)),IF(H849="AIE",IF(M849="L",5,IF(M849="A",7,10)),IF(H849="SE",IF(M849="L",4,IF(M849="A",5,7)),IF(OR(H849="EE",H849="CE"),IF(M849="L",3,IF(M849="A",4,6)))))))</f>
        <v/>
      </c>
      <c r="P849" s="54">
        <f>IF(I849="I",O849*Contagem!$W$15,IF(I849="E",O849*Contagem!$W$17,IF(I849="A",O849*Contagem!$W$16,IF(I849="T",O849*Contagem!$W$18,""))))</f>
        <v/>
      </c>
      <c r="Q849" s="55" t="n"/>
    </row>
    <row r="850" ht="12" customHeight="1" s="73">
      <c r="A850" s="14">
        <f>IF(H850="",IF(C850="",A849,A849+1),A849)</f>
        <v/>
      </c>
      <c r="B850" s="48">
        <f>IF(A850=A849,"",CONCATENATE("F",A850))</f>
        <v/>
      </c>
      <c r="C850" s="85" t="n"/>
      <c r="D850" s="142" t="n"/>
      <c r="E850" s="142" t="n"/>
      <c r="F850" s="142" t="n"/>
      <c r="G850" s="143" t="n"/>
      <c r="H850" s="56" t="n"/>
      <c r="I850" s="57" t="n"/>
      <c r="J850" s="56" t="n"/>
      <c r="K850" s="56" t="n"/>
      <c r="L850" s="50">
        <f>CONCATENATE(H850,M850)</f>
        <v/>
      </c>
      <c r="M850" s="51">
        <f>IF(OR(ISBLANK(J850),ISBLANK(K850)),IF(OR(H850="ALI",H850="AIE"),"L",IF(ISBLANK(H850),"","A")),IF(H850="EE",IF(K850&gt;=3,IF(J850&gt;=5,"H","A"),IF(K850&gt;=2,IF(J850&gt;=16,"H",IF(J850&lt;=4,"L","A")),IF(J850&lt;=15,"L","A"))),IF(OR(H850="SE",H850="CE"),IF(K850&gt;=4,IF(J850&gt;=6,"H","A"),IF(K850&gt;=2,IF(J850&gt;=20,"H",IF(J850&lt;=5,"L","A")),IF(J850&lt;=19,"L","A"))),IF(OR(H850="ALI",H850="AIE"),IF(K850&gt;=6,IF(J850&gt;=20,"H","A"),IF(K850&gt;=2,IF(J850&gt;=51,"H",IF(J850&lt;=19,"L","A")),IF(J850&lt;=50,"L","A")))))))</f>
        <v/>
      </c>
      <c r="N850" s="52">
        <f>IF(M850="L","Baixa",IF(M850="A","Média",IF(M850="","","Alta")))</f>
        <v/>
      </c>
      <c r="O850" s="53">
        <f>IF(ISBLANK(H850),"",IF(H850="ALI",IF(M850="L",7,IF(M850="A",10,15)),IF(H850="AIE",IF(M850="L",5,IF(M850="A",7,10)),IF(H850="SE",IF(M850="L",4,IF(M850="A",5,7)),IF(OR(H850="EE",H850="CE"),IF(M850="L",3,IF(M850="A",4,6)))))))</f>
        <v/>
      </c>
      <c r="P850" s="54">
        <f>IF(I850="I",O850*Contagem!$W$15,IF(I850="E",O850*Contagem!$W$17,IF(I850="A",O850*Contagem!$W$16,IF(I850="T",O850*Contagem!$W$18,""))))</f>
        <v/>
      </c>
      <c r="Q850" s="55" t="n"/>
    </row>
    <row r="851" ht="12" customHeight="1" s="73">
      <c r="A851" s="14">
        <f>IF(H851="",IF(C851="",A850,A850+1),A850)</f>
        <v/>
      </c>
      <c r="B851" s="48">
        <f>IF(A851=A850,"",CONCATENATE("F",A851))</f>
        <v/>
      </c>
      <c r="C851" s="85" t="n"/>
      <c r="D851" s="142" t="n"/>
      <c r="E851" s="142" t="n"/>
      <c r="F851" s="142" t="n"/>
      <c r="G851" s="143" t="n"/>
      <c r="H851" s="56" t="n"/>
      <c r="I851" s="57" t="n"/>
      <c r="J851" s="56" t="n"/>
      <c r="K851" s="56" t="n"/>
      <c r="L851" s="50">
        <f>CONCATENATE(H851,M851)</f>
        <v/>
      </c>
      <c r="M851" s="51">
        <f>IF(OR(ISBLANK(J851),ISBLANK(K851)),IF(OR(H851="ALI",H851="AIE"),"L",IF(ISBLANK(H851),"","A")),IF(H851="EE",IF(K851&gt;=3,IF(J851&gt;=5,"H","A"),IF(K851&gt;=2,IF(J851&gt;=16,"H",IF(J851&lt;=4,"L","A")),IF(J851&lt;=15,"L","A"))),IF(OR(H851="SE",H851="CE"),IF(K851&gt;=4,IF(J851&gt;=6,"H","A"),IF(K851&gt;=2,IF(J851&gt;=20,"H",IF(J851&lt;=5,"L","A")),IF(J851&lt;=19,"L","A"))),IF(OR(H851="ALI",H851="AIE"),IF(K851&gt;=6,IF(J851&gt;=20,"H","A"),IF(K851&gt;=2,IF(J851&gt;=51,"H",IF(J851&lt;=19,"L","A")),IF(J851&lt;=50,"L","A")))))))</f>
        <v/>
      </c>
      <c r="N851" s="52">
        <f>IF(M851="L","Baixa",IF(M851="A","Média",IF(M851="","","Alta")))</f>
        <v/>
      </c>
      <c r="O851" s="53">
        <f>IF(ISBLANK(H851),"",IF(H851="ALI",IF(M851="L",7,IF(M851="A",10,15)),IF(H851="AIE",IF(M851="L",5,IF(M851="A",7,10)),IF(H851="SE",IF(M851="L",4,IF(M851="A",5,7)),IF(OR(H851="EE",H851="CE"),IF(M851="L",3,IF(M851="A",4,6)))))))</f>
        <v/>
      </c>
      <c r="P851" s="54">
        <f>IF(I851="I",O851*Contagem!$W$15,IF(I851="E",O851*Contagem!$W$17,IF(I851="A",O851*Contagem!$W$16,IF(I851="T",O851*Contagem!$W$18,""))))</f>
        <v/>
      </c>
      <c r="Q851" s="55" t="n"/>
    </row>
    <row r="852" ht="12" customHeight="1" s="73">
      <c r="A852" s="14">
        <f>IF(H852="",IF(C852="",A851,A851+1),A851)</f>
        <v/>
      </c>
      <c r="B852" s="48">
        <f>IF(A852=A851,"",CONCATENATE("F",A852))</f>
        <v/>
      </c>
      <c r="C852" s="85" t="n"/>
      <c r="D852" s="142" t="n"/>
      <c r="E852" s="142" t="n"/>
      <c r="F852" s="142" t="n"/>
      <c r="G852" s="143" t="n"/>
      <c r="H852" s="56" t="n"/>
      <c r="I852" s="57" t="n"/>
      <c r="J852" s="56" t="n"/>
      <c r="K852" s="56" t="n"/>
      <c r="L852" s="50">
        <f>CONCATENATE(H852,M852)</f>
        <v/>
      </c>
      <c r="M852" s="51">
        <f>IF(OR(ISBLANK(J852),ISBLANK(K852)),IF(OR(H852="ALI",H852="AIE"),"L",IF(ISBLANK(H852),"","A")),IF(H852="EE",IF(K852&gt;=3,IF(J852&gt;=5,"H","A"),IF(K852&gt;=2,IF(J852&gt;=16,"H",IF(J852&lt;=4,"L","A")),IF(J852&lt;=15,"L","A"))),IF(OR(H852="SE",H852="CE"),IF(K852&gt;=4,IF(J852&gt;=6,"H","A"),IF(K852&gt;=2,IF(J852&gt;=20,"H",IF(J852&lt;=5,"L","A")),IF(J852&lt;=19,"L","A"))),IF(OR(H852="ALI",H852="AIE"),IF(K852&gt;=6,IF(J852&gt;=20,"H","A"),IF(K852&gt;=2,IF(J852&gt;=51,"H",IF(J852&lt;=19,"L","A")),IF(J852&lt;=50,"L","A")))))))</f>
        <v/>
      </c>
      <c r="N852" s="52">
        <f>IF(M852="L","Baixa",IF(M852="A","Média",IF(M852="","","Alta")))</f>
        <v/>
      </c>
      <c r="O852" s="53">
        <f>IF(ISBLANK(H852),"",IF(H852="ALI",IF(M852="L",7,IF(M852="A",10,15)),IF(H852="AIE",IF(M852="L",5,IF(M852="A",7,10)),IF(H852="SE",IF(M852="L",4,IF(M852="A",5,7)),IF(OR(H852="EE",H852="CE"),IF(M852="L",3,IF(M852="A",4,6)))))))</f>
        <v/>
      </c>
      <c r="P852" s="54">
        <f>IF(I852="I",O852*Contagem!$W$15,IF(I852="E",O852*Contagem!$W$17,IF(I852="A",O852*Contagem!$W$16,IF(I852="T",O852*Contagem!$W$18,""))))</f>
        <v/>
      </c>
      <c r="Q852" s="55" t="n"/>
    </row>
    <row r="853" ht="12" customHeight="1" s="73">
      <c r="A853" s="14">
        <f>IF(H853="",IF(C853="",A852,A852+1),A852)</f>
        <v/>
      </c>
      <c r="B853" s="48">
        <f>IF(A853=A852,"",CONCATENATE("F",A853))</f>
        <v/>
      </c>
      <c r="C853" s="85" t="n"/>
      <c r="D853" s="142" t="n"/>
      <c r="E853" s="142" t="n"/>
      <c r="F853" s="142" t="n"/>
      <c r="G853" s="143" t="n"/>
      <c r="H853" s="56" t="n"/>
      <c r="I853" s="57" t="n"/>
      <c r="J853" s="56" t="n"/>
      <c r="K853" s="56" t="n"/>
      <c r="L853" s="50">
        <f>CONCATENATE(H853,M853)</f>
        <v/>
      </c>
      <c r="M853" s="51">
        <f>IF(OR(ISBLANK(J853),ISBLANK(K853)),IF(OR(H853="ALI",H853="AIE"),"L",IF(ISBLANK(H853),"","A")),IF(H853="EE",IF(K853&gt;=3,IF(J853&gt;=5,"H","A"),IF(K853&gt;=2,IF(J853&gt;=16,"H",IF(J853&lt;=4,"L","A")),IF(J853&lt;=15,"L","A"))),IF(OR(H853="SE",H853="CE"),IF(K853&gt;=4,IF(J853&gt;=6,"H","A"),IF(K853&gt;=2,IF(J853&gt;=20,"H",IF(J853&lt;=5,"L","A")),IF(J853&lt;=19,"L","A"))),IF(OR(H853="ALI",H853="AIE"),IF(K853&gt;=6,IF(J853&gt;=20,"H","A"),IF(K853&gt;=2,IF(J853&gt;=51,"H",IF(J853&lt;=19,"L","A")),IF(J853&lt;=50,"L","A")))))))</f>
        <v/>
      </c>
      <c r="N853" s="52">
        <f>IF(M853="L","Baixa",IF(M853="A","Média",IF(M853="","","Alta")))</f>
        <v/>
      </c>
      <c r="O853" s="53">
        <f>IF(ISBLANK(H853),"",IF(H853="ALI",IF(M853="L",7,IF(M853="A",10,15)),IF(H853="AIE",IF(M853="L",5,IF(M853="A",7,10)),IF(H853="SE",IF(M853="L",4,IF(M853="A",5,7)),IF(OR(H853="EE",H853="CE"),IF(M853="L",3,IF(M853="A",4,6)))))))</f>
        <v/>
      </c>
      <c r="P853" s="54">
        <f>IF(I853="I",O853*Contagem!$W$15,IF(I853="E",O853*Contagem!$W$17,IF(I853="A",O853*Contagem!$W$16,IF(I853="T",O853*Contagem!$W$18,""))))</f>
        <v/>
      </c>
      <c r="Q853" s="55" t="n"/>
    </row>
    <row r="854" ht="12" customHeight="1" s="73">
      <c r="A854" s="14">
        <f>IF(H854="",IF(C854="",A853,A853+1),A853)</f>
        <v/>
      </c>
      <c r="B854" s="48">
        <f>IF(A854=A853,"",CONCATENATE("F",A854))</f>
        <v/>
      </c>
      <c r="C854" s="85" t="n"/>
      <c r="D854" s="142" t="n"/>
      <c r="E854" s="142" t="n"/>
      <c r="F854" s="142" t="n"/>
      <c r="G854" s="143" t="n"/>
      <c r="H854" s="56" t="n"/>
      <c r="I854" s="57" t="n"/>
      <c r="J854" s="56" t="n"/>
      <c r="K854" s="56" t="n"/>
      <c r="L854" s="50">
        <f>CONCATENATE(H854,M854)</f>
        <v/>
      </c>
      <c r="M854" s="51">
        <f>IF(OR(ISBLANK(J854),ISBLANK(K854)),IF(OR(H854="ALI",H854="AIE"),"L",IF(ISBLANK(H854),"","A")),IF(H854="EE",IF(K854&gt;=3,IF(J854&gt;=5,"H","A"),IF(K854&gt;=2,IF(J854&gt;=16,"H",IF(J854&lt;=4,"L","A")),IF(J854&lt;=15,"L","A"))),IF(OR(H854="SE",H854="CE"),IF(K854&gt;=4,IF(J854&gt;=6,"H","A"),IF(K854&gt;=2,IF(J854&gt;=20,"H",IF(J854&lt;=5,"L","A")),IF(J854&lt;=19,"L","A"))),IF(OR(H854="ALI",H854="AIE"),IF(K854&gt;=6,IF(J854&gt;=20,"H","A"),IF(K854&gt;=2,IF(J854&gt;=51,"H",IF(J854&lt;=19,"L","A")),IF(J854&lt;=50,"L","A")))))))</f>
        <v/>
      </c>
      <c r="N854" s="52">
        <f>IF(M854="L","Baixa",IF(M854="A","Média",IF(M854="","","Alta")))</f>
        <v/>
      </c>
      <c r="O854" s="53">
        <f>IF(ISBLANK(H854),"",IF(H854="ALI",IF(M854="L",7,IF(M854="A",10,15)),IF(H854="AIE",IF(M854="L",5,IF(M854="A",7,10)),IF(H854="SE",IF(M854="L",4,IF(M854="A",5,7)),IF(OR(H854="EE",H854="CE"),IF(M854="L",3,IF(M854="A",4,6)))))))</f>
        <v/>
      </c>
      <c r="P854" s="54">
        <f>IF(I854="I",O854*Contagem!$W$15,IF(I854="E",O854*Contagem!$W$17,IF(I854="A",O854*Contagem!$W$16,IF(I854="T",O854*Contagem!$W$18,""))))</f>
        <v/>
      </c>
      <c r="Q854" s="55" t="n"/>
    </row>
    <row r="855" ht="12" customHeight="1" s="73">
      <c r="A855" s="14">
        <f>IF(H855="",IF(C855="",A854,A854+1),A854)</f>
        <v/>
      </c>
      <c r="B855" s="48">
        <f>IF(A855=A854,"",CONCATENATE("F",A855))</f>
        <v/>
      </c>
      <c r="C855" s="85" t="n"/>
      <c r="D855" s="142" t="n"/>
      <c r="E855" s="142" t="n"/>
      <c r="F855" s="142" t="n"/>
      <c r="G855" s="143" t="n"/>
      <c r="H855" s="56" t="n"/>
      <c r="I855" s="57" t="n"/>
      <c r="J855" s="56" t="n"/>
      <c r="K855" s="56" t="n"/>
      <c r="L855" s="50">
        <f>CONCATENATE(H855,M855)</f>
        <v/>
      </c>
      <c r="M855" s="51">
        <f>IF(OR(ISBLANK(J855),ISBLANK(K855)),IF(OR(H855="ALI",H855="AIE"),"L",IF(ISBLANK(H855),"","A")),IF(H855="EE",IF(K855&gt;=3,IF(J855&gt;=5,"H","A"),IF(K855&gt;=2,IF(J855&gt;=16,"H",IF(J855&lt;=4,"L","A")),IF(J855&lt;=15,"L","A"))),IF(OR(H855="SE",H855="CE"),IF(K855&gt;=4,IF(J855&gt;=6,"H","A"),IF(K855&gt;=2,IF(J855&gt;=20,"H",IF(J855&lt;=5,"L","A")),IF(J855&lt;=19,"L","A"))),IF(OR(H855="ALI",H855="AIE"),IF(K855&gt;=6,IF(J855&gt;=20,"H","A"),IF(K855&gt;=2,IF(J855&gt;=51,"H",IF(J855&lt;=19,"L","A")),IF(J855&lt;=50,"L","A")))))))</f>
        <v/>
      </c>
      <c r="N855" s="52">
        <f>IF(M855="L","Baixa",IF(M855="A","Média",IF(M855="","","Alta")))</f>
        <v/>
      </c>
      <c r="O855" s="53">
        <f>IF(ISBLANK(H855),"",IF(H855="ALI",IF(M855="L",7,IF(M855="A",10,15)),IF(H855="AIE",IF(M855="L",5,IF(M855="A",7,10)),IF(H855="SE",IF(M855="L",4,IF(M855="A",5,7)),IF(OR(H855="EE",H855="CE"),IF(M855="L",3,IF(M855="A",4,6)))))))</f>
        <v/>
      </c>
      <c r="P855" s="54">
        <f>IF(I855="I",O855*Contagem!$W$15,IF(I855="E",O855*Contagem!$W$17,IF(I855="A",O855*Contagem!$W$16,IF(I855="T",O855*Contagem!$W$18,""))))</f>
        <v/>
      </c>
      <c r="Q855" s="55" t="n"/>
    </row>
    <row r="856" ht="12" customHeight="1" s="73">
      <c r="A856" s="14">
        <f>IF(H856="",IF(C856="",A855,A855+1),A855)</f>
        <v/>
      </c>
      <c r="B856" s="48">
        <f>IF(A856=A855,"",CONCATENATE("F",A856))</f>
        <v/>
      </c>
      <c r="C856" s="85" t="n"/>
      <c r="D856" s="142" t="n"/>
      <c r="E856" s="142" t="n"/>
      <c r="F856" s="142" t="n"/>
      <c r="G856" s="143" t="n"/>
      <c r="H856" s="56" t="n"/>
      <c r="I856" s="57" t="n"/>
      <c r="J856" s="56" t="n"/>
      <c r="K856" s="56" t="n"/>
      <c r="L856" s="50">
        <f>CONCATENATE(H856,M856)</f>
        <v/>
      </c>
      <c r="M856" s="51">
        <f>IF(OR(ISBLANK(J856),ISBLANK(K856)),IF(OR(H856="ALI",H856="AIE"),"L",IF(ISBLANK(H856),"","A")),IF(H856="EE",IF(K856&gt;=3,IF(J856&gt;=5,"H","A"),IF(K856&gt;=2,IF(J856&gt;=16,"H",IF(J856&lt;=4,"L","A")),IF(J856&lt;=15,"L","A"))),IF(OR(H856="SE",H856="CE"),IF(K856&gt;=4,IF(J856&gt;=6,"H","A"),IF(K856&gt;=2,IF(J856&gt;=20,"H",IF(J856&lt;=5,"L","A")),IF(J856&lt;=19,"L","A"))),IF(OR(H856="ALI",H856="AIE"),IF(K856&gt;=6,IF(J856&gt;=20,"H","A"),IF(K856&gt;=2,IF(J856&gt;=51,"H",IF(J856&lt;=19,"L","A")),IF(J856&lt;=50,"L","A")))))))</f>
        <v/>
      </c>
      <c r="N856" s="52">
        <f>IF(M856="L","Baixa",IF(M856="A","Média",IF(M856="","","Alta")))</f>
        <v/>
      </c>
      <c r="O856" s="53">
        <f>IF(ISBLANK(H856),"",IF(H856="ALI",IF(M856="L",7,IF(M856="A",10,15)),IF(H856="AIE",IF(M856="L",5,IF(M856="A",7,10)),IF(H856="SE",IF(M856="L",4,IF(M856="A",5,7)),IF(OR(H856="EE",H856="CE"),IF(M856="L",3,IF(M856="A",4,6)))))))</f>
        <v/>
      </c>
      <c r="P856" s="54">
        <f>IF(I856="I",O856*Contagem!$W$15,IF(I856="E",O856*Contagem!$W$17,IF(I856="A",O856*Contagem!$W$16,IF(I856="T",O856*Contagem!$W$18,""))))</f>
        <v/>
      </c>
      <c r="Q856" s="55" t="n"/>
    </row>
    <row r="857" ht="12" customHeight="1" s="73">
      <c r="A857" s="14">
        <f>IF(H857="",IF(C857="",A856,A856+1),A856)</f>
        <v/>
      </c>
      <c r="B857" s="48">
        <f>IF(A857=A856,"",CONCATENATE("F",A857))</f>
        <v/>
      </c>
      <c r="C857" s="85" t="n"/>
      <c r="D857" s="142" t="n"/>
      <c r="E857" s="142" t="n"/>
      <c r="F857" s="142" t="n"/>
      <c r="G857" s="143" t="n"/>
      <c r="H857" s="56" t="n"/>
      <c r="I857" s="57" t="n"/>
      <c r="J857" s="56" t="n"/>
      <c r="K857" s="56" t="n"/>
      <c r="L857" s="50">
        <f>CONCATENATE(H857,M857)</f>
        <v/>
      </c>
      <c r="M857" s="51">
        <f>IF(OR(ISBLANK(J857),ISBLANK(K857)),IF(OR(H857="ALI",H857="AIE"),"L",IF(ISBLANK(H857),"","A")),IF(H857="EE",IF(K857&gt;=3,IF(J857&gt;=5,"H","A"),IF(K857&gt;=2,IF(J857&gt;=16,"H",IF(J857&lt;=4,"L","A")),IF(J857&lt;=15,"L","A"))),IF(OR(H857="SE",H857="CE"),IF(K857&gt;=4,IF(J857&gt;=6,"H","A"),IF(K857&gt;=2,IF(J857&gt;=20,"H",IF(J857&lt;=5,"L","A")),IF(J857&lt;=19,"L","A"))),IF(OR(H857="ALI",H857="AIE"),IF(K857&gt;=6,IF(J857&gt;=20,"H","A"),IF(K857&gt;=2,IF(J857&gt;=51,"H",IF(J857&lt;=19,"L","A")),IF(J857&lt;=50,"L","A")))))))</f>
        <v/>
      </c>
      <c r="N857" s="52">
        <f>IF(M857="L","Baixa",IF(M857="A","Média",IF(M857="","","Alta")))</f>
        <v/>
      </c>
      <c r="O857" s="53">
        <f>IF(ISBLANK(H857),"",IF(H857="ALI",IF(M857="L",7,IF(M857="A",10,15)),IF(H857="AIE",IF(M857="L",5,IF(M857="A",7,10)),IF(H857="SE",IF(M857="L",4,IF(M857="A",5,7)),IF(OR(H857="EE",H857="CE"),IF(M857="L",3,IF(M857="A",4,6)))))))</f>
        <v/>
      </c>
      <c r="P857" s="54">
        <f>IF(I857="I",O857*Contagem!$W$15,IF(I857="E",O857*Contagem!$W$17,IF(I857="A",O857*Contagem!$W$16,IF(I857="T",O857*Contagem!$W$18,""))))</f>
        <v/>
      </c>
      <c r="Q857" s="55" t="n"/>
    </row>
    <row r="858" ht="12" customHeight="1" s="73">
      <c r="A858" s="14">
        <f>IF(H858="",IF(C858="",A857,A857+1),A857)</f>
        <v/>
      </c>
      <c r="B858" s="48">
        <f>IF(A858=A857,"",CONCATENATE("F",A858))</f>
        <v/>
      </c>
      <c r="C858" s="85" t="n"/>
      <c r="D858" s="142" t="n"/>
      <c r="E858" s="142" t="n"/>
      <c r="F858" s="142" t="n"/>
      <c r="G858" s="143" t="n"/>
      <c r="H858" s="56" t="n"/>
      <c r="I858" s="57" t="n"/>
      <c r="J858" s="56" t="n"/>
      <c r="K858" s="56" t="n"/>
      <c r="L858" s="50">
        <f>CONCATENATE(H858,M858)</f>
        <v/>
      </c>
      <c r="M858" s="51">
        <f>IF(OR(ISBLANK(J858),ISBLANK(K858)),IF(OR(H858="ALI",H858="AIE"),"L",IF(ISBLANK(H858),"","A")),IF(H858="EE",IF(K858&gt;=3,IF(J858&gt;=5,"H","A"),IF(K858&gt;=2,IF(J858&gt;=16,"H",IF(J858&lt;=4,"L","A")),IF(J858&lt;=15,"L","A"))),IF(OR(H858="SE",H858="CE"),IF(K858&gt;=4,IF(J858&gt;=6,"H","A"),IF(K858&gt;=2,IF(J858&gt;=20,"H",IF(J858&lt;=5,"L","A")),IF(J858&lt;=19,"L","A"))),IF(OR(H858="ALI",H858="AIE"),IF(K858&gt;=6,IF(J858&gt;=20,"H","A"),IF(K858&gt;=2,IF(J858&gt;=51,"H",IF(J858&lt;=19,"L","A")),IF(J858&lt;=50,"L","A")))))))</f>
        <v/>
      </c>
      <c r="N858" s="52">
        <f>IF(M858="L","Baixa",IF(M858="A","Média",IF(M858="","","Alta")))</f>
        <v/>
      </c>
      <c r="O858" s="53">
        <f>IF(ISBLANK(H858),"",IF(H858="ALI",IF(M858="L",7,IF(M858="A",10,15)),IF(H858="AIE",IF(M858="L",5,IF(M858="A",7,10)),IF(H858="SE",IF(M858="L",4,IF(M858="A",5,7)),IF(OR(H858="EE",H858="CE"),IF(M858="L",3,IF(M858="A",4,6)))))))</f>
        <v/>
      </c>
      <c r="P858" s="54">
        <f>IF(I858="I",O858*Contagem!$W$15,IF(I858="E",O858*Contagem!$W$17,IF(I858="A",O858*Contagem!$W$16,IF(I858="T",O858*Contagem!$W$18,""))))</f>
        <v/>
      </c>
      <c r="Q858" s="55" t="n"/>
    </row>
    <row r="859" ht="12" customHeight="1" s="73">
      <c r="A859" s="14">
        <f>IF(H859="",IF(C859="",A858,A858+1),A858)</f>
        <v/>
      </c>
      <c r="B859" s="48">
        <f>IF(A859=A858,"",CONCATENATE("F",A859))</f>
        <v/>
      </c>
      <c r="C859" s="85" t="n"/>
      <c r="D859" s="142" t="n"/>
      <c r="E859" s="142" t="n"/>
      <c r="F859" s="142" t="n"/>
      <c r="G859" s="143" t="n"/>
      <c r="H859" s="56" t="n"/>
      <c r="I859" s="57" t="n"/>
      <c r="J859" s="56" t="n"/>
      <c r="K859" s="56" t="n"/>
      <c r="L859" s="50">
        <f>CONCATENATE(H859,M859)</f>
        <v/>
      </c>
      <c r="M859" s="51">
        <f>IF(OR(ISBLANK(J859),ISBLANK(K859)),IF(OR(H859="ALI",H859="AIE"),"L",IF(ISBLANK(H859),"","A")),IF(H859="EE",IF(K859&gt;=3,IF(J859&gt;=5,"H","A"),IF(K859&gt;=2,IF(J859&gt;=16,"H",IF(J859&lt;=4,"L","A")),IF(J859&lt;=15,"L","A"))),IF(OR(H859="SE",H859="CE"),IF(K859&gt;=4,IF(J859&gt;=6,"H","A"),IF(K859&gt;=2,IF(J859&gt;=20,"H",IF(J859&lt;=5,"L","A")),IF(J859&lt;=19,"L","A"))),IF(OR(H859="ALI",H859="AIE"),IF(K859&gt;=6,IF(J859&gt;=20,"H","A"),IF(K859&gt;=2,IF(J859&gt;=51,"H",IF(J859&lt;=19,"L","A")),IF(J859&lt;=50,"L","A")))))))</f>
        <v/>
      </c>
      <c r="N859" s="52">
        <f>IF(M859="L","Baixa",IF(M859="A","Média",IF(M859="","","Alta")))</f>
        <v/>
      </c>
      <c r="O859" s="53">
        <f>IF(ISBLANK(H859),"",IF(H859="ALI",IF(M859="L",7,IF(M859="A",10,15)),IF(H859="AIE",IF(M859="L",5,IF(M859="A",7,10)),IF(H859="SE",IF(M859="L",4,IF(M859="A",5,7)),IF(OR(H859="EE",H859="CE"),IF(M859="L",3,IF(M859="A",4,6)))))))</f>
        <v/>
      </c>
      <c r="P859" s="54">
        <f>IF(I859="I",O859*Contagem!$W$15,IF(I859="E",O859*Contagem!$W$17,IF(I859="A",O859*Contagem!$W$16,IF(I859="T",O859*Contagem!$W$18,""))))</f>
        <v/>
      </c>
      <c r="Q859" s="55" t="n"/>
    </row>
    <row r="860" ht="12" customHeight="1" s="73">
      <c r="A860" s="14">
        <f>IF(H860="",IF(C860="",A859,A859+1),A859)</f>
        <v/>
      </c>
      <c r="B860" s="48">
        <f>IF(A860=A859,"",CONCATENATE("F",A860))</f>
        <v/>
      </c>
      <c r="C860" s="85" t="n"/>
      <c r="D860" s="142" t="n"/>
      <c r="E860" s="142" t="n"/>
      <c r="F860" s="142" t="n"/>
      <c r="G860" s="143" t="n"/>
      <c r="H860" s="56" t="n"/>
      <c r="I860" s="57" t="n"/>
      <c r="J860" s="56" t="n"/>
      <c r="K860" s="56" t="n"/>
      <c r="L860" s="50">
        <f>CONCATENATE(H860,M860)</f>
        <v/>
      </c>
      <c r="M860" s="51">
        <f>IF(OR(ISBLANK(J860),ISBLANK(K860)),IF(OR(H860="ALI",H860="AIE"),"L",IF(ISBLANK(H860),"","A")),IF(H860="EE",IF(K860&gt;=3,IF(J860&gt;=5,"H","A"),IF(K860&gt;=2,IF(J860&gt;=16,"H",IF(J860&lt;=4,"L","A")),IF(J860&lt;=15,"L","A"))),IF(OR(H860="SE",H860="CE"),IF(K860&gt;=4,IF(J860&gt;=6,"H","A"),IF(K860&gt;=2,IF(J860&gt;=20,"H",IF(J860&lt;=5,"L","A")),IF(J860&lt;=19,"L","A"))),IF(OR(H860="ALI",H860="AIE"),IF(K860&gt;=6,IF(J860&gt;=20,"H","A"),IF(K860&gt;=2,IF(J860&gt;=51,"H",IF(J860&lt;=19,"L","A")),IF(J860&lt;=50,"L","A")))))))</f>
        <v/>
      </c>
      <c r="N860" s="52">
        <f>IF(M860="L","Baixa",IF(M860="A","Média",IF(M860="","","Alta")))</f>
        <v/>
      </c>
      <c r="O860" s="53">
        <f>IF(ISBLANK(H860),"",IF(H860="ALI",IF(M860="L",7,IF(M860="A",10,15)),IF(H860="AIE",IF(M860="L",5,IF(M860="A",7,10)),IF(H860="SE",IF(M860="L",4,IF(M860="A",5,7)),IF(OR(H860="EE",H860="CE"),IF(M860="L",3,IF(M860="A",4,6)))))))</f>
        <v/>
      </c>
      <c r="P860" s="54">
        <f>IF(I860="I",O860*Contagem!$W$15,IF(I860="E",O860*Contagem!$W$17,IF(I860="A",O860*Contagem!$W$16,IF(I860="T",O860*Contagem!$W$18,""))))</f>
        <v/>
      </c>
      <c r="Q860" s="55" t="n"/>
    </row>
    <row r="861" ht="12" customHeight="1" s="73">
      <c r="A861" s="14">
        <f>IF(H861="",IF(C861="",A860,A860+1),A860)</f>
        <v/>
      </c>
      <c r="B861" s="48">
        <f>IF(A861=A860,"",CONCATENATE("F",A861))</f>
        <v/>
      </c>
      <c r="C861" s="85" t="n"/>
      <c r="D861" s="142" t="n"/>
      <c r="E861" s="142" t="n"/>
      <c r="F861" s="142" t="n"/>
      <c r="G861" s="143" t="n"/>
      <c r="H861" s="56" t="n"/>
      <c r="I861" s="57" t="n"/>
      <c r="J861" s="56" t="n"/>
      <c r="K861" s="56" t="n"/>
      <c r="L861" s="50">
        <f>CONCATENATE(H861,M861)</f>
        <v/>
      </c>
      <c r="M861" s="51">
        <f>IF(OR(ISBLANK(J861),ISBLANK(K861)),IF(OR(H861="ALI",H861="AIE"),"L",IF(ISBLANK(H861),"","A")),IF(H861="EE",IF(K861&gt;=3,IF(J861&gt;=5,"H","A"),IF(K861&gt;=2,IF(J861&gt;=16,"H",IF(J861&lt;=4,"L","A")),IF(J861&lt;=15,"L","A"))),IF(OR(H861="SE",H861="CE"),IF(K861&gt;=4,IF(J861&gt;=6,"H","A"),IF(K861&gt;=2,IF(J861&gt;=20,"H",IF(J861&lt;=5,"L","A")),IF(J861&lt;=19,"L","A"))),IF(OR(H861="ALI",H861="AIE"),IF(K861&gt;=6,IF(J861&gt;=20,"H","A"),IF(K861&gt;=2,IF(J861&gt;=51,"H",IF(J861&lt;=19,"L","A")),IF(J861&lt;=50,"L","A")))))))</f>
        <v/>
      </c>
      <c r="N861" s="52">
        <f>IF(M861="L","Baixa",IF(M861="A","Média",IF(M861="","","Alta")))</f>
        <v/>
      </c>
      <c r="O861" s="53">
        <f>IF(ISBLANK(H861),"",IF(H861="ALI",IF(M861="L",7,IF(M861="A",10,15)),IF(H861="AIE",IF(M861="L",5,IF(M861="A",7,10)),IF(H861="SE",IF(M861="L",4,IF(M861="A",5,7)),IF(OR(H861="EE",H861="CE"),IF(M861="L",3,IF(M861="A",4,6)))))))</f>
        <v/>
      </c>
      <c r="P861" s="54">
        <f>IF(I861="I",O861*Contagem!$W$15,IF(I861="E",O861*Contagem!$W$17,IF(I861="A",O861*Contagem!$W$16,IF(I861="T",O861*Contagem!$W$18,""))))</f>
        <v/>
      </c>
      <c r="Q861" s="55" t="n"/>
    </row>
    <row r="862" ht="12" customHeight="1" s="73">
      <c r="A862" s="14">
        <f>IF(H862="",IF(C862="",A861,A861+1),A861)</f>
        <v/>
      </c>
      <c r="B862" s="48">
        <f>IF(A862=A861,"",CONCATENATE("F",A862))</f>
        <v/>
      </c>
      <c r="C862" s="85" t="n"/>
      <c r="D862" s="142" t="n"/>
      <c r="E862" s="142" t="n"/>
      <c r="F862" s="142" t="n"/>
      <c r="G862" s="143" t="n"/>
      <c r="H862" s="56" t="n"/>
      <c r="I862" s="57" t="n"/>
      <c r="J862" s="56" t="n"/>
      <c r="K862" s="56" t="n"/>
      <c r="L862" s="50">
        <f>CONCATENATE(H862,M862)</f>
        <v/>
      </c>
      <c r="M862" s="51">
        <f>IF(OR(ISBLANK(J862),ISBLANK(K862)),IF(OR(H862="ALI",H862="AIE"),"L",IF(ISBLANK(H862),"","A")),IF(H862="EE",IF(K862&gt;=3,IF(J862&gt;=5,"H","A"),IF(K862&gt;=2,IF(J862&gt;=16,"H",IF(J862&lt;=4,"L","A")),IF(J862&lt;=15,"L","A"))),IF(OR(H862="SE",H862="CE"),IF(K862&gt;=4,IF(J862&gt;=6,"H","A"),IF(K862&gt;=2,IF(J862&gt;=20,"H",IF(J862&lt;=5,"L","A")),IF(J862&lt;=19,"L","A"))),IF(OR(H862="ALI",H862="AIE"),IF(K862&gt;=6,IF(J862&gt;=20,"H","A"),IF(K862&gt;=2,IF(J862&gt;=51,"H",IF(J862&lt;=19,"L","A")),IF(J862&lt;=50,"L","A")))))))</f>
        <v/>
      </c>
      <c r="N862" s="52">
        <f>IF(M862="L","Baixa",IF(M862="A","Média",IF(M862="","","Alta")))</f>
        <v/>
      </c>
      <c r="O862" s="53">
        <f>IF(ISBLANK(H862),"",IF(H862="ALI",IF(M862="L",7,IF(M862="A",10,15)),IF(H862="AIE",IF(M862="L",5,IF(M862="A",7,10)),IF(H862="SE",IF(M862="L",4,IF(M862="A",5,7)),IF(OR(H862="EE",H862="CE"),IF(M862="L",3,IF(M862="A",4,6)))))))</f>
        <v/>
      </c>
      <c r="P862" s="54">
        <f>IF(I862="I",O862*Contagem!$W$15,IF(I862="E",O862*Contagem!$W$17,IF(I862="A",O862*Contagem!$W$16,IF(I862="T",O862*Contagem!$W$18,""))))</f>
        <v/>
      </c>
      <c r="Q862" s="55" t="n"/>
    </row>
    <row r="863" ht="12" customHeight="1" s="73">
      <c r="A863" s="14">
        <f>IF(H863="",IF(C863="",A862,A862+1),A862)</f>
        <v/>
      </c>
      <c r="B863" s="48">
        <f>IF(A863=A862,"",CONCATENATE("F",A863))</f>
        <v/>
      </c>
      <c r="C863" s="85" t="n"/>
      <c r="D863" s="142" t="n"/>
      <c r="E863" s="142" t="n"/>
      <c r="F863" s="142" t="n"/>
      <c r="G863" s="143" t="n"/>
      <c r="H863" s="56" t="n"/>
      <c r="I863" s="57" t="n"/>
      <c r="J863" s="56" t="n"/>
      <c r="K863" s="56" t="n"/>
      <c r="L863" s="50">
        <f>CONCATENATE(H863,M863)</f>
        <v/>
      </c>
      <c r="M863" s="51">
        <f>IF(OR(ISBLANK(J863),ISBLANK(K863)),IF(OR(H863="ALI",H863="AIE"),"L",IF(ISBLANK(H863),"","A")),IF(H863="EE",IF(K863&gt;=3,IF(J863&gt;=5,"H","A"),IF(K863&gt;=2,IF(J863&gt;=16,"H",IF(J863&lt;=4,"L","A")),IF(J863&lt;=15,"L","A"))),IF(OR(H863="SE",H863="CE"),IF(K863&gt;=4,IF(J863&gt;=6,"H","A"),IF(K863&gt;=2,IF(J863&gt;=20,"H",IF(J863&lt;=5,"L","A")),IF(J863&lt;=19,"L","A"))),IF(OR(H863="ALI",H863="AIE"),IF(K863&gt;=6,IF(J863&gt;=20,"H","A"),IF(K863&gt;=2,IF(J863&gt;=51,"H",IF(J863&lt;=19,"L","A")),IF(J863&lt;=50,"L","A")))))))</f>
        <v/>
      </c>
      <c r="N863" s="52">
        <f>IF(M863="L","Baixa",IF(M863="A","Média",IF(M863="","","Alta")))</f>
        <v/>
      </c>
      <c r="O863" s="53">
        <f>IF(ISBLANK(H863),"",IF(H863="ALI",IF(M863="L",7,IF(M863="A",10,15)),IF(H863="AIE",IF(M863="L",5,IF(M863="A",7,10)),IF(H863="SE",IF(M863="L",4,IF(M863="A",5,7)),IF(OR(H863="EE",H863="CE"),IF(M863="L",3,IF(M863="A",4,6)))))))</f>
        <v/>
      </c>
      <c r="P863" s="54">
        <f>IF(I863="I",O863*Contagem!$W$15,IF(I863="E",O863*Contagem!$W$17,IF(I863="A",O863*Contagem!$W$16,IF(I863="T",O863*Contagem!$W$18,""))))</f>
        <v/>
      </c>
      <c r="Q863" s="55" t="n"/>
    </row>
    <row r="864" ht="12" customHeight="1" s="73">
      <c r="A864" s="14">
        <f>IF(H864="",IF(C864="",A863,A863+1),A863)</f>
        <v/>
      </c>
      <c r="B864" s="48">
        <f>IF(A864=A863,"",CONCATENATE("F",A864))</f>
        <v/>
      </c>
      <c r="C864" s="85" t="n"/>
      <c r="D864" s="142" t="n"/>
      <c r="E864" s="142" t="n"/>
      <c r="F864" s="142" t="n"/>
      <c r="G864" s="143" t="n"/>
      <c r="H864" s="56" t="n"/>
      <c r="I864" s="57" t="n"/>
      <c r="J864" s="56" t="n"/>
      <c r="K864" s="56" t="n"/>
      <c r="L864" s="50">
        <f>CONCATENATE(H864,M864)</f>
        <v/>
      </c>
      <c r="M864" s="51">
        <f>IF(OR(ISBLANK(J864),ISBLANK(K864)),IF(OR(H864="ALI",H864="AIE"),"L",IF(ISBLANK(H864),"","A")),IF(H864="EE",IF(K864&gt;=3,IF(J864&gt;=5,"H","A"),IF(K864&gt;=2,IF(J864&gt;=16,"H",IF(J864&lt;=4,"L","A")),IF(J864&lt;=15,"L","A"))),IF(OR(H864="SE",H864="CE"),IF(K864&gt;=4,IF(J864&gt;=6,"H","A"),IF(K864&gt;=2,IF(J864&gt;=20,"H",IF(J864&lt;=5,"L","A")),IF(J864&lt;=19,"L","A"))),IF(OR(H864="ALI",H864="AIE"),IF(K864&gt;=6,IF(J864&gt;=20,"H","A"),IF(K864&gt;=2,IF(J864&gt;=51,"H",IF(J864&lt;=19,"L","A")),IF(J864&lt;=50,"L","A")))))))</f>
        <v/>
      </c>
      <c r="N864" s="52">
        <f>IF(M864="L","Baixa",IF(M864="A","Média",IF(M864="","","Alta")))</f>
        <v/>
      </c>
      <c r="O864" s="53">
        <f>IF(ISBLANK(H864),"",IF(H864="ALI",IF(M864="L",7,IF(M864="A",10,15)),IF(H864="AIE",IF(M864="L",5,IF(M864="A",7,10)),IF(H864="SE",IF(M864="L",4,IF(M864="A",5,7)),IF(OR(H864="EE",H864="CE"),IF(M864="L",3,IF(M864="A",4,6)))))))</f>
        <v/>
      </c>
      <c r="P864" s="54">
        <f>IF(I864="I",O864*Contagem!$W$15,IF(I864="E",O864*Contagem!$W$17,IF(I864="A",O864*Contagem!$W$16,IF(I864="T",O864*Contagem!$W$18,""))))</f>
        <v/>
      </c>
      <c r="Q864" s="55" t="n"/>
    </row>
    <row r="865" ht="12" customHeight="1" s="73">
      <c r="A865" s="14">
        <f>IF(H865="",IF(C865="",A864,A864+1),A864)</f>
        <v/>
      </c>
      <c r="B865" s="48">
        <f>IF(A865=A864,"",CONCATENATE("F",A865))</f>
        <v/>
      </c>
      <c r="C865" s="85" t="n"/>
      <c r="D865" s="142" t="n"/>
      <c r="E865" s="142" t="n"/>
      <c r="F865" s="142" t="n"/>
      <c r="G865" s="143" t="n"/>
      <c r="H865" s="56" t="n"/>
      <c r="I865" s="57" t="n"/>
      <c r="J865" s="56" t="n"/>
      <c r="K865" s="56" t="n"/>
      <c r="L865" s="50">
        <f>CONCATENATE(H865,M865)</f>
        <v/>
      </c>
      <c r="M865" s="51">
        <f>IF(OR(ISBLANK(J865),ISBLANK(K865)),IF(OR(H865="ALI",H865="AIE"),"L",IF(ISBLANK(H865),"","A")),IF(H865="EE",IF(K865&gt;=3,IF(J865&gt;=5,"H","A"),IF(K865&gt;=2,IF(J865&gt;=16,"H",IF(J865&lt;=4,"L","A")),IF(J865&lt;=15,"L","A"))),IF(OR(H865="SE",H865="CE"),IF(K865&gt;=4,IF(J865&gt;=6,"H","A"),IF(K865&gt;=2,IF(J865&gt;=20,"H",IF(J865&lt;=5,"L","A")),IF(J865&lt;=19,"L","A"))),IF(OR(H865="ALI",H865="AIE"),IF(K865&gt;=6,IF(J865&gt;=20,"H","A"),IF(K865&gt;=2,IF(J865&gt;=51,"H",IF(J865&lt;=19,"L","A")),IF(J865&lt;=50,"L","A")))))))</f>
        <v/>
      </c>
      <c r="N865" s="52">
        <f>IF(M865="L","Baixa",IF(M865="A","Média",IF(M865="","","Alta")))</f>
        <v/>
      </c>
      <c r="O865" s="53">
        <f>IF(ISBLANK(H865),"",IF(H865="ALI",IF(M865="L",7,IF(M865="A",10,15)),IF(H865="AIE",IF(M865="L",5,IF(M865="A",7,10)),IF(H865="SE",IF(M865="L",4,IF(M865="A",5,7)),IF(OR(H865="EE",H865="CE"),IF(M865="L",3,IF(M865="A",4,6)))))))</f>
        <v/>
      </c>
      <c r="P865" s="54">
        <f>IF(I865="I",O865*Contagem!$W$15,IF(I865="E",O865*Contagem!$W$17,IF(I865="A",O865*Contagem!$W$16,IF(I865="T",O865*Contagem!$W$18,""))))</f>
        <v/>
      </c>
      <c r="Q865" s="55" t="n"/>
    </row>
    <row r="866" ht="12" customHeight="1" s="73">
      <c r="A866" s="14">
        <f>IF(H866="",IF(C866="",A865,A865+1),A865)</f>
        <v/>
      </c>
      <c r="B866" s="48">
        <f>IF(A866=A865,"",CONCATENATE("F",A866))</f>
        <v/>
      </c>
      <c r="C866" s="85" t="n"/>
      <c r="D866" s="142" t="n"/>
      <c r="E866" s="142" t="n"/>
      <c r="F866" s="142" t="n"/>
      <c r="G866" s="143" t="n"/>
      <c r="H866" s="56" t="n"/>
      <c r="I866" s="57" t="n"/>
      <c r="J866" s="56" t="n"/>
      <c r="K866" s="56" t="n"/>
      <c r="L866" s="50">
        <f>CONCATENATE(H866,M866)</f>
        <v/>
      </c>
      <c r="M866" s="51">
        <f>IF(OR(ISBLANK(J866),ISBLANK(K866)),IF(OR(H866="ALI",H866="AIE"),"L",IF(ISBLANK(H866),"","A")),IF(H866="EE",IF(K866&gt;=3,IF(J866&gt;=5,"H","A"),IF(K866&gt;=2,IF(J866&gt;=16,"H",IF(J866&lt;=4,"L","A")),IF(J866&lt;=15,"L","A"))),IF(OR(H866="SE",H866="CE"),IF(K866&gt;=4,IF(J866&gt;=6,"H","A"),IF(K866&gt;=2,IF(J866&gt;=20,"H",IF(J866&lt;=5,"L","A")),IF(J866&lt;=19,"L","A"))),IF(OR(H866="ALI",H866="AIE"),IF(K866&gt;=6,IF(J866&gt;=20,"H","A"),IF(K866&gt;=2,IF(J866&gt;=51,"H",IF(J866&lt;=19,"L","A")),IF(J866&lt;=50,"L","A")))))))</f>
        <v/>
      </c>
      <c r="N866" s="52">
        <f>IF(M866="L","Baixa",IF(M866="A","Média",IF(M866="","","Alta")))</f>
        <v/>
      </c>
      <c r="O866" s="53">
        <f>IF(ISBLANK(H866),"",IF(H866="ALI",IF(M866="L",7,IF(M866="A",10,15)),IF(H866="AIE",IF(M866="L",5,IF(M866="A",7,10)),IF(H866="SE",IF(M866="L",4,IF(M866="A",5,7)),IF(OR(H866="EE",H866="CE"),IF(M866="L",3,IF(M866="A",4,6)))))))</f>
        <v/>
      </c>
      <c r="P866" s="54">
        <f>IF(I866="I",O866*Contagem!$W$15,IF(I866="E",O866*Contagem!$W$17,IF(I866="A",O866*Contagem!$W$16,IF(I866="T",O866*Contagem!$W$18,""))))</f>
        <v/>
      </c>
      <c r="Q866" s="55" t="n"/>
    </row>
    <row r="867" ht="12" customHeight="1" s="73">
      <c r="A867" s="14">
        <f>IF(H867="",IF(C867="",A866,A866+1),A866)</f>
        <v/>
      </c>
      <c r="B867" s="48">
        <f>IF(A867=A866,"",CONCATENATE("F",A867))</f>
        <v/>
      </c>
      <c r="C867" s="85" t="n"/>
      <c r="D867" s="142" t="n"/>
      <c r="E867" s="142" t="n"/>
      <c r="F867" s="142" t="n"/>
      <c r="G867" s="143" t="n"/>
      <c r="H867" s="56" t="n"/>
      <c r="I867" s="57" t="n"/>
      <c r="J867" s="56" t="n"/>
      <c r="K867" s="56" t="n"/>
      <c r="L867" s="50">
        <f>CONCATENATE(H867,M867)</f>
        <v/>
      </c>
      <c r="M867" s="51">
        <f>IF(OR(ISBLANK(J867),ISBLANK(K867)),IF(OR(H867="ALI",H867="AIE"),"L",IF(ISBLANK(H867),"","A")),IF(H867="EE",IF(K867&gt;=3,IF(J867&gt;=5,"H","A"),IF(K867&gt;=2,IF(J867&gt;=16,"H",IF(J867&lt;=4,"L","A")),IF(J867&lt;=15,"L","A"))),IF(OR(H867="SE",H867="CE"),IF(K867&gt;=4,IF(J867&gt;=6,"H","A"),IF(K867&gt;=2,IF(J867&gt;=20,"H",IF(J867&lt;=5,"L","A")),IF(J867&lt;=19,"L","A"))),IF(OR(H867="ALI",H867="AIE"),IF(K867&gt;=6,IF(J867&gt;=20,"H","A"),IF(K867&gt;=2,IF(J867&gt;=51,"H",IF(J867&lt;=19,"L","A")),IF(J867&lt;=50,"L","A")))))))</f>
        <v/>
      </c>
      <c r="N867" s="52">
        <f>IF(M867="L","Baixa",IF(M867="A","Média",IF(M867="","","Alta")))</f>
        <v/>
      </c>
      <c r="O867" s="53">
        <f>IF(ISBLANK(H867),"",IF(H867="ALI",IF(M867="L",7,IF(M867="A",10,15)),IF(H867="AIE",IF(M867="L",5,IF(M867="A",7,10)),IF(H867="SE",IF(M867="L",4,IF(M867="A",5,7)),IF(OR(H867="EE",H867="CE"),IF(M867="L",3,IF(M867="A",4,6)))))))</f>
        <v/>
      </c>
      <c r="P867" s="54">
        <f>IF(I867="I",O867*Contagem!$W$15,IF(I867="E",O867*Contagem!$W$17,IF(I867="A",O867*Contagem!$W$16,IF(I867="T",O867*Contagem!$W$18,""))))</f>
        <v/>
      </c>
      <c r="Q867" s="55" t="n"/>
    </row>
    <row r="868" ht="12" customHeight="1" s="73">
      <c r="A868" s="14">
        <f>IF(H868="",IF(C868="",A867,A867+1),A867)</f>
        <v/>
      </c>
      <c r="B868" s="48">
        <f>IF(A868=A867,"",CONCATENATE("F",A868))</f>
        <v/>
      </c>
      <c r="C868" s="85" t="n"/>
      <c r="D868" s="142" t="n"/>
      <c r="E868" s="142" t="n"/>
      <c r="F868" s="142" t="n"/>
      <c r="G868" s="143" t="n"/>
      <c r="H868" s="56" t="n"/>
      <c r="I868" s="57" t="n"/>
      <c r="J868" s="56" t="n"/>
      <c r="K868" s="56" t="n"/>
      <c r="L868" s="50">
        <f>CONCATENATE(H868,M868)</f>
        <v/>
      </c>
      <c r="M868" s="51">
        <f>IF(OR(ISBLANK(J868),ISBLANK(K868)),IF(OR(H868="ALI",H868="AIE"),"L",IF(ISBLANK(H868),"","A")),IF(H868="EE",IF(K868&gt;=3,IF(J868&gt;=5,"H","A"),IF(K868&gt;=2,IF(J868&gt;=16,"H",IF(J868&lt;=4,"L","A")),IF(J868&lt;=15,"L","A"))),IF(OR(H868="SE",H868="CE"),IF(K868&gt;=4,IF(J868&gt;=6,"H","A"),IF(K868&gt;=2,IF(J868&gt;=20,"H",IF(J868&lt;=5,"L","A")),IF(J868&lt;=19,"L","A"))),IF(OR(H868="ALI",H868="AIE"),IF(K868&gt;=6,IF(J868&gt;=20,"H","A"),IF(K868&gt;=2,IF(J868&gt;=51,"H",IF(J868&lt;=19,"L","A")),IF(J868&lt;=50,"L","A")))))))</f>
        <v/>
      </c>
      <c r="N868" s="52">
        <f>IF(M868="L","Baixa",IF(M868="A","Média",IF(M868="","","Alta")))</f>
        <v/>
      </c>
      <c r="O868" s="53">
        <f>IF(ISBLANK(H868),"",IF(H868="ALI",IF(M868="L",7,IF(M868="A",10,15)),IF(H868="AIE",IF(M868="L",5,IF(M868="A",7,10)),IF(H868="SE",IF(M868="L",4,IF(M868="A",5,7)),IF(OR(H868="EE",H868="CE"),IF(M868="L",3,IF(M868="A",4,6)))))))</f>
        <v/>
      </c>
      <c r="P868" s="54">
        <f>IF(I868="I",O868*Contagem!$W$15,IF(I868="E",O868*Contagem!$W$17,IF(I868="A",O868*Contagem!$W$16,IF(I868="T",O868*Contagem!$W$18,""))))</f>
        <v/>
      </c>
      <c r="Q868" s="55" t="n"/>
    </row>
    <row r="869" ht="12" customHeight="1" s="73">
      <c r="A869" s="14">
        <f>IF(H869="",IF(C869="",A868,A868+1),A868)</f>
        <v/>
      </c>
      <c r="B869" s="48">
        <f>IF(A869=A868,"",CONCATENATE("F",A869))</f>
        <v/>
      </c>
      <c r="C869" s="85" t="n"/>
      <c r="D869" s="142" t="n"/>
      <c r="E869" s="142" t="n"/>
      <c r="F869" s="142" t="n"/>
      <c r="G869" s="143" t="n"/>
      <c r="H869" s="56" t="n"/>
      <c r="I869" s="57" t="n"/>
      <c r="J869" s="56" t="n"/>
      <c r="K869" s="56" t="n"/>
      <c r="L869" s="50">
        <f>CONCATENATE(H869,M869)</f>
        <v/>
      </c>
      <c r="M869" s="51">
        <f>IF(OR(ISBLANK(J869),ISBLANK(K869)),IF(OR(H869="ALI",H869="AIE"),"L",IF(ISBLANK(H869),"","A")),IF(H869="EE",IF(K869&gt;=3,IF(J869&gt;=5,"H","A"),IF(K869&gt;=2,IF(J869&gt;=16,"H",IF(J869&lt;=4,"L","A")),IF(J869&lt;=15,"L","A"))),IF(OR(H869="SE",H869="CE"),IF(K869&gt;=4,IF(J869&gt;=6,"H","A"),IF(K869&gt;=2,IF(J869&gt;=20,"H",IF(J869&lt;=5,"L","A")),IF(J869&lt;=19,"L","A"))),IF(OR(H869="ALI",H869="AIE"),IF(K869&gt;=6,IF(J869&gt;=20,"H","A"),IF(K869&gt;=2,IF(J869&gt;=51,"H",IF(J869&lt;=19,"L","A")),IF(J869&lt;=50,"L","A")))))))</f>
        <v/>
      </c>
      <c r="N869" s="52">
        <f>IF(M869="L","Baixa",IF(M869="A","Média",IF(M869="","","Alta")))</f>
        <v/>
      </c>
      <c r="O869" s="53">
        <f>IF(ISBLANK(H869),"",IF(H869="ALI",IF(M869="L",7,IF(M869="A",10,15)),IF(H869="AIE",IF(M869="L",5,IF(M869="A",7,10)),IF(H869="SE",IF(M869="L",4,IF(M869="A",5,7)),IF(OR(H869="EE",H869="CE"),IF(M869="L",3,IF(M869="A",4,6)))))))</f>
        <v/>
      </c>
      <c r="P869" s="54">
        <f>IF(I869="I",O869*Contagem!$W$15,IF(I869="E",O869*Contagem!$W$17,IF(I869="A",O869*Contagem!$W$16,IF(I869="T",O869*Contagem!$W$18,""))))</f>
        <v/>
      </c>
      <c r="Q869" s="55" t="n"/>
    </row>
    <row r="870" ht="12" customHeight="1" s="73">
      <c r="A870" s="14">
        <f>IF(H870="",IF(C870="",A869,A869+1),A869)</f>
        <v/>
      </c>
      <c r="B870" s="48">
        <f>IF(A870=A869,"",CONCATENATE("F",A870))</f>
        <v/>
      </c>
      <c r="C870" s="85" t="n"/>
      <c r="D870" s="142" t="n"/>
      <c r="E870" s="142" t="n"/>
      <c r="F870" s="142" t="n"/>
      <c r="G870" s="143" t="n"/>
      <c r="H870" s="56" t="n"/>
      <c r="I870" s="57" t="n"/>
      <c r="J870" s="56" t="n"/>
      <c r="K870" s="56" t="n"/>
      <c r="L870" s="50">
        <f>CONCATENATE(H870,M870)</f>
        <v/>
      </c>
      <c r="M870" s="51">
        <f>IF(OR(ISBLANK(J870),ISBLANK(K870)),IF(OR(H870="ALI",H870="AIE"),"L",IF(ISBLANK(H870),"","A")),IF(H870="EE",IF(K870&gt;=3,IF(J870&gt;=5,"H","A"),IF(K870&gt;=2,IF(J870&gt;=16,"H",IF(J870&lt;=4,"L","A")),IF(J870&lt;=15,"L","A"))),IF(OR(H870="SE",H870="CE"),IF(K870&gt;=4,IF(J870&gt;=6,"H","A"),IF(K870&gt;=2,IF(J870&gt;=20,"H",IF(J870&lt;=5,"L","A")),IF(J870&lt;=19,"L","A"))),IF(OR(H870="ALI",H870="AIE"),IF(K870&gt;=6,IF(J870&gt;=20,"H","A"),IF(K870&gt;=2,IF(J870&gt;=51,"H",IF(J870&lt;=19,"L","A")),IF(J870&lt;=50,"L","A")))))))</f>
        <v/>
      </c>
      <c r="N870" s="52">
        <f>IF(M870="L","Baixa",IF(M870="A","Média",IF(M870="","","Alta")))</f>
        <v/>
      </c>
      <c r="O870" s="53">
        <f>IF(ISBLANK(H870),"",IF(H870="ALI",IF(M870="L",7,IF(M870="A",10,15)),IF(H870="AIE",IF(M870="L",5,IF(M870="A",7,10)),IF(H870="SE",IF(M870="L",4,IF(M870="A",5,7)),IF(OR(H870="EE",H870="CE"),IF(M870="L",3,IF(M870="A",4,6)))))))</f>
        <v/>
      </c>
      <c r="P870" s="54">
        <f>IF(I870="I",O870*Contagem!$W$15,IF(I870="E",O870*Contagem!$W$17,IF(I870="A",O870*Contagem!$W$16,IF(I870="T",O870*Contagem!$W$18,""))))</f>
        <v/>
      </c>
      <c r="Q870" s="55" t="n"/>
    </row>
    <row r="871" ht="12" customHeight="1" s="73">
      <c r="A871" s="14">
        <f>IF(H871="",IF(C871="",A870,A870+1),A870)</f>
        <v/>
      </c>
      <c r="B871" s="48">
        <f>IF(A871=A870,"",CONCATENATE("F",A871))</f>
        <v/>
      </c>
      <c r="C871" s="85" t="n"/>
      <c r="D871" s="142" t="n"/>
      <c r="E871" s="142" t="n"/>
      <c r="F871" s="142" t="n"/>
      <c r="G871" s="143" t="n"/>
      <c r="H871" s="56" t="n"/>
      <c r="I871" s="57" t="n"/>
      <c r="J871" s="56" t="n"/>
      <c r="K871" s="56" t="n"/>
      <c r="L871" s="50">
        <f>CONCATENATE(H871,M871)</f>
        <v/>
      </c>
      <c r="M871" s="51">
        <f>IF(OR(ISBLANK(J871),ISBLANK(K871)),IF(OR(H871="ALI",H871="AIE"),"L",IF(ISBLANK(H871),"","A")),IF(H871="EE",IF(K871&gt;=3,IF(J871&gt;=5,"H","A"),IF(K871&gt;=2,IF(J871&gt;=16,"H",IF(J871&lt;=4,"L","A")),IF(J871&lt;=15,"L","A"))),IF(OR(H871="SE",H871="CE"),IF(K871&gt;=4,IF(J871&gt;=6,"H","A"),IF(K871&gt;=2,IF(J871&gt;=20,"H",IF(J871&lt;=5,"L","A")),IF(J871&lt;=19,"L","A"))),IF(OR(H871="ALI",H871="AIE"),IF(K871&gt;=6,IF(J871&gt;=20,"H","A"),IF(K871&gt;=2,IF(J871&gt;=51,"H",IF(J871&lt;=19,"L","A")),IF(J871&lt;=50,"L","A")))))))</f>
        <v/>
      </c>
      <c r="N871" s="52">
        <f>IF(M871="L","Baixa",IF(M871="A","Média",IF(M871="","","Alta")))</f>
        <v/>
      </c>
      <c r="O871" s="53">
        <f>IF(ISBLANK(H871),"",IF(H871="ALI",IF(M871="L",7,IF(M871="A",10,15)),IF(H871="AIE",IF(M871="L",5,IF(M871="A",7,10)),IF(H871="SE",IF(M871="L",4,IF(M871="A",5,7)),IF(OR(H871="EE",H871="CE"),IF(M871="L",3,IF(M871="A",4,6)))))))</f>
        <v/>
      </c>
      <c r="P871" s="54">
        <f>IF(I871="I",O871*Contagem!$W$15,IF(I871="E",O871*Contagem!$W$17,IF(I871="A",O871*Contagem!$W$16,IF(I871="T",O871*Contagem!$W$18,""))))</f>
        <v/>
      </c>
      <c r="Q871" s="55" t="n"/>
    </row>
    <row r="872" ht="12" customHeight="1" s="73">
      <c r="A872" s="14">
        <f>IF(H872="",IF(C872="",A871,A871+1),A871)</f>
        <v/>
      </c>
      <c r="B872" s="48">
        <f>IF(A872=A871,"",CONCATENATE("F",A872))</f>
        <v/>
      </c>
      <c r="C872" s="85" t="n"/>
      <c r="D872" s="142" t="n"/>
      <c r="E872" s="142" t="n"/>
      <c r="F872" s="142" t="n"/>
      <c r="G872" s="143" t="n"/>
      <c r="H872" s="56" t="n"/>
      <c r="I872" s="57" t="n"/>
      <c r="J872" s="56" t="n"/>
      <c r="K872" s="56" t="n"/>
      <c r="L872" s="50">
        <f>CONCATENATE(H872,M872)</f>
        <v/>
      </c>
      <c r="M872" s="51">
        <f>IF(OR(ISBLANK(J872),ISBLANK(K872)),IF(OR(H872="ALI",H872="AIE"),"L",IF(ISBLANK(H872),"","A")),IF(H872="EE",IF(K872&gt;=3,IF(J872&gt;=5,"H","A"),IF(K872&gt;=2,IF(J872&gt;=16,"H",IF(J872&lt;=4,"L","A")),IF(J872&lt;=15,"L","A"))),IF(OR(H872="SE",H872="CE"),IF(K872&gt;=4,IF(J872&gt;=6,"H","A"),IF(K872&gt;=2,IF(J872&gt;=20,"H",IF(J872&lt;=5,"L","A")),IF(J872&lt;=19,"L","A"))),IF(OR(H872="ALI",H872="AIE"),IF(K872&gt;=6,IF(J872&gt;=20,"H","A"),IF(K872&gt;=2,IF(J872&gt;=51,"H",IF(J872&lt;=19,"L","A")),IF(J872&lt;=50,"L","A")))))))</f>
        <v/>
      </c>
      <c r="N872" s="52">
        <f>IF(M872="L","Baixa",IF(M872="A","Média",IF(M872="","","Alta")))</f>
        <v/>
      </c>
      <c r="O872" s="53">
        <f>IF(ISBLANK(H872),"",IF(H872="ALI",IF(M872="L",7,IF(M872="A",10,15)),IF(H872="AIE",IF(M872="L",5,IF(M872="A",7,10)),IF(H872="SE",IF(M872="L",4,IF(M872="A",5,7)),IF(OR(H872="EE",H872="CE"),IF(M872="L",3,IF(M872="A",4,6)))))))</f>
        <v/>
      </c>
      <c r="P872" s="54">
        <f>IF(I872="I",O872*Contagem!$W$15,IF(I872="E",O872*Contagem!$W$17,IF(I872="A",O872*Contagem!$W$16,IF(I872="T",O872*Contagem!$W$18,""))))</f>
        <v/>
      </c>
      <c r="Q872" s="55" t="n"/>
    </row>
    <row r="873" ht="12" customHeight="1" s="73">
      <c r="A873" s="14">
        <f>IF(H873="",IF(C873="",A872,A872+1),A872)</f>
        <v/>
      </c>
      <c r="B873" s="48">
        <f>IF(A873=A872,"",CONCATENATE("F",A873))</f>
        <v/>
      </c>
      <c r="C873" s="85" t="n"/>
      <c r="D873" s="142" t="n"/>
      <c r="E873" s="142" t="n"/>
      <c r="F873" s="142" t="n"/>
      <c r="G873" s="143" t="n"/>
      <c r="H873" s="56" t="n"/>
      <c r="I873" s="57" t="n"/>
      <c r="J873" s="56" t="n"/>
      <c r="K873" s="56" t="n"/>
      <c r="L873" s="50">
        <f>CONCATENATE(H873,M873)</f>
        <v/>
      </c>
      <c r="M873" s="51">
        <f>IF(OR(ISBLANK(J873),ISBLANK(K873)),IF(OR(H873="ALI",H873="AIE"),"L",IF(ISBLANK(H873),"","A")),IF(H873="EE",IF(K873&gt;=3,IF(J873&gt;=5,"H","A"),IF(K873&gt;=2,IF(J873&gt;=16,"H",IF(J873&lt;=4,"L","A")),IF(J873&lt;=15,"L","A"))),IF(OR(H873="SE",H873="CE"),IF(K873&gt;=4,IF(J873&gt;=6,"H","A"),IF(K873&gt;=2,IF(J873&gt;=20,"H",IF(J873&lt;=5,"L","A")),IF(J873&lt;=19,"L","A"))),IF(OR(H873="ALI",H873="AIE"),IF(K873&gt;=6,IF(J873&gt;=20,"H","A"),IF(K873&gt;=2,IF(J873&gt;=51,"H",IF(J873&lt;=19,"L","A")),IF(J873&lt;=50,"L","A")))))))</f>
        <v/>
      </c>
      <c r="N873" s="52">
        <f>IF(M873="L","Baixa",IF(M873="A","Média",IF(M873="","","Alta")))</f>
        <v/>
      </c>
      <c r="O873" s="53">
        <f>IF(ISBLANK(H873),"",IF(H873="ALI",IF(M873="L",7,IF(M873="A",10,15)),IF(H873="AIE",IF(M873="L",5,IF(M873="A",7,10)),IF(H873="SE",IF(M873="L",4,IF(M873="A",5,7)),IF(OR(H873="EE",H873="CE"),IF(M873="L",3,IF(M873="A",4,6)))))))</f>
        <v/>
      </c>
      <c r="P873" s="54">
        <f>IF(I873="I",O873*Contagem!$W$15,IF(I873="E",O873*Contagem!$W$17,IF(I873="A",O873*Contagem!$W$16,IF(I873="T",O873*Contagem!$W$18,""))))</f>
        <v/>
      </c>
      <c r="Q873" s="55" t="n"/>
    </row>
    <row r="874" ht="12" customHeight="1" s="73">
      <c r="A874" s="14">
        <f>IF(H874="",IF(C874="",A873,A873+1),A873)</f>
        <v/>
      </c>
      <c r="B874" s="48">
        <f>IF(A874=A873,"",CONCATENATE("F",A874))</f>
        <v/>
      </c>
      <c r="C874" s="85" t="n"/>
      <c r="D874" s="142" t="n"/>
      <c r="E874" s="142" t="n"/>
      <c r="F874" s="142" t="n"/>
      <c r="G874" s="143" t="n"/>
      <c r="H874" s="56" t="n"/>
      <c r="I874" s="57" t="n"/>
      <c r="J874" s="56" t="n"/>
      <c r="K874" s="56" t="n"/>
      <c r="L874" s="50">
        <f>CONCATENATE(H874,M874)</f>
        <v/>
      </c>
      <c r="M874" s="51">
        <f>IF(OR(ISBLANK(J874),ISBLANK(K874)),IF(OR(H874="ALI",H874="AIE"),"L",IF(ISBLANK(H874),"","A")),IF(H874="EE",IF(K874&gt;=3,IF(J874&gt;=5,"H","A"),IF(K874&gt;=2,IF(J874&gt;=16,"H",IF(J874&lt;=4,"L","A")),IF(J874&lt;=15,"L","A"))),IF(OR(H874="SE",H874="CE"),IF(K874&gt;=4,IF(J874&gt;=6,"H","A"),IF(K874&gt;=2,IF(J874&gt;=20,"H",IF(J874&lt;=5,"L","A")),IF(J874&lt;=19,"L","A"))),IF(OR(H874="ALI",H874="AIE"),IF(K874&gt;=6,IF(J874&gt;=20,"H","A"),IF(K874&gt;=2,IF(J874&gt;=51,"H",IF(J874&lt;=19,"L","A")),IF(J874&lt;=50,"L","A")))))))</f>
        <v/>
      </c>
      <c r="N874" s="52">
        <f>IF(M874="L","Baixa",IF(M874="A","Média",IF(M874="","","Alta")))</f>
        <v/>
      </c>
      <c r="O874" s="53">
        <f>IF(ISBLANK(H874),"",IF(H874="ALI",IF(M874="L",7,IF(M874="A",10,15)),IF(H874="AIE",IF(M874="L",5,IF(M874="A",7,10)),IF(H874="SE",IF(M874="L",4,IF(M874="A",5,7)),IF(OR(H874="EE",H874="CE"),IF(M874="L",3,IF(M874="A",4,6)))))))</f>
        <v/>
      </c>
      <c r="P874" s="54">
        <f>IF(I874="I",O874*Contagem!$W$15,IF(I874="E",O874*Contagem!$W$17,IF(I874="A",O874*Contagem!$W$16,IF(I874="T",O874*Contagem!$W$18,""))))</f>
        <v/>
      </c>
      <c r="Q874" s="55" t="n"/>
    </row>
    <row r="875" ht="12" customHeight="1" s="73">
      <c r="A875" s="14">
        <f>IF(H875="",IF(C875="",A874,A874+1),A874)</f>
        <v/>
      </c>
      <c r="B875" s="48">
        <f>IF(A875=A874,"",CONCATENATE("F",A875))</f>
        <v/>
      </c>
      <c r="C875" s="85" t="n"/>
      <c r="D875" s="142" t="n"/>
      <c r="E875" s="142" t="n"/>
      <c r="F875" s="142" t="n"/>
      <c r="G875" s="143" t="n"/>
      <c r="H875" s="56" t="n"/>
      <c r="I875" s="57" t="n"/>
      <c r="J875" s="56" t="n"/>
      <c r="K875" s="56" t="n"/>
      <c r="L875" s="50">
        <f>CONCATENATE(H875,M875)</f>
        <v/>
      </c>
      <c r="M875" s="51">
        <f>IF(OR(ISBLANK(J875),ISBLANK(K875)),IF(OR(H875="ALI",H875="AIE"),"L",IF(ISBLANK(H875),"","A")),IF(H875="EE",IF(K875&gt;=3,IF(J875&gt;=5,"H","A"),IF(K875&gt;=2,IF(J875&gt;=16,"H",IF(J875&lt;=4,"L","A")),IF(J875&lt;=15,"L","A"))),IF(OR(H875="SE",H875="CE"),IF(K875&gt;=4,IF(J875&gt;=6,"H","A"),IF(K875&gt;=2,IF(J875&gt;=20,"H",IF(J875&lt;=5,"L","A")),IF(J875&lt;=19,"L","A"))),IF(OR(H875="ALI",H875="AIE"),IF(K875&gt;=6,IF(J875&gt;=20,"H","A"),IF(K875&gt;=2,IF(J875&gt;=51,"H",IF(J875&lt;=19,"L","A")),IF(J875&lt;=50,"L","A")))))))</f>
        <v/>
      </c>
      <c r="N875" s="52">
        <f>IF(M875="L","Baixa",IF(M875="A","Média",IF(M875="","","Alta")))</f>
        <v/>
      </c>
      <c r="O875" s="53">
        <f>IF(ISBLANK(H875),"",IF(H875="ALI",IF(M875="L",7,IF(M875="A",10,15)),IF(H875="AIE",IF(M875="L",5,IF(M875="A",7,10)),IF(H875="SE",IF(M875="L",4,IF(M875="A",5,7)),IF(OR(H875="EE",H875="CE"),IF(M875="L",3,IF(M875="A",4,6)))))))</f>
        <v/>
      </c>
      <c r="P875" s="54">
        <f>IF(I875="I",O875*Contagem!$W$15,IF(I875="E",O875*Contagem!$W$17,IF(I875="A",O875*Contagem!$W$16,IF(I875="T",O875*Contagem!$W$18,""))))</f>
        <v/>
      </c>
      <c r="Q875" s="55" t="n"/>
    </row>
    <row r="876" ht="12" customHeight="1" s="73">
      <c r="A876" s="14">
        <f>IF(H876="",IF(C876="",A875,A875+1),A875)</f>
        <v/>
      </c>
      <c r="B876" s="48">
        <f>IF(A876=A875,"",CONCATENATE("F",A876))</f>
        <v/>
      </c>
      <c r="C876" s="85" t="n"/>
      <c r="D876" s="142" t="n"/>
      <c r="E876" s="142" t="n"/>
      <c r="F876" s="142" t="n"/>
      <c r="G876" s="143" t="n"/>
      <c r="H876" s="56" t="n"/>
      <c r="I876" s="57" t="n"/>
      <c r="J876" s="56" t="n"/>
      <c r="K876" s="56" t="n"/>
      <c r="L876" s="50">
        <f>CONCATENATE(H876,M876)</f>
        <v/>
      </c>
      <c r="M876" s="51">
        <f>IF(OR(ISBLANK(J876),ISBLANK(K876)),IF(OR(H876="ALI",H876="AIE"),"L",IF(ISBLANK(H876),"","A")),IF(H876="EE",IF(K876&gt;=3,IF(J876&gt;=5,"H","A"),IF(K876&gt;=2,IF(J876&gt;=16,"H",IF(J876&lt;=4,"L","A")),IF(J876&lt;=15,"L","A"))),IF(OR(H876="SE",H876="CE"),IF(K876&gt;=4,IF(J876&gt;=6,"H","A"),IF(K876&gt;=2,IF(J876&gt;=20,"H",IF(J876&lt;=5,"L","A")),IF(J876&lt;=19,"L","A"))),IF(OR(H876="ALI",H876="AIE"),IF(K876&gt;=6,IF(J876&gt;=20,"H","A"),IF(K876&gt;=2,IF(J876&gt;=51,"H",IF(J876&lt;=19,"L","A")),IF(J876&lt;=50,"L","A")))))))</f>
        <v/>
      </c>
      <c r="N876" s="52">
        <f>IF(M876="L","Baixa",IF(M876="A","Média",IF(M876="","","Alta")))</f>
        <v/>
      </c>
      <c r="O876" s="53">
        <f>IF(ISBLANK(H876),"",IF(H876="ALI",IF(M876="L",7,IF(M876="A",10,15)),IF(H876="AIE",IF(M876="L",5,IF(M876="A",7,10)),IF(H876="SE",IF(M876="L",4,IF(M876="A",5,7)),IF(OR(H876="EE",H876="CE"),IF(M876="L",3,IF(M876="A",4,6)))))))</f>
        <v/>
      </c>
      <c r="P876" s="54">
        <f>IF(I876="I",O876*Contagem!$W$15,IF(I876="E",O876*Contagem!$W$17,IF(I876="A",O876*Contagem!$W$16,IF(I876="T",O876*Contagem!$W$18,""))))</f>
        <v/>
      </c>
      <c r="Q876" s="55" t="n"/>
    </row>
    <row r="877" ht="12" customHeight="1" s="73">
      <c r="A877" s="14">
        <f>IF(H877="",IF(C877="",A876,A876+1),A876)</f>
        <v/>
      </c>
      <c r="B877" s="48">
        <f>IF(A877=A876,"",CONCATENATE("F",A877))</f>
        <v/>
      </c>
      <c r="C877" s="85" t="n"/>
      <c r="D877" s="142" t="n"/>
      <c r="E877" s="142" t="n"/>
      <c r="F877" s="142" t="n"/>
      <c r="G877" s="143" t="n"/>
      <c r="H877" s="56" t="n"/>
      <c r="I877" s="57" t="n"/>
      <c r="J877" s="56" t="n"/>
      <c r="K877" s="56" t="n"/>
      <c r="L877" s="50">
        <f>CONCATENATE(H877,M877)</f>
        <v/>
      </c>
      <c r="M877" s="51">
        <f>IF(OR(ISBLANK(J877),ISBLANK(K877)),IF(OR(H877="ALI",H877="AIE"),"L",IF(ISBLANK(H877),"","A")),IF(H877="EE",IF(K877&gt;=3,IF(J877&gt;=5,"H","A"),IF(K877&gt;=2,IF(J877&gt;=16,"H",IF(J877&lt;=4,"L","A")),IF(J877&lt;=15,"L","A"))),IF(OR(H877="SE",H877="CE"),IF(K877&gt;=4,IF(J877&gt;=6,"H","A"),IF(K877&gt;=2,IF(J877&gt;=20,"H",IF(J877&lt;=5,"L","A")),IF(J877&lt;=19,"L","A"))),IF(OR(H877="ALI",H877="AIE"),IF(K877&gt;=6,IF(J877&gt;=20,"H","A"),IF(K877&gt;=2,IF(J877&gt;=51,"H",IF(J877&lt;=19,"L","A")),IF(J877&lt;=50,"L","A")))))))</f>
        <v/>
      </c>
      <c r="N877" s="52">
        <f>IF(M877="L","Baixa",IF(M877="A","Média",IF(M877="","","Alta")))</f>
        <v/>
      </c>
      <c r="O877" s="53">
        <f>IF(ISBLANK(H877),"",IF(H877="ALI",IF(M877="L",7,IF(M877="A",10,15)),IF(H877="AIE",IF(M877="L",5,IF(M877="A",7,10)),IF(H877="SE",IF(M877="L",4,IF(M877="A",5,7)),IF(OR(H877="EE",H877="CE"),IF(M877="L",3,IF(M877="A",4,6)))))))</f>
        <v/>
      </c>
      <c r="P877" s="54">
        <f>IF(I877="I",O877*Contagem!$W$15,IF(I877="E",O877*Contagem!$W$17,IF(I877="A",O877*Contagem!$W$16,IF(I877="T",O877*Contagem!$W$18,""))))</f>
        <v/>
      </c>
      <c r="Q877" s="55" t="n"/>
    </row>
    <row r="878" ht="12" customHeight="1" s="73">
      <c r="A878" s="14">
        <f>IF(H878="",IF(C878="",A877,A877+1),A877)</f>
        <v/>
      </c>
      <c r="B878" s="48">
        <f>IF(A878=A877,"",CONCATENATE("F",A878))</f>
        <v/>
      </c>
      <c r="C878" s="85" t="n"/>
      <c r="D878" s="142" t="n"/>
      <c r="E878" s="142" t="n"/>
      <c r="F878" s="142" t="n"/>
      <c r="G878" s="143" t="n"/>
      <c r="H878" s="56" t="n"/>
      <c r="I878" s="57" t="n"/>
      <c r="J878" s="56" t="n"/>
      <c r="K878" s="56" t="n"/>
      <c r="L878" s="50">
        <f>CONCATENATE(H878,M878)</f>
        <v/>
      </c>
      <c r="M878" s="51">
        <f>IF(OR(ISBLANK(J878),ISBLANK(K878)),IF(OR(H878="ALI",H878="AIE"),"L",IF(ISBLANK(H878),"","A")),IF(H878="EE",IF(K878&gt;=3,IF(J878&gt;=5,"H","A"),IF(K878&gt;=2,IF(J878&gt;=16,"H",IF(J878&lt;=4,"L","A")),IF(J878&lt;=15,"L","A"))),IF(OR(H878="SE",H878="CE"),IF(K878&gt;=4,IF(J878&gt;=6,"H","A"),IF(K878&gt;=2,IF(J878&gt;=20,"H",IF(J878&lt;=5,"L","A")),IF(J878&lt;=19,"L","A"))),IF(OR(H878="ALI",H878="AIE"),IF(K878&gt;=6,IF(J878&gt;=20,"H","A"),IF(K878&gt;=2,IF(J878&gt;=51,"H",IF(J878&lt;=19,"L","A")),IF(J878&lt;=50,"L","A")))))))</f>
        <v/>
      </c>
      <c r="N878" s="52">
        <f>IF(M878="L","Baixa",IF(M878="A","Média",IF(M878="","","Alta")))</f>
        <v/>
      </c>
      <c r="O878" s="53">
        <f>IF(ISBLANK(H878),"",IF(H878="ALI",IF(M878="L",7,IF(M878="A",10,15)),IF(H878="AIE",IF(M878="L",5,IF(M878="A",7,10)),IF(H878="SE",IF(M878="L",4,IF(M878="A",5,7)),IF(OR(H878="EE",H878="CE"),IF(M878="L",3,IF(M878="A",4,6)))))))</f>
        <v/>
      </c>
      <c r="P878" s="54">
        <f>IF(I878="I",O878*Contagem!$W$15,IF(I878="E",O878*Contagem!$W$17,IF(I878="A",O878*Contagem!$W$16,IF(I878="T",O878*Contagem!$W$18,""))))</f>
        <v/>
      </c>
      <c r="Q878" s="55" t="n"/>
    </row>
    <row r="879" ht="12" customHeight="1" s="73">
      <c r="A879" s="14">
        <f>IF(H879="",IF(C879="",A878,A878+1),A878)</f>
        <v/>
      </c>
      <c r="B879" s="48">
        <f>IF(A879=A878,"",CONCATENATE("F",A879))</f>
        <v/>
      </c>
      <c r="C879" s="85" t="n"/>
      <c r="D879" s="142" t="n"/>
      <c r="E879" s="142" t="n"/>
      <c r="F879" s="142" t="n"/>
      <c r="G879" s="143" t="n"/>
      <c r="H879" s="56" t="n"/>
      <c r="I879" s="57" t="n"/>
      <c r="J879" s="56" t="n"/>
      <c r="K879" s="56" t="n"/>
      <c r="L879" s="50">
        <f>CONCATENATE(H879,M879)</f>
        <v/>
      </c>
      <c r="M879" s="51">
        <f>IF(OR(ISBLANK(J879),ISBLANK(K879)),IF(OR(H879="ALI",H879="AIE"),"L",IF(ISBLANK(H879),"","A")),IF(H879="EE",IF(K879&gt;=3,IF(J879&gt;=5,"H","A"),IF(K879&gt;=2,IF(J879&gt;=16,"H",IF(J879&lt;=4,"L","A")),IF(J879&lt;=15,"L","A"))),IF(OR(H879="SE",H879="CE"),IF(K879&gt;=4,IF(J879&gt;=6,"H","A"),IF(K879&gt;=2,IF(J879&gt;=20,"H",IF(J879&lt;=5,"L","A")),IF(J879&lt;=19,"L","A"))),IF(OR(H879="ALI",H879="AIE"),IF(K879&gt;=6,IF(J879&gt;=20,"H","A"),IF(K879&gt;=2,IF(J879&gt;=51,"H",IF(J879&lt;=19,"L","A")),IF(J879&lt;=50,"L","A")))))))</f>
        <v/>
      </c>
      <c r="N879" s="52">
        <f>IF(M879="L","Baixa",IF(M879="A","Média",IF(M879="","","Alta")))</f>
        <v/>
      </c>
      <c r="O879" s="53">
        <f>IF(ISBLANK(H879),"",IF(H879="ALI",IF(M879="L",7,IF(M879="A",10,15)),IF(H879="AIE",IF(M879="L",5,IF(M879="A",7,10)),IF(H879="SE",IF(M879="L",4,IF(M879="A",5,7)),IF(OR(H879="EE",H879="CE"),IF(M879="L",3,IF(M879="A",4,6)))))))</f>
        <v/>
      </c>
      <c r="P879" s="54">
        <f>IF(I879="I",O879*Contagem!$W$15,IF(I879="E",O879*Contagem!$W$17,IF(I879="A",O879*Contagem!$W$16,IF(I879="T",O879*Contagem!$W$18,""))))</f>
        <v/>
      </c>
      <c r="Q879" s="55" t="n"/>
    </row>
    <row r="880" ht="12" customHeight="1" s="73">
      <c r="A880" s="14">
        <f>IF(H880="",IF(C880="",A879,A879+1),A879)</f>
        <v/>
      </c>
      <c r="B880" s="48">
        <f>IF(A880=A879,"",CONCATENATE("F",A880))</f>
        <v/>
      </c>
      <c r="C880" s="85" t="n"/>
      <c r="D880" s="142" t="n"/>
      <c r="E880" s="142" t="n"/>
      <c r="F880" s="142" t="n"/>
      <c r="G880" s="143" t="n"/>
      <c r="H880" s="56" t="n"/>
      <c r="I880" s="57" t="n"/>
      <c r="J880" s="56" t="n"/>
      <c r="K880" s="56" t="n"/>
      <c r="L880" s="50">
        <f>CONCATENATE(H880,M880)</f>
        <v/>
      </c>
      <c r="M880" s="51">
        <f>IF(OR(ISBLANK(J880),ISBLANK(K880)),IF(OR(H880="ALI",H880="AIE"),"L",IF(ISBLANK(H880),"","A")),IF(H880="EE",IF(K880&gt;=3,IF(J880&gt;=5,"H","A"),IF(K880&gt;=2,IF(J880&gt;=16,"H",IF(J880&lt;=4,"L","A")),IF(J880&lt;=15,"L","A"))),IF(OR(H880="SE",H880="CE"),IF(K880&gt;=4,IF(J880&gt;=6,"H","A"),IF(K880&gt;=2,IF(J880&gt;=20,"H",IF(J880&lt;=5,"L","A")),IF(J880&lt;=19,"L","A"))),IF(OR(H880="ALI",H880="AIE"),IF(K880&gt;=6,IF(J880&gt;=20,"H","A"),IF(K880&gt;=2,IF(J880&gt;=51,"H",IF(J880&lt;=19,"L","A")),IF(J880&lt;=50,"L","A")))))))</f>
        <v/>
      </c>
      <c r="N880" s="52">
        <f>IF(M880="L","Baixa",IF(M880="A","Média",IF(M880="","","Alta")))</f>
        <v/>
      </c>
      <c r="O880" s="53">
        <f>IF(ISBLANK(H880),"",IF(H880="ALI",IF(M880="L",7,IF(M880="A",10,15)),IF(H880="AIE",IF(M880="L",5,IF(M880="A",7,10)),IF(H880="SE",IF(M880="L",4,IF(M880="A",5,7)),IF(OR(H880="EE",H880="CE"),IF(M880="L",3,IF(M880="A",4,6)))))))</f>
        <v/>
      </c>
      <c r="P880" s="54">
        <f>IF(I880="I",O880*Contagem!$W$15,IF(I880="E",O880*Contagem!$W$17,IF(I880="A",O880*Contagem!$W$16,IF(I880="T",O880*Contagem!$W$18,""))))</f>
        <v/>
      </c>
      <c r="Q880" s="55" t="n"/>
    </row>
    <row r="881" ht="12" customHeight="1" s="73">
      <c r="A881" s="14">
        <f>IF(H881="",IF(C881="",A880,A880+1),A880)</f>
        <v/>
      </c>
      <c r="B881" s="48">
        <f>IF(A881=A880,"",CONCATENATE("F",A881))</f>
        <v/>
      </c>
      <c r="C881" s="85" t="n"/>
      <c r="D881" s="142" t="n"/>
      <c r="E881" s="142" t="n"/>
      <c r="F881" s="142" t="n"/>
      <c r="G881" s="143" t="n"/>
      <c r="H881" s="56" t="n"/>
      <c r="I881" s="57" t="n"/>
      <c r="J881" s="56" t="n"/>
      <c r="K881" s="56" t="n"/>
      <c r="L881" s="50">
        <f>CONCATENATE(H881,M881)</f>
        <v/>
      </c>
      <c r="M881" s="51">
        <f>IF(OR(ISBLANK(J881),ISBLANK(K881)),IF(OR(H881="ALI",H881="AIE"),"L",IF(ISBLANK(H881),"","A")),IF(H881="EE",IF(K881&gt;=3,IF(J881&gt;=5,"H","A"),IF(K881&gt;=2,IF(J881&gt;=16,"H",IF(J881&lt;=4,"L","A")),IF(J881&lt;=15,"L","A"))),IF(OR(H881="SE",H881="CE"),IF(K881&gt;=4,IF(J881&gt;=6,"H","A"),IF(K881&gt;=2,IF(J881&gt;=20,"H",IF(J881&lt;=5,"L","A")),IF(J881&lt;=19,"L","A"))),IF(OR(H881="ALI",H881="AIE"),IF(K881&gt;=6,IF(J881&gt;=20,"H","A"),IF(K881&gt;=2,IF(J881&gt;=51,"H",IF(J881&lt;=19,"L","A")),IF(J881&lt;=50,"L","A")))))))</f>
        <v/>
      </c>
      <c r="N881" s="52">
        <f>IF(M881="L","Baixa",IF(M881="A","Média",IF(M881="","","Alta")))</f>
        <v/>
      </c>
      <c r="O881" s="53">
        <f>IF(ISBLANK(H881),"",IF(H881="ALI",IF(M881="L",7,IF(M881="A",10,15)),IF(H881="AIE",IF(M881="L",5,IF(M881="A",7,10)),IF(H881="SE",IF(M881="L",4,IF(M881="A",5,7)),IF(OR(H881="EE",H881="CE"),IF(M881="L",3,IF(M881="A",4,6)))))))</f>
        <v/>
      </c>
      <c r="P881" s="54">
        <f>IF(I881="I",O881*Contagem!$W$15,IF(I881="E",O881*Contagem!$W$17,IF(I881="A",O881*Contagem!$W$16,IF(I881="T",O881*Contagem!$W$18,""))))</f>
        <v/>
      </c>
      <c r="Q881" s="55" t="n"/>
    </row>
    <row r="882" ht="12" customHeight="1" s="73">
      <c r="A882" s="14">
        <f>IF(H882="",IF(C882="",A881,A881+1),A881)</f>
        <v/>
      </c>
      <c r="B882" s="48">
        <f>IF(A882=A881,"",CONCATENATE("F",A882))</f>
        <v/>
      </c>
      <c r="C882" s="85" t="n"/>
      <c r="D882" s="142" t="n"/>
      <c r="E882" s="142" t="n"/>
      <c r="F882" s="142" t="n"/>
      <c r="G882" s="143" t="n"/>
      <c r="H882" s="56" t="n"/>
      <c r="I882" s="57" t="n"/>
      <c r="J882" s="56" t="n"/>
      <c r="K882" s="56" t="n"/>
      <c r="L882" s="50">
        <f>CONCATENATE(H882,M882)</f>
        <v/>
      </c>
      <c r="M882" s="51">
        <f>IF(OR(ISBLANK(J882),ISBLANK(K882)),IF(OR(H882="ALI",H882="AIE"),"L",IF(ISBLANK(H882),"","A")),IF(H882="EE",IF(K882&gt;=3,IF(J882&gt;=5,"H","A"),IF(K882&gt;=2,IF(J882&gt;=16,"H",IF(J882&lt;=4,"L","A")),IF(J882&lt;=15,"L","A"))),IF(OR(H882="SE",H882="CE"),IF(K882&gt;=4,IF(J882&gt;=6,"H","A"),IF(K882&gt;=2,IF(J882&gt;=20,"H",IF(J882&lt;=5,"L","A")),IF(J882&lt;=19,"L","A"))),IF(OR(H882="ALI",H882="AIE"),IF(K882&gt;=6,IF(J882&gt;=20,"H","A"),IF(K882&gt;=2,IF(J882&gt;=51,"H",IF(J882&lt;=19,"L","A")),IF(J882&lt;=50,"L","A")))))))</f>
        <v/>
      </c>
      <c r="N882" s="52">
        <f>IF(M882="L","Baixa",IF(M882="A","Média",IF(M882="","","Alta")))</f>
        <v/>
      </c>
      <c r="O882" s="53">
        <f>IF(ISBLANK(H882),"",IF(H882="ALI",IF(M882="L",7,IF(M882="A",10,15)),IF(H882="AIE",IF(M882="L",5,IF(M882="A",7,10)),IF(H882="SE",IF(M882="L",4,IF(M882="A",5,7)),IF(OR(H882="EE",H882="CE"),IF(M882="L",3,IF(M882="A",4,6)))))))</f>
        <v/>
      </c>
      <c r="P882" s="54">
        <f>IF(I882="I",O882*Contagem!$W$15,IF(I882="E",O882*Contagem!$W$17,IF(I882="A",O882*Contagem!$W$16,IF(I882="T",O882*Contagem!$W$18,""))))</f>
        <v/>
      </c>
      <c r="Q882" s="55" t="n"/>
    </row>
    <row r="883" ht="12" customHeight="1" s="73">
      <c r="A883" s="14">
        <f>IF(H883="",IF(C883="",A882,A882+1),A882)</f>
        <v/>
      </c>
      <c r="B883" s="48">
        <f>IF(A883=A882,"",CONCATENATE("F",A883))</f>
        <v/>
      </c>
      <c r="C883" s="85" t="n"/>
      <c r="D883" s="142" t="n"/>
      <c r="E883" s="142" t="n"/>
      <c r="F883" s="142" t="n"/>
      <c r="G883" s="143" t="n"/>
      <c r="H883" s="56" t="n"/>
      <c r="I883" s="57" t="n"/>
      <c r="J883" s="56" t="n"/>
      <c r="K883" s="56" t="n"/>
      <c r="L883" s="50">
        <f>CONCATENATE(H883,M883)</f>
        <v/>
      </c>
      <c r="M883" s="51">
        <f>IF(OR(ISBLANK(J883),ISBLANK(K883)),IF(OR(H883="ALI",H883="AIE"),"L",IF(ISBLANK(H883),"","A")),IF(H883="EE",IF(K883&gt;=3,IF(J883&gt;=5,"H","A"),IF(K883&gt;=2,IF(J883&gt;=16,"H",IF(J883&lt;=4,"L","A")),IF(J883&lt;=15,"L","A"))),IF(OR(H883="SE",H883="CE"),IF(K883&gt;=4,IF(J883&gt;=6,"H","A"),IF(K883&gt;=2,IF(J883&gt;=20,"H",IF(J883&lt;=5,"L","A")),IF(J883&lt;=19,"L","A"))),IF(OR(H883="ALI",H883="AIE"),IF(K883&gt;=6,IF(J883&gt;=20,"H","A"),IF(K883&gt;=2,IF(J883&gt;=51,"H",IF(J883&lt;=19,"L","A")),IF(J883&lt;=50,"L","A")))))))</f>
        <v/>
      </c>
      <c r="N883" s="52">
        <f>IF(M883="L","Baixa",IF(M883="A","Média",IF(M883="","","Alta")))</f>
        <v/>
      </c>
      <c r="O883" s="53">
        <f>IF(ISBLANK(H883),"",IF(H883="ALI",IF(M883="L",7,IF(M883="A",10,15)),IF(H883="AIE",IF(M883="L",5,IF(M883="A",7,10)),IF(H883="SE",IF(M883="L",4,IF(M883="A",5,7)),IF(OR(H883="EE",H883="CE"),IF(M883="L",3,IF(M883="A",4,6)))))))</f>
        <v/>
      </c>
      <c r="P883" s="54">
        <f>IF(I883="I",O883*Contagem!$W$15,IF(I883="E",O883*Contagem!$W$17,IF(I883="A",O883*Contagem!$W$16,IF(I883="T",O883*Contagem!$W$18,""))))</f>
        <v/>
      </c>
      <c r="Q883" s="55" t="n"/>
    </row>
    <row r="884" ht="12" customHeight="1" s="73">
      <c r="A884" s="14">
        <f>IF(H884="",IF(C884="",A883,A883+1),A883)</f>
        <v/>
      </c>
      <c r="B884" s="48">
        <f>IF(A884=A883,"",CONCATENATE("F",A884))</f>
        <v/>
      </c>
      <c r="C884" s="85" t="n"/>
      <c r="D884" s="142" t="n"/>
      <c r="E884" s="142" t="n"/>
      <c r="F884" s="142" t="n"/>
      <c r="G884" s="143" t="n"/>
      <c r="H884" s="56" t="n"/>
      <c r="I884" s="57" t="n"/>
      <c r="J884" s="56" t="n"/>
      <c r="K884" s="56" t="n"/>
      <c r="L884" s="50">
        <f>CONCATENATE(H884,M884)</f>
        <v/>
      </c>
      <c r="M884" s="51">
        <f>IF(OR(ISBLANK(J884),ISBLANK(K884)),IF(OR(H884="ALI",H884="AIE"),"L",IF(ISBLANK(H884),"","A")),IF(H884="EE",IF(K884&gt;=3,IF(J884&gt;=5,"H","A"),IF(K884&gt;=2,IF(J884&gt;=16,"H",IF(J884&lt;=4,"L","A")),IF(J884&lt;=15,"L","A"))),IF(OR(H884="SE",H884="CE"),IF(K884&gt;=4,IF(J884&gt;=6,"H","A"),IF(K884&gt;=2,IF(J884&gt;=20,"H",IF(J884&lt;=5,"L","A")),IF(J884&lt;=19,"L","A"))),IF(OR(H884="ALI",H884="AIE"),IF(K884&gt;=6,IF(J884&gt;=20,"H","A"),IF(K884&gt;=2,IF(J884&gt;=51,"H",IF(J884&lt;=19,"L","A")),IF(J884&lt;=50,"L","A")))))))</f>
        <v/>
      </c>
      <c r="N884" s="52">
        <f>IF(M884="L","Baixa",IF(M884="A","Média",IF(M884="","","Alta")))</f>
        <v/>
      </c>
      <c r="O884" s="53">
        <f>IF(ISBLANK(H884),"",IF(H884="ALI",IF(M884="L",7,IF(M884="A",10,15)),IF(H884="AIE",IF(M884="L",5,IF(M884="A",7,10)),IF(H884="SE",IF(M884="L",4,IF(M884="A",5,7)),IF(OR(H884="EE",H884="CE"),IF(M884="L",3,IF(M884="A",4,6)))))))</f>
        <v/>
      </c>
      <c r="P884" s="54">
        <f>IF(I884="I",O884*Contagem!$W$15,IF(I884="E",O884*Contagem!$W$17,IF(I884="A",O884*Contagem!$W$16,IF(I884="T",O884*Contagem!$W$18,""))))</f>
        <v/>
      </c>
      <c r="Q884" s="55" t="n"/>
    </row>
    <row r="885" ht="12" customHeight="1" s="73">
      <c r="A885" s="14">
        <f>IF(H885="",IF(C885="",A884,A884+1),A884)</f>
        <v/>
      </c>
      <c r="B885" s="48">
        <f>IF(A885=A884,"",CONCATENATE("F",A885))</f>
        <v/>
      </c>
      <c r="C885" s="85" t="n"/>
      <c r="D885" s="142" t="n"/>
      <c r="E885" s="142" t="n"/>
      <c r="F885" s="142" t="n"/>
      <c r="G885" s="143" t="n"/>
      <c r="H885" s="56" t="n"/>
      <c r="I885" s="57" t="n"/>
      <c r="J885" s="56" t="n"/>
      <c r="K885" s="56" t="n"/>
      <c r="L885" s="50">
        <f>CONCATENATE(H885,M885)</f>
        <v/>
      </c>
      <c r="M885" s="51">
        <f>IF(OR(ISBLANK(J885),ISBLANK(K885)),IF(OR(H885="ALI",H885="AIE"),"L",IF(ISBLANK(H885),"","A")),IF(H885="EE",IF(K885&gt;=3,IF(J885&gt;=5,"H","A"),IF(K885&gt;=2,IF(J885&gt;=16,"H",IF(J885&lt;=4,"L","A")),IF(J885&lt;=15,"L","A"))),IF(OR(H885="SE",H885="CE"),IF(K885&gt;=4,IF(J885&gt;=6,"H","A"),IF(K885&gt;=2,IF(J885&gt;=20,"H",IF(J885&lt;=5,"L","A")),IF(J885&lt;=19,"L","A"))),IF(OR(H885="ALI",H885="AIE"),IF(K885&gt;=6,IF(J885&gt;=20,"H","A"),IF(K885&gt;=2,IF(J885&gt;=51,"H",IF(J885&lt;=19,"L","A")),IF(J885&lt;=50,"L","A")))))))</f>
        <v/>
      </c>
      <c r="N885" s="52">
        <f>IF(M885="L","Baixa",IF(M885="A","Média",IF(M885="","","Alta")))</f>
        <v/>
      </c>
      <c r="O885" s="53">
        <f>IF(ISBLANK(H885),"",IF(H885="ALI",IF(M885="L",7,IF(M885="A",10,15)),IF(H885="AIE",IF(M885="L",5,IF(M885="A",7,10)),IF(H885="SE",IF(M885="L",4,IF(M885="A",5,7)),IF(OR(H885="EE",H885="CE"),IF(M885="L",3,IF(M885="A",4,6)))))))</f>
        <v/>
      </c>
      <c r="P885" s="54">
        <f>IF(I885="I",O885*Contagem!$W$15,IF(I885="E",O885*Contagem!$W$17,IF(I885="A",O885*Contagem!$W$16,IF(I885="T",O885*Contagem!$W$18,""))))</f>
        <v/>
      </c>
      <c r="Q885" s="55" t="n"/>
    </row>
    <row r="886" ht="12" customHeight="1" s="73">
      <c r="A886" s="14">
        <f>IF(H886="",IF(C886="",A885,A885+1),A885)</f>
        <v/>
      </c>
      <c r="B886" s="48">
        <f>IF(A886=A885,"",CONCATENATE("F",A886))</f>
        <v/>
      </c>
      <c r="C886" s="85" t="n"/>
      <c r="D886" s="142" t="n"/>
      <c r="E886" s="142" t="n"/>
      <c r="F886" s="142" t="n"/>
      <c r="G886" s="143" t="n"/>
      <c r="H886" s="56" t="n"/>
      <c r="I886" s="57" t="n"/>
      <c r="J886" s="56" t="n"/>
      <c r="K886" s="56" t="n"/>
      <c r="L886" s="50">
        <f>CONCATENATE(H886,M886)</f>
        <v/>
      </c>
      <c r="M886" s="51">
        <f>IF(OR(ISBLANK(J886),ISBLANK(K886)),IF(OR(H886="ALI",H886="AIE"),"L",IF(ISBLANK(H886),"","A")),IF(H886="EE",IF(K886&gt;=3,IF(J886&gt;=5,"H","A"),IF(K886&gt;=2,IF(J886&gt;=16,"H",IF(J886&lt;=4,"L","A")),IF(J886&lt;=15,"L","A"))),IF(OR(H886="SE",H886="CE"),IF(K886&gt;=4,IF(J886&gt;=6,"H","A"),IF(K886&gt;=2,IF(J886&gt;=20,"H",IF(J886&lt;=5,"L","A")),IF(J886&lt;=19,"L","A"))),IF(OR(H886="ALI",H886="AIE"),IF(K886&gt;=6,IF(J886&gt;=20,"H","A"),IF(K886&gt;=2,IF(J886&gt;=51,"H",IF(J886&lt;=19,"L","A")),IF(J886&lt;=50,"L","A")))))))</f>
        <v/>
      </c>
      <c r="N886" s="52">
        <f>IF(M886="L","Baixa",IF(M886="A","Média",IF(M886="","","Alta")))</f>
        <v/>
      </c>
      <c r="O886" s="53">
        <f>IF(ISBLANK(H886),"",IF(H886="ALI",IF(M886="L",7,IF(M886="A",10,15)),IF(H886="AIE",IF(M886="L",5,IF(M886="A",7,10)),IF(H886="SE",IF(M886="L",4,IF(M886="A",5,7)),IF(OR(H886="EE",H886="CE"),IF(M886="L",3,IF(M886="A",4,6)))))))</f>
        <v/>
      </c>
      <c r="P886" s="54">
        <f>IF(I886="I",O886*Contagem!$W$15,IF(I886="E",O886*Contagem!$W$17,IF(I886="A",O886*Contagem!$W$16,IF(I886="T",O886*Contagem!$W$18,""))))</f>
        <v/>
      </c>
      <c r="Q886" s="55" t="n"/>
    </row>
    <row r="887" ht="12" customHeight="1" s="73">
      <c r="A887" s="14">
        <f>IF(H887="",IF(C887="",A886,A886+1),A886)</f>
        <v/>
      </c>
      <c r="B887" s="48">
        <f>IF(A887=A886,"",CONCATENATE("F",A887))</f>
        <v/>
      </c>
      <c r="C887" s="85" t="n"/>
      <c r="D887" s="142" t="n"/>
      <c r="E887" s="142" t="n"/>
      <c r="F887" s="142" t="n"/>
      <c r="G887" s="143" t="n"/>
      <c r="H887" s="56" t="n"/>
      <c r="I887" s="57" t="n"/>
      <c r="J887" s="56" t="n"/>
      <c r="K887" s="56" t="n"/>
      <c r="L887" s="50">
        <f>CONCATENATE(H887,M887)</f>
        <v/>
      </c>
      <c r="M887" s="51">
        <f>IF(OR(ISBLANK(J887),ISBLANK(K887)),IF(OR(H887="ALI",H887="AIE"),"L",IF(ISBLANK(H887),"","A")),IF(H887="EE",IF(K887&gt;=3,IF(J887&gt;=5,"H","A"),IF(K887&gt;=2,IF(J887&gt;=16,"H",IF(J887&lt;=4,"L","A")),IF(J887&lt;=15,"L","A"))),IF(OR(H887="SE",H887="CE"),IF(K887&gt;=4,IF(J887&gt;=6,"H","A"),IF(K887&gt;=2,IF(J887&gt;=20,"H",IF(J887&lt;=5,"L","A")),IF(J887&lt;=19,"L","A"))),IF(OR(H887="ALI",H887="AIE"),IF(K887&gt;=6,IF(J887&gt;=20,"H","A"),IF(K887&gt;=2,IF(J887&gt;=51,"H",IF(J887&lt;=19,"L","A")),IF(J887&lt;=50,"L","A")))))))</f>
        <v/>
      </c>
      <c r="N887" s="52">
        <f>IF(M887="L","Baixa",IF(M887="A","Média",IF(M887="","","Alta")))</f>
        <v/>
      </c>
      <c r="O887" s="53">
        <f>IF(ISBLANK(H887),"",IF(H887="ALI",IF(M887="L",7,IF(M887="A",10,15)),IF(H887="AIE",IF(M887="L",5,IF(M887="A",7,10)),IF(H887="SE",IF(M887="L",4,IF(M887="A",5,7)),IF(OR(H887="EE",H887="CE"),IF(M887="L",3,IF(M887="A",4,6)))))))</f>
        <v/>
      </c>
      <c r="P887" s="54">
        <f>IF(I887="I",O887*Contagem!$W$15,IF(I887="E",O887*Contagem!$W$17,IF(I887="A",O887*Contagem!$W$16,IF(I887="T",O887*Contagem!$W$18,""))))</f>
        <v/>
      </c>
      <c r="Q887" s="55" t="n"/>
    </row>
    <row r="888" ht="12" customHeight="1" s="73">
      <c r="A888" s="14">
        <f>IF(H888="",IF(C888="",A887,A887+1),A887)</f>
        <v/>
      </c>
      <c r="B888" s="48">
        <f>IF(A888=A887,"",CONCATENATE("F",A888))</f>
        <v/>
      </c>
      <c r="C888" s="85" t="n"/>
      <c r="D888" s="142" t="n"/>
      <c r="E888" s="142" t="n"/>
      <c r="F888" s="142" t="n"/>
      <c r="G888" s="143" t="n"/>
      <c r="H888" s="56" t="n"/>
      <c r="I888" s="57" t="n"/>
      <c r="J888" s="56" t="n"/>
      <c r="K888" s="56" t="n"/>
      <c r="L888" s="50">
        <f>CONCATENATE(H888,M888)</f>
        <v/>
      </c>
      <c r="M888" s="51">
        <f>IF(OR(ISBLANK(J888),ISBLANK(K888)),IF(OR(H888="ALI",H888="AIE"),"L",IF(ISBLANK(H888),"","A")),IF(H888="EE",IF(K888&gt;=3,IF(J888&gt;=5,"H","A"),IF(K888&gt;=2,IF(J888&gt;=16,"H",IF(J888&lt;=4,"L","A")),IF(J888&lt;=15,"L","A"))),IF(OR(H888="SE",H888="CE"),IF(K888&gt;=4,IF(J888&gt;=6,"H","A"),IF(K888&gt;=2,IF(J888&gt;=20,"H",IF(J888&lt;=5,"L","A")),IF(J888&lt;=19,"L","A"))),IF(OR(H888="ALI",H888="AIE"),IF(K888&gt;=6,IF(J888&gt;=20,"H","A"),IF(K888&gt;=2,IF(J888&gt;=51,"H",IF(J888&lt;=19,"L","A")),IF(J888&lt;=50,"L","A")))))))</f>
        <v/>
      </c>
      <c r="N888" s="52">
        <f>IF(M888="L","Baixa",IF(M888="A","Média",IF(M888="","","Alta")))</f>
        <v/>
      </c>
      <c r="O888" s="53">
        <f>IF(ISBLANK(H888),"",IF(H888="ALI",IF(M888="L",7,IF(M888="A",10,15)),IF(H888="AIE",IF(M888="L",5,IF(M888="A",7,10)),IF(H888="SE",IF(M888="L",4,IF(M888="A",5,7)),IF(OR(H888="EE",H888="CE"),IF(M888="L",3,IF(M888="A",4,6)))))))</f>
        <v/>
      </c>
      <c r="P888" s="54">
        <f>IF(I888="I",O888*Contagem!$W$15,IF(I888="E",O888*Contagem!$W$17,IF(I888="A",O888*Contagem!$W$16,IF(I888="T",O888*Contagem!$W$18,""))))</f>
        <v/>
      </c>
      <c r="Q888" s="55" t="n"/>
    </row>
    <row r="889" ht="12" customHeight="1" s="73">
      <c r="A889" s="14">
        <f>IF(H889="",IF(C889="",A888,A888+1),A888)</f>
        <v/>
      </c>
      <c r="B889" s="48">
        <f>IF(A889=A888,"",CONCATENATE("F",A889))</f>
        <v/>
      </c>
      <c r="C889" s="85" t="n"/>
      <c r="D889" s="142" t="n"/>
      <c r="E889" s="142" t="n"/>
      <c r="F889" s="142" t="n"/>
      <c r="G889" s="143" t="n"/>
      <c r="H889" s="56" t="n"/>
      <c r="I889" s="57" t="n"/>
      <c r="J889" s="56" t="n"/>
      <c r="K889" s="56" t="n"/>
      <c r="L889" s="50">
        <f>CONCATENATE(H889,M889)</f>
        <v/>
      </c>
      <c r="M889" s="51">
        <f>IF(OR(ISBLANK(J889),ISBLANK(K889)),IF(OR(H889="ALI",H889="AIE"),"L",IF(ISBLANK(H889),"","A")),IF(H889="EE",IF(K889&gt;=3,IF(J889&gt;=5,"H","A"),IF(K889&gt;=2,IF(J889&gt;=16,"H",IF(J889&lt;=4,"L","A")),IF(J889&lt;=15,"L","A"))),IF(OR(H889="SE",H889="CE"),IF(K889&gt;=4,IF(J889&gt;=6,"H","A"),IF(K889&gt;=2,IF(J889&gt;=20,"H",IF(J889&lt;=5,"L","A")),IF(J889&lt;=19,"L","A"))),IF(OR(H889="ALI",H889="AIE"),IF(K889&gt;=6,IF(J889&gt;=20,"H","A"),IF(K889&gt;=2,IF(J889&gt;=51,"H",IF(J889&lt;=19,"L","A")),IF(J889&lt;=50,"L","A")))))))</f>
        <v/>
      </c>
      <c r="N889" s="52">
        <f>IF(M889="L","Baixa",IF(M889="A","Média",IF(M889="","","Alta")))</f>
        <v/>
      </c>
      <c r="O889" s="53">
        <f>IF(ISBLANK(H889),"",IF(H889="ALI",IF(M889="L",7,IF(M889="A",10,15)),IF(H889="AIE",IF(M889="L",5,IF(M889="A",7,10)),IF(H889="SE",IF(M889="L",4,IF(M889="A",5,7)),IF(OR(H889="EE",H889="CE"),IF(M889="L",3,IF(M889="A",4,6)))))))</f>
        <v/>
      </c>
      <c r="P889" s="54">
        <f>IF(I889="I",O889*Contagem!$W$15,IF(I889="E",O889*Contagem!$W$17,IF(I889="A",O889*Contagem!$W$16,IF(I889="T",O889*Contagem!$W$18,""))))</f>
        <v/>
      </c>
      <c r="Q889" s="55" t="n"/>
    </row>
    <row r="890" ht="12" customHeight="1" s="73">
      <c r="A890" s="14">
        <f>IF(H890="",IF(C890="",A889,A889+1),A889)</f>
        <v/>
      </c>
      <c r="B890" s="48">
        <f>IF(A890=A889,"",CONCATENATE("F",A890))</f>
        <v/>
      </c>
      <c r="C890" s="85" t="n"/>
      <c r="D890" s="142" t="n"/>
      <c r="E890" s="142" t="n"/>
      <c r="F890" s="142" t="n"/>
      <c r="G890" s="143" t="n"/>
      <c r="H890" s="56" t="n"/>
      <c r="I890" s="57" t="n"/>
      <c r="J890" s="56" t="n"/>
      <c r="K890" s="56" t="n"/>
      <c r="L890" s="50">
        <f>CONCATENATE(H890,M890)</f>
        <v/>
      </c>
      <c r="M890" s="51">
        <f>IF(OR(ISBLANK(J890),ISBLANK(K890)),IF(OR(H890="ALI",H890="AIE"),"L",IF(ISBLANK(H890),"","A")),IF(H890="EE",IF(K890&gt;=3,IF(J890&gt;=5,"H","A"),IF(K890&gt;=2,IF(J890&gt;=16,"H",IF(J890&lt;=4,"L","A")),IF(J890&lt;=15,"L","A"))),IF(OR(H890="SE",H890="CE"),IF(K890&gt;=4,IF(J890&gt;=6,"H","A"),IF(K890&gt;=2,IF(J890&gt;=20,"H",IF(J890&lt;=5,"L","A")),IF(J890&lt;=19,"L","A"))),IF(OR(H890="ALI",H890="AIE"),IF(K890&gt;=6,IF(J890&gt;=20,"H","A"),IF(K890&gt;=2,IF(J890&gt;=51,"H",IF(J890&lt;=19,"L","A")),IF(J890&lt;=50,"L","A")))))))</f>
        <v/>
      </c>
      <c r="N890" s="52">
        <f>IF(M890="L","Baixa",IF(M890="A","Média",IF(M890="","","Alta")))</f>
        <v/>
      </c>
      <c r="O890" s="53">
        <f>IF(ISBLANK(H890),"",IF(H890="ALI",IF(M890="L",7,IF(M890="A",10,15)),IF(H890="AIE",IF(M890="L",5,IF(M890="A",7,10)),IF(H890="SE",IF(M890="L",4,IF(M890="A",5,7)),IF(OR(H890="EE",H890="CE"),IF(M890="L",3,IF(M890="A",4,6)))))))</f>
        <v/>
      </c>
      <c r="P890" s="54">
        <f>IF(I890="I",O890*Contagem!$W$15,IF(I890="E",O890*Contagem!$W$17,IF(I890="A",O890*Contagem!$W$16,IF(I890="T",O890*Contagem!$W$18,""))))</f>
        <v/>
      </c>
      <c r="Q890" s="55" t="n"/>
    </row>
    <row r="891" ht="12" customHeight="1" s="73">
      <c r="A891" s="14">
        <f>IF(H891="",IF(C891="",A890,A890+1),A890)</f>
        <v/>
      </c>
      <c r="B891" s="48">
        <f>IF(A891=A890,"",CONCATENATE("F",A891))</f>
        <v/>
      </c>
      <c r="C891" s="85" t="n"/>
      <c r="D891" s="142" t="n"/>
      <c r="E891" s="142" t="n"/>
      <c r="F891" s="142" t="n"/>
      <c r="G891" s="143" t="n"/>
      <c r="H891" s="56" t="n"/>
      <c r="I891" s="57" t="n"/>
      <c r="J891" s="56" t="n"/>
      <c r="K891" s="56" t="n"/>
      <c r="L891" s="50">
        <f>CONCATENATE(H891,M891)</f>
        <v/>
      </c>
      <c r="M891" s="51">
        <f>IF(OR(ISBLANK(J891),ISBLANK(K891)),IF(OR(H891="ALI",H891="AIE"),"L",IF(ISBLANK(H891),"","A")),IF(H891="EE",IF(K891&gt;=3,IF(J891&gt;=5,"H","A"),IF(K891&gt;=2,IF(J891&gt;=16,"H",IF(J891&lt;=4,"L","A")),IF(J891&lt;=15,"L","A"))),IF(OR(H891="SE",H891="CE"),IF(K891&gt;=4,IF(J891&gt;=6,"H","A"),IF(K891&gt;=2,IF(J891&gt;=20,"H",IF(J891&lt;=5,"L","A")),IF(J891&lt;=19,"L","A"))),IF(OR(H891="ALI",H891="AIE"),IF(K891&gt;=6,IF(J891&gt;=20,"H","A"),IF(K891&gt;=2,IF(J891&gt;=51,"H",IF(J891&lt;=19,"L","A")),IF(J891&lt;=50,"L","A")))))))</f>
        <v/>
      </c>
      <c r="N891" s="52">
        <f>IF(M891="L","Baixa",IF(M891="A","Média",IF(M891="","","Alta")))</f>
        <v/>
      </c>
      <c r="O891" s="53">
        <f>IF(ISBLANK(H891),"",IF(H891="ALI",IF(M891="L",7,IF(M891="A",10,15)),IF(H891="AIE",IF(M891="L",5,IF(M891="A",7,10)),IF(H891="SE",IF(M891="L",4,IF(M891="A",5,7)),IF(OR(H891="EE",H891="CE"),IF(M891="L",3,IF(M891="A",4,6)))))))</f>
        <v/>
      </c>
      <c r="P891" s="54">
        <f>IF(I891="I",O891*Contagem!$W$15,IF(I891="E",O891*Contagem!$W$17,IF(I891="A",O891*Contagem!$W$16,IF(I891="T",O891*Contagem!$W$18,""))))</f>
        <v/>
      </c>
      <c r="Q891" s="55" t="n"/>
    </row>
    <row r="892" ht="12" customHeight="1" s="73">
      <c r="A892" s="14">
        <f>IF(H892="",IF(C892="",A891,A891+1),A891)</f>
        <v/>
      </c>
      <c r="B892" s="48">
        <f>IF(A892=A891,"",CONCATENATE("F",A892))</f>
        <v/>
      </c>
      <c r="C892" s="85" t="n"/>
      <c r="D892" s="142" t="n"/>
      <c r="E892" s="142" t="n"/>
      <c r="F892" s="142" t="n"/>
      <c r="G892" s="143" t="n"/>
      <c r="H892" s="56" t="n"/>
      <c r="I892" s="57" t="n"/>
      <c r="J892" s="56" t="n"/>
      <c r="K892" s="56" t="n"/>
      <c r="L892" s="50">
        <f>CONCATENATE(H892,M892)</f>
        <v/>
      </c>
      <c r="M892" s="51">
        <f>IF(OR(ISBLANK(J892),ISBLANK(K892)),IF(OR(H892="ALI",H892="AIE"),"L",IF(ISBLANK(H892),"","A")),IF(H892="EE",IF(K892&gt;=3,IF(J892&gt;=5,"H","A"),IF(K892&gt;=2,IF(J892&gt;=16,"H",IF(J892&lt;=4,"L","A")),IF(J892&lt;=15,"L","A"))),IF(OR(H892="SE",H892="CE"),IF(K892&gt;=4,IF(J892&gt;=6,"H","A"),IF(K892&gt;=2,IF(J892&gt;=20,"H",IF(J892&lt;=5,"L","A")),IF(J892&lt;=19,"L","A"))),IF(OR(H892="ALI",H892="AIE"),IF(K892&gt;=6,IF(J892&gt;=20,"H","A"),IF(K892&gt;=2,IF(J892&gt;=51,"H",IF(J892&lt;=19,"L","A")),IF(J892&lt;=50,"L","A")))))))</f>
        <v/>
      </c>
      <c r="N892" s="52">
        <f>IF(M892="L","Baixa",IF(M892="A","Média",IF(M892="","","Alta")))</f>
        <v/>
      </c>
      <c r="O892" s="53">
        <f>IF(ISBLANK(H892),"",IF(H892="ALI",IF(M892="L",7,IF(M892="A",10,15)),IF(H892="AIE",IF(M892="L",5,IF(M892="A",7,10)),IF(H892="SE",IF(M892="L",4,IF(M892="A",5,7)),IF(OR(H892="EE",H892="CE"),IF(M892="L",3,IF(M892="A",4,6)))))))</f>
        <v/>
      </c>
      <c r="P892" s="54">
        <f>IF(I892="I",O892*Contagem!$W$15,IF(I892="E",O892*Contagem!$W$17,IF(I892="A",O892*Contagem!$W$16,IF(I892="T",O892*Contagem!$W$18,""))))</f>
        <v/>
      </c>
      <c r="Q892" s="55" t="n"/>
    </row>
    <row r="893" ht="12" customHeight="1" s="73">
      <c r="A893" s="14">
        <f>IF(H893="",IF(C893="",A892,A892+1),A892)</f>
        <v/>
      </c>
      <c r="B893" s="48">
        <f>IF(A893=A892,"",CONCATENATE("F",A893))</f>
        <v/>
      </c>
      <c r="C893" s="85" t="n"/>
      <c r="D893" s="142" t="n"/>
      <c r="E893" s="142" t="n"/>
      <c r="F893" s="142" t="n"/>
      <c r="G893" s="143" t="n"/>
      <c r="H893" s="56" t="n"/>
      <c r="I893" s="57" t="n"/>
      <c r="J893" s="56" t="n"/>
      <c r="K893" s="56" t="n"/>
      <c r="L893" s="50">
        <f>CONCATENATE(H893,M893)</f>
        <v/>
      </c>
      <c r="M893" s="51">
        <f>IF(OR(ISBLANK(J893),ISBLANK(K893)),IF(OR(H893="ALI",H893="AIE"),"L",IF(ISBLANK(H893),"","A")),IF(H893="EE",IF(K893&gt;=3,IF(J893&gt;=5,"H","A"),IF(K893&gt;=2,IF(J893&gt;=16,"H",IF(J893&lt;=4,"L","A")),IF(J893&lt;=15,"L","A"))),IF(OR(H893="SE",H893="CE"),IF(K893&gt;=4,IF(J893&gt;=6,"H","A"),IF(K893&gt;=2,IF(J893&gt;=20,"H",IF(J893&lt;=5,"L","A")),IF(J893&lt;=19,"L","A"))),IF(OR(H893="ALI",H893="AIE"),IF(K893&gt;=6,IF(J893&gt;=20,"H","A"),IF(K893&gt;=2,IF(J893&gt;=51,"H",IF(J893&lt;=19,"L","A")),IF(J893&lt;=50,"L","A")))))))</f>
        <v/>
      </c>
      <c r="N893" s="52">
        <f>IF(M893="L","Baixa",IF(M893="A","Média",IF(M893="","","Alta")))</f>
        <v/>
      </c>
      <c r="O893" s="53">
        <f>IF(ISBLANK(H893),"",IF(H893="ALI",IF(M893="L",7,IF(M893="A",10,15)),IF(H893="AIE",IF(M893="L",5,IF(M893="A",7,10)),IF(H893="SE",IF(M893="L",4,IF(M893="A",5,7)),IF(OR(H893="EE",H893="CE"),IF(M893="L",3,IF(M893="A",4,6)))))))</f>
        <v/>
      </c>
      <c r="P893" s="54">
        <f>IF(I893="I",O893*Contagem!$W$15,IF(I893="E",O893*Contagem!$W$17,IF(I893="A",O893*Contagem!$W$16,IF(I893="T",O893*Contagem!$W$18,""))))</f>
        <v/>
      </c>
      <c r="Q893" s="55" t="n"/>
    </row>
    <row r="894" ht="12" customHeight="1" s="73">
      <c r="A894" s="14">
        <f>IF(H894="",IF(C894="",A893,A893+1),A893)</f>
        <v/>
      </c>
      <c r="B894" s="48">
        <f>IF(A894=A893,"",CONCATENATE("F",A894))</f>
        <v/>
      </c>
      <c r="C894" s="85" t="n"/>
      <c r="D894" s="142" t="n"/>
      <c r="E894" s="142" t="n"/>
      <c r="F894" s="142" t="n"/>
      <c r="G894" s="143" t="n"/>
      <c r="H894" s="56" t="n"/>
      <c r="I894" s="57" t="n"/>
      <c r="J894" s="56" t="n"/>
      <c r="K894" s="56" t="n"/>
      <c r="L894" s="50">
        <f>CONCATENATE(H894,M894)</f>
        <v/>
      </c>
      <c r="M894" s="51">
        <f>IF(OR(ISBLANK(J894),ISBLANK(K894)),IF(OR(H894="ALI",H894="AIE"),"L",IF(ISBLANK(H894),"","A")),IF(H894="EE",IF(K894&gt;=3,IF(J894&gt;=5,"H","A"),IF(K894&gt;=2,IF(J894&gt;=16,"H",IF(J894&lt;=4,"L","A")),IF(J894&lt;=15,"L","A"))),IF(OR(H894="SE",H894="CE"),IF(K894&gt;=4,IF(J894&gt;=6,"H","A"),IF(K894&gt;=2,IF(J894&gt;=20,"H",IF(J894&lt;=5,"L","A")),IF(J894&lt;=19,"L","A"))),IF(OR(H894="ALI",H894="AIE"),IF(K894&gt;=6,IF(J894&gt;=20,"H","A"),IF(K894&gt;=2,IF(J894&gt;=51,"H",IF(J894&lt;=19,"L","A")),IF(J894&lt;=50,"L","A")))))))</f>
        <v/>
      </c>
      <c r="N894" s="52">
        <f>IF(M894="L","Baixa",IF(M894="A","Média",IF(M894="","","Alta")))</f>
        <v/>
      </c>
      <c r="O894" s="53">
        <f>IF(ISBLANK(H894),"",IF(H894="ALI",IF(M894="L",7,IF(M894="A",10,15)),IF(H894="AIE",IF(M894="L",5,IF(M894="A",7,10)),IF(H894="SE",IF(M894="L",4,IF(M894="A",5,7)),IF(OR(H894="EE",H894="CE"),IF(M894="L",3,IF(M894="A",4,6)))))))</f>
        <v/>
      </c>
      <c r="P894" s="54">
        <f>IF(I894="I",O894*Contagem!$W$15,IF(I894="E",O894*Contagem!$W$17,IF(I894="A",O894*Contagem!$W$16,IF(I894="T",O894*Contagem!$W$18,""))))</f>
        <v/>
      </c>
      <c r="Q894" s="55" t="n"/>
    </row>
    <row r="895" ht="12" customHeight="1" s="73">
      <c r="A895" s="14">
        <f>IF(H895="",IF(C895="",A894,A894+1),A894)</f>
        <v/>
      </c>
      <c r="B895" s="48">
        <f>IF(A895=A894,"",CONCATENATE("F",A895))</f>
        <v/>
      </c>
      <c r="C895" s="85" t="n"/>
      <c r="D895" s="142" t="n"/>
      <c r="E895" s="142" t="n"/>
      <c r="F895" s="142" t="n"/>
      <c r="G895" s="143" t="n"/>
      <c r="H895" s="56" t="n"/>
      <c r="I895" s="57" t="n"/>
      <c r="J895" s="56" t="n"/>
      <c r="K895" s="56" t="n"/>
      <c r="L895" s="50">
        <f>CONCATENATE(H895,M895)</f>
        <v/>
      </c>
      <c r="M895" s="51">
        <f>IF(OR(ISBLANK(J895),ISBLANK(K895)),IF(OR(H895="ALI",H895="AIE"),"L",IF(ISBLANK(H895),"","A")),IF(H895="EE",IF(K895&gt;=3,IF(J895&gt;=5,"H","A"),IF(K895&gt;=2,IF(J895&gt;=16,"H",IF(J895&lt;=4,"L","A")),IF(J895&lt;=15,"L","A"))),IF(OR(H895="SE",H895="CE"),IF(K895&gt;=4,IF(J895&gt;=6,"H","A"),IF(K895&gt;=2,IF(J895&gt;=20,"H",IF(J895&lt;=5,"L","A")),IF(J895&lt;=19,"L","A"))),IF(OR(H895="ALI",H895="AIE"),IF(K895&gt;=6,IF(J895&gt;=20,"H","A"),IF(K895&gt;=2,IF(J895&gt;=51,"H",IF(J895&lt;=19,"L","A")),IF(J895&lt;=50,"L","A")))))))</f>
        <v/>
      </c>
      <c r="N895" s="52">
        <f>IF(M895="L","Baixa",IF(M895="A","Média",IF(M895="","","Alta")))</f>
        <v/>
      </c>
      <c r="O895" s="53">
        <f>IF(ISBLANK(H895),"",IF(H895="ALI",IF(M895="L",7,IF(M895="A",10,15)),IF(H895="AIE",IF(M895="L",5,IF(M895="A",7,10)),IF(H895="SE",IF(M895="L",4,IF(M895="A",5,7)),IF(OR(H895="EE",H895="CE"),IF(M895="L",3,IF(M895="A",4,6)))))))</f>
        <v/>
      </c>
      <c r="P895" s="54">
        <f>IF(I895="I",O895*Contagem!$W$15,IF(I895="E",O895*Contagem!$W$17,IF(I895="A",O895*Contagem!$W$16,IF(I895="T",O895*Contagem!$W$18,""))))</f>
        <v/>
      </c>
      <c r="Q895" s="55" t="n"/>
    </row>
    <row r="896" ht="12" customHeight="1" s="73">
      <c r="A896" s="14">
        <f>IF(H896="",IF(C896="",A895,A895+1),A895)</f>
        <v/>
      </c>
      <c r="B896" s="48">
        <f>IF(A896=A895,"",CONCATENATE("F",A896))</f>
        <v/>
      </c>
      <c r="C896" s="85" t="n"/>
      <c r="D896" s="142" t="n"/>
      <c r="E896" s="142" t="n"/>
      <c r="F896" s="142" t="n"/>
      <c r="G896" s="143" t="n"/>
      <c r="H896" s="56" t="n"/>
      <c r="I896" s="57" t="n"/>
      <c r="J896" s="56" t="n"/>
      <c r="K896" s="56" t="n"/>
      <c r="L896" s="50">
        <f>CONCATENATE(H896,M896)</f>
        <v/>
      </c>
      <c r="M896" s="51">
        <f>IF(OR(ISBLANK(J896),ISBLANK(K896)),IF(OR(H896="ALI",H896="AIE"),"L",IF(ISBLANK(H896),"","A")),IF(H896="EE",IF(K896&gt;=3,IF(J896&gt;=5,"H","A"),IF(K896&gt;=2,IF(J896&gt;=16,"H",IF(J896&lt;=4,"L","A")),IF(J896&lt;=15,"L","A"))),IF(OR(H896="SE",H896="CE"),IF(K896&gt;=4,IF(J896&gt;=6,"H","A"),IF(K896&gt;=2,IF(J896&gt;=20,"H",IF(J896&lt;=5,"L","A")),IF(J896&lt;=19,"L","A"))),IF(OR(H896="ALI",H896="AIE"),IF(K896&gt;=6,IF(J896&gt;=20,"H","A"),IF(K896&gt;=2,IF(J896&gt;=51,"H",IF(J896&lt;=19,"L","A")),IF(J896&lt;=50,"L","A")))))))</f>
        <v/>
      </c>
      <c r="N896" s="52">
        <f>IF(M896="L","Baixa",IF(M896="A","Média",IF(M896="","","Alta")))</f>
        <v/>
      </c>
      <c r="O896" s="53">
        <f>IF(ISBLANK(H896),"",IF(H896="ALI",IF(M896="L",7,IF(M896="A",10,15)),IF(H896="AIE",IF(M896="L",5,IF(M896="A",7,10)),IF(H896="SE",IF(M896="L",4,IF(M896="A",5,7)),IF(OR(H896="EE",H896="CE"),IF(M896="L",3,IF(M896="A",4,6)))))))</f>
        <v/>
      </c>
      <c r="P896" s="54">
        <f>IF(I896="I",O896*Contagem!$W$15,IF(I896="E",O896*Contagem!$W$17,IF(I896="A",O896*Contagem!$W$16,IF(I896="T",O896*Contagem!$W$18,""))))</f>
        <v/>
      </c>
      <c r="Q896" s="55" t="n"/>
    </row>
    <row r="897" ht="12" customHeight="1" s="73">
      <c r="A897" s="14">
        <f>IF(H897="",IF(C897="",A896,A896+1),A896)</f>
        <v/>
      </c>
      <c r="B897" s="48">
        <f>IF(A897=A896,"",CONCATENATE("F",A897))</f>
        <v/>
      </c>
      <c r="C897" s="85" t="n"/>
      <c r="D897" s="142" t="n"/>
      <c r="E897" s="142" t="n"/>
      <c r="F897" s="142" t="n"/>
      <c r="G897" s="143" t="n"/>
      <c r="H897" s="56" t="n"/>
      <c r="I897" s="57" t="n"/>
      <c r="J897" s="56" t="n"/>
      <c r="K897" s="56" t="n"/>
      <c r="L897" s="50">
        <f>CONCATENATE(H897,M897)</f>
        <v/>
      </c>
      <c r="M897" s="51">
        <f>IF(OR(ISBLANK(J897),ISBLANK(K897)),IF(OR(H897="ALI",H897="AIE"),"L",IF(ISBLANK(H897),"","A")),IF(H897="EE",IF(K897&gt;=3,IF(J897&gt;=5,"H","A"),IF(K897&gt;=2,IF(J897&gt;=16,"H",IF(J897&lt;=4,"L","A")),IF(J897&lt;=15,"L","A"))),IF(OR(H897="SE",H897="CE"),IF(K897&gt;=4,IF(J897&gt;=6,"H","A"),IF(K897&gt;=2,IF(J897&gt;=20,"H",IF(J897&lt;=5,"L","A")),IF(J897&lt;=19,"L","A"))),IF(OR(H897="ALI",H897="AIE"),IF(K897&gt;=6,IF(J897&gt;=20,"H","A"),IF(K897&gt;=2,IF(J897&gt;=51,"H",IF(J897&lt;=19,"L","A")),IF(J897&lt;=50,"L","A")))))))</f>
        <v/>
      </c>
      <c r="N897" s="52">
        <f>IF(M897="L","Baixa",IF(M897="A","Média",IF(M897="","","Alta")))</f>
        <v/>
      </c>
      <c r="O897" s="53">
        <f>IF(ISBLANK(H897),"",IF(H897="ALI",IF(M897="L",7,IF(M897="A",10,15)),IF(H897="AIE",IF(M897="L",5,IF(M897="A",7,10)),IF(H897="SE",IF(M897="L",4,IF(M897="A",5,7)),IF(OR(H897="EE",H897="CE"),IF(M897="L",3,IF(M897="A",4,6)))))))</f>
        <v/>
      </c>
      <c r="P897" s="54">
        <f>IF(I897="I",O897*Contagem!$W$15,IF(I897="E",O897*Contagem!$W$17,IF(I897="A",O897*Contagem!$W$16,IF(I897="T",O897*Contagem!$W$18,""))))</f>
        <v/>
      </c>
      <c r="Q897" s="55" t="n"/>
    </row>
    <row r="898" ht="12" customHeight="1" s="73">
      <c r="A898" s="14">
        <f>IF(H898="",IF(C898="",A897,A897+1),A897)</f>
        <v/>
      </c>
      <c r="B898" s="48">
        <f>IF(A898=A897,"",CONCATENATE("F",A898))</f>
        <v/>
      </c>
      <c r="C898" s="85" t="n"/>
      <c r="D898" s="142" t="n"/>
      <c r="E898" s="142" t="n"/>
      <c r="F898" s="142" t="n"/>
      <c r="G898" s="143" t="n"/>
      <c r="H898" s="56" t="n"/>
      <c r="I898" s="57" t="n"/>
      <c r="J898" s="56" t="n"/>
      <c r="K898" s="56" t="n"/>
      <c r="L898" s="50">
        <f>CONCATENATE(H898,M898)</f>
        <v/>
      </c>
      <c r="M898" s="51">
        <f>IF(OR(ISBLANK(J898),ISBLANK(K898)),IF(OR(H898="ALI",H898="AIE"),"L",IF(ISBLANK(H898),"","A")),IF(H898="EE",IF(K898&gt;=3,IF(J898&gt;=5,"H","A"),IF(K898&gt;=2,IF(J898&gt;=16,"H",IF(J898&lt;=4,"L","A")),IF(J898&lt;=15,"L","A"))),IF(OR(H898="SE",H898="CE"),IF(K898&gt;=4,IF(J898&gt;=6,"H","A"),IF(K898&gt;=2,IF(J898&gt;=20,"H",IF(J898&lt;=5,"L","A")),IF(J898&lt;=19,"L","A"))),IF(OR(H898="ALI",H898="AIE"),IF(K898&gt;=6,IF(J898&gt;=20,"H","A"),IF(K898&gt;=2,IF(J898&gt;=51,"H",IF(J898&lt;=19,"L","A")),IF(J898&lt;=50,"L","A")))))))</f>
        <v/>
      </c>
      <c r="N898" s="52">
        <f>IF(M898="L","Baixa",IF(M898="A","Média",IF(M898="","","Alta")))</f>
        <v/>
      </c>
      <c r="O898" s="53">
        <f>IF(ISBLANK(H898),"",IF(H898="ALI",IF(M898="L",7,IF(M898="A",10,15)),IF(H898="AIE",IF(M898="L",5,IF(M898="A",7,10)),IF(H898="SE",IF(M898="L",4,IF(M898="A",5,7)),IF(OR(H898="EE",H898="CE"),IF(M898="L",3,IF(M898="A",4,6)))))))</f>
        <v/>
      </c>
      <c r="P898" s="54">
        <f>IF(I898="I",O898*Contagem!$W$15,IF(I898="E",O898*Contagem!$W$17,IF(I898="A",O898*Contagem!$W$16,IF(I898="T",O898*Contagem!$W$18,""))))</f>
        <v/>
      </c>
      <c r="Q898" s="55" t="n"/>
    </row>
    <row r="899" ht="12" customHeight="1" s="73">
      <c r="A899" s="14">
        <f>IF(H899="",IF(C899="",A898,A898+1),A898)</f>
        <v/>
      </c>
      <c r="B899" s="48">
        <f>IF(A899=A898,"",CONCATENATE("F",A899))</f>
        <v/>
      </c>
      <c r="C899" s="85" t="n"/>
      <c r="D899" s="142" t="n"/>
      <c r="E899" s="142" t="n"/>
      <c r="F899" s="142" t="n"/>
      <c r="G899" s="143" t="n"/>
      <c r="H899" s="56" t="n"/>
      <c r="I899" s="57" t="n"/>
      <c r="J899" s="56" t="n"/>
      <c r="K899" s="56" t="n"/>
      <c r="L899" s="50">
        <f>CONCATENATE(H899,M899)</f>
        <v/>
      </c>
      <c r="M899" s="51">
        <f>IF(OR(ISBLANK(J899),ISBLANK(K899)),IF(OR(H899="ALI",H899="AIE"),"L",IF(ISBLANK(H899),"","A")),IF(H899="EE",IF(K899&gt;=3,IF(J899&gt;=5,"H","A"),IF(K899&gt;=2,IF(J899&gt;=16,"H",IF(J899&lt;=4,"L","A")),IF(J899&lt;=15,"L","A"))),IF(OR(H899="SE",H899="CE"),IF(K899&gt;=4,IF(J899&gt;=6,"H","A"),IF(K899&gt;=2,IF(J899&gt;=20,"H",IF(J899&lt;=5,"L","A")),IF(J899&lt;=19,"L","A"))),IF(OR(H899="ALI",H899="AIE"),IF(K899&gt;=6,IF(J899&gt;=20,"H","A"),IF(K899&gt;=2,IF(J899&gt;=51,"H",IF(J899&lt;=19,"L","A")),IF(J899&lt;=50,"L","A")))))))</f>
        <v/>
      </c>
      <c r="N899" s="52">
        <f>IF(M899="L","Baixa",IF(M899="A","Média",IF(M899="","","Alta")))</f>
        <v/>
      </c>
      <c r="O899" s="53">
        <f>IF(ISBLANK(H899),"",IF(H899="ALI",IF(M899="L",7,IF(M899="A",10,15)),IF(H899="AIE",IF(M899="L",5,IF(M899="A",7,10)),IF(H899="SE",IF(M899="L",4,IF(M899="A",5,7)),IF(OR(H899="EE",H899="CE"),IF(M899="L",3,IF(M899="A",4,6)))))))</f>
        <v/>
      </c>
      <c r="P899" s="54">
        <f>IF(I899="I",O899*Contagem!$W$15,IF(I899="E",O899*Contagem!$W$17,IF(I899="A",O899*Contagem!$W$16,IF(I899="T",O899*Contagem!$W$18,""))))</f>
        <v/>
      </c>
      <c r="Q899" s="55" t="n"/>
    </row>
    <row r="900" ht="12" customHeight="1" s="73">
      <c r="A900" s="14">
        <f>IF(H900="",IF(C900="",A899,A899+1),A899)</f>
        <v/>
      </c>
      <c r="B900" s="48">
        <f>IF(A900=A899,"",CONCATENATE("F",A900))</f>
        <v/>
      </c>
      <c r="C900" s="85" t="n"/>
      <c r="D900" s="142" t="n"/>
      <c r="E900" s="142" t="n"/>
      <c r="F900" s="142" t="n"/>
      <c r="G900" s="143" t="n"/>
      <c r="H900" s="56" t="n"/>
      <c r="I900" s="57" t="n"/>
      <c r="J900" s="56" t="n"/>
      <c r="K900" s="56" t="n"/>
      <c r="L900" s="50">
        <f>CONCATENATE(H900,M900)</f>
        <v/>
      </c>
      <c r="M900" s="51">
        <f>IF(OR(ISBLANK(J900),ISBLANK(K900)),IF(OR(H900="ALI",H900="AIE"),"L",IF(ISBLANK(H900),"","A")),IF(H900="EE",IF(K900&gt;=3,IF(J900&gt;=5,"H","A"),IF(K900&gt;=2,IF(J900&gt;=16,"H",IF(J900&lt;=4,"L","A")),IF(J900&lt;=15,"L","A"))),IF(OR(H900="SE",H900="CE"),IF(K900&gt;=4,IF(J900&gt;=6,"H","A"),IF(K900&gt;=2,IF(J900&gt;=20,"H",IF(J900&lt;=5,"L","A")),IF(J900&lt;=19,"L","A"))),IF(OR(H900="ALI",H900="AIE"),IF(K900&gt;=6,IF(J900&gt;=20,"H","A"),IF(K900&gt;=2,IF(J900&gt;=51,"H",IF(J900&lt;=19,"L","A")),IF(J900&lt;=50,"L","A")))))))</f>
        <v/>
      </c>
      <c r="N900" s="52">
        <f>IF(M900="L","Baixa",IF(M900="A","Média",IF(M900="","","Alta")))</f>
        <v/>
      </c>
      <c r="O900" s="53">
        <f>IF(ISBLANK(H900),"",IF(H900="ALI",IF(M900="L",7,IF(M900="A",10,15)),IF(H900="AIE",IF(M900="L",5,IF(M900="A",7,10)),IF(H900="SE",IF(M900="L",4,IF(M900="A",5,7)),IF(OR(H900="EE",H900="CE"),IF(M900="L",3,IF(M900="A",4,6)))))))</f>
        <v/>
      </c>
      <c r="P900" s="54">
        <f>IF(I900="I",O900*Contagem!$W$15,IF(I900="E",O900*Contagem!$W$17,IF(I900="A",O900*Contagem!$W$16,IF(I900="T",O900*Contagem!$W$18,""))))</f>
        <v/>
      </c>
      <c r="Q900" s="55" t="n"/>
    </row>
    <row r="901" ht="12" customHeight="1" s="73">
      <c r="A901" s="14">
        <f>IF(H901="",IF(C901="",A900,A900+1),A900)</f>
        <v/>
      </c>
      <c r="B901" s="48">
        <f>IF(A901=A900,"",CONCATENATE("F",A901))</f>
        <v/>
      </c>
      <c r="C901" s="85" t="n"/>
      <c r="D901" s="142" t="n"/>
      <c r="E901" s="142" t="n"/>
      <c r="F901" s="142" t="n"/>
      <c r="G901" s="143" t="n"/>
      <c r="H901" s="56" t="n"/>
      <c r="I901" s="57" t="n"/>
      <c r="J901" s="56" t="n"/>
      <c r="K901" s="56" t="n"/>
      <c r="L901" s="50">
        <f>CONCATENATE(H901,M901)</f>
        <v/>
      </c>
      <c r="M901" s="51">
        <f>IF(OR(ISBLANK(J901),ISBLANK(K901)),IF(OR(H901="ALI",H901="AIE"),"L",IF(ISBLANK(H901),"","A")),IF(H901="EE",IF(K901&gt;=3,IF(J901&gt;=5,"H","A"),IF(K901&gt;=2,IF(J901&gt;=16,"H",IF(J901&lt;=4,"L","A")),IF(J901&lt;=15,"L","A"))),IF(OR(H901="SE",H901="CE"),IF(K901&gt;=4,IF(J901&gt;=6,"H","A"),IF(K901&gt;=2,IF(J901&gt;=20,"H",IF(J901&lt;=5,"L","A")),IF(J901&lt;=19,"L","A"))),IF(OR(H901="ALI",H901="AIE"),IF(K901&gt;=6,IF(J901&gt;=20,"H","A"),IF(K901&gt;=2,IF(J901&gt;=51,"H",IF(J901&lt;=19,"L","A")),IF(J901&lt;=50,"L","A")))))))</f>
        <v/>
      </c>
      <c r="N901" s="52">
        <f>IF(M901="L","Baixa",IF(M901="A","Média",IF(M901="","","Alta")))</f>
        <v/>
      </c>
      <c r="O901" s="53">
        <f>IF(ISBLANK(H901),"",IF(H901="ALI",IF(M901="L",7,IF(M901="A",10,15)),IF(H901="AIE",IF(M901="L",5,IF(M901="A",7,10)),IF(H901="SE",IF(M901="L",4,IF(M901="A",5,7)),IF(OR(H901="EE",H901="CE"),IF(M901="L",3,IF(M901="A",4,6)))))))</f>
        <v/>
      </c>
      <c r="P901" s="54">
        <f>IF(I901="I",O901*Contagem!$W$15,IF(I901="E",O901*Contagem!$W$17,IF(I901="A",O901*Contagem!$W$16,IF(I901="T",O901*Contagem!$W$18,""))))</f>
        <v/>
      </c>
      <c r="Q901" s="55" t="n"/>
    </row>
    <row r="902" ht="12" customHeight="1" s="73">
      <c r="A902" s="14">
        <f>IF(H902="",IF(C902="",A901,A901+1),A901)</f>
        <v/>
      </c>
      <c r="B902" s="48">
        <f>IF(A902=A901,"",CONCATENATE("F",A902))</f>
        <v/>
      </c>
      <c r="C902" s="85" t="n"/>
      <c r="D902" s="142" t="n"/>
      <c r="E902" s="142" t="n"/>
      <c r="F902" s="142" t="n"/>
      <c r="G902" s="143" t="n"/>
      <c r="H902" s="56" t="n"/>
      <c r="I902" s="57" t="n"/>
      <c r="J902" s="56" t="n"/>
      <c r="K902" s="56" t="n"/>
      <c r="L902" s="50">
        <f>CONCATENATE(H902,M902)</f>
        <v/>
      </c>
      <c r="M902" s="51">
        <f>IF(OR(ISBLANK(J902),ISBLANK(K902)),IF(OR(H902="ALI",H902="AIE"),"L",IF(ISBLANK(H902),"","A")),IF(H902="EE",IF(K902&gt;=3,IF(J902&gt;=5,"H","A"),IF(K902&gt;=2,IF(J902&gt;=16,"H",IF(J902&lt;=4,"L","A")),IF(J902&lt;=15,"L","A"))),IF(OR(H902="SE",H902="CE"),IF(K902&gt;=4,IF(J902&gt;=6,"H","A"),IF(K902&gt;=2,IF(J902&gt;=20,"H",IF(J902&lt;=5,"L","A")),IF(J902&lt;=19,"L","A"))),IF(OR(H902="ALI",H902="AIE"),IF(K902&gt;=6,IF(J902&gt;=20,"H","A"),IF(K902&gt;=2,IF(J902&gt;=51,"H",IF(J902&lt;=19,"L","A")),IF(J902&lt;=50,"L","A")))))))</f>
        <v/>
      </c>
      <c r="N902" s="52">
        <f>IF(M902="L","Baixa",IF(M902="A","Média",IF(M902="","","Alta")))</f>
        <v/>
      </c>
      <c r="O902" s="53">
        <f>IF(ISBLANK(H902),"",IF(H902="ALI",IF(M902="L",7,IF(M902="A",10,15)),IF(H902="AIE",IF(M902="L",5,IF(M902="A",7,10)),IF(H902="SE",IF(M902="L",4,IF(M902="A",5,7)),IF(OR(H902="EE",H902="CE"),IF(M902="L",3,IF(M902="A",4,6)))))))</f>
        <v/>
      </c>
      <c r="P902" s="54">
        <f>IF(I902="I",O902*Contagem!$W$15,IF(I902="E",O902*Contagem!$W$17,IF(I902="A",O902*Contagem!$W$16,IF(I902="T",O902*Contagem!$W$18,""))))</f>
        <v/>
      </c>
      <c r="Q902" s="55" t="n"/>
    </row>
    <row r="903" ht="12" customHeight="1" s="73">
      <c r="A903" s="14">
        <f>IF(H903="",IF(C903="",A902,A902+1),A902)</f>
        <v/>
      </c>
      <c r="B903" s="48">
        <f>IF(A903=A902,"",CONCATENATE("F",A903))</f>
        <v/>
      </c>
      <c r="C903" s="85" t="n"/>
      <c r="D903" s="142" t="n"/>
      <c r="E903" s="142" t="n"/>
      <c r="F903" s="142" t="n"/>
      <c r="G903" s="143" t="n"/>
      <c r="H903" s="56" t="n"/>
      <c r="I903" s="57" t="n"/>
      <c r="J903" s="56" t="n"/>
      <c r="K903" s="56" t="n"/>
      <c r="L903" s="50">
        <f>CONCATENATE(H903,M903)</f>
        <v/>
      </c>
      <c r="M903" s="51">
        <f>IF(OR(ISBLANK(J903),ISBLANK(K903)),IF(OR(H903="ALI",H903="AIE"),"L",IF(ISBLANK(H903),"","A")),IF(H903="EE",IF(K903&gt;=3,IF(J903&gt;=5,"H","A"),IF(K903&gt;=2,IF(J903&gt;=16,"H",IF(J903&lt;=4,"L","A")),IF(J903&lt;=15,"L","A"))),IF(OR(H903="SE",H903="CE"),IF(K903&gt;=4,IF(J903&gt;=6,"H","A"),IF(K903&gt;=2,IF(J903&gt;=20,"H",IF(J903&lt;=5,"L","A")),IF(J903&lt;=19,"L","A"))),IF(OR(H903="ALI",H903="AIE"),IF(K903&gt;=6,IF(J903&gt;=20,"H","A"),IF(K903&gt;=2,IF(J903&gt;=51,"H",IF(J903&lt;=19,"L","A")),IF(J903&lt;=50,"L","A")))))))</f>
        <v/>
      </c>
      <c r="N903" s="52">
        <f>IF(M903="L","Baixa",IF(M903="A","Média",IF(M903="","","Alta")))</f>
        <v/>
      </c>
      <c r="O903" s="53">
        <f>IF(ISBLANK(H903),"",IF(H903="ALI",IF(M903="L",7,IF(M903="A",10,15)),IF(H903="AIE",IF(M903="L",5,IF(M903="A",7,10)),IF(H903="SE",IF(M903="L",4,IF(M903="A",5,7)),IF(OR(H903="EE",H903="CE"),IF(M903="L",3,IF(M903="A",4,6)))))))</f>
        <v/>
      </c>
      <c r="P903" s="54">
        <f>IF(I903="I",O903*Contagem!$W$15,IF(I903="E",O903*Contagem!$W$17,IF(I903="A",O903*Contagem!$W$16,IF(I903="T",O903*Contagem!$W$18,""))))</f>
        <v/>
      </c>
      <c r="Q903" s="55" t="n"/>
    </row>
    <row r="904" ht="12" customHeight="1" s="73">
      <c r="A904" s="14">
        <f>IF(H904="",IF(C904="",A903,A903+1),A903)</f>
        <v/>
      </c>
      <c r="B904" s="48">
        <f>IF(A904=A903,"",CONCATENATE("F",A904))</f>
        <v/>
      </c>
      <c r="C904" s="85" t="n"/>
      <c r="D904" s="142" t="n"/>
      <c r="E904" s="142" t="n"/>
      <c r="F904" s="142" t="n"/>
      <c r="G904" s="143" t="n"/>
      <c r="H904" s="56" t="n"/>
      <c r="I904" s="57" t="n"/>
      <c r="J904" s="56" t="n"/>
      <c r="K904" s="56" t="n"/>
      <c r="L904" s="50">
        <f>CONCATENATE(H904,M904)</f>
        <v/>
      </c>
      <c r="M904" s="51">
        <f>IF(OR(ISBLANK(J904),ISBLANK(K904)),IF(OR(H904="ALI",H904="AIE"),"L",IF(ISBLANK(H904),"","A")),IF(H904="EE",IF(K904&gt;=3,IF(J904&gt;=5,"H","A"),IF(K904&gt;=2,IF(J904&gt;=16,"H",IF(J904&lt;=4,"L","A")),IF(J904&lt;=15,"L","A"))),IF(OR(H904="SE",H904="CE"),IF(K904&gt;=4,IF(J904&gt;=6,"H","A"),IF(K904&gt;=2,IF(J904&gt;=20,"H",IF(J904&lt;=5,"L","A")),IF(J904&lt;=19,"L","A"))),IF(OR(H904="ALI",H904="AIE"),IF(K904&gt;=6,IF(J904&gt;=20,"H","A"),IF(K904&gt;=2,IF(J904&gt;=51,"H",IF(J904&lt;=19,"L","A")),IF(J904&lt;=50,"L","A")))))))</f>
        <v/>
      </c>
      <c r="N904" s="52">
        <f>IF(M904="L","Baixa",IF(M904="A","Média",IF(M904="","","Alta")))</f>
        <v/>
      </c>
      <c r="O904" s="53">
        <f>IF(ISBLANK(H904),"",IF(H904="ALI",IF(M904="L",7,IF(M904="A",10,15)),IF(H904="AIE",IF(M904="L",5,IF(M904="A",7,10)),IF(H904="SE",IF(M904="L",4,IF(M904="A",5,7)),IF(OR(H904="EE",H904="CE"),IF(M904="L",3,IF(M904="A",4,6)))))))</f>
        <v/>
      </c>
      <c r="P904" s="54">
        <f>IF(I904="I",O904*Contagem!$W$15,IF(I904="E",O904*Contagem!$W$17,IF(I904="A",O904*Contagem!$W$16,IF(I904="T",O904*Contagem!$W$18,""))))</f>
        <v/>
      </c>
      <c r="Q904" s="55" t="n"/>
    </row>
    <row r="905" ht="12" customHeight="1" s="73">
      <c r="A905" s="14">
        <f>IF(H905="",IF(C905="",A904,A904+1),A904)</f>
        <v/>
      </c>
      <c r="B905" s="48">
        <f>IF(A905=A904,"",CONCATENATE("F",A905))</f>
        <v/>
      </c>
      <c r="C905" s="85" t="n"/>
      <c r="D905" s="142" t="n"/>
      <c r="E905" s="142" t="n"/>
      <c r="F905" s="142" t="n"/>
      <c r="G905" s="143" t="n"/>
      <c r="H905" s="56" t="n"/>
      <c r="I905" s="57" t="n"/>
      <c r="J905" s="56" t="n"/>
      <c r="K905" s="56" t="n"/>
      <c r="L905" s="50">
        <f>CONCATENATE(H905,M905)</f>
        <v/>
      </c>
      <c r="M905" s="51">
        <f>IF(OR(ISBLANK(J905),ISBLANK(K905)),IF(OR(H905="ALI",H905="AIE"),"L",IF(ISBLANK(H905),"","A")),IF(H905="EE",IF(K905&gt;=3,IF(J905&gt;=5,"H","A"),IF(K905&gt;=2,IF(J905&gt;=16,"H",IF(J905&lt;=4,"L","A")),IF(J905&lt;=15,"L","A"))),IF(OR(H905="SE",H905="CE"),IF(K905&gt;=4,IF(J905&gt;=6,"H","A"),IF(K905&gt;=2,IF(J905&gt;=20,"H",IF(J905&lt;=5,"L","A")),IF(J905&lt;=19,"L","A"))),IF(OR(H905="ALI",H905="AIE"),IF(K905&gt;=6,IF(J905&gt;=20,"H","A"),IF(K905&gt;=2,IF(J905&gt;=51,"H",IF(J905&lt;=19,"L","A")),IF(J905&lt;=50,"L","A")))))))</f>
        <v/>
      </c>
      <c r="N905" s="52">
        <f>IF(M905="L","Baixa",IF(M905="A","Média",IF(M905="","","Alta")))</f>
        <v/>
      </c>
      <c r="O905" s="53">
        <f>IF(ISBLANK(H905),"",IF(H905="ALI",IF(M905="L",7,IF(M905="A",10,15)),IF(H905="AIE",IF(M905="L",5,IF(M905="A",7,10)),IF(H905="SE",IF(M905="L",4,IF(M905="A",5,7)),IF(OR(H905="EE",H905="CE"),IF(M905="L",3,IF(M905="A",4,6)))))))</f>
        <v/>
      </c>
      <c r="P905" s="54">
        <f>IF(I905="I",O905*Contagem!$W$15,IF(I905="E",O905*Contagem!$W$17,IF(I905="A",O905*Contagem!$W$16,IF(I905="T",O905*Contagem!$W$18,""))))</f>
        <v/>
      </c>
      <c r="Q905" s="55" t="n"/>
    </row>
    <row r="906" ht="12" customHeight="1" s="73">
      <c r="A906" s="14">
        <f>IF(H906="",IF(C906="",A905,A905+1),A905)</f>
        <v/>
      </c>
      <c r="B906" s="48">
        <f>IF(A906=A905,"",CONCATENATE("F",A906))</f>
        <v/>
      </c>
      <c r="C906" s="85" t="n"/>
      <c r="D906" s="142" t="n"/>
      <c r="E906" s="142" t="n"/>
      <c r="F906" s="142" t="n"/>
      <c r="G906" s="143" t="n"/>
      <c r="H906" s="56" t="n"/>
      <c r="I906" s="57" t="n"/>
      <c r="J906" s="56" t="n"/>
      <c r="K906" s="56" t="n"/>
      <c r="L906" s="50">
        <f>CONCATENATE(H906,M906)</f>
        <v/>
      </c>
      <c r="M906" s="51">
        <f>IF(OR(ISBLANK(J906),ISBLANK(K906)),IF(OR(H906="ALI",H906="AIE"),"L",IF(ISBLANK(H906),"","A")),IF(H906="EE",IF(K906&gt;=3,IF(J906&gt;=5,"H","A"),IF(K906&gt;=2,IF(J906&gt;=16,"H",IF(J906&lt;=4,"L","A")),IF(J906&lt;=15,"L","A"))),IF(OR(H906="SE",H906="CE"),IF(K906&gt;=4,IF(J906&gt;=6,"H","A"),IF(K906&gt;=2,IF(J906&gt;=20,"H",IF(J906&lt;=5,"L","A")),IF(J906&lt;=19,"L","A"))),IF(OR(H906="ALI",H906="AIE"),IF(K906&gt;=6,IF(J906&gt;=20,"H","A"),IF(K906&gt;=2,IF(J906&gt;=51,"H",IF(J906&lt;=19,"L","A")),IF(J906&lt;=50,"L","A")))))))</f>
        <v/>
      </c>
      <c r="N906" s="52">
        <f>IF(M906="L","Baixa",IF(M906="A","Média",IF(M906="","","Alta")))</f>
        <v/>
      </c>
      <c r="O906" s="53">
        <f>IF(ISBLANK(H906),"",IF(H906="ALI",IF(M906="L",7,IF(M906="A",10,15)),IF(H906="AIE",IF(M906="L",5,IF(M906="A",7,10)),IF(H906="SE",IF(M906="L",4,IF(M906="A",5,7)),IF(OR(H906="EE",H906="CE"),IF(M906="L",3,IF(M906="A",4,6)))))))</f>
        <v/>
      </c>
      <c r="P906" s="54">
        <f>IF(I906="I",O906*Contagem!$W$15,IF(I906="E",O906*Contagem!$W$17,IF(I906="A",O906*Contagem!$W$16,IF(I906="T",O906*Contagem!$W$18,""))))</f>
        <v/>
      </c>
      <c r="Q906" s="55" t="n"/>
    </row>
    <row r="907" ht="12" customHeight="1" s="73">
      <c r="A907" s="14">
        <f>IF(H907="",IF(C907="",A906,A906+1),A906)</f>
        <v/>
      </c>
      <c r="B907" s="48">
        <f>IF(A907=A906,"",CONCATENATE("F",A907))</f>
        <v/>
      </c>
      <c r="C907" s="85" t="n"/>
      <c r="D907" s="142" t="n"/>
      <c r="E907" s="142" t="n"/>
      <c r="F907" s="142" t="n"/>
      <c r="G907" s="143" t="n"/>
      <c r="H907" s="56" t="n"/>
      <c r="I907" s="57" t="n"/>
      <c r="J907" s="56" t="n"/>
      <c r="K907" s="56" t="n"/>
      <c r="L907" s="50">
        <f>CONCATENATE(H907,M907)</f>
        <v/>
      </c>
      <c r="M907" s="51">
        <f>IF(OR(ISBLANK(J907),ISBLANK(K907)),IF(OR(H907="ALI",H907="AIE"),"L",IF(ISBLANK(H907),"","A")),IF(H907="EE",IF(K907&gt;=3,IF(J907&gt;=5,"H","A"),IF(K907&gt;=2,IF(J907&gt;=16,"H",IF(J907&lt;=4,"L","A")),IF(J907&lt;=15,"L","A"))),IF(OR(H907="SE",H907="CE"),IF(K907&gt;=4,IF(J907&gt;=6,"H","A"),IF(K907&gt;=2,IF(J907&gt;=20,"H",IF(J907&lt;=5,"L","A")),IF(J907&lt;=19,"L","A"))),IF(OR(H907="ALI",H907="AIE"),IF(K907&gt;=6,IF(J907&gt;=20,"H","A"),IF(K907&gt;=2,IF(J907&gt;=51,"H",IF(J907&lt;=19,"L","A")),IF(J907&lt;=50,"L","A")))))))</f>
        <v/>
      </c>
      <c r="N907" s="52">
        <f>IF(M907="L","Baixa",IF(M907="A","Média",IF(M907="","","Alta")))</f>
        <v/>
      </c>
      <c r="O907" s="53">
        <f>IF(ISBLANK(H907),"",IF(H907="ALI",IF(M907="L",7,IF(M907="A",10,15)),IF(H907="AIE",IF(M907="L",5,IF(M907="A",7,10)),IF(H907="SE",IF(M907="L",4,IF(M907="A",5,7)),IF(OR(H907="EE",H907="CE"),IF(M907="L",3,IF(M907="A",4,6)))))))</f>
        <v/>
      </c>
      <c r="P907" s="54">
        <f>IF(I907="I",O907*Contagem!$W$15,IF(I907="E",O907*Contagem!$W$17,IF(I907="A",O907*Contagem!$W$16,IF(I907="T",O907*Contagem!$W$18,""))))</f>
        <v/>
      </c>
      <c r="Q907" s="55" t="n"/>
    </row>
    <row r="908" ht="12" customHeight="1" s="73">
      <c r="A908" s="14">
        <f>IF(H908="",IF(C908="",A907,A907+1),A907)</f>
        <v/>
      </c>
      <c r="B908" s="48">
        <f>IF(A908=A907,"",CONCATENATE("F",A908))</f>
        <v/>
      </c>
      <c r="C908" s="85" t="n"/>
      <c r="D908" s="142" t="n"/>
      <c r="E908" s="142" t="n"/>
      <c r="F908" s="142" t="n"/>
      <c r="G908" s="143" t="n"/>
      <c r="H908" s="56" t="n"/>
      <c r="I908" s="57" t="n"/>
      <c r="J908" s="56" t="n"/>
      <c r="K908" s="56" t="n"/>
      <c r="L908" s="50">
        <f>CONCATENATE(H908,M908)</f>
        <v/>
      </c>
      <c r="M908" s="51">
        <f>IF(OR(ISBLANK(J908),ISBLANK(K908)),IF(OR(H908="ALI",H908="AIE"),"L",IF(ISBLANK(H908),"","A")),IF(H908="EE",IF(K908&gt;=3,IF(J908&gt;=5,"H","A"),IF(K908&gt;=2,IF(J908&gt;=16,"H",IF(J908&lt;=4,"L","A")),IF(J908&lt;=15,"L","A"))),IF(OR(H908="SE",H908="CE"),IF(K908&gt;=4,IF(J908&gt;=6,"H","A"),IF(K908&gt;=2,IF(J908&gt;=20,"H",IF(J908&lt;=5,"L","A")),IF(J908&lt;=19,"L","A"))),IF(OR(H908="ALI",H908="AIE"),IF(K908&gt;=6,IF(J908&gt;=20,"H","A"),IF(K908&gt;=2,IF(J908&gt;=51,"H",IF(J908&lt;=19,"L","A")),IF(J908&lt;=50,"L","A")))))))</f>
        <v/>
      </c>
      <c r="N908" s="52">
        <f>IF(M908="L","Baixa",IF(M908="A","Média",IF(M908="","","Alta")))</f>
        <v/>
      </c>
      <c r="O908" s="53">
        <f>IF(ISBLANK(H908),"",IF(H908="ALI",IF(M908="L",7,IF(M908="A",10,15)),IF(H908="AIE",IF(M908="L",5,IF(M908="A",7,10)),IF(H908="SE",IF(M908="L",4,IF(M908="A",5,7)),IF(OR(H908="EE",H908="CE"),IF(M908="L",3,IF(M908="A",4,6)))))))</f>
        <v/>
      </c>
      <c r="P908" s="54">
        <f>IF(I908="I",O908*Contagem!$W$15,IF(I908="E",O908*Contagem!$W$17,IF(I908="A",O908*Contagem!$W$16,IF(I908="T",O908*Contagem!$W$18,""))))</f>
        <v/>
      </c>
      <c r="Q908" s="55" t="n"/>
    </row>
    <row r="909" ht="12" customHeight="1" s="73">
      <c r="A909" s="14">
        <f>IF(H909="",IF(C909="",A908,A908+1),A908)</f>
        <v/>
      </c>
      <c r="B909" s="48">
        <f>IF(A909=A908,"",CONCATENATE("F",A909))</f>
        <v/>
      </c>
      <c r="C909" s="85" t="n"/>
      <c r="D909" s="142" t="n"/>
      <c r="E909" s="142" t="n"/>
      <c r="F909" s="142" t="n"/>
      <c r="G909" s="143" t="n"/>
      <c r="H909" s="56" t="n"/>
      <c r="I909" s="57" t="n"/>
      <c r="J909" s="56" t="n"/>
      <c r="K909" s="56" t="n"/>
      <c r="L909" s="50">
        <f>CONCATENATE(H909,M909)</f>
        <v/>
      </c>
      <c r="M909" s="51">
        <f>IF(OR(ISBLANK(J909),ISBLANK(K909)),IF(OR(H909="ALI",H909="AIE"),"L",IF(ISBLANK(H909),"","A")),IF(H909="EE",IF(K909&gt;=3,IF(J909&gt;=5,"H","A"),IF(K909&gt;=2,IF(J909&gt;=16,"H",IF(J909&lt;=4,"L","A")),IF(J909&lt;=15,"L","A"))),IF(OR(H909="SE",H909="CE"),IF(K909&gt;=4,IF(J909&gt;=6,"H","A"),IF(K909&gt;=2,IF(J909&gt;=20,"H",IF(J909&lt;=5,"L","A")),IF(J909&lt;=19,"L","A"))),IF(OR(H909="ALI",H909="AIE"),IF(K909&gt;=6,IF(J909&gt;=20,"H","A"),IF(K909&gt;=2,IF(J909&gt;=51,"H",IF(J909&lt;=19,"L","A")),IF(J909&lt;=50,"L","A")))))))</f>
        <v/>
      </c>
      <c r="N909" s="52">
        <f>IF(M909="L","Baixa",IF(M909="A","Média",IF(M909="","","Alta")))</f>
        <v/>
      </c>
      <c r="O909" s="53">
        <f>IF(ISBLANK(H909),"",IF(H909="ALI",IF(M909="L",7,IF(M909="A",10,15)),IF(H909="AIE",IF(M909="L",5,IF(M909="A",7,10)),IF(H909="SE",IF(M909="L",4,IF(M909="A",5,7)),IF(OR(H909="EE",H909="CE"),IF(M909="L",3,IF(M909="A",4,6)))))))</f>
        <v/>
      </c>
      <c r="P909" s="54">
        <f>IF(I909="I",O909*Contagem!$W$15,IF(I909="E",O909*Contagem!$W$17,IF(I909="A",O909*Contagem!$W$16,IF(I909="T",O909*Contagem!$W$18,""))))</f>
        <v/>
      </c>
      <c r="Q909" s="55" t="n"/>
    </row>
    <row r="910" ht="12" customHeight="1" s="73">
      <c r="A910" s="14">
        <f>IF(H910="",IF(C910="",A909,A909+1),A909)</f>
        <v/>
      </c>
      <c r="B910" s="48">
        <f>IF(A910=A909,"",CONCATENATE("F",A910))</f>
        <v/>
      </c>
      <c r="C910" s="85" t="n"/>
      <c r="D910" s="142" t="n"/>
      <c r="E910" s="142" t="n"/>
      <c r="F910" s="142" t="n"/>
      <c r="G910" s="143" t="n"/>
      <c r="H910" s="56" t="n"/>
      <c r="I910" s="57" t="n"/>
      <c r="J910" s="56" t="n"/>
      <c r="K910" s="56" t="n"/>
      <c r="L910" s="50">
        <f>CONCATENATE(H910,M910)</f>
        <v/>
      </c>
      <c r="M910" s="51">
        <f>IF(OR(ISBLANK(J910),ISBLANK(K910)),IF(OR(H910="ALI",H910="AIE"),"L",IF(ISBLANK(H910),"","A")),IF(H910="EE",IF(K910&gt;=3,IF(J910&gt;=5,"H","A"),IF(K910&gt;=2,IF(J910&gt;=16,"H",IF(J910&lt;=4,"L","A")),IF(J910&lt;=15,"L","A"))),IF(OR(H910="SE",H910="CE"),IF(K910&gt;=4,IF(J910&gt;=6,"H","A"),IF(K910&gt;=2,IF(J910&gt;=20,"H",IF(J910&lt;=5,"L","A")),IF(J910&lt;=19,"L","A"))),IF(OR(H910="ALI",H910="AIE"),IF(K910&gt;=6,IF(J910&gt;=20,"H","A"),IF(K910&gt;=2,IF(J910&gt;=51,"H",IF(J910&lt;=19,"L","A")),IF(J910&lt;=50,"L","A")))))))</f>
        <v/>
      </c>
      <c r="N910" s="52">
        <f>IF(M910="L","Baixa",IF(M910="A","Média",IF(M910="","","Alta")))</f>
        <v/>
      </c>
      <c r="O910" s="53">
        <f>IF(ISBLANK(H910),"",IF(H910="ALI",IF(M910="L",7,IF(M910="A",10,15)),IF(H910="AIE",IF(M910="L",5,IF(M910="A",7,10)),IF(H910="SE",IF(M910="L",4,IF(M910="A",5,7)),IF(OR(H910="EE",H910="CE"),IF(M910="L",3,IF(M910="A",4,6)))))))</f>
        <v/>
      </c>
      <c r="P910" s="54">
        <f>IF(I910="I",O910*Contagem!$W$15,IF(I910="E",O910*Contagem!$W$17,IF(I910="A",O910*Contagem!$W$16,IF(I910="T",O910*Contagem!$W$18,""))))</f>
        <v/>
      </c>
      <c r="Q910" s="55" t="n"/>
    </row>
    <row r="911" ht="12" customHeight="1" s="73">
      <c r="A911" s="14">
        <f>IF(H911="",IF(C911="",A910,A910+1),A910)</f>
        <v/>
      </c>
      <c r="B911" s="48">
        <f>IF(A911=A910,"",CONCATENATE("F",A911))</f>
        <v/>
      </c>
      <c r="C911" s="85" t="n"/>
      <c r="D911" s="142" t="n"/>
      <c r="E911" s="142" t="n"/>
      <c r="F911" s="142" t="n"/>
      <c r="G911" s="143" t="n"/>
      <c r="H911" s="56" t="n"/>
      <c r="I911" s="57" t="n"/>
      <c r="J911" s="56" t="n"/>
      <c r="K911" s="56" t="n"/>
      <c r="L911" s="50">
        <f>CONCATENATE(H911,M911)</f>
        <v/>
      </c>
      <c r="M911" s="51">
        <f>IF(OR(ISBLANK(J911),ISBLANK(K911)),IF(OR(H911="ALI",H911="AIE"),"L",IF(ISBLANK(H911),"","A")),IF(H911="EE",IF(K911&gt;=3,IF(J911&gt;=5,"H","A"),IF(K911&gt;=2,IF(J911&gt;=16,"H",IF(J911&lt;=4,"L","A")),IF(J911&lt;=15,"L","A"))),IF(OR(H911="SE",H911="CE"),IF(K911&gt;=4,IF(J911&gt;=6,"H","A"),IF(K911&gt;=2,IF(J911&gt;=20,"H",IF(J911&lt;=5,"L","A")),IF(J911&lt;=19,"L","A"))),IF(OR(H911="ALI",H911="AIE"),IF(K911&gt;=6,IF(J911&gt;=20,"H","A"),IF(K911&gt;=2,IF(J911&gt;=51,"H",IF(J911&lt;=19,"L","A")),IF(J911&lt;=50,"L","A")))))))</f>
        <v/>
      </c>
      <c r="N911" s="52">
        <f>IF(M911="L","Baixa",IF(M911="A","Média",IF(M911="","","Alta")))</f>
        <v/>
      </c>
      <c r="O911" s="53">
        <f>IF(ISBLANK(H911),"",IF(H911="ALI",IF(M911="L",7,IF(M911="A",10,15)),IF(H911="AIE",IF(M911="L",5,IF(M911="A",7,10)),IF(H911="SE",IF(M911="L",4,IF(M911="A",5,7)),IF(OR(H911="EE",H911="CE"),IF(M911="L",3,IF(M911="A",4,6)))))))</f>
        <v/>
      </c>
      <c r="P911" s="54">
        <f>IF(I911="I",O911*Contagem!$W$15,IF(I911="E",O911*Contagem!$W$17,IF(I911="A",O911*Contagem!$W$16,IF(I911="T",O911*Contagem!$W$18,""))))</f>
        <v/>
      </c>
      <c r="Q911" s="55" t="n"/>
    </row>
    <row r="912" ht="12" customHeight="1" s="73">
      <c r="A912" s="14">
        <f>IF(H912="",IF(C912="",A911,A911+1),A911)</f>
        <v/>
      </c>
      <c r="B912" s="48">
        <f>IF(A912=A911,"",CONCATENATE("F",A912))</f>
        <v/>
      </c>
      <c r="C912" s="85" t="n"/>
      <c r="D912" s="142" t="n"/>
      <c r="E912" s="142" t="n"/>
      <c r="F912" s="142" t="n"/>
      <c r="G912" s="143" t="n"/>
      <c r="H912" s="56" t="n"/>
      <c r="I912" s="57" t="n"/>
      <c r="J912" s="56" t="n"/>
      <c r="K912" s="56" t="n"/>
      <c r="L912" s="50">
        <f>CONCATENATE(H912,M912)</f>
        <v/>
      </c>
      <c r="M912" s="51">
        <f>IF(OR(ISBLANK(J912),ISBLANK(K912)),IF(OR(H912="ALI",H912="AIE"),"L",IF(ISBLANK(H912),"","A")),IF(H912="EE",IF(K912&gt;=3,IF(J912&gt;=5,"H","A"),IF(K912&gt;=2,IF(J912&gt;=16,"H",IF(J912&lt;=4,"L","A")),IF(J912&lt;=15,"L","A"))),IF(OR(H912="SE",H912="CE"),IF(K912&gt;=4,IF(J912&gt;=6,"H","A"),IF(K912&gt;=2,IF(J912&gt;=20,"H",IF(J912&lt;=5,"L","A")),IF(J912&lt;=19,"L","A"))),IF(OR(H912="ALI",H912="AIE"),IF(K912&gt;=6,IF(J912&gt;=20,"H","A"),IF(K912&gt;=2,IF(J912&gt;=51,"H",IF(J912&lt;=19,"L","A")),IF(J912&lt;=50,"L","A")))))))</f>
        <v/>
      </c>
      <c r="N912" s="52">
        <f>IF(M912="L","Baixa",IF(M912="A","Média",IF(M912="","","Alta")))</f>
        <v/>
      </c>
      <c r="O912" s="53">
        <f>IF(ISBLANK(H912),"",IF(H912="ALI",IF(M912="L",7,IF(M912="A",10,15)),IF(H912="AIE",IF(M912="L",5,IF(M912="A",7,10)),IF(H912="SE",IF(M912="L",4,IF(M912="A",5,7)),IF(OR(H912="EE",H912="CE"),IF(M912="L",3,IF(M912="A",4,6)))))))</f>
        <v/>
      </c>
      <c r="P912" s="54">
        <f>IF(I912="I",O912*Contagem!$W$15,IF(I912="E",O912*Contagem!$W$17,IF(I912="A",O912*Contagem!$W$16,IF(I912="T",O912*Contagem!$W$18,""))))</f>
        <v/>
      </c>
      <c r="Q912" s="55" t="n"/>
    </row>
    <row r="913" ht="12" customHeight="1" s="73">
      <c r="A913" s="14">
        <f>IF(H913="",IF(C913="",A912,A912+1),A912)</f>
        <v/>
      </c>
      <c r="B913" s="48">
        <f>IF(A913=A912,"",CONCATENATE("F",A913))</f>
        <v/>
      </c>
      <c r="C913" s="85" t="n"/>
      <c r="D913" s="142" t="n"/>
      <c r="E913" s="142" t="n"/>
      <c r="F913" s="142" t="n"/>
      <c r="G913" s="143" t="n"/>
      <c r="H913" s="56" t="n"/>
      <c r="I913" s="57" t="n"/>
      <c r="J913" s="56" t="n"/>
      <c r="K913" s="56" t="n"/>
      <c r="L913" s="50">
        <f>CONCATENATE(H913,M913)</f>
        <v/>
      </c>
      <c r="M913" s="51">
        <f>IF(OR(ISBLANK(J913),ISBLANK(K913)),IF(OR(H913="ALI",H913="AIE"),"L",IF(ISBLANK(H913),"","A")),IF(H913="EE",IF(K913&gt;=3,IF(J913&gt;=5,"H","A"),IF(K913&gt;=2,IF(J913&gt;=16,"H",IF(J913&lt;=4,"L","A")),IF(J913&lt;=15,"L","A"))),IF(OR(H913="SE",H913="CE"),IF(K913&gt;=4,IF(J913&gt;=6,"H","A"),IF(K913&gt;=2,IF(J913&gt;=20,"H",IF(J913&lt;=5,"L","A")),IF(J913&lt;=19,"L","A"))),IF(OR(H913="ALI",H913="AIE"),IF(K913&gt;=6,IF(J913&gt;=20,"H","A"),IF(K913&gt;=2,IF(J913&gt;=51,"H",IF(J913&lt;=19,"L","A")),IF(J913&lt;=50,"L","A")))))))</f>
        <v/>
      </c>
      <c r="N913" s="52">
        <f>IF(M913="L","Baixa",IF(M913="A","Média",IF(M913="","","Alta")))</f>
        <v/>
      </c>
      <c r="O913" s="53">
        <f>IF(ISBLANK(H913),"",IF(H913="ALI",IF(M913="L",7,IF(M913="A",10,15)),IF(H913="AIE",IF(M913="L",5,IF(M913="A",7,10)),IF(H913="SE",IF(M913="L",4,IF(M913="A",5,7)),IF(OR(H913="EE",H913="CE"),IF(M913="L",3,IF(M913="A",4,6)))))))</f>
        <v/>
      </c>
      <c r="P913" s="54">
        <f>IF(I913="I",O913*Contagem!$W$15,IF(I913="E",O913*Contagem!$W$17,IF(I913="A",O913*Contagem!$W$16,IF(I913="T",O913*Contagem!$W$18,""))))</f>
        <v/>
      </c>
      <c r="Q913" s="55" t="n"/>
    </row>
    <row r="914" ht="12" customHeight="1" s="73">
      <c r="A914" s="14">
        <f>IF(H914="",IF(C914="",A913,A913+1),A913)</f>
        <v/>
      </c>
      <c r="B914" s="48">
        <f>IF(A914=A913,"",CONCATENATE("F",A914))</f>
        <v/>
      </c>
      <c r="C914" s="85" t="n"/>
      <c r="D914" s="142" t="n"/>
      <c r="E914" s="142" t="n"/>
      <c r="F914" s="142" t="n"/>
      <c r="G914" s="143" t="n"/>
      <c r="H914" s="56" t="n"/>
      <c r="I914" s="57" t="n"/>
      <c r="J914" s="56" t="n"/>
      <c r="K914" s="56" t="n"/>
      <c r="L914" s="50">
        <f>CONCATENATE(H914,M914)</f>
        <v/>
      </c>
      <c r="M914" s="51">
        <f>IF(OR(ISBLANK(J914),ISBLANK(K914)),IF(OR(H914="ALI",H914="AIE"),"L",IF(ISBLANK(H914),"","A")),IF(H914="EE",IF(K914&gt;=3,IF(J914&gt;=5,"H","A"),IF(K914&gt;=2,IF(J914&gt;=16,"H",IF(J914&lt;=4,"L","A")),IF(J914&lt;=15,"L","A"))),IF(OR(H914="SE",H914="CE"),IF(K914&gt;=4,IF(J914&gt;=6,"H","A"),IF(K914&gt;=2,IF(J914&gt;=20,"H",IF(J914&lt;=5,"L","A")),IF(J914&lt;=19,"L","A"))),IF(OR(H914="ALI",H914="AIE"),IF(K914&gt;=6,IF(J914&gt;=20,"H","A"),IF(K914&gt;=2,IF(J914&gt;=51,"H",IF(J914&lt;=19,"L","A")),IF(J914&lt;=50,"L","A")))))))</f>
        <v/>
      </c>
      <c r="N914" s="52">
        <f>IF(M914="L","Baixa",IF(M914="A","Média",IF(M914="","","Alta")))</f>
        <v/>
      </c>
      <c r="O914" s="53">
        <f>IF(ISBLANK(H914),"",IF(H914="ALI",IF(M914="L",7,IF(M914="A",10,15)),IF(H914="AIE",IF(M914="L",5,IF(M914="A",7,10)),IF(H914="SE",IF(M914="L",4,IF(M914="A",5,7)),IF(OR(H914="EE",H914="CE"),IF(M914="L",3,IF(M914="A",4,6)))))))</f>
        <v/>
      </c>
      <c r="P914" s="54">
        <f>IF(I914="I",O914*Contagem!$W$15,IF(I914="E",O914*Contagem!$W$17,IF(I914="A",O914*Contagem!$W$16,IF(I914="T",O914*Contagem!$W$18,""))))</f>
        <v/>
      </c>
      <c r="Q914" s="55" t="n"/>
    </row>
    <row r="915" ht="12" customHeight="1" s="73">
      <c r="A915" s="14">
        <f>IF(H915="",IF(C915="",A914,A914+1),A914)</f>
        <v/>
      </c>
      <c r="B915" s="48">
        <f>IF(A915=A914,"",CONCATENATE("F",A915))</f>
        <v/>
      </c>
      <c r="C915" s="85" t="n"/>
      <c r="D915" s="142" t="n"/>
      <c r="E915" s="142" t="n"/>
      <c r="F915" s="142" t="n"/>
      <c r="G915" s="143" t="n"/>
      <c r="H915" s="56" t="n"/>
      <c r="I915" s="57" t="n"/>
      <c r="J915" s="56" t="n"/>
      <c r="K915" s="56" t="n"/>
      <c r="L915" s="50">
        <f>CONCATENATE(H915,M915)</f>
        <v/>
      </c>
      <c r="M915" s="51">
        <f>IF(OR(ISBLANK(J915),ISBLANK(K915)),IF(OR(H915="ALI",H915="AIE"),"L",IF(ISBLANK(H915),"","A")),IF(H915="EE",IF(K915&gt;=3,IF(J915&gt;=5,"H","A"),IF(K915&gt;=2,IF(J915&gt;=16,"H",IF(J915&lt;=4,"L","A")),IF(J915&lt;=15,"L","A"))),IF(OR(H915="SE",H915="CE"),IF(K915&gt;=4,IF(J915&gt;=6,"H","A"),IF(K915&gt;=2,IF(J915&gt;=20,"H",IF(J915&lt;=5,"L","A")),IF(J915&lt;=19,"L","A"))),IF(OR(H915="ALI",H915="AIE"),IF(K915&gt;=6,IF(J915&gt;=20,"H","A"),IF(K915&gt;=2,IF(J915&gt;=51,"H",IF(J915&lt;=19,"L","A")),IF(J915&lt;=50,"L","A")))))))</f>
        <v/>
      </c>
      <c r="N915" s="52">
        <f>IF(M915="L","Baixa",IF(M915="A","Média",IF(M915="","","Alta")))</f>
        <v/>
      </c>
      <c r="O915" s="53">
        <f>IF(ISBLANK(H915),"",IF(H915="ALI",IF(M915="L",7,IF(M915="A",10,15)),IF(H915="AIE",IF(M915="L",5,IF(M915="A",7,10)),IF(H915="SE",IF(M915="L",4,IF(M915="A",5,7)),IF(OR(H915="EE",H915="CE"),IF(M915="L",3,IF(M915="A",4,6)))))))</f>
        <v/>
      </c>
      <c r="P915" s="54">
        <f>IF(I915="I",O915*Contagem!$W$15,IF(I915="E",O915*Contagem!$W$17,IF(I915="A",O915*Contagem!$W$16,IF(I915="T",O915*Contagem!$W$18,""))))</f>
        <v/>
      </c>
      <c r="Q915" s="55" t="n"/>
    </row>
    <row r="916" ht="12" customHeight="1" s="73">
      <c r="A916" s="14">
        <f>IF(H916="",IF(C916="",A915,A915+1),A915)</f>
        <v/>
      </c>
      <c r="B916" s="48">
        <f>IF(A916=A915,"",CONCATENATE("F",A916))</f>
        <v/>
      </c>
      <c r="C916" s="85" t="n"/>
      <c r="D916" s="142" t="n"/>
      <c r="E916" s="142" t="n"/>
      <c r="F916" s="142" t="n"/>
      <c r="G916" s="143" t="n"/>
      <c r="H916" s="56" t="n"/>
      <c r="I916" s="57" t="n"/>
      <c r="J916" s="56" t="n"/>
      <c r="K916" s="56" t="n"/>
      <c r="L916" s="50">
        <f>CONCATENATE(H916,M916)</f>
        <v/>
      </c>
      <c r="M916" s="51">
        <f>IF(OR(ISBLANK(J916),ISBLANK(K916)),IF(OR(H916="ALI",H916="AIE"),"L",IF(ISBLANK(H916),"","A")),IF(H916="EE",IF(K916&gt;=3,IF(J916&gt;=5,"H","A"),IF(K916&gt;=2,IF(J916&gt;=16,"H",IF(J916&lt;=4,"L","A")),IF(J916&lt;=15,"L","A"))),IF(OR(H916="SE",H916="CE"),IF(K916&gt;=4,IF(J916&gt;=6,"H","A"),IF(K916&gt;=2,IF(J916&gt;=20,"H",IF(J916&lt;=5,"L","A")),IF(J916&lt;=19,"L","A"))),IF(OR(H916="ALI",H916="AIE"),IF(K916&gt;=6,IF(J916&gt;=20,"H","A"),IF(K916&gt;=2,IF(J916&gt;=51,"H",IF(J916&lt;=19,"L","A")),IF(J916&lt;=50,"L","A")))))))</f>
        <v/>
      </c>
      <c r="N916" s="52">
        <f>IF(M916="L","Baixa",IF(M916="A","Média",IF(M916="","","Alta")))</f>
        <v/>
      </c>
      <c r="O916" s="53">
        <f>IF(ISBLANK(H916),"",IF(H916="ALI",IF(M916="L",7,IF(M916="A",10,15)),IF(H916="AIE",IF(M916="L",5,IF(M916="A",7,10)),IF(H916="SE",IF(M916="L",4,IF(M916="A",5,7)),IF(OR(H916="EE",H916="CE"),IF(M916="L",3,IF(M916="A",4,6)))))))</f>
        <v/>
      </c>
      <c r="P916" s="54">
        <f>IF(I916="I",O916*Contagem!$W$15,IF(I916="E",O916*Contagem!$W$17,IF(I916="A",O916*Contagem!$W$16,IF(I916="T",O916*Contagem!$W$18,""))))</f>
        <v/>
      </c>
      <c r="Q916" s="55" t="n"/>
    </row>
    <row r="917" ht="12" customHeight="1" s="73">
      <c r="A917" s="14">
        <f>IF(H917="",IF(C917="",A916,A916+1),A916)</f>
        <v/>
      </c>
      <c r="B917" s="48">
        <f>IF(A917=A916,"",CONCATENATE("F",A917))</f>
        <v/>
      </c>
      <c r="C917" s="85" t="n"/>
      <c r="D917" s="142" t="n"/>
      <c r="E917" s="142" t="n"/>
      <c r="F917" s="142" t="n"/>
      <c r="G917" s="143" t="n"/>
      <c r="H917" s="56" t="n"/>
      <c r="I917" s="57" t="n"/>
      <c r="J917" s="56" t="n"/>
      <c r="K917" s="56" t="n"/>
      <c r="L917" s="50">
        <f>CONCATENATE(H917,M917)</f>
        <v/>
      </c>
      <c r="M917" s="51">
        <f>IF(OR(ISBLANK(J917),ISBLANK(K917)),IF(OR(H917="ALI",H917="AIE"),"L",IF(ISBLANK(H917),"","A")),IF(H917="EE",IF(K917&gt;=3,IF(J917&gt;=5,"H","A"),IF(K917&gt;=2,IF(J917&gt;=16,"H",IF(J917&lt;=4,"L","A")),IF(J917&lt;=15,"L","A"))),IF(OR(H917="SE",H917="CE"),IF(K917&gt;=4,IF(J917&gt;=6,"H","A"),IF(K917&gt;=2,IF(J917&gt;=20,"H",IF(J917&lt;=5,"L","A")),IF(J917&lt;=19,"L","A"))),IF(OR(H917="ALI",H917="AIE"),IF(K917&gt;=6,IF(J917&gt;=20,"H","A"),IF(K917&gt;=2,IF(J917&gt;=51,"H",IF(J917&lt;=19,"L","A")),IF(J917&lt;=50,"L","A")))))))</f>
        <v/>
      </c>
      <c r="N917" s="52">
        <f>IF(M917="L","Baixa",IF(M917="A","Média",IF(M917="","","Alta")))</f>
        <v/>
      </c>
      <c r="O917" s="53">
        <f>IF(ISBLANK(H917),"",IF(H917="ALI",IF(M917="L",7,IF(M917="A",10,15)),IF(H917="AIE",IF(M917="L",5,IF(M917="A",7,10)),IF(H917="SE",IF(M917="L",4,IF(M917="A",5,7)),IF(OR(H917="EE",H917="CE"),IF(M917="L",3,IF(M917="A",4,6)))))))</f>
        <v/>
      </c>
      <c r="P917" s="54">
        <f>IF(I917="I",O917*Contagem!$W$15,IF(I917="E",O917*Contagem!$W$17,IF(I917="A",O917*Contagem!$W$16,IF(I917="T",O917*Contagem!$W$18,""))))</f>
        <v/>
      </c>
      <c r="Q917" s="55" t="n"/>
    </row>
    <row r="918" ht="12" customHeight="1" s="73">
      <c r="A918" s="14">
        <f>IF(H918="",IF(C918="",A917,A917+1),A917)</f>
        <v/>
      </c>
      <c r="B918" s="48">
        <f>IF(A918=A917,"",CONCATENATE("F",A918))</f>
        <v/>
      </c>
      <c r="C918" s="85" t="n"/>
      <c r="D918" s="142" t="n"/>
      <c r="E918" s="142" t="n"/>
      <c r="F918" s="142" t="n"/>
      <c r="G918" s="143" t="n"/>
      <c r="H918" s="56" t="n"/>
      <c r="I918" s="57" t="n"/>
      <c r="J918" s="56" t="n"/>
      <c r="K918" s="56" t="n"/>
      <c r="L918" s="50">
        <f>CONCATENATE(H918,M918)</f>
        <v/>
      </c>
      <c r="M918" s="51">
        <f>IF(OR(ISBLANK(J918),ISBLANK(K918)),IF(OR(H918="ALI",H918="AIE"),"L",IF(ISBLANK(H918),"","A")),IF(H918="EE",IF(K918&gt;=3,IF(J918&gt;=5,"H","A"),IF(K918&gt;=2,IF(J918&gt;=16,"H",IF(J918&lt;=4,"L","A")),IF(J918&lt;=15,"L","A"))),IF(OR(H918="SE",H918="CE"),IF(K918&gt;=4,IF(J918&gt;=6,"H","A"),IF(K918&gt;=2,IF(J918&gt;=20,"H",IF(J918&lt;=5,"L","A")),IF(J918&lt;=19,"L","A"))),IF(OR(H918="ALI",H918="AIE"),IF(K918&gt;=6,IF(J918&gt;=20,"H","A"),IF(K918&gt;=2,IF(J918&gt;=51,"H",IF(J918&lt;=19,"L","A")),IF(J918&lt;=50,"L","A")))))))</f>
        <v/>
      </c>
      <c r="N918" s="52">
        <f>IF(M918="L","Baixa",IF(M918="A","Média",IF(M918="","","Alta")))</f>
        <v/>
      </c>
      <c r="O918" s="53">
        <f>IF(ISBLANK(H918),"",IF(H918="ALI",IF(M918="L",7,IF(M918="A",10,15)),IF(H918="AIE",IF(M918="L",5,IF(M918="A",7,10)),IF(H918="SE",IF(M918="L",4,IF(M918="A",5,7)),IF(OR(H918="EE",H918="CE"),IF(M918="L",3,IF(M918="A",4,6)))))))</f>
        <v/>
      </c>
      <c r="P918" s="54">
        <f>IF(I918="I",O918*Contagem!$W$15,IF(I918="E",O918*Contagem!$W$17,IF(I918="A",O918*Contagem!$W$16,IF(I918="T",O918*Contagem!$W$18,""))))</f>
        <v/>
      </c>
      <c r="Q918" s="55" t="n"/>
    </row>
    <row r="919" ht="12" customHeight="1" s="73">
      <c r="A919" s="14">
        <f>IF(H919="",IF(C919="",A918,A918+1),A918)</f>
        <v/>
      </c>
      <c r="B919" s="48">
        <f>IF(A919=A918,"",CONCATENATE("F",A919))</f>
        <v/>
      </c>
      <c r="C919" s="85" t="n"/>
      <c r="D919" s="142" t="n"/>
      <c r="E919" s="142" t="n"/>
      <c r="F919" s="142" t="n"/>
      <c r="G919" s="143" t="n"/>
      <c r="H919" s="56" t="n"/>
      <c r="I919" s="57" t="n"/>
      <c r="J919" s="56" t="n"/>
      <c r="K919" s="56" t="n"/>
      <c r="L919" s="50">
        <f>CONCATENATE(H919,M919)</f>
        <v/>
      </c>
      <c r="M919" s="51">
        <f>IF(OR(ISBLANK(J919),ISBLANK(K919)),IF(OR(H919="ALI",H919="AIE"),"L",IF(ISBLANK(H919),"","A")),IF(H919="EE",IF(K919&gt;=3,IF(J919&gt;=5,"H","A"),IF(K919&gt;=2,IF(J919&gt;=16,"H",IF(J919&lt;=4,"L","A")),IF(J919&lt;=15,"L","A"))),IF(OR(H919="SE",H919="CE"),IF(K919&gt;=4,IF(J919&gt;=6,"H","A"),IF(K919&gt;=2,IF(J919&gt;=20,"H",IF(J919&lt;=5,"L","A")),IF(J919&lt;=19,"L","A"))),IF(OR(H919="ALI",H919="AIE"),IF(K919&gt;=6,IF(J919&gt;=20,"H","A"),IF(K919&gt;=2,IF(J919&gt;=51,"H",IF(J919&lt;=19,"L","A")),IF(J919&lt;=50,"L","A")))))))</f>
        <v/>
      </c>
      <c r="N919" s="52">
        <f>IF(M919="L","Baixa",IF(M919="A","Média",IF(M919="","","Alta")))</f>
        <v/>
      </c>
      <c r="O919" s="53">
        <f>IF(ISBLANK(H919),"",IF(H919="ALI",IF(M919="L",7,IF(M919="A",10,15)),IF(H919="AIE",IF(M919="L",5,IF(M919="A",7,10)),IF(H919="SE",IF(M919="L",4,IF(M919="A",5,7)),IF(OR(H919="EE",H919="CE"),IF(M919="L",3,IF(M919="A",4,6)))))))</f>
        <v/>
      </c>
      <c r="P919" s="54">
        <f>IF(I919="I",O919*Contagem!$W$15,IF(I919="E",O919*Contagem!$W$17,IF(I919="A",O919*Contagem!$W$16,IF(I919="T",O919*Contagem!$W$18,""))))</f>
        <v/>
      </c>
      <c r="Q919" s="55" t="n"/>
    </row>
    <row r="920" ht="12" customHeight="1" s="73">
      <c r="A920" s="14">
        <f>IF(H920="",IF(C920="",A919,A919+1),A919)</f>
        <v/>
      </c>
      <c r="B920" s="48">
        <f>IF(A920=A919,"",CONCATENATE("F",A920))</f>
        <v/>
      </c>
      <c r="C920" s="85" t="n"/>
      <c r="D920" s="142" t="n"/>
      <c r="E920" s="142" t="n"/>
      <c r="F920" s="142" t="n"/>
      <c r="G920" s="143" t="n"/>
      <c r="H920" s="56" t="n"/>
      <c r="I920" s="57" t="n"/>
      <c r="J920" s="56" t="n"/>
      <c r="K920" s="56" t="n"/>
      <c r="L920" s="50">
        <f>CONCATENATE(H920,M920)</f>
        <v/>
      </c>
      <c r="M920" s="51">
        <f>IF(OR(ISBLANK(J920),ISBLANK(K920)),IF(OR(H920="ALI",H920="AIE"),"L",IF(ISBLANK(H920),"","A")),IF(H920="EE",IF(K920&gt;=3,IF(J920&gt;=5,"H","A"),IF(K920&gt;=2,IF(J920&gt;=16,"H",IF(J920&lt;=4,"L","A")),IF(J920&lt;=15,"L","A"))),IF(OR(H920="SE",H920="CE"),IF(K920&gt;=4,IF(J920&gt;=6,"H","A"),IF(K920&gt;=2,IF(J920&gt;=20,"H",IF(J920&lt;=5,"L","A")),IF(J920&lt;=19,"L","A"))),IF(OR(H920="ALI",H920="AIE"),IF(K920&gt;=6,IF(J920&gt;=20,"H","A"),IF(K920&gt;=2,IF(J920&gt;=51,"H",IF(J920&lt;=19,"L","A")),IF(J920&lt;=50,"L","A")))))))</f>
        <v/>
      </c>
      <c r="N920" s="52">
        <f>IF(M920="L","Baixa",IF(M920="A","Média",IF(M920="","","Alta")))</f>
        <v/>
      </c>
      <c r="O920" s="53">
        <f>IF(ISBLANK(H920),"",IF(H920="ALI",IF(M920="L",7,IF(M920="A",10,15)),IF(H920="AIE",IF(M920="L",5,IF(M920="A",7,10)),IF(H920="SE",IF(M920="L",4,IF(M920="A",5,7)),IF(OR(H920="EE",H920="CE"),IF(M920="L",3,IF(M920="A",4,6)))))))</f>
        <v/>
      </c>
      <c r="P920" s="54">
        <f>IF(I920="I",O920*Contagem!$W$15,IF(I920="E",O920*Contagem!$W$17,IF(I920="A",O920*Contagem!$W$16,IF(I920="T",O920*Contagem!$W$18,""))))</f>
        <v/>
      </c>
      <c r="Q920" s="55" t="n"/>
    </row>
    <row r="921" ht="12" customHeight="1" s="73">
      <c r="A921" s="14">
        <f>IF(H921="",IF(C921="",A920,A920+1),A920)</f>
        <v/>
      </c>
      <c r="B921" s="48">
        <f>IF(A921=A920,"",CONCATENATE("F",A921))</f>
        <v/>
      </c>
      <c r="C921" s="85" t="n"/>
      <c r="D921" s="142" t="n"/>
      <c r="E921" s="142" t="n"/>
      <c r="F921" s="142" t="n"/>
      <c r="G921" s="143" t="n"/>
      <c r="H921" s="56" t="n"/>
      <c r="I921" s="57" t="n"/>
      <c r="J921" s="56" t="n"/>
      <c r="K921" s="56" t="n"/>
      <c r="L921" s="50">
        <f>CONCATENATE(H921,M921)</f>
        <v/>
      </c>
      <c r="M921" s="51">
        <f>IF(OR(ISBLANK(J921),ISBLANK(K921)),IF(OR(H921="ALI",H921="AIE"),"L",IF(ISBLANK(H921),"","A")),IF(H921="EE",IF(K921&gt;=3,IF(J921&gt;=5,"H","A"),IF(K921&gt;=2,IF(J921&gt;=16,"H",IF(J921&lt;=4,"L","A")),IF(J921&lt;=15,"L","A"))),IF(OR(H921="SE",H921="CE"),IF(K921&gt;=4,IF(J921&gt;=6,"H","A"),IF(K921&gt;=2,IF(J921&gt;=20,"H",IF(J921&lt;=5,"L","A")),IF(J921&lt;=19,"L","A"))),IF(OR(H921="ALI",H921="AIE"),IF(K921&gt;=6,IF(J921&gt;=20,"H","A"),IF(K921&gt;=2,IF(J921&gt;=51,"H",IF(J921&lt;=19,"L","A")),IF(J921&lt;=50,"L","A")))))))</f>
        <v/>
      </c>
      <c r="N921" s="52">
        <f>IF(M921="L","Baixa",IF(M921="A","Média",IF(M921="","","Alta")))</f>
        <v/>
      </c>
      <c r="O921" s="53">
        <f>IF(ISBLANK(H921),"",IF(H921="ALI",IF(M921="L",7,IF(M921="A",10,15)),IF(H921="AIE",IF(M921="L",5,IF(M921="A",7,10)),IF(H921="SE",IF(M921="L",4,IF(M921="A",5,7)),IF(OR(H921="EE",H921="CE"),IF(M921="L",3,IF(M921="A",4,6)))))))</f>
        <v/>
      </c>
      <c r="P921" s="54">
        <f>IF(I921="I",O921*Contagem!$W$15,IF(I921="E",O921*Contagem!$W$17,IF(I921="A",O921*Contagem!$W$16,IF(I921="T",O921*Contagem!$W$18,""))))</f>
        <v/>
      </c>
      <c r="Q921" s="55" t="n"/>
    </row>
    <row r="922" ht="12" customHeight="1" s="73">
      <c r="A922" s="14">
        <f>IF(H922="",IF(C922="",A921,A921+1),A921)</f>
        <v/>
      </c>
      <c r="B922" s="48">
        <f>IF(A922=A921,"",CONCATENATE("F",A922))</f>
        <v/>
      </c>
      <c r="C922" s="85" t="n"/>
      <c r="D922" s="142" t="n"/>
      <c r="E922" s="142" t="n"/>
      <c r="F922" s="142" t="n"/>
      <c r="G922" s="143" t="n"/>
      <c r="H922" s="56" t="n"/>
      <c r="I922" s="57" t="n"/>
      <c r="J922" s="56" t="n"/>
      <c r="K922" s="56" t="n"/>
      <c r="L922" s="50">
        <f>CONCATENATE(H922,M922)</f>
        <v/>
      </c>
      <c r="M922" s="51">
        <f>IF(OR(ISBLANK(J922),ISBLANK(K922)),IF(OR(H922="ALI",H922="AIE"),"L",IF(ISBLANK(H922),"","A")),IF(H922="EE",IF(K922&gt;=3,IF(J922&gt;=5,"H","A"),IF(K922&gt;=2,IF(J922&gt;=16,"H",IF(J922&lt;=4,"L","A")),IF(J922&lt;=15,"L","A"))),IF(OR(H922="SE",H922="CE"),IF(K922&gt;=4,IF(J922&gt;=6,"H","A"),IF(K922&gt;=2,IF(J922&gt;=20,"H",IF(J922&lt;=5,"L","A")),IF(J922&lt;=19,"L","A"))),IF(OR(H922="ALI",H922="AIE"),IF(K922&gt;=6,IF(J922&gt;=20,"H","A"),IF(K922&gt;=2,IF(J922&gt;=51,"H",IF(J922&lt;=19,"L","A")),IF(J922&lt;=50,"L","A")))))))</f>
        <v/>
      </c>
      <c r="N922" s="52">
        <f>IF(M922="L","Baixa",IF(M922="A","Média",IF(M922="","","Alta")))</f>
        <v/>
      </c>
      <c r="O922" s="53">
        <f>IF(ISBLANK(H922),"",IF(H922="ALI",IF(M922="L",7,IF(M922="A",10,15)),IF(H922="AIE",IF(M922="L",5,IF(M922="A",7,10)),IF(H922="SE",IF(M922="L",4,IF(M922="A",5,7)),IF(OR(H922="EE",H922="CE"),IF(M922="L",3,IF(M922="A",4,6)))))))</f>
        <v/>
      </c>
      <c r="P922" s="54">
        <f>IF(I922="I",O922*Contagem!$W$15,IF(I922="E",O922*Contagem!$W$17,IF(I922="A",O922*Contagem!$W$16,IF(I922="T",O922*Contagem!$W$18,""))))</f>
        <v/>
      </c>
      <c r="Q922" s="55" t="n"/>
    </row>
    <row r="923" ht="12" customHeight="1" s="73">
      <c r="A923" s="14">
        <f>IF(H923="",IF(C923="",A922,A922+1),A922)</f>
        <v/>
      </c>
      <c r="B923" s="48">
        <f>IF(A923=A922,"",CONCATENATE("F",A923))</f>
        <v/>
      </c>
      <c r="C923" s="85" t="n"/>
      <c r="D923" s="142" t="n"/>
      <c r="E923" s="142" t="n"/>
      <c r="F923" s="142" t="n"/>
      <c r="G923" s="143" t="n"/>
      <c r="H923" s="56" t="n"/>
      <c r="I923" s="57" t="n"/>
      <c r="J923" s="56" t="n"/>
      <c r="K923" s="56" t="n"/>
      <c r="L923" s="50">
        <f>CONCATENATE(H923,M923)</f>
        <v/>
      </c>
      <c r="M923" s="51">
        <f>IF(OR(ISBLANK(J923),ISBLANK(K923)),IF(OR(H923="ALI",H923="AIE"),"L",IF(ISBLANK(H923),"","A")),IF(H923="EE",IF(K923&gt;=3,IF(J923&gt;=5,"H","A"),IF(K923&gt;=2,IF(J923&gt;=16,"H",IF(J923&lt;=4,"L","A")),IF(J923&lt;=15,"L","A"))),IF(OR(H923="SE",H923="CE"),IF(K923&gt;=4,IF(J923&gt;=6,"H","A"),IF(K923&gt;=2,IF(J923&gt;=20,"H",IF(J923&lt;=5,"L","A")),IF(J923&lt;=19,"L","A"))),IF(OR(H923="ALI",H923="AIE"),IF(K923&gt;=6,IF(J923&gt;=20,"H","A"),IF(K923&gt;=2,IF(J923&gt;=51,"H",IF(J923&lt;=19,"L","A")),IF(J923&lt;=50,"L","A")))))))</f>
        <v/>
      </c>
      <c r="N923" s="52">
        <f>IF(M923="L","Baixa",IF(M923="A","Média",IF(M923="","","Alta")))</f>
        <v/>
      </c>
      <c r="O923" s="53">
        <f>IF(ISBLANK(H923),"",IF(H923="ALI",IF(M923="L",7,IF(M923="A",10,15)),IF(H923="AIE",IF(M923="L",5,IF(M923="A",7,10)),IF(H923="SE",IF(M923="L",4,IF(M923="A",5,7)),IF(OR(H923="EE",H923="CE"),IF(M923="L",3,IF(M923="A",4,6)))))))</f>
        <v/>
      </c>
      <c r="P923" s="54">
        <f>IF(I923="I",O923*Contagem!$W$15,IF(I923="E",O923*Contagem!$W$17,IF(I923="A",O923*Contagem!$W$16,IF(I923="T",O923*Contagem!$W$18,""))))</f>
        <v/>
      </c>
      <c r="Q923" s="55" t="n"/>
    </row>
    <row r="924" ht="12" customHeight="1" s="73">
      <c r="A924" s="14">
        <f>IF(H924="",IF(C924="",A923,A923+1),A923)</f>
        <v/>
      </c>
      <c r="B924" s="48">
        <f>IF(A924=A923,"",CONCATENATE("F",A924))</f>
        <v/>
      </c>
      <c r="C924" s="85" t="n"/>
      <c r="D924" s="142" t="n"/>
      <c r="E924" s="142" t="n"/>
      <c r="F924" s="142" t="n"/>
      <c r="G924" s="143" t="n"/>
      <c r="H924" s="56" t="n"/>
      <c r="I924" s="57" t="n"/>
      <c r="J924" s="56" t="n"/>
      <c r="K924" s="56" t="n"/>
      <c r="L924" s="50">
        <f>CONCATENATE(H924,M924)</f>
        <v/>
      </c>
      <c r="M924" s="51">
        <f>IF(OR(ISBLANK(J924),ISBLANK(K924)),IF(OR(H924="ALI",H924="AIE"),"L",IF(ISBLANK(H924),"","A")),IF(H924="EE",IF(K924&gt;=3,IF(J924&gt;=5,"H","A"),IF(K924&gt;=2,IF(J924&gt;=16,"H",IF(J924&lt;=4,"L","A")),IF(J924&lt;=15,"L","A"))),IF(OR(H924="SE",H924="CE"),IF(K924&gt;=4,IF(J924&gt;=6,"H","A"),IF(K924&gt;=2,IF(J924&gt;=20,"H",IF(J924&lt;=5,"L","A")),IF(J924&lt;=19,"L","A"))),IF(OR(H924="ALI",H924="AIE"),IF(K924&gt;=6,IF(J924&gt;=20,"H","A"),IF(K924&gt;=2,IF(J924&gt;=51,"H",IF(J924&lt;=19,"L","A")),IF(J924&lt;=50,"L","A")))))))</f>
        <v/>
      </c>
      <c r="N924" s="52">
        <f>IF(M924="L","Baixa",IF(M924="A","Média",IF(M924="","","Alta")))</f>
        <v/>
      </c>
      <c r="O924" s="53">
        <f>IF(ISBLANK(H924),"",IF(H924="ALI",IF(M924="L",7,IF(M924="A",10,15)),IF(H924="AIE",IF(M924="L",5,IF(M924="A",7,10)),IF(H924="SE",IF(M924="L",4,IF(M924="A",5,7)),IF(OR(H924="EE",H924="CE"),IF(M924="L",3,IF(M924="A",4,6)))))))</f>
        <v/>
      </c>
      <c r="P924" s="54">
        <f>IF(I924="I",O924*Contagem!$W$15,IF(I924="E",O924*Contagem!$W$17,IF(I924="A",O924*Contagem!$W$16,IF(I924="T",O924*Contagem!$W$18,""))))</f>
        <v/>
      </c>
      <c r="Q924" s="55" t="n"/>
    </row>
    <row r="925" ht="12" customHeight="1" s="73">
      <c r="A925" s="14">
        <f>IF(H925="",IF(C925="",A924,A924+1),A924)</f>
        <v/>
      </c>
      <c r="B925" s="48">
        <f>IF(A925=A924,"",CONCATENATE("F",A925))</f>
        <v/>
      </c>
      <c r="C925" s="85" t="n"/>
      <c r="D925" s="142" t="n"/>
      <c r="E925" s="142" t="n"/>
      <c r="F925" s="142" t="n"/>
      <c r="G925" s="143" t="n"/>
      <c r="H925" s="56" t="n"/>
      <c r="I925" s="57" t="n"/>
      <c r="J925" s="56" t="n"/>
      <c r="K925" s="56" t="n"/>
      <c r="L925" s="50">
        <f>CONCATENATE(H925,M925)</f>
        <v/>
      </c>
      <c r="M925" s="51">
        <f>IF(OR(ISBLANK(J925),ISBLANK(K925)),IF(OR(H925="ALI",H925="AIE"),"L",IF(ISBLANK(H925),"","A")),IF(H925="EE",IF(K925&gt;=3,IF(J925&gt;=5,"H","A"),IF(K925&gt;=2,IF(J925&gt;=16,"H",IF(J925&lt;=4,"L","A")),IF(J925&lt;=15,"L","A"))),IF(OR(H925="SE",H925="CE"),IF(K925&gt;=4,IF(J925&gt;=6,"H","A"),IF(K925&gt;=2,IF(J925&gt;=20,"H",IF(J925&lt;=5,"L","A")),IF(J925&lt;=19,"L","A"))),IF(OR(H925="ALI",H925="AIE"),IF(K925&gt;=6,IF(J925&gt;=20,"H","A"),IF(K925&gt;=2,IF(J925&gt;=51,"H",IF(J925&lt;=19,"L","A")),IF(J925&lt;=50,"L","A")))))))</f>
        <v/>
      </c>
      <c r="N925" s="52">
        <f>IF(M925="L","Baixa",IF(M925="A","Média",IF(M925="","","Alta")))</f>
        <v/>
      </c>
      <c r="O925" s="53">
        <f>IF(ISBLANK(H925),"",IF(H925="ALI",IF(M925="L",7,IF(M925="A",10,15)),IF(H925="AIE",IF(M925="L",5,IF(M925="A",7,10)),IF(H925="SE",IF(M925="L",4,IF(M925="A",5,7)),IF(OR(H925="EE",H925="CE"),IF(M925="L",3,IF(M925="A",4,6)))))))</f>
        <v/>
      </c>
      <c r="P925" s="54">
        <f>IF(I925="I",O925*Contagem!$W$15,IF(I925="E",O925*Contagem!$W$17,IF(I925="A",O925*Contagem!$W$16,IF(I925="T",O925*Contagem!$W$18,""))))</f>
        <v/>
      </c>
      <c r="Q925" s="55" t="n"/>
    </row>
    <row r="926" ht="12" customHeight="1" s="73">
      <c r="A926" s="14">
        <f>IF(H926="",IF(C926="",A925,A925+1),A925)</f>
        <v/>
      </c>
      <c r="B926" s="48">
        <f>IF(A926=A925,"",CONCATENATE("F",A926))</f>
        <v/>
      </c>
      <c r="C926" s="85" t="n"/>
      <c r="D926" s="142" t="n"/>
      <c r="E926" s="142" t="n"/>
      <c r="F926" s="142" t="n"/>
      <c r="G926" s="143" t="n"/>
      <c r="H926" s="56" t="n"/>
      <c r="I926" s="57" t="n"/>
      <c r="J926" s="56" t="n"/>
      <c r="K926" s="56" t="n"/>
      <c r="L926" s="50">
        <f>CONCATENATE(H926,M926)</f>
        <v/>
      </c>
      <c r="M926" s="51">
        <f>IF(OR(ISBLANK(J926),ISBLANK(K926)),IF(OR(H926="ALI",H926="AIE"),"L",IF(ISBLANK(H926),"","A")),IF(H926="EE",IF(K926&gt;=3,IF(J926&gt;=5,"H","A"),IF(K926&gt;=2,IF(J926&gt;=16,"H",IF(J926&lt;=4,"L","A")),IF(J926&lt;=15,"L","A"))),IF(OR(H926="SE",H926="CE"),IF(K926&gt;=4,IF(J926&gt;=6,"H","A"),IF(K926&gt;=2,IF(J926&gt;=20,"H",IF(J926&lt;=5,"L","A")),IF(J926&lt;=19,"L","A"))),IF(OR(H926="ALI",H926="AIE"),IF(K926&gt;=6,IF(J926&gt;=20,"H","A"),IF(K926&gt;=2,IF(J926&gt;=51,"H",IF(J926&lt;=19,"L","A")),IF(J926&lt;=50,"L","A")))))))</f>
        <v/>
      </c>
      <c r="N926" s="52">
        <f>IF(M926="L","Baixa",IF(M926="A","Média",IF(M926="","","Alta")))</f>
        <v/>
      </c>
      <c r="O926" s="53">
        <f>IF(ISBLANK(H926),"",IF(H926="ALI",IF(M926="L",7,IF(M926="A",10,15)),IF(H926="AIE",IF(M926="L",5,IF(M926="A",7,10)),IF(H926="SE",IF(M926="L",4,IF(M926="A",5,7)),IF(OR(H926="EE",H926="CE"),IF(M926="L",3,IF(M926="A",4,6)))))))</f>
        <v/>
      </c>
      <c r="P926" s="54">
        <f>IF(I926="I",O926*Contagem!$W$15,IF(I926="E",O926*Contagem!$W$17,IF(I926="A",O926*Contagem!$W$16,IF(I926="T",O926*Contagem!$W$18,""))))</f>
        <v/>
      </c>
      <c r="Q926" s="55" t="n"/>
    </row>
    <row r="927" ht="12" customHeight="1" s="73">
      <c r="A927" s="14">
        <f>IF(H927="",IF(C927="",A926,A926+1),A926)</f>
        <v/>
      </c>
      <c r="B927" s="48">
        <f>IF(A927=A926,"",CONCATENATE("F",A927))</f>
        <v/>
      </c>
      <c r="C927" s="85" t="n"/>
      <c r="D927" s="142" t="n"/>
      <c r="E927" s="142" t="n"/>
      <c r="F927" s="142" t="n"/>
      <c r="G927" s="143" t="n"/>
      <c r="H927" s="56" t="n"/>
      <c r="I927" s="57" t="n"/>
      <c r="J927" s="56" t="n"/>
      <c r="K927" s="56" t="n"/>
      <c r="L927" s="50">
        <f>CONCATENATE(H927,M927)</f>
        <v/>
      </c>
      <c r="M927" s="51">
        <f>IF(OR(ISBLANK(J927),ISBLANK(K927)),IF(OR(H927="ALI",H927="AIE"),"L",IF(ISBLANK(H927),"","A")),IF(H927="EE",IF(K927&gt;=3,IF(J927&gt;=5,"H","A"),IF(K927&gt;=2,IF(J927&gt;=16,"H",IF(J927&lt;=4,"L","A")),IF(J927&lt;=15,"L","A"))),IF(OR(H927="SE",H927="CE"),IF(K927&gt;=4,IF(J927&gt;=6,"H","A"),IF(K927&gt;=2,IF(J927&gt;=20,"H",IF(J927&lt;=5,"L","A")),IF(J927&lt;=19,"L","A"))),IF(OR(H927="ALI",H927="AIE"),IF(K927&gt;=6,IF(J927&gt;=20,"H","A"),IF(K927&gt;=2,IF(J927&gt;=51,"H",IF(J927&lt;=19,"L","A")),IF(J927&lt;=50,"L","A")))))))</f>
        <v/>
      </c>
      <c r="N927" s="52">
        <f>IF(M927="L","Baixa",IF(M927="A","Média",IF(M927="","","Alta")))</f>
        <v/>
      </c>
      <c r="O927" s="53">
        <f>IF(ISBLANK(H927),"",IF(H927="ALI",IF(M927="L",7,IF(M927="A",10,15)),IF(H927="AIE",IF(M927="L",5,IF(M927="A",7,10)),IF(H927="SE",IF(M927="L",4,IF(M927="A",5,7)),IF(OR(H927="EE",H927="CE"),IF(M927="L",3,IF(M927="A",4,6)))))))</f>
        <v/>
      </c>
      <c r="P927" s="54">
        <f>IF(I927="I",O927*Contagem!$W$15,IF(I927="E",O927*Contagem!$W$17,IF(I927="A",O927*Contagem!$W$16,IF(I927="T",O927*Contagem!$W$18,""))))</f>
        <v/>
      </c>
      <c r="Q927" s="55" t="n"/>
    </row>
    <row r="928" ht="12" customHeight="1" s="73">
      <c r="A928" s="14">
        <f>IF(H928="",IF(C928="",A927,A927+1),A927)</f>
        <v/>
      </c>
      <c r="B928" s="48">
        <f>IF(A928=A927,"",CONCATENATE("F",A928))</f>
        <v/>
      </c>
      <c r="C928" s="85" t="n"/>
      <c r="D928" s="142" t="n"/>
      <c r="E928" s="142" t="n"/>
      <c r="F928" s="142" t="n"/>
      <c r="G928" s="143" t="n"/>
      <c r="H928" s="56" t="n"/>
      <c r="I928" s="57" t="n"/>
      <c r="J928" s="56" t="n"/>
      <c r="K928" s="56" t="n"/>
      <c r="L928" s="50">
        <f>CONCATENATE(H928,M928)</f>
        <v/>
      </c>
      <c r="M928" s="51">
        <f>IF(OR(ISBLANK(J928),ISBLANK(K928)),IF(OR(H928="ALI",H928="AIE"),"L",IF(ISBLANK(H928),"","A")),IF(H928="EE",IF(K928&gt;=3,IF(J928&gt;=5,"H","A"),IF(K928&gt;=2,IF(J928&gt;=16,"H",IF(J928&lt;=4,"L","A")),IF(J928&lt;=15,"L","A"))),IF(OR(H928="SE",H928="CE"),IF(K928&gt;=4,IF(J928&gt;=6,"H","A"),IF(K928&gt;=2,IF(J928&gt;=20,"H",IF(J928&lt;=5,"L","A")),IF(J928&lt;=19,"L","A"))),IF(OR(H928="ALI",H928="AIE"),IF(K928&gt;=6,IF(J928&gt;=20,"H","A"),IF(K928&gt;=2,IF(J928&gt;=51,"H",IF(J928&lt;=19,"L","A")),IF(J928&lt;=50,"L","A")))))))</f>
        <v/>
      </c>
      <c r="N928" s="52">
        <f>IF(M928="L","Baixa",IF(M928="A","Média",IF(M928="","","Alta")))</f>
        <v/>
      </c>
      <c r="O928" s="53">
        <f>IF(ISBLANK(H928),"",IF(H928="ALI",IF(M928="L",7,IF(M928="A",10,15)),IF(H928="AIE",IF(M928="L",5,IF(M928="A",7,10)),IF(H928="SE",IF(M928="L",4,IF(M928="A",5,7)),IF(OR(H928="EE",H928="CE"),IF(M928="L",3,IF(M928="A",4,6)))))))</f>
        <v/>
      </c>
      <c r="P928" s="54">
        <f>IF(I928="I",O928*Contagem!$W$15,IF(I928="E",O928*Contagem!$W$17,IF(I928="A",O928*Contagem!$W$16,IF(I928="T",O928*Contagem!$W$18,""))))</f>
        <v/>
      </c>
      <c r="Q928" s="55" t="n"/>
    </row>
    <row r="929" ht="12" customHeight="1" s="73">
      <c r="A929" s="14">
        <f>IF(H929="",IF(C929="",A928,A928+1),A928)</f>
        <v/>
      </c>
      <c r="B929" s="48">
        <f>IF(A929=A928,"",CONCATENATE("F",A929))</f>
        <v/>
      </c>
      <c r="C929" s="85" t="n"/>
      <c r="D929" s="142" t="n"/>
      <c r="E929" s="142" t="n"/>
      <c r="F929" s="142" t="n"/>
      <c r="G929" s="143" t="n"/>
      <c r="H929" s="56" t="n"/>
      <c r="I929" s="57" t="n"/>
      <c r="J929" s="56" t="n"/>
      <c r="K929" s="56" t="n"/>
      <c r="L929" s="50">
        <f>CONCATENATE(H929,M929)</f>
        <v/>
      </c>
      <c r="M929" s="51">
        <f>IF(OR(ISBLANK(J929),ISBLANK(K929)),IF(OR(H929="ALI",H929="AIE"),"L",IF(ISBLANK(H929),"","A")),IF(H929="EE",IF(K929&gt;=3,IF(J929&gt;=5,"H","A"),IF(K929&gt;=2,IF(J929&gt;=16,"H",IF(J929&lt;=4,"L","A")),IF(J929&lt;=15,"L","A"))),IF(OR(H929="SE",H929="CE"),IF(K929&gt;=4,IF(J929&gt;=6,"H","A"),IF(K929&gt;=2,IF(J929&gt;=20,"H",IF(J929&lt;=5,"L","A")),IF(J929&lt;=19,"L","A"))),IF(OR(H929="ALI",H929="AIE"),IF(K929&gt;=6,IF(J929&gt;=20,"H","A"),IF(K929&gt;=2,IF(J929&gt;=51,"H",IF(J929&lt;=19,"L","A")),IF(J929&lt;=50,"L","A")))))))</f>
        <v/>
      </c>
      <c r="N929" s="52">
        <f>IF(M929="L","Baixa",IF(M929="A","Média",IF(M929="","","Alta")))</f>
        <v/>
      </c>
      <c r="O929" s="53">
        <f>IF(ISBLANK(H929),"",IF(H929="ALI",IF(M929="L",7,IF(M929="A",10,15)),IF(H929="AIE",IF(M929="L",5,IF(M929="A",7,10)),IF(H929="SE",IF(M929="L",4,IF(M929="A",5,7)),IF(OR(H929="EE",H929="CE"),IF(M929="L",3,IF(M929="A",4,6)))))))</f>
        <v/>
      </c>
      <c r="P929" s="54">
        <f>IF(I929="I",O929*Contagem!$W$15,IF(I929="E",O929*Contagem!$W$17,IF(I929="A",O929*Contagem!$W$16,IF(I929="T",O929*Contagem!$W$18,""))))</f>
        <v/>
      </c>
      <c r="Q929" s="55" t="n"/>
    </row>
    <row r="930" ht="12" customHeight="1" s="73">
      <c r="A930" s="14">
        <f>IF(H930="",IF(C930="",A929,A929+1),A929)</f>
        <v/>
      </c>
      <c r="B930" s="48">
        <f>IF(A930=A929,"",CONCATENATE("F",A930))</f>
        <v/>
      </c>
      <c r="C930" s="85" t="n"/>
      <c r="D930" s="142" t="n"/>
      <c r="E930" s="142" t="n"/>
      <c r="F930" s="142" t="n"/>
      <c r="G930" s="143" t="n"/>
      <c r="H930" s="56" t="n"/>
      <c r="I930" s="57" t="n"/>
      <c r="J930" s="56" t="n"/>
      <c r="K930" s="56" t="n"/>
      <c r="L930" s="50">
        <f>CONCATENATE(H930,M930)</f>
        <v/>
      </c>
      <c r="M930" s="51">
        <f>IF(OR(ISBLANK(J930),ISBLANK(K930)),IF(OR(H930="ALI",H930="AIE"),"L",IF(ISBLANK(H930),"","A")),IF(H930="EE",IF(K930&gt;=3,IF(J930&gt;=5,"H","A"),IF(K930&gt;=2,IF(J930&gt;=16,"H",IF(J930&lt;=4,"L","A")),IF(J930&lt;=15,"L","A"))),IF(OR(H930="SE",H930="CE"),IF(K930&gt;=4,IF(J930&gt;=6,"H","A"),IF(K930&gt;=2,IF(J930&gt;=20,"H",IF(J930&lt;=5,"L","A")),IF(J930&lt;=19,"L","A"))),IF(OR(H930="ALI",H930="AIE"),IF(K930&gt;=6,IF(J930&gt;=20,"H","A"),IF(K930&gt;=2,IF(J930&gt;=51,"H",IF(J930&lt;=19,"L","A")),IF(J930&lt;=50,"L","A")))))))</f>
        <v/>
      </c>
      <c r="N930" s="52">
        <f>IF(M930="L","Baixa",IF(M930="A","Média",IF(M930="","","Alta")))</f>
        <v/>
      </c>
      <c r="O930" s="53">
        <f>IF(ISBLANK(H930),"",IF(H930="ALI",IF(M930="L",7,IF(M930="A",10,15)),IF(H930="AIE",IF(M930="L",5,IF(M930="A",7,10)),IF(H930="SE",IF(M930="L",4,IF(M930="A",5,7)),IF(OR(H930="EE",H930="CE"),IF(M930="L",3,IF(M930="A",4,6)))))))</f>
        <v/>
      </c>
      <c r="P930" s="54">
        <f>IF(I930="I",O930*Contagem!$W$15,IF(I930="E",O930*Contagem!$W$17,IF(I930="A",O930*Contagem!$W$16,IF(I930="T",O930*Contagem!$W$18,""))))</f>
        <v/>
      </c>
      <c r="Q930" s="55" t="n"/>
    </row>
    <row r="931" ht="12" customHeight="1" s="73">
      <c r="A931" s="14">
        <f>IF(H931="",IF(C931="",A930,A930+1),A930)</f>
        <v/>
      </c>
      <c r="B931" s="48">
        <f>IF(A931=A930,"",CONCATENATE("F",A931))</f>
        <v/>
      </c>
      <c r="C931" s="85" t="n"/>
      <c r="D931" s="142" t="n"/>
      <c r="E931" s="142" t="n"/>
      <c r="F931" s="142" t="n"/>
      <c r="G931" s="143" t="n"/>
      <c r="H931" s="56" t="n"/>
      <c r="I931" s="57" t="n"/>
      <c r="J931" s="56" t="n"/>
      <c r="K931" s="56" t="n"/>
      <c r="L931" s="50">
        <f>CONCATENATE(H931,M931)</f>
        <v/>
      </c>
      <c r="M931" s="51">
        <f>IF(OR(ISBLANK(J931),ISBLANK(K931)),IF(OR(H931="ALI",H931="AIE"),"L",IF(ISBLANK(H931),"","A")),IF(H931="EE",IF(K931&gt;=3,IF(J931&gt;=5,"H","A"),IF(K931&gt;=2,IF(J931&gt;=16,"H",IF(J931&lt;=4,"L","A")),IF(J931&lt;=15,"L","A"))),IF(OR(H931="SE",H931="CE"),IF(K931&gt;=4,IF(J931&gt;=6,"H","A"),IF(K931&gt;=2,IF(J931&gt;=20,"H",IF(J931&lt;=5,"L","A")),IF(J931&lt;=19,"L","A"))),IF(OR(H931="ALI",H931="AIE"),IF(K931&gt;=6,IF(J931&gt;=20,"H","A"),IF(K931&gt;=2,IF(J931&gt;=51,"H",IF(J931&lt;=19,"L","A")),IF(J931&lt;=50,"L","A")))))))</f>
        <v/>
      </c>
      <c r="N931" s="52">
        <f>IF(M931="L","Baixa",IF(M931="A","Média",IF(M931="","","Alta")))</f>
        <v/>
      </c>
      <c r="O931" s="53">
        <f>IF(ISBLANK(H931),"",IF(H931="ALI",IF(M931="L",7,IF(M931="A",10,15)),IF(H931="AIE",IF(M931="L",5,IF(M931="A",7,10)),IF(H931="SE",IF(M931="L",4,IF(M931="A",5,7)),IF(OR(H931="EE",H931="CE"),IF(M931="L",3,IF(M931="A",4,6)))))))</f>
        <v/>
      </c>
      <c r="P931" s="54">
        <f>IF(I931="I",O931*Contagem!$W$15,IF(I931="E",O931*Contagem!$W$17,IF(I931="A",O931*Contagem!$W$16,IF(I931="T",O931*Contagem!$W$18,""))))</f>
        <v/>
      </c>
      <c r="Q931" s="55" t="n"/>
    </row>
    <row r="932" ht="12" customHeight="1" s="73">
      <c r="A932" s="14">
        <f>IF(H932="",IF(C932="",A931,A931+1),A931)</f>
        <v/>
      </c>
      <c r="B932" s="48">
        <f>IF(A932=A931,"",CONCATENATE("F",A932))</f>
        <v/>
      </c>
      <c r="C932" s="85" t="n"/>
      <c r="D932" s="142" t="n"/>
      <c r="E932" s="142" t="n"/>
      <c r="F932" s="142" t="n"/>
      <c r="G932" s="143" t="n"/>
      <c r="H932" s="56" t="n"/>
      <c r="I932" s="57" t="n"/>
      <c r="J932" s="56" t="n"/>
      <c r="K932" s="56" t="n"/>
      <c r="L932" s="50">
        <f>CONCATENATE(H932,M932)</f>
        <v/>
      </c>
      <c r="M932" s="51">
        <f>IF(OR(ISBLANK(J932),ISBLANK(K932)),IF(OR(H932="ALI",H932="AIE"),"L",IF(ISBLANK(H932),"","A")),IF(H932="EE",IF(K932&gt;=3,IF(J932&gt;=5,"H","A"),IF(K932&gt;=2,IF(J932&gt;=16,"H",IF(J932&lt;=4,"L","A")),IF(J932&lt;=15,"L","A"))),IF(OR(H932="SE",H932="CE"),IF(K932&gt;=4,IF(J932&gt;=6,"H","A"),IF(K932&gt;=2,IF(J932&gt;=20,"H",IF(J932&lt;=5,"L","A")),IF(J932&lt;=19,"L","A"))),IF(OR(H932="ALI",H932="AIE"),IF(K932&gt;=6,IF(J932&gt;=20,"H","A"),IF(K932&gt;=2,IF(J932&gt;=51,"H",IF(J932&lt;=19,"L","A")),IF(J932&lt;=50,"L","A")))))))</f>
        <v/>
      </c>
      <c r="N932" s="52">
        <f>IF(M932="L","Baixa",IF(M932="A","Média",IF(M932="","","Alta")))</f>
        <v/>
      </c>
      <c r="O932" s="53">
        <f>IF(ISBLANK(H932),"",IF(H932="ALI",IF(M932="L",7,IF(M932="A",10,15)),IF(H932="AIE",IF(M932="L",5,IF(M932="A",7,10)),IF(H932="SE",IF(M932="L",4,IF(M932="A",5,7)),IF(OR(H932="EE",H932="CE"),IF(M932="L",3,IF(M932="A",4,6)))))))</f>
        <v/>
      </c>
      <c r="P932" s="54">
        <f>IF(I932="I",O932*Contagem!$W$15,IF(I932="E",O932*Contagem!$W$17,IF(I932="A",O932*Contagem!$W$16,IF(I932="T",O932*Contagem!$W$18,""))))</f>
        <v/>
      </c>
      <c r="Q932" s="55" t="n"/>
    </row>
    <row r="933" ht="12" customHeight="1" s="73">
      <c r="A933" s="14">
        <f>IF(H933="",IF(C933="",A932,A932+1),A932)</f>
        <v/>
      </c>
      <c r="B933" s="48">
        <f>IF(A933=A932,"",CONCATENATE("F",A933))</f>
        <v/>
      </c>
      <c r="C933" s="85" t="n"/>
      <c r="D933" s="142" t="n"/>
      <c r="E933" s="142" t="n"/>
      <c r="F933" s="142" t="n"/>
      <c r="G933" s="143" t="n"/>
      <c r="H933" s="56" t="n"/>
      <c r="I933" s="57" t="n"/>
      <c r="J933" s="56" t="n"/>
      <c r="K933" s="56" t="n"/>
      <c r="L933" s="50">
        <f>CONCATENATE(H933,M933)</f>
        <v/>
      </c>
      <c r="M933" s="51">
        <f>IF(OR(ISBLANK(J933),ISBLANK(K933)),IF(OR(H933="ALI",H933="AIE"),"L",IF(ISBLANK(H933),"","A")),IF(H933="EE",IF(K933&gt;=3,IF(J933&gt;=5,"H","A"),IF(K933&gt;=2,IF(J933&gt;=16,"H",IF(J933&lt;=4,"L","A")),IF(J933&lt;=15,"L","A"))),IF(OR(H933="SE",H933="CE"),IF(K933&gt;=4,IF(J933&gt;=6,"H","A"),IF(K933&gt;=2,IF(J933&gt;=20,"H",IF(J933&lt;=5,"L","A")),IF(J933&lt;=19,"L","A"))),IF(OR(H933="ALI",H933="AIE"),IF(K933&gt;=6,IF(J933&gt;=20,"H","A"),IF(K933&gt;=2,IF(J933&gt;=51,"H",IF(J933&lt;=19,"L","A")),IF(J933&lt;=50,"L","A")))))))</f>
        <v/>
      </c>
      <c r="N933" s="52">
        <f>IF(M933="L","Baixa",IF(M933="A","Média",IF(M933="","","Alta")))</f>
        <v/>
      </c>
      <c r="O933" s="53">
        <f>IF(ISBLANK(H933),"",IF(H933="ALI",IF(M933="L",7,IF(M933="A",10,15)),IF(H933="AIE",IF(M933="L",5,IF(M933="A",7,10)),IF(H933="SE",IF(M933="L",4,IF(M933="A",5,7)),IF(OR(H933="EE",H933="CE"),IF(M933="L",3,IF(M933="A",4,6)))))))</f>
        <v/>
      </c>
      <c r="P933" s="54">
        <f>IF(I933="I",O933*Contagem!$W$15,IF(I933="E",O933*Contagem!$W$17,IF(I933="A",O933*Contagem!$W$16,IF(I933="T",O933*Contagem!$W$18,""))))</f>
        <v/>
      </c>
      <c r="Q933" s="55" t="n"/>
    </row>
    <row r="934" ht="12" customHeight="1" s="73">
      <c r="A934" s="14">
        <f>IF(H934="",IF(C934="",A933,A933+1),A933)</f>
        <v/>
      </c>
      <c r="B934" s="48">
        <f>IF(A934=A933,"",CONCATENATE("F",A934))</f>
        <v/>
      </c>
      <c r="C934" s="85" t="n"/>
      <c r="D934" s="142" t="n"/>
      <c r="E934" s="142" t="n"/>
      <c r="F934" s="142" t="n"/>
      <c r="G934" s="143" t="n"/>
      <c r="H934" s="56" t="n"/>
      <c r="I934" s="57" t="n"/>
      <c r="J934" s="56" t="n"/>
      <c r="K934" s="56" t="n"/>
      <c r="L934" s="50">
        <f>CONCATENATE(H934,M934)</f>
        <v/>
      </c>
      <c r="M934" s="51">
        <f>IF(OR(ISBLANK(J934),ISBLANK(K934)),IF(OR(H934="ALI",H934="AIE"),"L",IF(ISBLANK(H934),"","A")),IF(H934="EE",IF(K934&gt;=3,IF(J934&gt;=5,"H","A"),IF(K934&gt;=2,IF(J934&gt;=16,"H",IF(J934&lt;=4,"L","A")),IF(J934&lt;=15,"L","A"))),IF(OR(H934="SE",H934="CE"),IF(K934&gt;=4,IF(J934&gt;=6,"H","A"),IF(K934&gt;=2,IF(J934&gt;=20,"H",IF(J934&lt;=5,"L","A")),IF(J934&lt;=19,"L","A"))),IF(OR(H934="ALI",H934="AIE"),IF(K934&gt;=6,IF(J934&gt;=20,"H","A"),IF(K934&gt;=2,IF(J934&gt;=51,"H",IF(J934&lt;=19,"L","A")),IF(J934&lt;=50,"L","A")))))))</f>
        <v/>
      </c>
      <c r="N934" s="52">
        <f>IF(M934="L","Baixa",IF(M934="A","Média",IF(M934="","","Alta")))</f>
        <v/>
      </c>
      <c r="O934" s="53">
        <f>IF(ISBLANK(H934),"",IF(H934="ALI",IF(M934="L",7,IF(M934="A",10,15)),IF(H934="AIE",IF(M934="L",5,IF(M934="A",7,10)),IF(H934="SE",IF(M934="L",4,IF(M934="A",5,7)),IF(OR(H934="EE",H934="CE"),IF(M934="L",3,IF(M934="A",4,6)))))))</f>
        <v/>
      </c>
      <c r="P934" s="54">
        <f>IF(I934="I",O934*Contagem!$W$15,IF(I934="E",O934*Contagem!$W$17,IF(I934="A",O934*Contagem!$W$16,IF(I934="T",O934*Contagem!$W$18,""))))</f>
        <v/>
      </c>
      <c r="Q934" s="55" t="n"/>
    </row>
    <row r="935" ht="12" customHeight="1" s="73">
      <c r="A935" s="14">
        <f>IF(H935="",IF(C935="",A934,A934+1),A934)</f>
        <v/>
      </c>
      <c r="B935" s="48">
        <f>IF(A935=A934,"",CONCATENATE("F",A935))</f>
        <v/>
      </c>
      <c r="C935" s="85" t="n"/>
      <c r="D935" s="142" t="n"/>
      <c r="E935" s="142" t="n"/>
      <c r="F935" s="142" t="n"/>
      <c r="G935" s="143" t="n"/>
      <c r="H935" s="56" t="n"/>
      <c r="I935" s="57" t="n"/>
      <c r="J935" s="56" t="n"/>
      <c r="K935" s="56" t="n"/>
      <c r="L935" s="50">
        <f>CONCATENATE(H935,M935)</f>
        <v/>
      </c>
      <c r="M935" s="51">
        <f>IF(OR(ISBLANK(J935),ISBLANK(K935)),IF(OR(H935="ALI",H935="AIE"),"L",IF(ISBLANK(H935),"","A")),IF(H935="EE",IF(K935&gt;=3,IF(J935&gt;=5,"H","A"),IF(K935&gt;=2,IF(J935&gt;=16,"H",IF(J935&lt;=4,"L","A")),IF(J935&lt;=15,"L","A"))),IF(OR(H935="SE",H935="CE"),IF(K935&gt;=4,IF(J935&gt;=6,"H","A"),IF(K935&gt;=2,IF(J935&gt;=20,"H",IF(J935&lt;=5,"L","A")),IF(J935&lt;=19,"L","A"))),IF(OR(H935="ALI",H935="AIE"),IF(K935&gt;=6,IF(J935&gt;=20,"H","A"),IF(K935&gt;=2,IF(J935&gt;=51,"H",IF(J935&lt;=19,"L","A")),IF(J935&lt;=50,"L","A")))))))</f>
        <v/>
      </c>
      <c r="N935" s="52">
        <f>IF(M935="L","Baixa",IF(M935="A","Média",IF(M935="","","Alta")))</f>
        <v/>
      </c>
      <c r="O935" s="53">
        <f>IF(ISBLANK(H935),"",IF(H935="ALI",IF(M935="L",7,IF(M935="A",10,15)),IF(H935="AIE",IF(M935="L",5,IF(M935="A",7,10)),IF(H935="SE",IF(M935="L",4,IF(M935="A",5,7)),IF(OR(H935="EE",H935="CE"),IF(M935="L",3,IF(M935="A",4,6)))))))</f>
        <v/>
      </c>
      <c r="P935" s="54">
        <f>IF(I935="I",O935*Contagem!$W$15,IF(I935="E",O935*Contagem!$W$17,IF(I935="A",O935*Contagem!$W$16,IF(I935="T",O935*Contagem!$W$18,""))))</f>
        <v/>
      </c>
      <c r="Q935" s="55" t="n"/>
    </row>
    <row r="936" ht="12" customHeight="1" s="73">
      <c r="A936" s="14">
        <f>IF(H936="",IF(C936="",A935,A935+1),A935)</f>
        <v/>
      </c>
      <c r="B936" s="48">
        <f>IF(A936=A935,"",CONCATENATE("F",A936))</f>
        <v/>
      </c>
      <c r="C936" s="85" t="n"/>
      <c r="D936" s="142" t="n"/>
      <c r="E936" s="142" t="n"/>
      <c r="F936" s="142" t="n"/>
      <c r="G936" s="143" t="n"/>
      <c r="H936" s="56" t="n"/>
      <c r="I936" s="57" t="n"/>
      <c r="J936" s="56" t="n"/>
      <c r="K936" s="56" t="n"/>
      <c r="L936" s="50">
        <f>CONCATENATE(H936,M936)</f>
        <v/>
      </c>
      <c r="M936" s="51">
        <f>IF(OR(ISBLANK(J936),ISBLANK(K936)),IF(OR(H936="ALI",H936="AIE"),"L",IF(ISBLANK(H936),"","A")),IF(H936="EE",IF(K936&gt;=3,IF(J936&gt;=5,"H","A"),IF(K936&gt;=2,IF(J936&gt;=16,"H",IF(J936&lt;=4,"L","A")),IF(J936&lt;=15,"L","A"))),IF(OR(H936="SE",H936="CE"),IF(K936&gt;=4,IF(J936&gt;=6,"H","A"),IF(K936&gt;=2,IF(J936&gt;=20,"H",IF(J936&lt;=5,"L","A")),IF(J936&lt;=19,"L","A"))),IF(OR(H936="ALI",H936="AIE"),IF(K936&gt;=6,IF(J936&gt;=20,"H","A"),IF(K936&gt;=2,IF(J936&gt;=51,"H",IF(J936&lt;=19,"L","A")),IF(J936&lt;=50,"L","A")))))))</f>
        <v/>
      </c>
      <c r="N936" s="52">
        <f>IF(M936="L","Baixa",IF(M936="A","Média",IF(M936="","","Alta")))</f>
        <v/>
      </c>
      <c r="O936" s="53">
        <f>IF(ISBLANK(H936),"",IF(H936="ALI",IF(M936="L",7,IF(M936="A",10,15)),IF(H936="AIE",IF(M936="L",5,IF(M936="A",7,10)),IF(H936="SE",IF(M936="L",4,IF(M936="A",5,7)),IF(OR(H936="EE",H936="CE"),IF(M936="L",3,IF(M936="A",4,6)))))))</f>
        <v/>
      </c>
      <c r="P936" s="54">
        <f>IF(I936="I",O936*Contagem!$W$15,IF(I936="E",O936*Contagem!$W$17,IF(I936="A",O936*Contagem!$W$16,IF(I936="T",O936*Contagem!$W$18,""))))</f>
        <v/>
      </c>
      <c r="Q936" s="55" t="n"/>
    </row>
    <row r="937" ht="12" customHeight="1" s="73">
      <c r="A937" s="14">
        <f>IF(H937="",IF(C937="",A936,A936+1),A936)</f>
        <v/>
      </c>
      <c r="B937" s="48">
        <f>IF(A937=A936,"",CONCATENATE("F",A937))</f>
        <v/>
      </c>
      <c r="C937" s="85" t="n"/>
      <c r="D937" s="142" t="n"/>
      <c r="E937" s="142" t="n"/>
      <c r="F937" s="142" t="n"/>
      <c r="G937" s="143" t="n"/>
      <c r="H937" s="56" t="n"/>
      <c r="I937" s="57" t="n"/>
      <c r="J937" s="56" t="n"/>
      <c r="K937" s="56" t="n"/>
      <c r="L937" s="50">
        <f>CONCATENATE(H937,M937)</f>
        <v/>
      </c>
      <c r="M937" s="51">
        <f>IF(OR(ISBLANK(J937),ISBLANK(K937)),IF(OR(H937="ALI",H937="AIE"),"L",IF(ISBLANK(H937),"","A")),IF(H937="EE",IF(K937&gt;=3,IF(J937&gt;=5,"H","A"),IF(K937&gt;=2,IF(J937&gt;=16,"H",IF(J937&lt;=4,"L","A")),IF(J937&lt;=15,"L","A"))),IF(OR(H937="SE",H937="CE"),IF(K937&gt;=4,IF(J937&gt;=6,"H","A"),IF(K937&gt;=2,IF(J937&gt;=20,"H",IF(J937&lt;=5,"L","A")),IF(J937&lt;=19,"L","A"))),IF(OR(H937="ALI",H937="AIE"),IF(K937&gt;=6,IF(J937&gt;=20,"H","A"),IF(K937&gt;=2,IF(J937&gt;=51,"H",IF(J937&lt;=19,"L","A")),IF(J937&lt;=50,"L","A")))))))</f>
        <v/>
      </c>
      <c r="N937" s="52">
        <f>IF(M937="L","Baixa",IF(M937="A","Média",IF(M937="","","Alta")))</f>
        <v/>
      </c>
      <c r="O937" s="53">
        <f>IF(ISBLANK(H937),"",IF(H937="ALI",IF(M937="L",7,IF(M937="A",10,15)),IF(H937="AIE",IF(M937="L",5,IF(M937="A",7,10)),IF(H937="SE",IF(M937="L",4,IF(M937="A",5,7)),IF(OR(H937="EE",H937="CE"),IF(M937="L",3,IF(M937="A",4,6)))))))</f>
        <v/>
      </c>
      <c r="P937" s="54">
        <f>IF(I937="I",O937*Contagem!$W$15,IF(I937="E",O937*Contagem!$W$17,IF(I937="A",O937*Contagem!$W$16,IF(I937="T",O937*Contagem!$W$18,""))))</f>
        <v/>
      </c>
      <c r="Q937" s="55" t="n"/>
    </row>
    <row r="938" ht="12" customHeight="1" s="73">
      <c r="A938" s="14">
        <f>IF(H938="",IF(C938="",A937,A937+1),A937)</f>
        <v/>
      </c>
      <c r="B938" s="48">
        <f>IF(A938=A937,"",CONCATENATE("F",A938))</f>
        <v/>
      </c>
      <c r="C938" s="85" t="n"/>
      <c r="D938" s="142" t="n"/>
      <c r="E938" s="142" t="n"/>
      <c r="F938" s="142" t="n"/>
      <c r="G938" s="143" t="n"/>
      <c r="H938" s="56" t="n"/>
      <c r="I938" s="57" t="n"/>
      <c r="J938" s="56" t="n"/>
      <c r="K938" s="56" t="n"/>
      <c r="L938" s="50">
        <f>CONCATENATE(H938,M938)</f>
        <v/>
      </c>
      <c r="M938" s="51">
        <f>IF(OR(ISBLANK(J938),ISBLANK(K938)),IF(OR(H938="ALI",H938="AIE"),"L",IF(ISBLANK(H938),"","A")),IF(H938="EE",IF(K938&gt;=3,IF(J938&gt;=5,"H","A"),IF(K938&gt;=2,IF(J938&gt;=16,"H",IF(J938&lt;=4,"L","A")),IF(J938&lt;=15,"L","A"))),IF(OR(H938="SE",H938="CE"),IF(K938&gt;=4,IF(J938&gt;=6,"H","A"),IF(K938&gt;=2,IF(J938&gt;=20,"H",IF(J938&lt;=5,"L","A")),IF(J938&lt;=19,"L","A"))),IF(OR(H938="ALI",H938="AIE"),IF(K938&gt;=6,IF(J938&gt;=20,"H","A"),IF(K938&gt;=2,IF(J938&gt;=51,"H",IF(J938&lt;=19,"L","A")),IF(J938&lt;=50,"L","A")))))))</f>
        <v/>
      </c>
      <c r="N938" s="52">
        <f>IF(M938="L","Baixa",IF(M938="A","Média",IF(M938="","","Alta")))</f>
        <v/>
      </c>
      <c r="O938" s="53">
        <f>IF(ISBLANK(H938),"",IF(H938="ALI",IF(M938="L",7,IF(M938="A",10,15)),IF(H938="AIE",IF(M938="L",5,IF(M938="A",7,10)),IF(H938="SE",IF(M938="L",4,IF(M938="A",5,7)),IF(OR(H938="EE",H938="CE"),IF(M938="L",3,IF(M938="A",4,6)))))))</f>
        <v/>
      </c>
      <c r="P938" s="54">
        <f>IF(I938="I",O938*Contagem!$W$15,IF(I938="E",O938*Contagem!$W$17,IF(I938="A",O938*Contagem!$W$16,IF(I938="T",O938*Contagem!$W$18,""))))</f>
        <v/>
      </c>
      <c r="Q938" s="55" t="n"/>
    </row>
    <row r="939" ht="12" customHeight="1" s="73">
      <c r="A939" s="14">
        <f>IF(H939="",IF(C939="",A938,A938+1),A938)</f>
        <v/>
      </c>
      <c r="B939" s="48">
        <f>IF(A939=A938,"",CONCATENATE("F",A939))</f>
        <v/>
      </c>
      <c r="C939" s="85" t="n"/>
      <c r="D939" s="142" t="n"/>
      <c r="E939" s="142" t="n"/>
      <c r="F939" s="142" t="n"/>
      <c r="G939" s="143" t="n"/>
      <c r="H939" s="56" t="n"/>
      <c r="I939" s="57" t="n"/>
      <c r="J939" s="56" t="n"/>
      <c r="K939" s="56" t="n"/>
      <c r="L939" s="50">
        <f>CONCATENATE(H939,M939)</f>
        <v/>
      </c>
      <c r="M939" s="51">
        <f>IF(OR(ISBLANK(J939),ISBLANK(K939)),IF(OR(H939="ALI",H939="AIE"),"L",IF(ISBLANK(H939),"","A")),IF(H939="EE",IF(K939&gt;=3,IF(J939&gt;=5,"H","A"),IF(K939&gt;=2,IF(J939&gt;=16,"H",IF(J939&lt;=4,"L","A")),IF(J939&lt;=15,"L","A"))),IF(OR(H939="SE",H939="CE"),IF(K939&gt;=4,IF(J939&gt;=6,"H","A"),IF(K939&gt;=2,IF(J939&gt;=20,"H",IF(J939&lt;=5,"L","A")),IF(J939&lt;=19,"L","A"))),IF(OR(H939="ALI",H939="AIE"),IF(K939&gt;=6,IF(J939&gt;=20,"H","A"),IF(K939&gt;=2,IF(J939&gt;=51,"H",IF(J939&lt;=19,"L","A")),IF(J939&lt;=50,"L","A")))))))</f>
        <v/>
      </c>
      <c r="N939" s="52">
        <f>IF(M939="L","Baixa",IF(M939="A","Média",IF(M939="","","Alta")))</f>
        <v/>
      </c>
      <c r="O939" s="53">
        <f>IF(ISBLANK(H939),"",IF(H939="ALI",IF(M939="L",7,IF(M939="A",10,15)),IF(H939="AIE",IF(M939="L",5,IF(M939="A",7,10)),IF(H939="SE",IF(M939="L",4,IF(M939="A",5,7)),IF(OR(H939="EE",H939="CE"),IF(M939="L",3,IF(M939="A",4,6)))))))</f>
        <v/>
      </c>
      <c r="P939" s="54">
        <f>IF(I939="I",O939*Contagem!$W$15,IF(I939="E",O939*Contagem!$W$17,IF(I939="A",O939*Contagem!$W$16,IF(I939="T",O939*Contagem!$W$18,""))))</f>
        <v/>
      </c>
      <c r="Q939" s="55" t="n"/>
    </row>
    <row r="940" ht="12" customHeight="1" s="73">
      <c r="A940" s="14">
        <f>IF(H940="",IF(C940="",A939,A939+1),A939)</f>
        <v/>
      </c>
      <c r="B940" s="48">
        <f>IF(A940=A939,"",CONCATENATE("F",A940))</f>
        <v/>
      </c>
      <c r="C940" s="85" t="n"/>
      <c r="D940" s="142" t="n"/>
      <c r="E940" s="142" t="n"/>
      <c r="F940" s="142" t="n"/>
      <c r="G940" s="143" t="n"/>
      <c r="H940" s="56" t="n"/>
      <c r="I940" s="57" t="n"/>
      <c r="J940" s="56" t="n"/>
      <c r="K940" s="56" t="n"/>
      <c r="L940" s="50">
        <f>CONCATENATE(H940,M940)</f>
        <v/>
      </c>
      <c r="M940" s="51">
        <f>IF(OR(ISBLANK(J940),ISBLANK(K940)),IF(OR(H940="ALI",H940="AIE"),"L",IF(ISBLANK(H940),"","A")),IF(H940="EE",IF(K940&gt;=3,IF(J940&gt;=5,"H","A"),IF(K940&gt;=2,IF(J940&gt;=16,"H",IF(J940&lt;=4,"L","A")),IF(J940&lt;=15,"L","A"))),IF(OR(H940="SE",H940="CE"),IF(K940&gt;=4,IF(J940&gt;=6,"H","A"),IF(K940&gt;=2,IF(J940&gt;=20,"H",IF(J940&lt;=5,"L","A")),IF(J940&lt;=19,"L","A"))),IF(OR(H940="ALI",H940="AIE"),IF(K940&gt;=6,IF(J940&gt;=20,"H","A"),IF(K940&gt;=2,IF(J940&gt;=51,"H",IF(J940&lt;=19,"L","A")),IF(J940&lt;=50,"L","A")))))))</f>
        <v/>
      </c>
      <c r="N940" s="52">
        <f>IF(M940="L","Baixa",IF(M940="A","Média",IF(M940="","","Alta")))</f>
        <v/>
      </c>
      <c r="O940" s="53">
        <f>IF(ISBLANK(H940),"",IF(H940="ALI",IF(M940="L",7,IF(M940="A",10,15)),IF(H940="AIE",IF(M940="L",5,IF(M940="A",7,10)),IF(H940="SE",IF(M940="L",4,IF(M940="A",5,7)),IF(OR(H940="EE",H940="CE"),IF(M940="L",3,IF(M940="A",4,6)))))))</f>
        <v/>
      </c>
      <c r="P940" s="54">
        <f>IF(I940="I",O940*Contagem!$W$15,IF(I940="E",O940*Contagem!$W$17,IF(I940="A",O940*Contagem!$W$16,IF(I940="T",O940*Contagem!$W$18,""))))</f>
        <v/>
      </c>
      <c r="Q940" s="55" t="n"/>
    </row>
    <row r="941" ht="12" customHeight="1" s="73">
      <c r="A941" s="14">
        <f>IF(H941="",IF(C941="",A940,A940+1),A940)</f>
        <v/>
      </c>
      <c r="B941" s="48">
        <f>IF(A941=A940,"",CONCATENATE("F",A941))</f>
        <v/>
      </c>
      <c r="C941" s="85" t="n"/>
      <c r="D941" s="142" t="n"/>
      <c r="E941" s="142" t="n"/>
      <c r="F941" s="142" t="n"/>
      <c r="G941" s="143" t="n"/>
      <c r="H941" s="56" t="n"/>
      <c r="I941" s="57" t="n"/>
      <c r="J941" s="56" t="n"/>
      <c r="K941" s="56" t="n"/>
      <c r="L941" s="50">
        <f>CONCATENATE(H941,M941)</f>
        <v/>
      </c>
      <c r="M941" s="51">
        <f>IF(OR(ISBLANK(J941),ISBLANK(K941)),IF(OR(H941="ALI",H941="AIE"),"L",IF(ISBLANK(H941),"","A")),IF(H941="EE",IF(K941&gt;=3,IF(J941&gt;=5,"H","A"),IF(K941&gt;=2,IF(J941&gt;=16,"H",IF(J941&lt;=4,"L","A")),IF(J941&lt;=15,"L","A"))),IF(OR(H941="SE",H941="CE"),IF(K941&gt;=4,IF(J941&gt;=6,"H","A"),IF(K941&gt;=2,IF(J941&gt;=20,"H",IF(J941&lt;=5,"L","A")),IF(J941&lt;=19,"L","A"))),IF(OR(H941="ALI",H941="AIE"),IF(K941&gt;=6,IF(J941&gt;=20,"H","A"),IF(K941&gt;=2,IF(J941&gt;=51,"H",IF(J941&lt;=19,"L","A")),IF(J941&lt;=50,"L","A")))))))</f>
        <v/>
      </c>
      <c r="N941" s="52">
        <f>IF(M941="L","Baixa",IF(M941="A","Média",IF(M941="","","Alta")))</f>
        <v/>
      </c>
      <c r="O941" s="53">
        <f>IF(ISBLANK(H941),"",IF(H941="ALI",IF(M941="L",7,IF(M941="A",10,15)),IF(H941="AIE",IF(M941="L",5,IF(M941="A",7,10)),IF(H941="SE",IF(M941="L",4,IF(M941="A",5,7)),IF(OR(H941="EE",H941="CE"),IF(M941="L",3,IF(M941="A",4,6)))))))</f>
        <v/>
      </c>
      <c r="P941" s="54">
        <f>IF(I941="I",O941*Contagem!$W$15,IF(I941="E",O941*Contagem!$W$17,IF(I941="A",O941*Contagem!$W$16,IF(I941="T",O941*Contagem!$W$18,""))))</f>
        <v/>
      </c>
      <c r="Q941" s="55" t="n"/>
    </row>
    <row r="942" ht="12" customHeight="1" s="73">
      <c r="A942" s="14">
        <f>IF(H942="",IF(C942="",A941,A941+1),A941)</f>
        <v/>
      </c>
      <c r="B942" s="48">
        <f>IF(A942=A941,"",CONCATENATE("F",A942))</f>
        <v/>
      </c>
      <c r="C942" s="85" t="n"/>
      <c r="D942" s="142" t="n"/>
      <c r="E942" s="142" t="n"/>
      <c r="F942" s="142" t="n"/>
      <c r="G942" s="143" t="n"/>
      <c r="H942" s="56" t="n"/>
      <c r="I942" s="57" t="n"/>
      <c r="J942" s="56" t="n"/>
      <c r="K942" s="56" t="n"/>
      <c r="L942" s="50">
        <f>CONCATENATE(H942,M942)</f>
        <v/>
      </c>
      <c r="M942" s="51">
        <f>IF(OR(ISBLANK(J942),ISBLANK(K942)),IF(OR(H942="ALI",H942="AIE"),"L",IF(ISBLANK(H942),"","A")),IF(H942="EE",IF(K942&gt;=3,IF(J942&gt;=5,"H","A"),IF(K942&gt;=2,IF(J942&gt;=16,"H",IF(J942&lt;=4,"L","A")),IF(J942&lt;=15,"L","A"))),IF(OR(H942="SE",H942="CE"),IF(K942&gt;=4,IF(J942&gt;=6,"H","A"),IF(K942&gt;=2,IF(J942&gt;=20,"H",IF(J942&lt;=5,"L","A")),IF(J942&lt;=19,"L","A"))),IF(OR(H942="ALI",H942="AIE"),IF(K942&gt;=6,IF(J942&gt;=20,"H","A"),IF(K942&gt;=2,IF(J942&gt;=51,"H",IF(J942&lt;=19,"L","A")),IF(J942&lt;=50,"L","A")))))))</f>
        <v/>
      </c>
      <c r="N942" s="52">
        <f>IF(M942="L","Baixa",IF(M942="A","Média",IF(M942="","","Alta")))</f>
        <v/>
      </c>
      <c r="O942" s="53">
        <f>IF(ISBLANK(H942),"",IF(H942="ALI",IF(M942="L",7,IF(M942="A",10,15)),IF(H942="AIE",IF(M942="L",5,IF(M942="A",7,10)),IF(H942="SE",IF(M942="L",4,IF(M942="A",5,7)),IF(OR(H942="EE",H942="CE"),IF(M942="L",3,IF(M942="A",4,6)))))))</f>
        <v/>
      </c>
      <c r="P942" s="54">
        <f>IF(I942="I",O942*Contagem!$W$15,IF(I942="E",O942*Contagem!$W$17,IF(I942="A",O942*Contagem!$W$16,IF(I942="T",O942*Contagem!$W$18,""))))</f>
        <v/>
      </c>
      <c r="Q942" s="55" t="n"/>
    </row>
    <row r="943" ht="12" customHeight="1" s="73">
      <c r="A943" s="14">
        <f>IF(H943="",IF(C943="",A942,A942+1),A942)</f>
        <v/>
      </c>
      <c r="B943" s="48">
        <f>IF(A943=A942,"",CONCATENATE("F",A943))</f>
        <v/>
      </c>
      <c r="C943" s="85" t="n"/>
      <c r="D943" s="142" t="n"/>
      <c r="E943" s="142" t="n"/>
      <c r="F943" s="142" t="n"/>
      <c r="G943" s="143" t="n"/>
      <c r="H943" s="56" t="n"/>
      <c r="I943" s="57" t="n"/>
      <c r="J943" s="56" t="n"/>
      <c r="K943" s="56" t="n"/>
      <c r="L943" s="50">
        <f>CONCATENATE(H943,M943)</f>
        <v/>
      </c>
      <c r="M943" s="51">
        <f>IF(OR(ISBLANK(J943),ISBLANK(K943)),IF(OR(H943="ALI",H943="AIE"),"L",IF(ISBLANK(H943),"","A")),IF(H943="EE",IF(K943&gt;=3,IF(J943&gt;=5,"H","A"),IF(K943&gt;=2,IF(J943&gt;=16,"H",IF(J943&lt;=4,"L","A")),IF(J943&lt;=15,"L","A"))),IF(OR(H943="SE",H943="CE"),IF(K943&gt;=4,IF(J943&gt;=6,"H","A"),IF(K943&gt;=2,IF(J943&gt;=20,"H",IF(J943&lt;=5,"L","A")),IF(J943&lt;=19,"L","A"))),IF(OR(H943="ALI",H943="AIE"),IF(K943&gt;=6,IF(J943&gt;=20,"H","A"),IF(K943&gt;=2,IF(J943&gt;=51,"H",IF(J943&lt;=19,"L","A")),IF(J943&lt;=50,"L","A")))))))</f>
        <v/>
      </c>
      <c r="N943" s="52">
        <f>IF(M943="L","Baixa",IF(M943="A","Média",IF(M943="","","Alta")))</f>
        <v/>
      </c>
      <c r="O943" s="53">
        <f>IF(ISBLANK(H943),"",IF(H943="ALI",IF(M943="L",7,IF(M943="A",10,15)),IF(H943="AIE",IF(M943="L",5,IF(M943="A",7,10)),IF(H943="SE",IF(M943="L",4,IF(M943="A",5,7)),IF(OR(H943="EE",H943="CE"),IF(M943="L",3,IF(M943="A",4,6)))))))</f>
        <v/>
      </c>
      <c r="P943" s="54">
        <f>IF(I943="I",O943*Contagem!$W$15,IF(I943="E",O943*Contagem!$W$17,IF(I943="A",O943*Contagem!$W$16,IF(I943="T",O943*Contagem!$W$18,""))))</f>
        <v/>
      </c>
      <c r="Q943" s="55" t="n"/>
    </row>
    <row r="944" ht="12" customHeight="1" s="73">
      <c r="A944" s="14">
        <f>IF(H944="",IF(C944="",A943,A943+1),A943)</f>
        <v/>
      </c>
      <c r="B944" s="48">
        <f>IF(A944=A943,"",CONCATENATE("F",A944))</f>
        <v/>
      </c>
      <c r="C944" s="85" t="n"/>
      <c r="D944" s="142" t="n"/>
      <c r="E944" s="142" t="n"/>
      <c r="F944" s="142" t="n"/>
      <c r="G944" s="143" t="n"/>
      <c r="H944" s="56" t="n"/>
      <c r="I944" s="57" t="n"/>
      <c r="J944" s="56" t="n"/>
      <c r="K944" s="56" t="n"/>
      <c r="L944" s="50">
        <f>CONCATENATE(H944,M944)</f>
        <v/>
      </c>
      <c r="M944" s="51">
        <f>IF(OR(ISBLANK(J944),ISBLANK(K944)),IF(OR(H944="ALI",H944="AIE"),"L",IF(ISBLANK(H944),"","A")),IF(H944="EE",IF(K944&gt;=3,IF(J944&gt;=5,"H","A"),IF(K944&gt;=2,IF(J944&gt;=16,"H",IF(J944&lt;=4,"L","A")),IF(J944&lt;=15,"L","A"))),IF(OR(H944="SE",H944="CE"),IF(K944&gt;=4,IF(J944&gt;=6,"H","A"),IF(K944&gt;=2,IF(J944&gt;=20,"H",IF(J944&lt;=5,"L","A")),IF(J944&lt;=19,"L","A"))),IF(OR(H944="ALI",H944="AIE"),IF(K944&gt;=6,IF(J944&gt;=20,"H","A"),IF(K944&gt;=2,IF(J944&gt;=51,"H",IF(J944&lt;=19,"L","A")),IF(J944&lt;=50,"L","A")))))))</f>
        <v/>
      </c>
      <c r="N944" s="52">
        <f>IF(M944="L","Baixa",IF(M944="A","Média",IF(M944="","","Alta")))</f>
        <v/>
      </c>
      <c r="O944" s="53">
        <f>IF(ISBLANK(H944),"",IF(H944="ALI",IF(M944="L",7,IF(M944="A",10,15)),IF(H944="AIE",IF(M944="L",5,IF(M944="A",7,10)),IF(H944="SE",IF(M944="L",4,IF(M944="A",5,7)),IF(OR(H944="EE",H944="CE"),IF(M944="L",3,IF(M944="A",4,6)))))))</f>
        <v/>
      </c>
      <c r="P944" s="54">
        <f>IF(I944="I",O944*Contagem!$W$15,IF(I944="E",O944*Contagem!$W$17,IF(I944="A",O944*Contagem!$W$16,IF(I944="T",O944*Contagem!$W$18,""))))</f>
        <v/>
      </c>
      <c r="Q944" s="55" t="n"/>
    </row>
    <row r="945" ht="12" customHeight="1" s="73">
      <c r="A945" s="14">
        <f>IF(H945="",IF(C945="",A944,A944+1),A944)</f>
        <v/>
      </c>
      <c r="B945" s="48">
        <f>IF(A945=A944,"",CONCATENATE("F",A945))</f>
        <v/>
      </c>
      <c r="C945" s="85" t="n"/>
      <c r="D945" s="142" t="n"/>
      <c r="E945" s="142" t="n"/>
      <c r="F945" s="142" t="n"/>
      <c r="G945" s="143" t="n"/>
      <c r="H945" s="56" t="n"/>
      <c r="I945" s="57" t="n"/>
      <c r="J945" s="56" t="n"/>
      <c r="K945" s="56" t="n"/>
      <c r="L945" s="50">
        <f>CONCATENATE(H945,M945)</f>
        <v/>
      </c>
      <c r="M945" s="51">
        <f>IF(OR(ISBLANK(J945),ISBLANK(K945)),IF(OR(H945="ALI",H945="AIE"),"L",IF(ISBLANK(H945),"","A")),IF(H945="EE",IF(K945&gt;=3,IF(J945&gt;=5,"H","A"),IF(K945&gt;=2,IF(J945&gt;=16,"H",IF(J945&lt;=4,"L","A")),IF(J945&lt;=15,"L","A"))),IF(OR(H945="SE",H945="CE"),IF(K945&gt;=4,IF(J945&gt;=6,"H","A"),IF(K945&gt;=2,IF(J945&gt;=20,"H",IF(J945&lt;=5,"L","A")),IF(J945&lt;=19,"L","A"))),IF(OR(H945="ALI",H945="AIE"),IF(K945&gt;=6,IF(J945&gt;=20,"H","A"),IF(K945&gt;=2,IF(J945&gt;=51,"H",IF(J945&lt;=19,"L","A")),IF(J945&lt;=50,"L","A")))))))</f>
        <v/>
      </c>
      <c r="N945" s="52">
        <f>IF(M945="L","Baixa",IF(M945="A","Média",IF(M945="","","Alta")))</f>
        <v/>
      </c>
      <c r="O945" s="53">
        <f>IF(ISBLANK(H945),"",IF(H945="ALI",IF(M945="L",7,IF(M945="A",10,15)),IF(H945="AIE",IF(M945="L",5,IF(M945="A",7,10)),IF(H945="SE",IF(M945="L",4,IF(M945="A",5,7)),IF(OR(H945="EE",H945="CE"),IF(M945="L",3,IF(M945="A",4,6)))))))</f>
        <v/>
      </c>
      <c r="P945" s="54">
        <f>IF(I945="I",O945*Contagem!$W$15,IF(I945="E",O945*Contagem!$W$17,IF(I945="A",O945*Contagem!$W$16,IF(I945="T",O945*Contagem!$W$18,""))))</f>
        <v/>
      </c>
      <c r="Q945" s="55" t="n"/>
    </row>
    <row r="946" ht="12" customHeight="1" s="73">
      <c r="A946" s="14">
        <f>IF(H946="",IF(C946="",A945,A945+1),A945)</f>
        <v/>
      </c>
      <c r="B946" s="48">
        <f>IF(A946=A945,"",CONCATENATE("F",A946))</f>
        <v/>
      </c>
      <c r="C946" s="85" t="n"/>
      <c r="D946" s="142" t="n"/>
      <c r="E946" s="142" t="n"/>
      <c r="F946" s="142" t="n"/>
      <c r="G946" s="143" t="n"/>
      <c r="H946" s="56" t="n"/>
      <c r="I946" s="57" t="n"/>
      <c r="J946" s="56" t="n"/>
      <c r="K946" s="56" t="n"/>
      <c r="L946" s="50">
        <f>CONCATENATE(H946,M946)</f>
        <v/>
      </c>
      <c r="M946" s="51">
        <f>IF(OR(ISBLANK(J946),ISBLANK(K946)),IF(OR(H946="ALI",H946="AIE"),"L",IF(ISBLANK(H946),"","A")),IF(H946="EE",IF(K946&gt;=3,IF(J946&gt;=5,"H","A"),IF(K946&gt;=2,IF(J946&gt;=16,"H",IF(J946&lt;=4,"L","A")),IF(J946&lt;=15,"L","A"))),IF(OR(H946="SE",H946="CE"),IF(K946&gt;=4,IF(J946&gt;=6,"H","A"),IF(K946&gt;=2,IF(J946&gt;=20,"H",IF(J946&lt;=5,"L","A")),IF(J946&lt;=19,"L","A"))),IF(OR(H946="ALI",H946="AIE"),IF(K946&gt;=6,IF(J946&gt;=20,"H","A"),IF(K946&gt;=2,IF(J946&gt;=51,"H",IF(J946&lt;=19,"L","A")),IF(J946&lt;=50,"L","A")))))))</f>
        <v/>
      </c>
      <c r="N946" s="52">
        <f>IF(M946="L","Baixa",IF(M946="A","Média",IF(M946="","","Alta")))</f>
        <v/>
      </c>
      <c r="O946" s="53">
        <f>IF(ISBLANK(H946),"",IF(H946="ALI",IF(M946="L",7,IF(M946="A",10,15)),IF(H946="AIE",IF(M946="L",5,IF(M946="A",7,10)),IF(H946="SE",IF(M946="L",4,IF(M946="A",5,7)),IF(OR(H946="EE",H946="CE"),IF(M946="L",3,IF(M946="A",4,6)))))))</f>
        <v/>
      </c>
      <c r="P946" s="54">
        <f>IF(I946="I",O946*Contagem!$W$15,IF(I946="E",O946*Contagem!$W$17,IF(I946="A",O946*Contagem!$W$16,IF(I946="T",O946*Contagem!$W$18,""))))</f>
        <v/>
      </c>
      <c r="Q946" s="55" t="n"/>
    </row>
    <row r="947" ht="12" customHeight="1" s="73">
      <c r="A947" s="14">
        <f>IF(H947="",IF(C947="",A946,A946+1),A946)</f>
        <v/>
      </c>
      <c r="B947" s="48">
        <f>IF(A947=A946,"",CONCATENATE("F",A947))</f>
        <v/>
      </c>
      <c r="C947" s="85" t="n"/>
      <c r="D947" s="142" t="n"/>
      <c r="E947" s="142" t="n"/>
      <c r="F947" s="142" t="n"/>
      <c r="G947" s="143" t="n"/>
      <c r="H947" s="56" t="n"/>
      <c r="I947" s="57" t="n"/>
      <c r="J947" s="56" t="n"/>
      <c r="K947" s="56" t="n"/>
      <c r="L947" s="50">
        <f>CONCATENATE(H947,M947)</f>
        <v/>
      </c>
      <c r="M947" s="51">
        <f>IF(OR(ISBLANK(J947),ISBLANK(K947)),IF(OR(H947="ALI",H947="AIE"),"L",IF(ISBLANK(H947),"","A")),IF(H947="EE",IF(K947&gt;=3,IF(J947&gt;=5,"H","A"),IF(K947&gt;=2,IF(J947&gt;=16,"H",IF(J947&lt;=4,"L","A")),IF(J947&lt;=15,"L","A"))),IF(OR(H947="SE",H947="CE"),IF(K947&gt;=4,IF(J947&gt;=6,"H","A"),IF(K947&gt;=2,IF(J947&gt;=20,"H",IF(J947&lt;=5,"L","A")),IF(J947&lt;=19,"L","A"))),IF(OR(H947="ALI",H947="AIE"),IF(K947&gt;=6,IF(J947&gt;=20,"H","A"),IF(K947&gt;=2,IF(J947&gt;=51,"H",IF(J947&lt;=19,"L","A")),IF(J947&lt;=50,"L","A")))))))</f>
        <v/>
      </c>
      <c r="N947" s="52">
        <f>IF(M947="L","Baixa",IF(M947="A","Média",IF(M947="","","Alta")))</f>
        <v/>
      </c>
      <c r="O947" s="53">
        <f>IF(ISBLANK(H947),"",IF(H947="ALI",IF(M947="L",7,IF(M947="A",10,15)),IF(H947="AIE",IF(M947="L",5,IF(M947="A",7,10)),IF(H947="SE",IF(M947="L",4,IF(M947="A",5,7)),IF(OR(H947="EE",H947="CE"),IF(M947="L",3,IF(M947="A",4,6)))))))</f>
        <v/>
      </c>
      <c r="P947" s="54">
        <f>IF(I947="I",O947*Contagem!$W$15,IF(I947="E",O947*Contagem!$W$17,IF(I947="A",O947*Contagem!$W$16,IF(I947="T",O947*Contagem!$W$18,""))))</f>
        <v/>
      </c>
      <c r="Q947" s="55" t="n"/>
    </row>
    <row r="948" ht="12" customHeight="1" s="73">
      <c r="A948" s="14">
        <f>IF(H948="",IF(C948="",A947,A947+1),A947)</f>
        <v/>
      </c>
      <c r="B948" s="48">
        <f>IF(A948=A947,"",CONCATENATE("F",A948))</f>
        <v/>
      </c>
      <c r="C948" s="85" t="n"/>
      <c r="D948" s="142" t="n"/>
      <c r="E948" s="142" t="n"/>
      <c r="F948" s="142" t="n"/>
      <c r="G948" s="143" t="n"/>
      <c r="H948" s="56" t="n"/>
      <c r="I948" s="57" t="n"/>
      <c r="J948" s="56" t="n"/>
      <c r="K948" s="56" t="n"/>
      <c r="L948" s="50">
        <f>CONCATENATE(H948,M948)</f>
        <v/>
      </c>
      <c r="M948" s="51">
        <f>IF(OR(ISBLANK(J948),ISBLANK(K948)),IF(OR(H948="ALI",H948="AIE"),"L",IF(ISBLANK(H948),"","A")),IF(H948="EE",IF(K948&gt;=3,IF(J948&gt;=5,"H","A"),IF(K948&gt;=2,IF(J948&gt;=16,"H",IF(J948&lt;=4,"L","A")),IF(J948&lt;=15,"L","A"))),IF(OR(H948="SE",H948="CE"),IF(K948&gt;=4,IF(J948&gt;=6,"H","A"),IF(K948&gt;=2,IF(J948&gt;=20,"H",IF(J948&lt;=5,"L","A")),IF(J948&lt;=19,"L","A"))),IF(OR(H948="ALI",H948="AIE"),IF(K948&gt;=6,IF(J948&gt;=20,"H","A"),IF(K948&gt;=2,IF(J948&gt;=51,"H",IF(J948&lt;=19,"L","A")),IF(J948&lt;=50,"L","A")))))))</f>
        <v/>
      </c>
      <c r="N948" s="52">
        <f>IF(M948="L","Baixa",IF(M948="A","Média",IF(M948="","","Alta")))</f>
        <v/>
      </c>
      <c r="O948" s="53">
        <f>IF(ISBLANK(H948),"",IF(H948="ALI",IF(M948="L",7,IF(M948="A",10,15)),IF(H948="AIE",IF(M948="L",5,IF(M948="A",7,10)),IF(H948="SE",IF(M948="L",4,IF(M948="A",5,7)),IF(OR(H948="EE",H948="CE"),IF(M948="L",3,IF(M948="A",4,6)))))))</f>
        <v/>
      </c>
      <c r="P948" s="54">
        <f>IF(I948="I",O948*Contagem!$W$15,IF(I948="E",O948*Contagem!$W$17,IF(I948="A",O948*Contagem!$W$16,IF(I948="T",O948*Contagem!$W$18,""))))</f>
        <v/>
      </c>
      <c r="Q948" s="55" t="n"/>
    </row>
    <row r="949" ht="12" customHeight="1" s="73">
      <c r="A949" s="14">
        <f>IF(H949="",IF(C949="",A948,A948+1),A948)</f>
        <v/>
      </c>
      <c r="B949" s="48">
        <f>IF(A949=A948,"",CONCATENATE("F",A949))</f>
        <v/>
      </c>
      <c r="C949" s="85" t="n"/>
      <c r="D949" s="142" t="n"/>
      <c r="E949" s="142" t="n"/>
      <c r="F949" s="142" t="n"/>
      <c r="G949" s="143" t="n"/>
      <c r="H949" s="56" t="n"/>
      <c r="I949" s="57" t="n"/>
      <c r="J949" s="56" t="n"/>
      <c r="K949" s="56" t="n"/>
      <c r="L949" s="50">
        <f>CONCATENATE(H949,M949)</f>
        <v/>
      </c>
      <c r="M949" s="51">
        <f>IF(OR(ISBLANK(J949),ISBLANK(K949)),IF(OR(H949="ALI",H949="AIE"),"L",IF(ISBLANK(H949),"","A")),IF(H949="EE",IF(K949&gt;=3,IF(J949&gt;=5,"H","A"),IF(K949&gt;=2,IF(J949&gt;=16,"H",IF(J949&lt;=4,"L","A")),IF(J949&lt;=15,"L","A"))),IF(OR(H949="SE",H949="CE"),IF(K949&gt;=4,IF(J949&gt;=6,"H","A"),IF(K949&gt;=2,IF(J949&gt;=20,"H",IF(J949&lt;=5,"L","A")),IF(J949&lt;=19,"L","A"))),IF(OR(H949="ALI",H949="AIE"),IF(K949&gt;=6,IF(J949&gt;=20,"H","A"),IF(K949&gt;=2,IF(J949&gt;=51,"H",IF(J949&lt;=19,"L","A")),IF(J949&lt;=50,"L","A")))))))</f>
        <v/>
      </c>
      <c r="N949" s="52">
        <f>IF(M949="L","Baixa",IF(M949="A","Média",IF(M949="","","Alta")))</f>
        <v/>
      </c>
      <c r="O949" s="53">
        <f>IF(ISBLANK(H949),"",IF(H949="ALI",IF(M949="L",7,IF(M949="A",10,15)),IF(H949="AIE",IF(M949="L",5,IF(M949="A",7,10)),IF(H949="SE",IF(M949="L",4,IF(M949="A",5,7)),IF(OR(H949="EE",H949="CE"),IF(M949="L",3,IF(M949="A",4,6)))))))</f>
        <v/>
      </c>
      <c r="P949" s="54">
        <f>IF(I949="I",O949*Contagem!$W$15,IF(I949="E",O949*Contagem!$W$17,IF(I949="A",O949*Contagem!$W$16,IF(I949="T",O949*Contagem!$W$18,""))))</f>
        <v/>
      </c>
      <c r="Q949" s="55" t="n"/>
    </row>
    <row r="950" ht="12" customHeight="1" s="73">
      <c r="A950" s="14">
        <f>IF(H950="",IF(C950="",A949,A949+1),A949)</f>
        <v/>
      </c>
      <c r="B950" s="48">
        <f>IF(A950=A949,"",CONCATENATE("F",A950))</f>
        <v/>
      </c>
      <c r="C950" s="85" t="n"/>
      <c r="D950" s="142" t="n"/>
      <c r="E950" s="142" t="n"/>
      <c r="F950" s="142" t="n"/>
      <c r="G950" s="143" t="n"/>
      <c r="H950" s="56" t="n"/>
      <c r="I950" s="57" t="n"/>
      <c r="J950" s="56" t="n"/>
      <c r="K950" s="56" t="n"/>
      <c r="L950" s="50">
        <f>CONCATENATE(H950,M950)</f>
        <v/>
      </c>
      <c r="M950" s="51">
        <f>IF(OR(ISBLANK(J950),ISBLANK(K950)),IF(OR(H950="ALI",H950="AIE"),"L",IF(ISBLANK(H950),"","A")),IF(H950="EE",IF(K950&gt;=3,IF(J950&gt;=5,"H","A"),IF(K950&gt;=2,IF(J950&gt;=16,"H",IF(J950&lt;=4,"L","A")),IF(J950&lt;=15,"L","A"))),IF(OR(H950="SE",H950="CE"),IF(K950&gt;=4,IF(J950&gt;=6,"H","A"),IF(K950&gt;=2,IF(J950&gt;=20,"H",IF(J950&lt;=5,"L","A")),IF(J950&lt;=19,"L","A"))),IF(OR(H950="ALI",H950="AIE"),IF(K950&gt;=6,IF(J950&gt;=20,"H","A"),IF(K950&gt;=2,IF(J950&gt;=51,"H",IF(J950&lt;=19,"L","A")),IF(J950&lt;=50,"L","A")))))))</f>
        <v/>
      </c>
      <c r="N950" s="52">
        <f>IF(M950="L","Baixa",IF(M950="A","Média",IF(M950="","","Alta")))</f>
        <v/>
      </c>
      <c r="O950" s="53">
        <f>IF(ISBLANK(H950),"",IF(H950="ALI",IF(M950="L",7,IF(M950="A",10,15)),IF(H950="AIE",IF(M950="L",5,IF(M950="A",7,10)),IF(H950="SE",IF(M950="L",4,IF(M950="A",5,7)),IF(OR(H950="EE",H950="CE"),IF(M950="L",3,IF(M950="A",4,6)))))))</f>
        <v/>
      </c>
      <c r="P950" s="54">
        <f>IF(I950="I",O950*Contagem!$W$15,IF(I950="E",O950*Contagem!$W$17,IF(I950="A",O950*Contagem!$W$16,IF(I950="T",O950*Contagem!$W$18,""))))</f>
        <v/>
      </c>
      <c r="Q950" s="55" t="n"/>
    </row>
    <row r="951" ht="12" customHeight="1" s="73">
      <c r="A951" s="14">
        <f>IF(H951="",IF(C951="",A950,A950+1),A950)</f>
        <v/>
      </c>
      <c r="B951" s="48">
        <f>IF(A951=A950,"",CONCATENATE("F",A951))</f>
        <v/>
      </c>
      <c r="C951" s="85" t="n"/>
      <c r="D951" s="142" t="n"/>
      <c r="E951" s="142" t="n"/>
      <c r="F951" s="142" t="n"/>
      <c r="G951" s="143" t="n"/>
      <c r="H951" s="56" t="n"/>
      <c r="I951" s="57" t="n"/>
      <c r="J951" s="56" t="n"/>
      <c r="K951" s="56" t="n"/>
      <c r="L951" s="50">
        <f>CONCATENATE(H951,M951)</f>
        <v/>
      </c>
      <c r="M951" s="51">
        <f>IF(OR(ISBLANK(J951),ISBLANK(K951)),IF(OR(H951="ALI",H951="AIE"),"L",IF(ISBLANK(H951),"","A")),IF(H951="EE",IF(K951&gt;=3,IF(J951&gt;=5,"H","A"),IF(K951&gt;=2,IF(J951&gt;=16,"H",IF(J951&lt;=4,"L","A")),IF(J951&lt;=15,"L","A"))),IF(OR(H951="SE",H951="CE"),IF(K951&gt;=4,IF(J951&gt;=6,"H","A"),IF(K951&gt;=2,IF(J951&gt;=20,"H",IF(J951&lt;=5,"L","A")),IF(J951&lt;=19,"L","A"))),IF(OR(H951="ALI",H951="AIE"),IF(K951&gt;=6,IF(J951&gt;=20,"H","A"),IF(K951&gt;=2,IF(J951&gt;=51,"H",IF(J951&lt;=19,"L","A")),IF(J951&lt;=50,"L","A")))))))</f>
        <v/>
      </c>
      <c r="N951" s="52">
        <f>IF(M951="L","Baixa",IF(M951="A","Média",IF(M951="","","Alta")))</f>
        <v/>
      </c>
      <c r="O951" s="53">
        <f>IF(ISBLANK(H951),"",IF(H951="ALI",IF(M951="L",7,IF(M951="A",10,15)),IF(H951="AIE",IF(M951="L",5,IF(M951="A",7,10)),IF(H951="SE",IF(M951="L",4,IF(M951="A",5,7)),IF(OR(H951="EE",H951="CE"),IF(M951="L",3,IF(M951="A",4,6)))))))</f>
        <v/>
      </c>
      <c r="P951" s="54">
        <f>IF(I951="I",O951*Contagem!$W$15,IF(I951="E",O951*Contagem!$W$17,IF(I951="A",O951*Contagem!$W$16,IF(I951="T",O951*Contagem!$W$18,""))))</f>
        <v/>
      </c>
      <c r="Q951" s="55" t="n"/>
    </row>
    <row r="952" ht="12" customHeight="1" s="73">
      <c r="A952" s="14">
        <f>IF(H952="",IF(C952="",A951,A951+1),A951)</f>
        <v/>
      </c>
      <c r="B952" s="48">
        <f>IF(A952=A951,"",CONCATENATE("F",A952))</f>
        <v/>
      </c>
      <c r="C952" s="85" t="n"/>
      <c r="D952" s="142" t="n"/>
      <c r="E952" s="142" t="n"/>
      <c r="F952" s="142" t="n"/>
      <c r="G952" s="143" t="n"/>
      <c r="H952" s="56" t="n"/>
      <c r="I952" s="57" t="n"/>
      <c r="J952" s="56" t="n"/>
      <c r="K952" s="56" t="n"/>
      <c r="L952" s="50">
        <f>CONCATENATE(H952,M952)</f>
        <v/>
      </c>
      <c r="M952" s="51">
        <f>IF(OR(ISBLANK(J952),ISBLANK(K952)),IF(OR(H952="ALI",H952="AIE"),"L",IF(ISBLANK(H952),"","A")),IF(H952="EE",IF(K952&gt;=3,IF(J952&gt;=5,"H","A"),IF(K952&gt;=2,IF(J952&gt;=16,"H",IF(J952&lt;=4,"L","A")),IF(J952&lt;=15,"L","A"))),IF(OR(H952="SE",H952="CE"),IF(K952&gt;=4,IF(J952&gt;=6,"H","A"),IF(K952&gt;=2,IF(J952&gt;=20,"H",IF(J952&lt;=5,"L","A")),IF(J952&lt;=19,"L","A"))),IF(OR(H952="ALI",H952="AIE"),IF(K952&gt;=6,IF(J952&gt;=20,"H","A"),IF(K952&gt;=2,IF(J952&gt;=51,"H",IF(J952&lt;=19,"L","A")),IF(J952&lt;=50,"L","A")))))))</f>
        <v/>
      </c>
      <c r="N952" s="52">
        <f>IF(M952="L","Baixa",IF(M952="A","Média",IF(M952="","","Alta")))</f>
        <v/>
      </c>
      <c r="O952" s="53">
        <f>IF(ISBLANK(H952),"",IF(H952="ALI",IF(M952="L",7,IF(M952="A",10,15)),IF(H952="AIE",IF(M952="L",5,IF(M952="A",7,10)),IF(H952="SE",IF(M952="L",4,IF(M952="A",5,7)),IF(OR(H952="EE",H952="CE"),IF(M952="L",3,IF(M952="A",4,6)))))))</f>
        <v/>
      </c>
      <c r="P952" s="54">
        <f>IF(I952="I",O952*Contagem!$W$15,IF(I952="E",O952*Contagem!$W$17,IF(I952="A",O952*Contagem!$W$16,IF(I952="T",O952*Contagem!$W$18,""))))</f>
        <v/>
      </c>
      <c r="Q952" s="55" t="n"/>
    </row>
    <row r="953" ht="12" customHeight="1" s="73">
      <c r="A953" s="14">
        <f>IF(H953="",IF(C953="",A952,A952+1),A952)</f>
        <v/>
      </c>
      <c r="B953" s="48">
        <f>IF(A953=A952,"",CONCATENATE("F",A953))</f>
        <v/>
      </c>
      <c r="C953" s="85" t="n"/>
      <c r="D953" s="142" t="n"/>
      <c r="E953" s="142" t="n"/>
      <c r="F953" s="142" t="n"/>
      <c r="G953" s="143" t="n"/>
      <c r="H953" s="56" t="n"/>
      <c r="I953" s="57" t="n"/>
      <c r="J953" s="56" t="n"/>
      <c r="K953" s="56" t="n"/>
      <c r="L953" s="50">
        <f>CONCATENATE(H953,M953)</f>
        <v/>
      </c>
      <c r="M953" s="51">
        <f>IF(OR(ISBLANK(J953),ISBLANK(K953)),IF(OR(H953="ALI",H953="AIE"),"L",IF(ISBLANK(H953),"","A")),IF(H953="EE",IF(K953&gt;=3,IF(J953&gt;=5,"H","A"),IF(K953&gt;=2,IF(J953&gt;=16,"H",IF(J953&lt;=4,"L","A")),IF(J953&lt;=15,"L","A"))),IF(OR(H953="SE",H953="CE"),IF(K953&gt;=4,IF(J953&gt;=6,"H","A"),IF(K953&gt;=2,IF(J953&gt;=20,"H",IF(J953&lt;=5,"L","A")),IF(J953&lt;=19,"L","A"))),IF(OR(H953="ALI",H953="AIE"),IF(K953&gt;=6,IF(J953&gt;=20,"H","A"),IF(K953&gt;=2,IF(J953&gt;=51,"H",IF(J953&lt;=19,"L","A")),IF(J953&lt;=50,"L","A")))))))</f>
        <v/>
      </c>
      <c r="N953" s="52">
        <f>IF(M953="L","Baixa",IF(M953="A","Média",IF(M953="","","Alta")))</f>
        <v/>
      </c>
      <c r="O953" s="53">
        <f>IF(ISBLANK(H953),"",IF(H953="ALI",IF(M953="L",7,IF(M953="A",10,15)),IF(H953="AIE",IF(M953="L",5,IF(M953="A",7,10)),IF(H953="SE",IF(M953="L",4,IF(M953="A",5,7)),IF(OR(H953="EE",H953="CE"),IF(M953="L",3,IF(M953="A",4,6)))))))</f>
        <v/>
      </c>
      <c r="P953" s="54">
        <f>IF(I953="I",O953*Contagem!$W$15,IF(I953="E",O953*Contagem!$W$17,IF(I953="A",O953*Contagem!$W$16,IF(I953="T",O953*Contagem!$W$18,""))))</f>
        <v/>
      </c>
      <c r="Q953" s="55" t="n"/>
    </row>
    <row r="954" ht="12" customHeight="1" s="73">
      <c r="A954" s="14">
        <f>IF(H954="",IF(C954="",A953,A953+1),A953)</f>
        <v/>
      </c>
      <c r="B954" s="48">
        <f>IF(A954=A953,"",CONCATENATE("F",A954))</f>
        <v/>
      </c>
      <c r="C954" s="85" t="n"/>
      <c r="D954" s="142" t="n"/>
      <c r="E954" s="142" t="n"/>
      <c r="F954" s="142" t="n"/>
      <c r="G954" s="143" t="n"/>
      <c r="H954" s="56" t="n"/>
      <c r="I954" s="57" t="n"/>
      <c r="J954" s="56" t="n"/>
      <c r="K954" s="56" t="n"/>
      <c r="L954" s="50">
        <f>CONCATENATE(H954,M954)</f>
        <v/>
      </c>
      <c r="M954" s="51">
        <f>IF(OR(ISBLANK(J954),ISBLANK(K954)),IF(OR(H954="ALI",H954="AIE"),"L",IF(ISBLANK(H954),"","A")),IF(H954="EE",IF(K954&gt;=3,IF(J954&gt;=5,"H","A"),IF(K954&gt;=2,IF(J954&gt;=16,"H",IF(J954&lt;=4,"L","A")),IF(J954&lt;=15,"L","A"))),IF(OR(H954="SE",H954="CE"),IF(K954&gt;=4,IF(J954&gt;=6,"H","A"),IF(K954&gt;=2,IF(J954&gt;=20,"H",IF(J954&lt;=5,"L","A")),IF(J954&lt;=19,"L","A"))),IF(OR(H954="ALI",H954="AIE"),IF(K954&gt;=6,IF(J954&gt;=20,"H","A"),IF(K954&gt;=2,IF(J954&gt;=51,"H",IF(J954&lt;=19,"L","A")),IF(J954&lt;=50,"L","A")))))))</f>
        <v/>
      </c>
      <c r="N954" s="52">
        <f>IF(M954="L","Baixa",IF(M954="A","Média",IF(M954="","","Alta")))</f>
        <v/>
      </c>
      <c r="O954" s="53">
        <f>IF(ISBLANK(H954),"",IF(H954="ALI",IF(M954="L",7,IF(M954="A",10,15)),IF(H954="AIE",IF(M954="L",5,IF(M954="A",7,10)),IF(H954="SE",IF(M954="L",4,IF(M954="A",5,7)),IF(OR(H954="EE",H954="CE"),IF(M954="L",3,IF(M954="A",4,6)))))))</f>
        <v/>
      </c>
      <c r="P954" s="54">
        <f>IF(I954="I",O954*Contagem!$W$15,IF(I954="E",O954*Contagem!$W$17,IF(I954="A",O954*Contagem!$W$16,IF(I954="T",O954*Contagem!$W$18,""))))</f>
        <v/>
      </c>
      <c r="Q954" s="55" t="n"/>
    </row>
    <row r="955" ht="12" customHeight="1" s="73">
      <c r="A955" s="14">
        <f>IF(H955="",IF(C955="",A954,A954+1),A954)</f>
        <v/>
      </c>
      <c r="B955" s="48">
        <f>IF(A955=A954,"",CONCATENATE("F",A955))</f>
        <v/>
      </c>
      <c r="C955" s="85" t="n"/>
      <c r="D955" s="142" t="n"/>
      <c r="E955" s="142" t="n"/>
      <c r="F955" s="142" t="n"/>
      <c r="G955" s="143" t="n"/>
      <c r="H955" s="56" t="n"/>
      <c r="I955" s="57" t="n"/>
      <c r="J955" s="56" t="n"/>
      <c r="K955" s="56" t="n"/>
      <c r="L955" s="50">
        <f>CONCATENATE(H955,M955)</f>
        <v/>
      </c>
      <c r="M955" s="51">
        <f>IF(OR(ISBLANK(J955),ISBLANK(K955)),IF(OR(H955="ALI",H955="AIE"),"L",IF(ISBLANK(H955),"","A")),IF(H955="EE",IF(K955&gt;=3,IF(J955&gt;=5,"H","A"),IF(K955&gt;=2,IF(J955&gt;=16,"H",IF(J955&lt;=4,"L","A")),IF(J955&lt;=15,"L","A"))),IF(OR(H955="SE",H955="CE"),IF(K955&gt;=4,IF(J955&gt;=6,"H","A"),IF(K955&gt;=2,IF(J955&gt;=20,"H",IF(J955&lt;=5,"L","A")),IF(J955&lt;=19,"L","A"))),IF(OR(H955="ALI",H955="AIE"),IF(K955&gt;=6,IF(J955&gt;=20,"H","A"),IF(K955&gt;=2,IF(J955&gt;=51,"H",IF(J955&lt;=19,"L","A")),IF(J955&lt;=50,"L","A")))))))</f>
        <v/>
      </c>
      <c r="N955" s="52">
        <f>IF(M955="L","Baixa",IF(M955="A","Média",IF(M955="","","Alta")))</f>
        <v/>
      </c>
      <c r="O955" s="53">
        <f>IF(ISBLANK(H955),"",IF(H955="ALI",IF(M955="L",7,IF(M955="A",10,15)),IF(H955="AIE",IF(M955="L",5,IF(M955="A",7,10)),IF(H955="SE",IF(M955="L",4,IF(M955="A",5,7)),IF(OR(H955="EE",H955="CE"),IF(M955="L",3,IF(M955="A",4,6)))))))</f>
        <v/>
      </c>
      <c r="P955" s="54">
        <f>IF(I955="I",O955*Contagem!$W$15,IF(I955="E",O955*Contagem!$W$17,IF(I955="A",O955*Contagem!$W$16,IF(I955="T",O955*Contagem!$W$18,""))))</f>
        <v/>
      </c>
      <c r="Q955" s="55" t="n"/>
    </row>
    <row r="956" ht="12" customHeight="1" s="73">
      <c r="A956" s="14">
        <f>IF(H956="",IF(C956="",A955,A955+1),A955)</f>
        <v/>
      </c>
      <c r="B956" s="48">
        <f>IF(A956=A955,"",CONCATENATE("F",A956))</f>
        <v/>
      </c>
      <c r="C956" s="85" t="n"/>
      <c r="D956" s="142" t="n"/>
      <c r="E956" s="142" t="n"/>
      <c r="F956" s="142" t="n"/>
      <c r="G956" s="143" t="n"/>
      <c r="H956" s="56" t="n"/>
      <c r="I956" s="57" t="n"/>
      <c r="J956" s="56" t="n"/>
      <c r="K956" s="56" t="n"/>
      <c r="L956" s="50">
        <f>CONCATENATE(H956,M956)</f>
        <v/>
      </c>
      <c r="M956" s="51">
        <f>IF(OR(ISBLANK(J956),ISBLANK(K956)),IF(OR(H956="ALI",H956="AIE"),"L",IF(ISBLANK(H956),"","A")),IF(H956="EE",IF(K956&gt;=3,IF(J956&gt;=5,"H","A"),IF(K956&gt;=2,IF(J956&gt;=16,"H",IF(J956&lt;=4,"L","A")),IF(J956&lt;=15,"L","A"))),IF(OR(H956="SE",H956="CE"),IF(K956&gt;=4,IF(J956&gt;=6,"H","A"),IF(K956&gt;=2,IF(J956&gt;=20,"H",IF(J956&lt;=5,"L","A")),IF(J956&lt;=19,"L","A"))),IF(OR(H956="ALI",H956="AIE"),IF(K956&gt;=6,IF(J956&gt;=20,"H","A"),IF(K956&gt;=2,IF(J956&gt;=51,"H",IF(J956&lt;=19,"L","A")),IF(J956&lt;=50,"L","A")))))))</f>
        <v/>
      </c>
      <c r="N956" s="52">
        <f>IF(M956="L","Baixa",IF(M956="A","Média",IF(M956="","","Alta")))</f>
        <v/>
      </c>
      <c r="O956" s="53">
        <f>IF(ISBLANK(H956),"",IF(H956="ALI",IF(M956="L",7,IF(M956="A",10,15)),IF(H956="AIE",IF(M956="L",5,IF(M956="A",7,10)),IF(H956="SE",IF(M956="L",4,IF(M956="A",5,7)),IF(OR(H956="EE",H956="CE"),IF(M956="L",3,IF(M956="A",4,6)))))))</f>
        <v/>
      </c>
      <c r="P956" s="54">
        <f>IF(I956="I",O956*Contagem!$W$15,IF(I956="E",O956*Contagem!$W$17,IF(I956="A",O956*Contagem!$W$16,IF(I956="T",O956*Contagem!$W$18,""))))</f>
        <v/>
      </c>
      <c r="Q956" s="55" t="n"/>
    </row>
    <row r="957" ht="12" customHeight="1" s="73">
      <c r="A957" s="14">
        <f>IF(H957="",IF(C957="",A956,A956+1),A956)</f>
        <v/>
      </c>
      <c r="B957" s="48">
        <f>IF(A957=A956,"",CONCATENATE("F",A957))</f>
        <v/>
      </c>
      <c r="C957" s="85" t="n"/>
      <c r="D957" s="142" t="n"/>
      <c r="E957" s="142" t="n"/>
      <c r="F957" s="142" t="n"/>
      <c r="G957" s="143" t="n"/>
      <c r="H957" s="56" t="n"/>
      <c r="I957" s="57" t="n"/>
      <c r="J957" s="56" t="n"/>
      <c r="K957" s="56" t="n"/>
      <c r="L957" s="50">
        <f>CONCATENATE(H957,M957)</f>
        <v/>
      </c>
      <c r="M957" s="51">
        <f>IF(OR(ISBLANK(J957),ISBLANK(K957)),IF(OR(H957="ALI",H957="AIE"),"L",IF(ISBLANK(H957),"","A")),IF(H957="EE",IF(K957&gt;=3,IF(J957&gt;=5,"H","A"),IF(K957&gt;=2,IF(J957&gt;=16,"H",IF(J957&lt;=4,"L","A")),IF(J957&lt;=15,"L","A"))),IF(OR(H957="SE",H957="CE"),IF(K957&gt;=4,IF(J957&gt;=6,"H","A"),IF(K957&gt;=2,IF(J957&gt;=20,"H",IF(J957&lt;=5,"L","A")),IF(J957&lt;=19,"L","A"))),IF(OR(H957="ALI",H957="AIE"),IF(K957&gt;=6,IF(J957&gt;=20,"H","A"),IF(K957&gt;=2,IF(J957&gt;=51,"H",IF(J957&lt;=19,"L","A")),IF(J957&lt;=50,"L","A")))))))</f>
        <v/>
      </c>
      <c r="N957" s="52">
        <f>IF(M957="L","Baixa",IF(M957="A","Média",IF(M957="","","Alta")))</f>
        <v/>
      </c>
      <c r="O957" s="53">
        <f>IF(ISBLANK(H957),"",IF(H957="ALI",IF(M957="L",7,IF(M957="A",10,15)),IF(H957="AIE",IF(M957="L",5,IF(M957="A",7,10)),IF(H957="SE",IF(M957="L",4,IF(M957="A",5,7)),IF(OR(H957="EE",H957="CE"),IF(M957="L",3,IF(M957="A",4,6)))))))</f>
        <v/>
      </c>
      <c r="P957" s="54">
        <f>IF(I957="I",O957*Contagem!$W$15,IF(I957="E",O957*Contagem!$W$17,IF(I957="A",O957*Contagem!$W$16,IF(I957="T",O957*Contagem!$W$18,""))))</f>
        <v/>
      </c>
      <c r="Q957" s="55" t="n"/>
    </row>
    <row r="958" ht="12" customHeight="1" s="73">
      <c r="A958" s="14">
        <f>IF(H958="",IF(C958="",A957,A957+1),A957)</f>
        <v/>
      </c>
      <c r="B958" s="48">
        <f>IF(A958=A957,"",CONCATENATE("F",A958))</f>
        <v/>
      </c>
      <c r="C958" s="85" t="n"/>
      <c r="D958" s="142" t="n"/>
      <c r="E958" s="142" t="n"/>
      <c r="F958" s="142" t="n"/>
      <c r="G958" s="143" t="n"/>
      <c r="H958" s="56" t="n"/>
      <c r="I958" s="57" t="n"/>
      <c r="J958" s="56" t="n"/>
      <c r="K958" s="56" t="n"/>
      <c r="L958" s="50">
        <f>CONCATENATE(H958,M958)</f>
        <v/>
      </c>
      <c r="M958" s="51">
        <f>IF(OR(ISBLANK(J958),ISBLANK(K958)),IF(OR(H958="ALI",H958="AIE"),"L",IF(ISBLANK(H958),"","A")),IF(H958="EE",IF(K958&gt;=3,IF(J958&gt;=5,"H","A"),IF(K958&gt;=2,IF(J958&gt;=16,"H",IF(J958&lt;=4,"L","A")),IF(J958&lt;=15,"L","A"))),IF(OR(H958="SE",H958="CE"),IF(K958&gt;=4,IF(J958&gt;=6,"H","A"),IF(K958&gt;=2,IF(J958&gt;=20,"H",IF(J958&lt;=5,"L","A")),IF(J958&lt;=19,"L","A"))),IF(OR(H958="ALI",H958="AIE"),IF(K958&gt;=6,IF(J958&gt;=20,"H","A"),IF(K958&gt;=2,IF(J958&gt;=51,"H",IF(J958&lt;=19,"L","A")),IF(J958&lt;=50,"L","A")))))))</f>
        <v/>
      </c>
      <c r="N958" s="52">
        <f>IF(M958="L","Baixa",IF(M958="A","Média",IF(M958="","","Alta")))</f>
        <v/>
      </c>
      <c r="O958" s="53">
        <f>IF(ISBLANK(H958),"",IF(H958="ALI",IF(M958="L",7,IF(M958="A",10,15)),IF(H958="AIE",IF(M958="L",5,IF(M958="A",7,10)),IF(H958="SE",IF(M958="L",4,IF(M958="A",5,7)),IF(OR(H958="EE",H958="CE"),IF(M958="L",3,IF(M958="A",4,6)))))))</f>
        <v/>
      </c>
      <c r="P958" s="54">
        <f>IF(I958="I",O958*Contagem!$W$15,IF(I958="E",O958*Contagem!$W$17,IF(I958="A",O958*Contagem!$W$16,IF(I958="T",O958*Contagem!$W$18,""))))</f>
        <v/>
      </c>
      <c r="Q958" s="55" t="n"/>
    </row>
    <row r="959" ht="12" customHeight="1" s="73">
      <c r="A959" s="14">
        <f>IF(H959="",IF(C959="",A958,A958+1),A958)</f>
        <v/>
      </c>
      <c r="B959" s="48">
        <f>IF(A959=A958,"",CONCATENATE("F",A959))</f>
        <v/>
      </c>
      <c r="C959" s="85" t="n"/>
      <c r="D959" s="142" t="n"/>
      <c r="E959" s="142" t="n"/>
      <c r="F959" s="142" t="n"/>
      <c r="G959" s="143" t="n"/>
      <c r="H959" s="56" t="n"/>
      <c r="I959" s="57" t="n"/>
      <c r="J959" s="56" t="n"/>
      <c r="K959" s="56" t="n"/>
      <c r="L959" s="50">
        <f>CONCATENATE(H959,M959)</f>
        <v/>
      </c>
      <c r="M959" s="51">
        <f>IF(OR(ISBLANK(J959),ISBLANK(K959)),IF(OR(H959="ALI",H959="AIE"),"L",IF(ISBLANK(H959),"","A")),IF(H959="EE",IF(K959&gt;=3,IF(J959&gt;=5,"H","A"),IF(K959&gt;=2,IF(J959&gt;=16,"H",IF(J959&lt;=4,"L","A")),IF(J959&lt;=15,"L","A"))),IF(OR(H959="SE",H959="CE"),IF(K959&gt;=4,IF(J959&gt;=6,"H","A"),IF(K959&gt;=2,IF(J959&gt;=20,"H",IF(J959&lt;=5,"L","A")),IF(J959&lt;=19,"L","A"))),IF(OR(H959="ALI",H959="AIE"),IF(K959&gt;=6,IF(J959&gt;=20,"H","A"),IF(K959&gt;=2,IF(J959&gt;=51,"H",IF(J959&lt;=19,"L","A")),IF(J959&lt;=50,"L","A")))))))</f>
        <v/>
      </c>
      <c r="N959" s="52">
        <f>IF(M959="L","Baixa",IF(M959="A","Média",IF(M959="","","Alta")))</f>
        <v/>
      </c>
      <c r="O959" s="53">
        <f>IF(ISBLANK(H959),"",IF(H959="ALI",IF(M959="L",7,IF(M959="A",10,15)),IF(H959="AIE",IF(M959="L",5,IF(M959="A",7,10)),IF(H959="SE",IF(M959="L",4,IF(M959="A",5,7)),IF(OR(H959="EE",H959="CE"),IF(M959="L",3,IF(M959="A",4,6)))))))</f>
        <v/>
      </c>
      <c r="P959" s="54">
        <f>IF(I959="I",O959*Contagem!$W$15,IF(I959="E",O959*Contagem!$W$17,IF(I959="A",O959*Contagem!$W$16,IF(I959="T",O959*Contagem!$W$18,""))))</f>
        <v/>
      </c>
      <c r="Q959" s="55" t="n"/>
    </row>
    <row r="960" ht="12" customHeight="1" s="73">
      <c r="A960" s="14">
        <f>IF(H960="",IF(C960="",A959,A959+1),A959)</f>
        <v/>
      </c>
      <c r="B960" s="48">
        <f>IF(A960=A959,"",CONCATENATE("F",A960))</f>
        <v/>
      </c>
      <c r="C960" s="85" t="n"/>
      <c r="D960" s="142" t="n"/>
      <c r="E960" s="142" t="n"/>
      <c r="F960" s="142" t="n"/>
      <c r="G960" s="143" t="n"/>
      <c r="H960" s="56" t="n"/>
      <c r="I960" s="57" t="n"/>
      <c r="J960" s="56" t="n"/>
      <c r="K960" s="56" t="n"/>
      <c r="L960" s="50">
        <f>CONCATENATE(H960,M960)</f>
        <v/>
      </c>
      <c r="M960" s="51">
        <f>IF(OR(ISBLANK(J960),ISBLANK(K960)),IF(OR(H960="ALI",H960="AIE"),"L",IF(ISBLANK(H960),"","A")),IF(H960="EE",IF(K960&gt;=3,IF(J960&gt;=5,"H","A"),IF(K960&gt;=2,IF(J960&gt;=16,"H",IF(J960&lt;=4,"L","A")),IF(J960&lt;=15,"L","A"))),IF(OR(H960="SE",H960="CE"),IF(K960&gt;=4,IF(J960&gt;=6,"H","A"),IF(K960&gt;=2,IF(J960&gt;=20,"H",IF(J960&lt;=5,"L","A")),IF(J960&lt;=19,"L","A"))),IF(OR(H960="ALI",H960="AIE"),IF(K960&gt;=6,IF(J960&gt;=20,"H","A"),IF(K960&gt;=2,IF(J960&gt;=51,"H",IF(J960&lt;=19,"L","A")),IF(J960&lt;=50,"L","A")))))))</f>
        <v/>
      </c>
      <c r="N960" s="52">
        <f>IF(M960="L","Baixa",IF(M960="A","Média",IF(M960="","","Alta")))</f>
        <v/>
      </c>
      <c r="O960" s="53">
        <f>IF(ISBLANK(H960),"",IF(H960="ALI",IF(M960="L",7,IF(M960="A",10,15)),IF(H960="AIE",IF(M960="L",5,IF(M960="A",7,10)),IF(H960="SE",IF(M960="L",4,IF(M960="A",5,7)),IF(OR(H960="EE",H960="CE"),IF(M960="L",3,IF(M960="A",4,6)))))))</f>
        <v/>
      </c>
      <c r="P960" s="54">
        <f>IF(I960="I",O960*Contagem!$W$15,IF(I960="E",O960*Contagem!$W$17,IF(I960="A",O960*Contagem!$W$16,IF(I960="T",O960*Contagem!$W$18,""))))</f>
        <v/>
      </c>
      <c r="Q960" s="55" t="n"/>
    </row>
    <row r="961" ht="12" customHeight="1" s="73">
      <c r="A961" s="14">
        <f>IF(H961="",IF(C961="",A960,A960+1),A960)</f>
        <v/>
      </c>
      <c r="B961" s="48">
        <f>IF(A961=A960,"",CONCATENATE("F",A961))</f>
        <v/>
      </c>
      <c r="C961" s="85" t="n"/>
      <c r="D961" s="142" t="n"/>
      <c r="E961" s="142" t="n"/>
      <c r="F961" s="142" t="n"/>
      <c r="G961" s="143" t="n"/>
      <c r="H961" s="56" t="n"/>
      <c r="I961" s="57" t="n"/>
      <c r="J961" s="56" t="n"/>
      <c r="K961" s="56" t="n"/>
      <c r="L961" s="50">
        <f>CONCATENATE(H961,M961)</f>
        <v/>
      </c>
      <c r="M961" s="51">
        <f>IF(OR(ISBLANK(J961),ISBLANK(K961)),IF(OR(H961="ALI",H961="AIE"),"L",IF(ISBLANK(H961),"","A")),IF(H961="EE",IF(K961&gt;=3,IF(J961&gt;=5,"H","A"),IF(K961&gt;=2,IF(J961&gt;=16,"H",IF(J961&lt;=4,"L","A")),IF(J961&lt;=15,"L","A"))),IF(OR(H961="SE",H961="CE"),IF(K961&gt;=4,IF(J961&gt;=6,"H","A"),IF(K961&gt;=2,IF(J961&gt;=20,"H",IF(J961&lt;=5,"L","A")),IF(J961&lt;=19,"L","A"))),IF(OR(H961="ALI",H961="AIE"),IF(K961&gt;=6,IF(J961&gt;=20,"H","A"),IF(K961&gt;=2,IF(J961&gt;=51,"H",IF(J961&lt;=19,"L","A")),IF(J961&lt;=50,"L","A")))))))</f>
        <v/>
      </c>
      <c r="N961" s="52">
        <f>IF(M961="L","Baixa",IF(M961="A","Média",IF(M961="","","Alta")))</f>
        <v/>
      </c>
      <c r="O961" s="53">
        <f>IF(ISBLANK(H961),"",IF(H961="ALI",IF(M961="L",7,IF(M961="A",10,15)),IF(H961="AIE",IF(M961="L",5,IF(M961="A",7,10)),IF(H961="SE",IF(M961="L",4,IF(M961="A",5,7)),IF(OR(H961="EE",H961="CE"),IF(M961="L",3,IF(M961="A",4,6)))))))</f>
        <v/>
      </c>
      <c r="P961" s="54">
        <f>IF(I961="I",O961*Contagem!$W$15,IF(I961="E",O961*Contagem!$W$17,IF(I961="A",O961*Contagem!$W$16,IF(I961="T",O961*Contagem!$W$18,""))))</f>
        <v/>
      </c>
      <c r="Q961" s="55" t="n"/>
    </row>
    <row r="962" ht="12" customHeight="1" s="73">
      <c r="A962" s="14">
        <f>IF(H962="",IF(C962="",A961,A961+1),A961)</f>
        <v/>
      </c>
      <c r="B962" s="48">
        <f>IF(A962=A961,"",CONCATENATE("F",A962))</f>
        <v/>
      </c>
      <c r="C962" s="85" t="n"/>
      <c r="D962" s="142" t="n"/>
      <c r="E962" s="142" t="n"/>
      <c r="F962" s="142" t="n"/>
      <c r="G962" s="143" t="n"/>
      <c r="H962" s="56" t="n"/>
      <c r="I962" s="57" t="n"/>
      <c r="J962" s="56" t="n"/>
      <c r="K962" s="56" t="n"/>
      <c r="L962" s="50">
        <f>CONCATENATE(H962,M962)</f>
        <v/>
      </c>
      <c r="M962" s="51">
        <f>IF(OR(ISBLANK(J962),ISBLANK(K962)),IF(OR(H962="ALI",H962="AIE"),"L",IF(ISBLANK(H962),"","A")),IF(H962="EE",IF(K962&gt;=3,IF(J962&gt;=5,"H","A"),IF(K962&gt;=2,IF(J962&gt;=16,"H",IF(J962&lt;=4,"L","A")),IF(J962&lt;=15,"L","A"))),IF(OR(H962="SE",H962="CE"),IF(K962&gt;=4,IF(J962&gt;=6,"H","A"),IF(K962&gt;=2,IF(J962&gt;=20,"H",IF(J962&lt;=5,"L","A")),IF(J962&lt;=19,"L","A"))),IF(OR(H962="ALI",H962="AIE"),IF(K962&gt;=6,IF(J962&gt;=20,"H","A"),IF(K962&gt;=2,IF(J962&gt;=51,"H",IF(J962&lt;=19,"L","A")),IF(J962&lt;=50,"L","A")))))))</f>
        <v/>
      </c>
      <c r="N962" s="52">
        <f>IF(M962="L","Baixa",IF(M962="A","Média",IF(M962="","","Alta")))</f>
        <v/>
      </c>
      <c r="O962" s="53">
        <f>IF(ISBLANK(H962),"",IF(H962="ALI",IF(M962="L",7,IF(M962="A",10,15)),IF(H962="AIE",IF(M962="L",5,IF(M962="A",7,10)),IF(H962="SE",IF(M962="L",4,IF(M962="A",5,7)),IF(OR(H962="EE",H962="CE"),IF(M962="L",3,IF(M962="A",4,6)))))))</f>
        <v/>
      </c>
      <c r="P962" s="54">
        <f>IF(I962="I",O962*Contagem!$W$15,IF(I962="E",O962*Contagem!$W$17,IF(I962="A",O962*Contagem!$W$16,IF(I962="T",O962*Contagem!$W$18,""))))</f>
        <v/>
      </c>
      <c r="Q962" s="55" t="n"/>
    </row>
    <row r="963" ht="12" customHeight="1" s="73">
      <c r="A963" s="14">
        <f>IF(H963="",IF(C963="",A962,A962+1),A962)</f>
        <v/>
      </c>
      <c r="B963" s="48">
        <f>IF(A963=A962,"",CONCATENATE("F",A963))</f>
        <v/>
      </c>
      <c r="C963" s="85" t="n"/>
      <c r="D963" s="142" t="n"/>
      <c r="E963" s="142" t="n"/>
      <c r="F963" s="142" t="n"/>
      <c r="G963" s="143" t="n"/>
      <c r="H963" s="56" t="n"/>
      <c r="I963" s="57" t="n"/>
      <c r="J963" s="56" t="n"/>
      <c r="K963" s="56" t="n"/>
      <c r="L963" s="50">
        <f>CONCATENATE(H963,M963)</f>
        <v/>
      </c>
      <c r="M963" s="51">
        <f>IF(OR(ISBLANK(J963),ISBLANK(K963)),IF(OR(H963="ALI",H963="AIE"),"L",IF(ISBLANK(H963),"","A")),IF(H963="EE",IF(K963&gt;=3,IF(J963&gt;=5,"H","A"),IF(K963&gt;=2,IF(J963&gt;=16,"H",IF(J963&lt;=4,"L","A")),IF(J963&lt;=15,"L","A"))),IF(OR(H963="SE",H963="CE"),IF(K963&gt;=4,IF(J963&gt;=6,"H","A"),IF(K963&gt;=2,IF(J963&gt;=20,"H",IF(J963&lt;=5,"L","A")),IF(J963&lt;=19,"L","A"))),IF(OR(H963="ALI",H963="AIE"),IF(K963&gt;=6,IF(J963&gt;=20,"H","A"),IF(K963&gt;=2,IF(J963&gt;=51,"H",IF(J963&lt;=19,"L","A")),IF(J963&lt;=50,"L","A")))))))</f>
        <v/>
      </c>
      <c r="N963" s="52">
        <f>IF(M963="L","Baixa",IF(M963="A","Média",IF(M963="","","Alta")))</f>
        <v/>
      </c>
      <c r="O963" s="53">
        <f>IF(ISBLANK(H963),"",IF(H963="ALI",IF(M963="L",7,IF(M963="A",10,15)),IF(H963="AIE",IF(M963="L",5,IF(M963="A",7,10)),IF(H963="SE",IF(M963="L",4,IF(M963="A",5,7)),IF(OR(H963="EE",H963="CE"),IF(M963="L",3,IF(M963="A",4,6)))))))</f>
        <v/>
      </c>
      <c r="P963" s="54">
        <f>IF(I963="I",O963*Contagem!$W$15,IF(I963="E",O963*Contagem!$W$17,IF(I963="A",O963*Contagem!$W$16,IF(I963="T",O963*Contagem!$W$18,""))))</f>
        <v/>
      </c>
      <c r="Q963" s="55" t="n"/>
    </row>
    <row r="964" ht="12" customHeight="1" s="73">
      <c r="A964" s="14">
        <f>IF(H964="",IF(C964="",A963,A963+1),A963)</f>
        <v/>
      </c>
      <c r="B964" s="48">
        <f>IF(A964=A963,"",CONCATENATE("F",A964))</f>
        <v/>
      </c>
      <c r="C964" s="85" t="n"/>
      <c r="D964" s="142" t="n"/>
      <c r="E964" s="142" t="n"/>
      <c r="F964" s="142" t="n"/>
      <c r="G964" s="143" t="n"/>
      <c r="H964" s="56" t="n"/>
      <c r="I964" s="57" t="n"/>
      <c r="J964" s="56" t="n"/>
      <c r="K964" s="56" t="n"/>
      <c r="L964" s="50">
        <f>CONCATENATE(H964,M964)</f>
        <v/>
      </c>
      <c r="M964" s="51">
        <f>IF(OR(ISBLANK(J964),ISBLANK(K964)),IF(OR(H964="ALI",H964="AIE"),"L",IF(ISBLANK(H964),"","A")),IF(H964="EE",IF(K964&gt;=3,IF(J964&gt;=5,"H","A"),IF(K964&gt;=2,IF(J964&gt;=16,"H",IF(J964&lt;=4,"L","A")),IF(J964&lt;=15,"L","A"))),IF(OR(H964="SE",H964="CE"),IF(K964&gt;=4,IF(J964&gt;=6,"H","A"),IF(K964&gt;=2,IF(J964&gt;=20,"H",IF(J964&lt;=5,"L","A")),IF(J964&lt;=19,"L","A"))),IF(OR(H964="ALI",H964="AIE"),IF(K964&gt;=6,IF(J964&gt;=20,"H","A"),IF(K964&gt;=2,IF(J964&gt;=51,"H",IF(J964&lt;=19,"L","A")),IF(J964&lt;=50,"L","A")))))))</f>
        <v/>
      </c>
      <c r="N964" s="52">
        <f>IF(M964="L","Baixa",IF(M964="A","Média",IF(M964="","","Alta")))</f>
        <v/>
      </c>
      <c r="O964" s="53">
        <f>IF(ISBLANK(H964),"",IF(H964="ALI",IF(M964="L",7,IF(M964="A",10,15)),IF(H964="AIE",IF(M964="L",5,IF(M964="A",7,10)),IF(H964="SE",IF(M964="L",4,IF(M964="A",5,7)),IF(OR(H964="EE",H964="CE"),IF(M964="L",3,IF(M964="A",4,6)))))))</f>
        <v/>
      </c>
      <c r="P964" s="54">
        <f>IF(I964="I",O964*Contagem!$W$15,IF(I964="E",O964*Contagem!$W$17,IF(I964="A",O964*Contagem!$W$16,IF(I964="T",O964*Contagem!$W$18,""))))</f>
        <v/>
      </c>
      <c r="Q964" s="55" t="n"/>
    </row>
    <row r="965" ht="12" customHeight="1" s="73">
      <c r="A965" s="14">
        <f>IF(H965="",IF(C965="",A964,A964+1),A964)</f>
        <v/>
      </c>
      <c r="B965" s="48">
        <f>IF(A965=A964,"",CONCATENATE("F",A965))</f>
        <v/>
      </c>
      <c r="C965" s="85" t="n"/>
      <c r="D965" s="142" t="n"/>
      <c r="E965" s="142" t="n"/>
      <c r="F965" s="142" t="n"/>
      <c r="G965" s="143" t="n"/>
      <c r="H965" s="56" t="n"/>
      <c r="I965" s="57" t="n"/>
      <c r="J965" s="56" t="n"/>
      <c r="K965" s="56" t="n"/>
      <c r="L965" s="50">
        <f>CONCATENATE(H965,M965)</f>
        <v/>
      </c>
      <c r="M965" s="51">
        <f>IF(OR(ISBLANK(J965),ISBLANK(K965)),IF(OR(H965="ALI",H965="AIE"),"L",IF(ISBLANK(H965),"","A")),IF(H965="EE",IF(K965&gt;=3,IF(J965&gt;=5,"H","A"),IF(K965&gt;=2,IF(J965&gt;=16,"H",IF(J965&lt;=4,"L","A")),IF(J965&lt;=15,"L","A"))),IF(OR(H965="SE",H965="CE"),IF(K965&gt;=4,IF(J965&gt;=6,"H","A"),IF(K965&gt;=2,IF(J965&gt;=20,"H",IF(J965&lt;=5,"L","A")),IF(J965&lt;=19,"L","A"))),IF(OR(H965="ALI",H965="AIE"),IF(K965&gt;=6,IF(J965&gt;=20,"H","A"),IF(K965&gt;=2,IF(J965&gt;=51,"H",IF(J965&lt;=19,"L","A")),IF(J965&lt;=50,"L","A")))))))</f>
        <v/>
      </c>
      <c r="N965" s="52">
        <f>IF(M965="L","Baixa",IF(M965="A","Média",IF(M965="","","Alta")))</f>
        <v/>
      </c>
      <c r="O965" s="53">
        <f>IF(ISBLANK(H965),"",IF(H965="ALI",IF(M965="L",7,IF(M965="A",10,15)),IF(H965="AIE",IF(M965="L",5,IF(M965="A",7,10)),IF(H965="SE",IF(M965="L",4,IF(M965="A",5,7)),IF(OR(H965="EE",H965="CE"),IF(M965="L",3,IF(M965="A",4,6)))))))</f>
        <v/>
      </c>
      <c r="P965" s="54">
        <f>IF(I965="I",O965*Contagem!$W$15,IF(I965="E",O965*Contagem!$W$17,IF(I965="A",O965*Contagem!$W$16,IF(I965="T",O965*Contagem!$W$18,""))))</f>
        <v/>
      </c>
      <c r="Q965" s="55" t="n"/>
    </row>
    <row r="966" ht="12" customHeight="1" s="73">
      <c r="A966" s="14">
        <f>IF(H966="",IF(C966="",A965,A965+1),A965)</f>
        <v/>
      </c>
      <c r="B966" s="48">
        <f>IF(A966=A965,"",CONCATENATE("F",A966))</f>
        <v/>
      </c>
      <c r="C966" s="85" t="n"/>
      <c r="D966" s="142" t="n"/>
      <c r="E966" s="142" t="n"/>
      <c r="F966" s="142" t="n"/>
      <c r="G966" s="143" t="n"/>
      <c r="H966" s="56" t="n"/>
      <c r="I966" s="57" t="n"/>
      <c r="J966" s="56" t="n"/>
      <c r="K966" s="56" t="n"/>
      <c r="L966" s="50">
        <f>CONCATENATE(H966,M966)</f>
        <v/>
      </c>
      <c r="M966" s="51">
        <f>IF(OR(ISBLANK(J966),ISBLANK(K966)),IF(OR(H966="ALI",H966="AIE"),"L",IF(ISBLANK(H966),"","A")),IF(H966="EE",IF(K966&gt;=3,IF(J966&gt;=5,"H","A"),IF(K966&gt;=2,IF(J966&gt;=16,"H",IF(J966&lt;=4,"L","A")),IF(J966&lt;=15,"L","A"))),IF(OR(H966="SE",H966="CE"),IF(K966&gt;=4,IF(J966&gt;=6,"H","A"),IF(K966&gt;=2,IF(J966&gt;=20,"H",IF(J966&lt;=5,"L","A")),IF(J966&lt;=19,"L","A"))),IF(OR(H966="ALI",H966="AIE"),IF(K966&gt;=6,IF(J966&gt;=20,"H","A"),IF(K966&gt;=2,IF(J966&gt;=51,"H",IF(J966&lt;=19,"L","A")),IF(J966&lt;=50,"L","A")))))))</f>
        <v/>
      </c>
      <c r="N966" s="52">
        <f>IF(M966="L","Baixa",IF(M966="A","Média",IF(M966="","","Alta")))</f>
        <v/>
      </c>
      <c r="O966" s="53">
        <f>IF(ISBLANK(H966),"",IF(H966="ALI",IF(M966="L",7,IF(M966="A",10,15)),IF(H966="AIE",IF(M966="L",5,IF(M966="A",7,10)),IF(H966="SE",IF(M966="L",4,IF(M966="A",5,7)),IF(OR(H966="EE",H966="CE"),IF(M966="L",3,IF(M966="A",4,6)))))))</f>
        <v/>
      </c>
      <c r="P966" s="54">
        <f>IF(I966="I",O966*Contagem!$W$15,IF(I966="E",O966*Contagem!$W$17,IF(I966="A",O966*Contagem!$W$16,IF(I966="T",O966*Contagem!$W$18,""))))</f>
        <v/>
      </c>
      <c r="Q966" s="55" t="n"/>
    </row>
    <row r="967" ht="12" customHeight="1" s="73">
      <c r="A967" s="14">
        <f>IF(H967="",IF(C967="",A966,A966+1),A966)</f>
        <v/>
      </c>
      <c r="B967" s="48">
        <f>IF(A967=A966,"",CONCATENATE("F",A967))</f>
        <v/>
      </c>
      <c r="C967" s="85" t="n"/>
      <c r="D967" s="142" t="n"/>
      <c r="E967" s="142" t="n"/>
      <c r="F967" s="142" t="n"/>
      <c r="G967" s="143" t="n"/>
      <c r="H967" s="56" t="n"/>
      <c r="I967" s="57" t="n"/>
      <c r="J967" s="56" t="n"/>
      <c r="K967" s="56" t="n"/>
      <c r="L967" s="50">
        <f>CONCATENATE(H967,M967)</f>
        <v/>
      </c>
      <c r="M967" s="51">
        <f>IF(OR(ISBLANK(J967),ISBLANK(K967)),IF(OR(H967="ALI",H967="AIE"),"L",IF(ISBLANK(H967),"","A")),IF(H967="EE",IF(K967&gt;=3,IF(J967&gt;=5,"H","A"),IF(K967&gt;=2,IF(J967&gt;=16,"H",IF(J967&lt;=4,"L","A")),IF(J967&lt;=15,"L","A"))),IF(OR(H967="SE",H967="CE"),IF(K967&gt;=4,IF(J967&gt;=6,"H","A"),IF(K967&gt;=2,IF(J967&gt;=20,"H",IF(J967&lt;=5,"L","A")),IF(J967&lt;=19,"L","A"))),IF(OR(H967="ALI",H967="AIE"),IF(K967&gt;=6,IF(J967&gt;=20,"H","A"),IF(K967&gt;=2,IF(J967&gt;=51,"H",IF(J967&lt;=19,"L","A")),IF(J967&lt;=50,"L","A")))))))</f>
        <v/>
      </c>
      <c r="N967" s="52">
        <f>IF(M967="L","Baixa",IF(M967="A","Média",IF(M967="","","Alta")))</f>
        <v/>
      </c>
      <c r="O967" s="53">
        <f>IF(ISBLANK(H967),"",IF(H967="ALI",IF(M967="L",7,IF(M967="A",10,15)),IF(H967="AIE",IF(M967="L",5,IF(M967="A",7,10)),IF(H967="SE",IF(M967="L",4,IF(M967="A",5,7)),IF(OR(H967="EE",H967="CE"),IF(M967="L",3,IF(M967="A",4,6)))))))</f>
        <v/>
      </c>
      <c r="P967" s="54">
        <f>IF(I967="I",O967*Contagem!$W$15,IF(I967="E",O967*Contagem!$W$17,IF(I967="A",O967*Contagem!$W$16,IF(I967="T",O967*Contagem!$W$18,""))))</f>
        <v/>
      </c>
      <c r="Q967" s="55" t="n"/>
    </row>
    <row r="968" ht="12" customHeight="1" s="73">
      <c r="A968" s="14">
        <f>IF(H968="",IF(C968="",A967,A967+1),A967)</f>
        <v/>
      </c>
      <c r="B968" s="48">
        <f>IF(A968=A967,"",CONCATENATE("F",A968))</f>
        <v/>
      </c>
      <c r="C968" s="85" t="n"/>
      <c r="D968" s="142" t="n"/>
      <c r="E968" s="142" t="n"/>
      <c r="F968" s="142" t="n"/>
      <c r="G968" s="143" t="n"/>
      <c r="H968" s="56" t="n"/>
      <c r="I968" s="57" t="n"/>
      <c r="J968" s="56" t="n"/>
      <c r="K968" s="56" t="n"/>
      <c r="L968" s="50">
        <f>CONCATENATE(H968,M968)</f>
        <v/>
      </c>
      <c r="M968" s="51">
        <f>IF(OR(ISBLANK(J968),ISBLANK(K968)),IF(OR(H968="ALI",H968="AIE"),"L",IF(ISBLANK(H968),"","A")),IF(H968="EE",IF(K968&gt;=3,IF(J968&gt;=5,"H","A"),IF(K968&gt;=2,IF(J968&gt;=16,"H",IF(J968&lt;=4,"L","A")),IF(J968&lt;=15,"L","A"))),IF(OR(H968="SE",H968="CE"),IF(K968&gt;=4,IF(J968&gt;=6,"H","A"),IF(K968&gt;=2,IF(J968&gt;=20,"H",IF(J968&lt;=5,"L","A")),IF(J968&lt;=19,"L","A"))),IF(OR(H968="ALI",H968="AIE"),IF(K968&gt;=6,IF(J968&gt;=20,"H","A"),IF(K968&gt;=2,IF(J968&gt;=51,"H",IF(J968&lt;=19,"L","A")),IF(J968&lt;=50,"L","A")))))))</f>
        <v/>
      </c>
      <c r="N968" s="52">
        <f>IF(M968="L","Baixa",IF(M968="A","Média",IF(M968="","","Alta")))</f>
        <v/>
      </c>
      <c r="O968" s="53">
        <f>IF(ISBLANK(H968),"",IF(H968="ALI",IF(M968="L",7,IF(M968="A",10,15)),IF(H968="AIE",IF(M968="L",5,IF(M968="A",7,10)),IF(H968="SE",IF(M968="L",4,IF(M968="A",5,7)),IF(OR(H968="EE",H968="CE"),IF(M968="L",3,IF(M968="A",4,6)))))))</f>
        <v/>
      </c>
      <c r="P968" s="54">
        <f>IF(I968="I",O968*Contagem!$W$15,IF(I968="E",O968*Contagem!$W$17,IF(I968="A",O968*Contagem!$W$16,IF(I968="T",O968*Contagem!$W$18,""))))</f>
        <v/>
      </c>
      <c r="Q968" s="55" t="n"/>
    </row>
    <row r="969" ht="12" customHeight="1" s="73">
      <c r="A969" s="14">
        <f>IF(H969="",IF(C969="",A968,A968+1),A968)</f>
        <v/>
      </c>
      <c r="B969" s="48">
        <f>IF(A969=A968,"",CONCATENATE("F",A969))</f>
        <v/>
      </c>
      <c r="C969" s="85" t="n"/>
      <c r="D969" s="142" t="n"/>
      <c r="E969" s="142" t="n"/>
      <c r="F969" s="142" t="n"/>
      <c r="G969" s="143" t="n"/>
      <c r="H969" s="56" t="n"/>
      <c r="I969" s="57" t="n"/>
      <c r="J969" s="56" t="n"/>
      <c r="K969" s="56" t="n"/>
      <c r="L969" s="50">
        <f>CONCATENATE(H969,M969)</f>
        <v/>
      </c>
      <c r="M969" s="51">
        <f>IF(OR(ISBLANK(J969),ISBLANK(K969)),IF(OR(H969="ALI",H969="AIE"),"L",IF(ISBLANK(H969),"","A")),IF(H969="EE",IF(K969&gt;=3,IF(J969&gt;=5,"H","A"),IF(K969&gt;=2,IF(J969&gt;=16,"H",IF(J969&lt;=4,"L","A")),IF(J969&lt;=15,"L","A"))),IF(OR(H969="SE",H969="CE"),IF(K969&gt;=4,IF(J969&gt;=6,"H","A"),IF(K969&gt;=2,IF(J969&gt;=20,"H",IF(J969&lt;=5,"L","A")),IF(J969&lt;=19,"L","A"))),IF(OR(H969="ALI",H969="AIE"),IF(K969&gt;=6,IF(J969&gt;=20,"H","A"),IF(K969&gt;=2,IF(J969&gt;=51,"H",IF(J969&lt;=19,"L","A")),IF(J969&lt;=50,"L","A")))))))</f>
        <v/>
      </c>
      <c r="N969" s="52">
        <f>IF(M969="L","Baixa",IF(M969="A","Média",IF(M969="","","Alta")))</f>
        <v/>
      </c>
      <c r="O969" s="53">
        <f>IF(ISBLANK(H969),"",IF(H969="ALI",IF(M969="L",7,IF(M969="A",10,15)),IF(H969="AIE",IF(M969="L",5,IF(M969="A",7,10)),IF(H969="SE",IF(M969="L",4,IF(M969="A",5,7)),IF(OR(H969="EE",H969="CE"),IF(M969="L",3,IF(M969="A",4,6)))))))</f>
        <v/>
      </c>
      <c r="P969" s="54">
        <f>IF(I969="I",O969*Contagem!$W$15,IF(I969="E",O969*Contagem!$W$17,IF(I969="A",O969*Contagem!$W$16,IF(I969="T",O969*Contagem!$W$18,""))))</f>
        <v/>
      </c>
      <c r="Q969" s="55" t="n"/>
    </row>
    <row r="970" ht="12" customHeight="1" s="73">
      <c r="A970" s="14">
        <f>IF(H970="",IF(C970="",A969,A969+1),A969)</f>
        <v/>
      </c>
      <c r="B970" s="48">
        <f>IF(A970=A969,"",CONCATENATE("F",A970))</f>
        <v/>
      </c>
      <c r="C970" s="85" t="n"/>
      <c r="D970" s="142" t="n"/>
      <c r="E970" s="142" t="n"/>
      <c r="F970" s="142" t="n"/>
      <c r="G970" s="143" t="n"/>
      <c r="H970" s="56" t="n"/>
      <c r="I970" s="57" t="n"/>
      <c r="J970" s="56" t="n"/>
      <c r="K970" s="56" t="n"/>
      <c r="L970" s="50">
        <f>CONCATENATE(H970,M970)</f>
        <v/>
      </c>
      <c r="M970" s="51">
        <f>IF(OR(ISBLANK(J970),ISBLANK(K970)),IF(OR(H970="ALI",H970="AIE"),"L",IF(ISBLANK(H970),"","A")),IF(H970="EE",IF(K970&gt;=3,IF(J970&gt;=5,"H","A"),IF(K970&gt;=2,IF(J970&gt;=16,"H",IF(J970&lt;=4,"L","A")),IF(J970&lt;=15,"L","A"))),IF(OR(H970="SE",H970="CE"),IF(K970&gt;=4,IF(J970&gt;=6,"H","A"),IF(K970&gt;=2,IF(J970&gt;=20,"H",IF(J970&lt;=5,"L","A")),IF(J970&lt;=19,"L","A"))),IF(OR(H970="ALI",H970="AIE"),IF(K970&gt;=6,IF(J970&gt;=20,"H","A"),IF(K970&gt;=2,IF(J970&gt;=51,"H",IF(J970&lt;=19,"L","A")),IF(J970&lt;=50,"L","A")))))))</f>
        <v/>
      </c>
      <c r="N970" s="52">
        <f>IF(M970="L","Baixa",IF(M970="A","Média",IF(M970="","","Alta")))</f>
        <v/>
      </c>
      <c r="O970" s="53">
        <f>IF(ISBLANK(H970),"",IF(H970="ALI",IF(M970="L",7,IF(M970="A",10,15)),IF(H970="AIE",IF(M970="L",5,IF(M970="A",7,10)),IF(H970="SE",IF(M970="L",4,IF(M970="A",5,7)),IF(OR(H970="EE",H970="CE"),IF(M970="L",3,IF(M970="A",4,6)))))))</f>
        <v/>
      </c>
      <c r="P970" s="54">
        <f>IF(I970="I",O970*Contagem!$W$15,IF(I970="E",O970*Contagem!$W$17,IF(I970="A",O970*Contagem!$W$16,IF(I970="T",O970*Contagem!$W$18,""))))</f>
        <v/>
      </c>
      <c r="Q970" s="55" t="n"/>
    </row>
    <row r="971" ht="12" customHeight="1" s="73">
      <c r="A971" s="14">
        <f>IF(H971="",IF(C971="",A970,A970+1),A970)</f>
        <v/>
      </c>
      <c r="B971" s="48">
        <f>IF(A971=A970,"",CONCATENATE("F",A971))</f>
        <v/>
      </c>
      <c r="C971" s="85" t="n"/>
      <c r="D971" s="142" t="n"/>
      <c r="E971" s="142" t="n"/>
      <c r="F971" s="142" t="n"/>
      <c r="G971" s="143" t="n"/>
      <c r="H971" s="56" t="n"/>
      <c r="I971" s="57" t="n"/>
      <c r="J971" s="56" t="n"/>
      <c r="K971" s="56" t="n"/>
      <c r="L971" s="50">
        <f>CONCATENATE(H971,M971)</f>
        <v/>
      </c>
      <c r="M971" s="51">
        <f>IF(OR(ISBLANK(J971),ISBLANK(K971)),IF(OR(H971="ALI",H971="AIE"),"L",IF(ISBLANK(H971),"","A")),IF(H971="EE",IF(K971&gt;=3,IF(J971&gt;=5,"H","A"),IF(K971&gt;=2,IF(J971&gt;=16,"H",IF(J971&lt;=4,"L","A")),IF(J971&lt;=15,"L","A"))),IF(OR(H971="SE",H971="CE"),IF(K971&gt;=4,IF(J971&gt;=6,"H","A"),IF(K971&gt;=2,IF(J971&gt;=20,"H",IF(J971&lt;=5,"L","A")),IF(J971&lt;=19,"L","A"))),IF(OR(H971="ALI",H971="AIE"),IF(K971&gt;=6,IF(J971&gt;=20,"H","A"),IF(K971&gt;=2,IF(J971&gt;=51,"H",IF(J971&lt;=19,"L","A")),IF(J971&lt;=50,"L","A")))))))</f>
        <v/>
      </c>
      <c r="N971" s="52">
        <f>IF(M971="L","Baixa",IF(M971="A","Média",IF(M971="","","Alta")))</f>
        <v/>
      </c>
      <c r="O971" s="53">
        <f>IF(ISBLANK(H971),"",IF(H971="ALI",IF(M971="L",7,IF(M971="A",10,15)),IF(H971="AIE",IF(M971="L",5,IF(M971="A",7,10)),IF(H971="SE",IF(M971="L",4,IF(M971="A",5,7)),IF(OR(H971="EE",H971="CE"),IF(M971="L",3,IF(M971="A",4,6)))))))</f>
        <v/>
      </c>
      <c r="P971" s="54">
        <f>IF(I971="I",O971*Contagem!$W$15,IF(I971="E",O971*Contagem!$W$17,IF(I971="A",O971*Contagem!$W$16,IF(I971="T",O971*Contagem!$W$18,""))))</f>
        <v/>
      </c>
      <c r="Q971" s="55" t="n"/>
    </row>
    <row r="972" ht="12" customHeight="1" s="73">
      <c r="A972" s="14">
        <f>IF(H972="",IF(C972="",A971,A971+1),A971)</f>
        <v/>
      </c>
      <c r="B972" s="48">
        <f>IF(A972=A971,"",CONCATENATE("F",A972))</f>
        <v/>
      </c>
      <c r="C972" s="85" t="n"/>
      <c r="D972" s="142" t="n"/>
      <c r="E972" s="142" t="n"/>
      <c r="F972" s="142" t="n"/>
      <c r="G972" s="143" t="n"/>
      <c r="H972" s="56" t="n"/>
      <c r="I972" s="57" t="n"/>
      <c r="J972" s="56" t="n"/>
      <c r="K972" s="56" t="n"/>
      <c r="L972" s="50">
        <f>CONCATENATE(H972,M972)</f>
        <v/>
      </c>
      <c r="M972" s="51">
        <f>IF(OR(ISBLANK(J972),ISBLANK(K972)),IF(OR(H972="ALI",H972="AIE"),"L",IF(ISBLANK(H972),"","A")),IF(H972="EE",IF(K972&gt;=3,IF(J972&gt;=5,"H","A"),IF(K972&gt;=2,IF(J972&gt;=16,"H",IF(J972&lt;=4,"L","A")),IF(J972&lt;=15,"L","A"))),IF(OR(H972="SE",H972="CE"),IF(K972&gt;=4,IF(J972&gt;=6,"H","A"),IF(K972&gt;=2,IF(J972&gt;=20,"H",IF(J972&lt;=5,"L","A")),IF(J972&lt;=19,"L","A"))),IF(OR(H972="ALI",H972="AIE"),IF(K972&gt;=6,IF(J972&gt;=20,"H","A"),IF(K972&gt;=2,IF(J972&gt;=51,"H",IF(J972&lt;=19,"L","A")),IF(J972&lt;=50,"L","A")))))))</f>
        <v/>
      </c>
      <c r="N972" s="52">
        <f>IF(M972="L","Baixa",IF(M972="A","Média",IF(M972="","","Alta")))</f>
        <v/>
      </c>
      <c r="O972" s="53">
        <f>IF(ISBLANK(H972),"",IF(H972="ALI",IF(M972="L",7,IF(M972="A",10,15)),IF(H972="AIE",IF(M972="L",5,IF(M972="A",7,10)),IF(H972="SE",IF(M972="L",4,IF(M972="A",5,7)),IF(OR(H972="EE",H972="CE"),IF(M972="L",3,IF(M972="A",4,6)))))))</f>
        <v/>
      </c>
      <c r="P972" s="54">
        <f>IF(I972="I",O972*Contagem!$W$15,IF(I972="E",O972*Contagem!$W$17,IF(I972="A",O972*Contagem!$W$16,IF(I972="T",O972*Contagem!$W$18,""))))</f>
        <v/>
      </c>
      <c r="Q972" s="55" t="n"/>
    </row>
    <row r="973" ht="12" customHeight="1" s="73">
      <c r="A973" s="14">
        <f>IF(H973="",IF(C973="",A972,A972+1),A972)</f>
        <v/>
      </c>
      <c r="B973" s="48">
        <f>IF(A973=A972,"",CONCATENATE("F",A973))</f>
        <v/>
      </c>
      <c r="C973" s="85" t="n"/>
      <c r="D973" s="142" t="n"/>
      <c r="E973" s="142" t="n"/>
      <c r="F973" s="142" t="n"/>
      <c r="G973" s="143" t="n"/>
      <c r="H973" s="56" t="n"/>
      <c r="I973" s="57" t="n"/>
      <c r="J973" s="56" t="n"/>
      <c r="K973" s="56" t="n"/>
      <c r="L973" s="50">
        <f>CONCATENATE(H973,M973)</f>
        <v/>
      </c>
      <c r="M973" s="51">
        <f>IF(OR(ISBLANK(J973),ISBLANK(K973)),IF(OR(H973="ALI",H973="AIE"),"L",IF(ISBLANK(H973),"","A")),IF(H973="EE",IF(K973&gt;=3,IF(J973&gt;=5,"H","A"),IF(K973&gt;=2,IF(J973&gt;=16,"H",IF(J973&lt;=4,"L","A")),IF(J973&lt;=15,"L","A"))),IF(OR(H973="SE",H973="CE"),IF(K973&gt;=4,IF(J973&gt;=6,"H","A"),IF(K973&gt;=2,IF(J973&gt;=20,"H",IF(J973&lt;=5,"L","A")),IF(J973&lt;=19,"L","A"))),IF(OR(H973="ALI",H973="AIE"),IF(K973&gt;=6,IF(J973&gt;=20,"H","A"),IF(K973&gt;=2,IF(J973&gt;=51,"H",IF(J973&lt;=19,"L","A")),IF(J973&lt;=50,"L","A")))))))</f>
        <v/>
      </c>
      <c r="N973" s="52">
        <f>IF(M973="L","Baixa",IF(M973="A","Média",IF(M973="","","Alta")))</f>
        <v/>
      </c>
      <c r="O973" s="53">
        <f>IF(ISBLANK(H973),"",IF(H973="ALI",IF(M973="L",7,IF(M973="A",10,15)),IF(H973="AIE",IF(M973="L",5,IF(M973="A",7,10)),IF(H973="SE",IF(M973="L",4,IF(M973="A",5,7)),IF(OR(H973="EE",H973="CE"),IF(M973="L",3,IF(M973="A",4,6)))))))</f>
        <v/>
      </c>
      <c r="P973" s="54">
        <f>IF(I973="I",O973*Contagem!$W$15,IF(I973="E",O973*Contagem!$W$17,IF(I973="A",O973*Contagem!$W$16,IF(I973="T",O973*Contagem!$W$18,""))))</f>
        <v/>
      </c>
      <c r="Q973" s="55" t="n"/>
    </row>
    <row r="974" ht="12" customHeight="1" s="73">
      <c r="A974" s="14">
        <f>IF(H974="",IF(C974="",A973,A973+1),A973)</f>
        <v/>
      </c>
      <c r="B974" s="48">
        <f>IF(A974=A973,"",CONCATENATE("F",A974))</f>
        <v/>
      </c>
      <c r="C974" s="85" t="n"/>
      <c r="D974" s="142" t="n"/>
      <c r="E974" s="142" t="n"/>
      <c r="F974" s="142" t="n"/>
      <c r="G974" s="143" t="n"/>
      <c r="H974" s="56" t="n"/>
      <c r="I974" s="57" t="n"/>
      <c r="J974" s="56" t="n"/>
      <c r="K974" s="56" t="n"/>
      <c r="L974" s="50">
        <f>CONCATENATE(H974,M974)</f>
        <v/>
      </c>
      <c r="M974" s="51">
        <f>IF(OR(ISBLANK(J974),ISBLANK(K974)),IF(OR(H974="ALI",H974="AIE"),"L",IF(ISBLANK(H974),"","A")),IF(H974="EE",IF(K974&gt;=3,IF(J974&gt;=5,"H","A"),IF(K974&gt;=2,IF(J974&gt;=16,"H",IF(J974&lt;=4,"L","A")),IF(J974&lt;=15,"L","A"))),IF(OR(H974="SE",H974="CE"),IF(K974&gt;=4,IF(J974&gt;=6,"H","A"),IF(K974&gt;=2,IF(J974&gt;=20,"H",IF(J974&lt;=5,"L","A")),IF(J974&lt;=19,"L","A"))),IF(OR(H974="ALI",H974="AIE"),IF(K974&gt;=6,IF(J974&gt;=20,"H","A"),IF(K974&gt;=2,IF(J974&gt;=51,"H",IF(J974&lt;=19,"L","A")),IF(J974&lt;=50,"L","A")))))))</f>
        <v/>
      </c>
      <c r="N974" s="52">
        <f>IF(M974="L","Baixa",IF(M974="A","Média",IF(M974="","","Alta")))</f>
        <v/>
      </c>
      <c r="O974" s="53">
        <f>IF(ISBLANK(H974),"",IF(H974="ALI",IF(M974="L",7,IF(M974="A",10,15)),IF(H974="AIE",IF(M974="L",5,IF(M974="A",7,10)),IF(H974="SE",IF(M974="L",4,IF(M974="A",5,7)),IF(OR(H974="EE",H974="CE"),IF(M974="L",3,IF(M974="A",4,6)))))))</f>
        <v/>
      </c>
      <c r="P974" s="54">
        <f>IF(I974="I",O974*Contagem!$W$15,IF(I974="E",O974*Contagem!$W$17,IF(I974="A",O974*Contagem!$W$16,IF(I974="T",O974*Contagem!$W$18,""))))</f>
        <v/>
      </c>
      <c r="Q974" s="55" t="n"/>
    </row>
    <row r="975" ht="12" customHeight="1" s="73">
      <c r="A975" s="14">
        <f>IF(H975="",IF(C975="",A974,A974+1),A974)</f>
        <v/>
      </c>
      <c r="B975" s="48">
        <f>IF(A975=A974,"",CONCATENATE("F",A975))</f>
        <v/>
      </c>
      <c r="C975" s="85" t="n"/>
      <c r="D975" s="142" t="n"/>
      <c r="E975" s="142" t="n"/>
      <c r="F975" s="142" t="n"/>
      <c r="G975" s="143" t="n"/>
      <c r="H975" s="56" t="n"/>
      <c r="I975" s="57" t="n"/>
      <c r="J975" s="56" t="n"/>
      <c r="K975" s="56" t="n"/>
      <c r="L975" s="50">
        <f>CONCATENATE(H975,M975)</f>
        <v/>
      </c>
      <c r="M975" s="51">
        <f>IF(OR(ISBLANK(J975),ISBLANK(K975)),IF(OR(H975="ALI",H975="AIE"),"L",IF(ISBLANK(H975),"","A")),IF(H975="EE",IF(K975&gt;=3,IF(J975&gt;=5,"H","A"),IF(K975&gt;=2,IF(J975&gt;=16,"H",IF(J975&lt;=4,"L","A")),IF(J975&lt;=15,"L","A"))),IF(OR(H975="SE",H975="CE"),IF(K975&gt;=4,IF(J975&gt;=6,"H","A"),IF(K975&gt;=2,IF(J975&gt;=20,"H",IF(J975&lt;=5,"L","A")),IF(J975&lt;=19,"L","A"))),IF(OR(H975="ALI",H975="AIE"),IF(K975&gt;=6,IF(J975&gt;=20,"H","A"),IF(K975&gt;=2,IF(J975&gt;=51,"H",IF(J975&lt;=19,"L","A")),IF(J975&lt;=50,"L","A")))))))</f>
        <v/>
      </c>
      <c r="N975" s="52">
        <f>IF(M975="L","Baixa",IF(M975="A","Média",IF(M975="","","Alta")))</f>
        <v/>
      </c>
      <c r="O975" s="53">
        <f>IF(ISBLANK(H975),"",IF(H975="ALI",IF(M975="L",7,IF(M975="A",10,15)),IF(H975="AIE",IF(M975="L",5,IF(M975="A",7,10)),IF(H975="SE",IF(M975="L",4,IF(M975="A",5,7)),IF(OR(H975="EE",H975="CE"),IF(M975="L",3,IF(M975="A",4,6)))))))</f>
        <v/>
      </c>
      <c r="P975" s="54">
        <f>IF(I975="I",O975*Contagem!$W$15,IF(I975="E",O975*Contagem!$W$17,IF(I975="A",O975*Contagem!$W$16,IF(I975="T",O975*Contagem!$W$18,""))))</f>
        <v/>
      </c>
      <c r="Q975" s="55" t="n"/>
    </row>
    <row r="976" ht="12" customHeight="1" s="73">
      <c r="A976" s="14">
        <f>IF(H976="",IF(C976="",A975,A975+1),A975)</f>
        <v/>
      </c>
      <c r="B976" s="48">
        <f>IF(A976=A975,"",CONCATENATE("F",A976))</f>
        <v/>
      </c>
      <c r="C976" s="85" t="n"/>
      <c r="D976" s="142" t="n"/>
      <c r="E976" s="142" t="n"/>
      <c r="F976" s="142" t="n"/>
      <c r="G976" s="143" t="n"/>
      <c r="H976" s="56" t="n"/>
      <c r="I976" s="57" t="n"/>
      <c r="J976" s="56" t="n"/>
      <c r="K976" s="56" t="n"/>
      <c r="L976" s="50">
        <f>CONCATENATE(H976,M976)</f>
        <v/>
      </c>
      <c r="M976" s="51">
        <f>IF(OR(ISBLANK(J976),ISBLANK(K976)),IF(OR(H976="ALI",H976="AIE"),"L",IF(ISBLANK(H976),"","A")),IF(H976="EE",IF(K976&gt;=3,IF(J976&gt;=5,"H","A"),IF(K976&gt;=2,IF(J976&gt;=16,"H",IF(J976&lt;=4,"L","A")),IF(J976&lt;=15,"L","A"))),IF(OR(H976="SE",H976="CE"),IF(K976&gt;=4,IF(J976&gt;=6,"H","A"),IF(K976&gt;=2,IF(J976&gt;=20,"H",IF(J976&lt;=5,"L","A")),IF(J976&lt;=19,"L","A"))),IF(OR(H976="ALI",H976="AIE"),IF(K976&gt;=6,IF(J976&gt;=20,"H","A"),IF(K976&gt;=2,IF(J976&gt;=51,"H",IF(J976&lt;=19,"L","A")),IF(J976&lt;=50,"L","A")))))))</f>
        <v/>
      </c>
      <c r="N976" s="52">
        <f>IF(M976="L","Baixa",IF(M976="A","Média",IF(M976="","","Alta")))</f>
        <v/>
      </c>
      <c r="O976" s="53">
        <f>IF(ISBLANK(H976),"",IF(H976="ALI",IF(M976="L",7,IF(M976="A",10,15)),IF(H976="AIE",IF(M976="L",5,IF(M976="A",7,10)),IF(H976="SE",IF(M976="L",4,IF(M976="A",5,7)),IF(OR(H976="EE",H976="CE"),IF(M976="L",3,IF(M976="A",4,6)))))))</f>
        <v/>
      </c>
      <c r="P976" s="54">
        <f>IF(I976="I",O976*Contagem!$W$15,IF(I976="E",O976*Contagem!$W$17,IF(I976="A",O976*Contagem!$W$16,IF(I976="T",O976*Contagem!$W$18,""))))</f>
        <v/>
      </c>
      <c r="Q976" s="55" t="n"/>
    </row>
    <row r="977" ht="12" customHeight="1" s="73">
      <c r="A977" s="14">
        <f>IF(H977="",IF(C977="",A976,A976+1),A976)</f>
        <v/>
      </c>
      <c r="B977" s="48">
        <f>IF(A977=A976,"",CONCATENATE("F",A977))</f>
        <v/>
      </c>
      <c r="C977" s="85" t="n"/>
      <c r="D977" s="142" t="n"/>
      <c r="E977" s="142" t="n"/>
      <c r="F977" s="142" t="n"/>
      <c r="G977" s="143" t="n"/>
      <c r="H977" s="56" t="n"/>
      <c r="I977" s="57" t="n"/>
      <c r="J977" s="56" t="n"/>
      <c r="K977" s="56" t="n"/>
      <c r="L977" s="50">
        <f>CONCATENATE(H977,M977)</f>
        <v/>
      </c>
      <c r="M977" s="51">
        <f>IF(OR(ISBLANK(J977),ISBLANK(K977)),IF(OR(H977="ALI",H977="AIE"),"L",IF(ISBLANK(H977),"","A")),IF(H977="EE",IF(K977&gt;=3,IF(J977&gt;=5,"H","A"),IF(K977&gt;=2,IF(J977&gt;=16,"H",IF(J977&lt;=4,"L","A")),IF(J977&lt;=15,"L","A"))),IF(OR(H977="SE",H977="CE"),IF(K977&gt;=4,IF(J977&gt;=6,"H","A"),IF(K977&gt;=2,IF(J977&gt;=20,"H",IF(J977&lt;=5,"L","A")),IF(J977&lt;=19,"L","A"))),IF(OR(H977="ALI",H977="AIE"),IF(K977&gt;=6,IF(J977&gt;=20,"H","A"),IF(K977&gt;=2,IF(J977&gt;=51,"H",IF(J977&lt;=19,"L","A")),IF(J977&lt;=50,"L","A")))))))</f>
        <v/>
      </c>
      <c r="N977" s="52">
        <f>IF(M977="L","Baixa",IF(M977="A","Média",IF(M977="","","Alta")))</f>
        <v/>
      </c>
      <c r="O977" s="53">
        <f>IF(ISBLANK(H977),"",IF(H977="ALI",IF(M977="L",7,IF(M977="A",10,15)),IF(H977="AIE",IF(M977="L",5,IF(M977="A",7,10)),IF(H977="SE",IF(M977="L",4,IF(M977="A",5,7)),IF(OR(H977="EE",H977="CE"),IF(M977="L",3,IF(M977="A",4,6)))))))</f>
        <v/>
      </c>
      <c r="P977" s="54">
        <f>IF(I977="I",O977*Contagem!$W$15,IF(I977="E",O977*Contagem!$W$17,IF(I977="A",O977*Contagem!$W$16,IF(I977="T",O977*Contagem!$W$18,""))))</f>
        <v/>
      </c>
      <c r="Q977" s="55" t="n"/>
    </row>
    <row r="978" ht="12" customHeight="1" s="73">
      <c r="A978" s="14">
        <f>IF(H978="",IF(C978="",A977,A977+1),A977)</f>
        <v/>
      </c>
      <c r="B978" s="48">
        <f>IF(A978=A977,"",CONCATENATE("F",A978))</f>
        <v/>
      </c>
      <c r="C978" s="85" t="n"/>
      <c r="D978" s="142" t="n"/>
      <c r="E978" s="142" t="n"/>
      <c r="F978" s="142" t="n"/>
      <c r="G978" s="143" t="n"/>
      <c r="H978" s="56" t="n"/>
      <c r="I978" s="57" t="n"/>
      <c r="J978" s="56" t="n"/>
      <c r="K978" s="56" t="n"/>
      <c r="L978" s="50">
        <f>CONCATENATE(H978,M978)</f>
        <v/>
      </c>
      <c r="M978" s="51">
        <f>IF(OR(ISBLANK(J978),ISBLANK(K978)),IF(OR(H978="ALI",H978="AIE"),"L",IF(ISBLANK(H978),"","A")),IF(H978="EE",IF(K978&gt;=3,IF(J978&gt;=5,"H","A"),IF(K978&gt;=2,IF(J978&gt;=16,"H",IF(J978&lt;=4,"L","A")),IF(J978&lt;=15,"L","A"))),IF(OR(H978="SE",H978="CE"),IF(K978&gt;=4,IF(J978&gt;=6,"H","A"),IF(K978&gt;=2,IF(J978&gt;=20,"H",IF(J978&lt;=5,"L","A")),IF(J978&lt;=19,"L","A"))),IF(OR(H978="ALI",H978="AIE"),IF(K978&gt;=6,IF(J978&gt;=20,"H","A"),IF(K978&gt;=2,IF(J978&gt;=51,"H",IF(J978&lt;=19,"L","A")),IF(J978&lt;=50,"L","A")))))))</f>
        <v/>
      </c>
      <c r="N978" s="52">
        <f>IF(M978="L","Baixa",IF(M978="A","Média",IF(M978="","","Alta")))</f>
        <v/>
      </c>
      <c r="O978" s="53">
        <f>IF(ISBLANK(H978),"",IF(H978="ALI",IF(M978="L",7,IF(M978="A",10,15)),IF(H978="AIE",IF(M978="L",5,IF(M978="A",7,10)),IF(H978="SE",IF(M978="L",4,IF(M978="A",5,7)),IF(OR(H978="EE",H978="CE"),IF(M978="L",3,IF(M978="A",4,6)))))))</f>
        <v/>
      </c>
      <c r="P978" s="54">
        <f>IF(I978="I",O978*Contagem!$W$15,IF(I978="E",O978*Contagem!$W$17,IF(I978="A",O978*Contagem!$W$16,IF(I978="T",O978*Contagem!$W$18,""))))</f>
        <v/>
      </c>
      <c r="Q978" s="55" t="n"/>
    </row>
    <row r="979" ht="12" customHeight="1" s="73">
      <c r="A979" s="14">
        <f>IF(H979="",IF(C979="",A978,A978+1),A978)</f>
        <v/>
      </c>
      <c r="B979" s="48">
        <f>IF(A979=A978,"",CONCATENATE("F",A979))</f>
        <v/>
      </c>
      <c r="C979" s="85" t="n"/>
      <c r="D979" s="142" t="n"/>
      <c r="E979" s="142" t="n"/>
      <c r="F979" s="142" t="n"/>
      <c r="G979" s="143" t="n"/>
      <c r="H979" s="56" t="n"/>
      <c r="I979" s="57" t="n"/>
      <c r="J979" s="56" t="n"/>
      <c r="K979" s="56" t="n"/>
      <c r="L979" s="50">
        <f>CONCATENATE(H979,M979)</f>
        <v/>
      </c>
      <c r="M979" s="51">
        <f>IF(OR(ISBLANK(J979),ISBLANK(K979)),IF(OR(H979="ALI",H979="AIE"),"L",IF(ISBLANK(H979),"","A")),IF(H979="EE",IF(K979&gt;=3,IF(J979&gt;=5,"H","A"),IF(K979&gt;=2,IF(J979&gt;=16,"H",IF(J979&lt;=4,"L","A")),IF(J979&lt;=15,"L","A"))),IF(OR(H979="SE",H979="CE"),IF(K979&gt;=4,IF(J979&gt;=6,"H","A"),IF(K979&gt;=2,IF(J979&gt;=20,"H",IF(J979&lt;=5,"L","A")),IF(J979&lt;=19,"L","A"))),IF(OR(H979="ALI",H979="AIE"),IF(K979&gt;=6,IF(J979&gt;=20,"H","A"),IF(K979&gt;=2,IF(J979&gt;=51,"H",IF(J979&lt;=19,"L","A")),IF(J979&lt;=50,"L","A")))))))</f>
        <v/>
      </c>
      <c r="N979" s="52">
        <f>IF(M979="L","Baixa",IF(M979="A","Média",IF(M979="","","Alta")))</f>
        <v/>
      </c>
      <c r="O979" s="53">
        <f>IF(ISBLANK(H979),"",IF(H979="ALI",IF(M979="L",7,IF(M979="A",10,15)),IF(H979="AIE",IF(M979="L",5,IF(M979="A",7,10)),IF(H979="SE",IF(M979="L",4,IF(M979="A",5,7)),IF(OR(H979="EE",H979="CE"),IF(M979="L",3,IF(M979="A",4,6)))))))</f>
        <v/>
      </c>
      <c r="P979" s="54">
        <f>IF(I979="I",O979*Contagem!$W$15,IF(I979="E",O979*Contagem!$W$17,IF(I979="A",O979*Contagem!$W$16,IF(I979="T",O979*Contagem!$W$18,""))))</f>
        <v/>
      </c>
      <c r="Q979" s="55" t="n"/>
    </row>
    <row r="980" ht="12" customHeight="1" s="73">
      <c r="A980" s="14">
        <f>IF(H980="",IF(C980="",A979,A979+1),A979)</f>
        <v/>
      </c>
      <c r="B980" s="48">
        <f>IF(A980=A979,"",CONCATENATE("F",A980))</f>
        <v/>
      </c>
      <c r="C980" s="85" t="n"/>
      <c r="D980" s="142" t="n"/>
      <c r="E980" s="142" t="n"/>
      <c r="F980" s="142" t="n"/>
      <c r="G980" s="143" t="n"/>
      <c r="H980" s="56" t="n"/>
      <c r="I980" s="57" t="n"/>
      <c r="J980" s="56" t="n"/>
      <c r="K980" s="56" t="n"/>
      <c r="L980" s="50">
        <f>CONCATENATE(H980,M980)</f>
        <v/>
      </c>
      <c r="M980" s="51">
        <f>IF(OR(ISBLANK(J980),ISBLANK(K980)),IF(OR(H980="ALI",H980="AIE"),"L",IF(ISBLANK(H980),"","A")),IF(H980="EE",IF(K980&gt;=3,IF(J980&gt;=5,"H","A"),IF(K980&gt;=2,IF(J980&gt;=16,"H",IF(J980&lt;=4,"L","A")),IF(J980&lt;=15,"L","A"))),IF(OR(H980="SE",H980="CE"),IF(K980&gt;=4,IF(J980&gt;=6,"H","A"),IF(K980&gt;=2,IF(J980&gt;=20,"H",IF(J980&lt;=5,"L","A")),IF(J980&lt;=19,"L","A"))),IF(OR(H980="ALI",H980="AIE"),IF(K980&gt;=6,IF(J980&gt;=20,"H","A"),IF(K980&gt;=2,IF(J980&gt;=51,"H",IF(J980&lt;=19,"L","A")),IF(J980&lt;=50,"L","A")))))))</f>
        <v/>
      </c>
      <c r="N980" s="52">
        <f>IF(M980="L","Baixa",IF(M980="A","Média",IF(M980="","","Alta")))</f>
        <v/>
      </c>
      <c r="O980" s="53">
        <f>IF(ISBLANK(H980),"",IF(H980="ALI",IF(M980="L",7,IF(M980="A",10,15)),IF(H980="AIE",IF(M980="L",5,IF(M980="A",7,10)),IF(H980="SE",IF(M980="L",4,IF(M980="A",5,7)),IF(OR(H980="EE",H980="CE"),IF(M980="L",3,IF(M980="A",4,6)))))))</f>
        <v/>
      </c>
      <c r="P980" s="54">
        <f>IF(I980="I",O980*Contagem!$W$15,IF(I980="E",O980*Contagem!$W$17,IF(I980="A",O980*Contagem!$W$16,IF(I980="T",O980*Contagem!$W$18,""))))</f>
        <v/>
      </c>
      <c r="Q980" s="55" t="n"/>
    </row>
    <row r="981" ht="12" customHeight="1" s="73">
      <c r="A981" s="14">
        <f>IF(H981="",IF(C981="",A980,A980+1),A980)</f>
        <v/>
      </c>
      <c r="B981" s="48">
        <f>IF(A981=A980,"",CONCATENATE("F",A981))</f>
        <v/>
      </c>
      <c r="C981" s="85" t="n"/>
      <c r="D981" s="142" t="n"/>
      <c r="E981" s="142" t="n"/>
      <c r="F981" s="142" t="n"/>
      <c r="G981" s="143" t="n"/>
      <c r="H981" s="56" t="n"/>
      <c r="I981" s="57" t="n"/>
      <c r="J981" s="56" t="n"/>
      <c r="K981" s="56" t="n"/>
      <c r="L981" s="50">
        <f>CONCATENATE(H981,M981)</f>
        <v/>
      </c>
      <c r="M981" s="51">
        <f>IF(OR(ISBLANK(J981),ISBLANK(K981)),IF(OR(H981="ALI",H981="AIE"),"L",IF(ISBLANK(H981),"","A")),IF(H981="EE",IF(K981&gt;=3,IF(J981&gt;=5,"H","A"),IF(K981&gt;=2,IF(J981&gt;=16,"H",IF(J981&lt;=4,"L","A")),IF(J981&lt;=15,"L","A"))),IF(OR(H981="SE",H981="CE"),IF(K981&gt;=4,IF(J981&gt;=6,"H","A"),IF(K981&gt;=2,IF(J981&gt;=20,"H",IF(J981&lt;=5,"L","A")),IF(J981&lt;=19,"L","A"))),IF(OR(H981="ALI",H981="AIE"),IF(K981&gt;=6,IF(J981&gt;=20,"H","A"),IF(K981&gt;=2,IF(J981&gt;=51,"H",IF(J981&lt;=19,"L","A")),IF(J981&lt;=50,"L","A")))))))</f>
        <v/>
      </c>
      <c r="N981" s="52">
        <f>IF(M981="L","Baixa",IF(M981="A","Média",IF(M981="","","Alta")))</f>
        <v/>
      </c>
      <c r="O981" s="53">
        <f>IF(ISBLANK(H981),"",IF(H981="ALI",IF(M981="L",7,IF(M981="A",10,15)),IF(H981="AIE",IF(M981="L",5,IF(M981="A",7,10)),IF(H981="SE",IF(M981="L",4,IF(M981="A",5,7)),IF(OR(H981="EE",H981="CE"),IF(M981="L",3,IF(M981="A",4,6)))))))</f>
        <v/>
      </c>
      <c r="P981" s="54">
        <f>IF(I981="I",O981*Contagem!$W$15,IF(I981="E",O981*Contagem!$W$17,IF(I981="A",O981*Contagem!$W$16,IF(I981="T",O981*Contagem!$W$18,""))))</f>
        <v/>
      </c>
      <c r="Q981" s="55" t="n"/>
    </row>
    <row r="982" ht="12" customHeight="1" s="73">
      <c r="A982" s="14">
        <f>IF(H982="",IF(C982="",A981,A981+1),A981)</f>
        <v/>
      </c>
      <c r="B982" s="48">
        <f>IF(A982=A981,"",CONCATENATE("F",A982))</f>
        <v/>
      </c>
      <c r="C982" s="85" t="n"/>
      <c r="D982" s="142" t="n"/>
      <c r="E982" s="142" t="n"/>
      <c r="F982" s="142" t="n"/>
      <c r="G982" s="143" t="n"/>
      <c r="H982" s="56" t="n"/>
      <c r="I982" s="57" t="n"/>
      <c r="J982" s="56" t="n"/>
      <c r="K982" s="56" t="n"/>
      <c r="L982" s="50">
        <f>CONCATENATE(H982,M982)</f>
        <v/>
      </c>
      <c r="M982" s="51">
        <f>IF(OR(ISBLANK(J982),ISBLANK(K982)),IF(OR(H982="ALI",H982="AIE"),"L",IF(ISBLANK(H982),"","A")),IF(H982="EE",IF(K982&gt;=3,IF(J982&gt;=5,"H","A"),IF(K982&gt;=2,IF(J982&gt;=16,"H",IF(J982&lt;=4,"L","A")),IF(J982&lt;=15,"L","A"))),IF(OR(H982="SE",H982="CE"),IF(K982&gt;=4,IF(J982&gt;=6,"H","A"),IF(K982&gt;=2,IF(J982&gt;=20,"H",IF(J982&lt;=5,"L","A")),IF(J982&lt;=19,"L","A"))),IF(OR(H982="ALI",H982="AIE"),IF(K982&gt;=6,IF(J982&gt;=20,"H","A"),IF(K982&gt;=2,IF(J982&gt;=51,"H",IF(J982&lt;=19,"L","A")),IF(J982&lt;=50,"L","A")))))))</f>
        <v/>
      </c>
      <c r="N982" s="52">
        <f>IF(M982="L","Baixa",IF(M982="A","Média",IF(M982="","","Alta")))</f>
        <v/>
      </c>
      <c r="O982" s="53">
        <f>IF(ISBLANK(H982),"",IF(H982="ALI",IF(M982="L",7,IF(M982="A",10,15)),IF(H982="AIE",IF(M982="L",5,IF(M982="A",7,10)),IF(H982="SE",IF(M982="L",4,IF(M982="A",5,7)),IF(OR(H982="EE",H982="CE"),IF(M982="L",3,IF(M982="A",4,6)))))))</f>
        <v/>
      </c>
      <c r="P982" s="54">
        <f>IF(I982="I",O982*Contagem!$W$15,IF(I982="E",O982*Contagem!$W$17,IF(I982="A",O982*Contagem!$W$16,IF(I982="T",O982*Contagem!$W$18,""))))</f>
        <v/>
      </c>
      <c r="Q982" s="55" t="n"/>
    </row>
    <row r="983" ht="12" customHeight="1" s="73">
      <c r="A983" s="14">
        <f>IF(H983="",IF(C983="",A982,A982+1),A982)</f>
        <v/>
      </c>
      <c r="B983" s="48">
        <f>IF(A983=A982,"",CONCATENATE("F",A983))</f>
        <v/>
      </c>
      <c r="C983" s="85" t="n"/>
      <c r="D983" s="142" t="n"/>
      <c r="E983" s="142" t="n"/>
      <c r="F983" s="142" t="n"/>
      <c r="G983" s="143" t="n"/>
      <c r="H983" s="56" t="n"/>
      <c r="I983" s="57" t="n"/>
      <c r="J983" s="56" t="n"/>
      <c r="K983" s="56" t="n"/>
      <c r="L983" s="50">
        <f>CONCATENATE(H983,M983)</f>
        <v/>
      </c>
      <c r="M983" s="51">
        <f>IF(OR(ISBLANK(J983),ISBLANK(K983)),IF(OR(H983="ALI",H983="AIE"),"L",IF(ISBLANK(H983),"","A")),IF(H983="EE",IF(K983&gt;=3,IF(J983&gt;=5,"H","A"),IF(K983&gt;=2,IF(J983&gt;=16,"H",IF(J983&lt;=4,"L","A")),IF(J983&lt;=15,"L","A"))),IF(OR(H983="SE",H983="CE"),IF(K983&gt;=4,IF(J983&gt;=6,"H","A"),IF(K983&gt;=2,IF(J983&gt;=20,"H",IF(J983&lt;=5,"L","A")),IF(J983&lt;=19,"L","A"))),IF(OR(H983="ALI",H983="AIE"),IF(K983&gt;=6,IF(J983&gt;=20,"H","A"),IF(K983&gt;=2,IF(J983&gt;=51,"H",IF(J983&lt;=19,"L","A")),IF(J983&lt;=50,"L","A")))))))</f>
        <v/>
      </c>
      <c r="N983" s="52">
        <f>IF(M983="L","Baixa",IF(M983="A","Média",IF(M983="","","Alta")))</f>
        <v/>
      </c>
      <c r="O983" s="53">
        <f>IF(ISBLANK(H983),"",IF(H983="ALI",IF(M983="L",7,IF(M983="A",10,15)),IF(H983="AIE",IF(M983="L",5,IF(M983="A",7,10)),IF(H983="SE",IF(M983="L",4,IF(M983="A",5,7)),IF(OR(H983="EE",H983="CE"),IF(M983="L",3,IF(M983="A",4,6)))))))</f>
        <v/>
      </c>
      <c r="P983" s="54">
        <f>IF(I983="I",O983*Contagem!$W$15,IF(I983="E",O983*Contagem!$W$17,IF(I983="A",O983*Contagem!$W$16,IF(I983="T",O983*Contagem!$W$18,""))))</f>
        <v/>
      </c>
      <c r="Q983" s="55" t="n"/>
    </row>
    <row r="984" ht="12" customHeight="1" s="73">
      <c r="A984" s="14">
        <f>IF(H984="",IF(C984="",A983,A983+1),A983)</f>
        <v/>
      </c>
      <c r="B984" s="48">
        <f>IF(A984=A983,"",CONCATENATE("F",A984))</f>
        <v/>
      </c>
      <c r="C984" s="85" t="n"/>
      <c r="D984" s="142" t="n"/>
      <c r="E984" s="142" t="n"/>
      <c r="F984" s="142" t="n"/>
      <c r="G984" s="143" t="n"/>
      <c r="H984" s="56" t="n"/>
      <c r="I984" s="57" t="n"/>
      <c r="J984" s="56" t="n"/>
      <c r="K984" s="56" t="n"/>
      <c r="L984" s="50">
        <f>CONCATENATE(H984,M984)</f>
        <v/>
      </c>
      <c r="M984" s="51">
        <f>IF(OR(ISBLANK(J984),ISBLANK(K984)),IF(OR(H984="ALI",H984="AIE"),"L",IF(ISBLANK(H984),"","A")),IF(H984="EE",IF(K984&gt;=3,IF(J984&gt;=5,"H","A"),IF(K984&gt;=2,IF(J984&gt;=16,"H",IF(J984&lt;=4,"L","A")),IF(J984&lt;=15,"L","A"))),IF(OR(H984="SE",H984="CE"),IF(K984&gt;=4,IF(J984&gt;=6,"H","A"),IF(K984&gt;=2,IF(J984&gt;=20,"H",IF(J984&lt;=5,"L","A")),IF(J984&lt;=19,"L","A"))),IF(OR(H984="ALI",H984="AIE"),IF(K984&gt;=6,IF(J984&gt;=20,"H","A"),IF(K984&gt;=2,IF(J984&gt;=51,"H",IF(J984&lt;=19,"L","A")),IF(J984&lt;=50,"L","A")))))))</f>
        <v/>
      </c>
      <c r="N984" s="52">
        <f>IF(M984="L","Baixa",IF(M984="A","Média",IF(M984="","","Alta")))</f>
        <v/>
      </c>
      <c r="O984" s="53">
        <f>IF(ISBLANK(H984),"",IF(H984="ALI",IF(M984="L",7,IF(M984="A",10,15)),IF(H984="AIE",IF(M984="L",5,IF(M984="A",7,10)),IF(H984="SE",IF(M984="L",4,IF(M984="A",5,7)),IF(OR(H984="EE",H984="CE"),IF(M984="L",3,IF(M984="A",4,6)))))))</f>
        <v/>
      </c>
      <c r="P984" s="54">
        <f>IF(I984="I",O984*Contagem!$W$15,IF(I984="E",O984*Contagem!$W$17,IF(I984="A",O984*Contagem!$W$16,IF(I984="T",O984*Contagem!$W$18,""))))</f>
        <v/>
      </c>
      <c r="Q984" s="55" t="n"/>
    </row>
    <row r="985" ht="12" customHeight="1" s="73">
      <c r="A985" s="14">
        <f>IF(H985="",IF(C985="",A984,A984+1),A984)</f>
        <v/>
      </c>
      <c r="B985" s="48">
        <f>IF(A985=A984,"",CONCATENATE("F",A985))</f>
        <v/>
      </c>
      <c r="C985" s="85" t="n"/>
      <c r="D985" s="142" t="n"/>
      <c r="E985" s="142" t="n"/>
      <c r="F985" s="142" t="n"/>
      <c r="G985" s="143" t="n"/>
      <c r="H985" s="56" t="n"/>
      <c r="I985" s="57" t="n"/>
      <c r="J985" s="56" t="n"/>
      <c r="K985" s="56" t="n"/>
      <c r="L985" s="50">
        <f>CONCATENATE(H985,M985)</f>
        <v/>
      </c>
      <c r="M985" s="51">
        <f>IF(OR(ISBLANK(J985),ISBLANK(K985)),IF(OR(H985="ALI",H985="AIE"),"L",IF(ISBLANK(H985),"","A")),IF(H985="EE",IF(K985&gt;=3,IF(J985&gt;=5,"H","A"),IF(K985&gt;=2,IF(J985&gt;=16,"H",IF(J985&lt;=4,"L","A")),IF(J985&lt;=15,"L","A"))),IF(OR(H985="SE",H985="CE"),IF(K985&gt;=4,IF(J985&gt;=6,"H","A"),IF(K985&gt;=2,IF(J985&gt;=20,"H",IF(J985&lt;=5,"L","A")),IF(J985&lt;=19,"L","A"))),IF(OR(H985="ALI",H985="AIE"),IF(K985&gt;=6,IF(J985&gt;=20,"H","A"),IF(K985&gt;=2,IF(J985&gt;=51,"H",IF(J985&lt;=19,"L","A")),IF(J985&lt;=50,"L","A")))))))</f>
        <v/>
      </c>
      <c r="N985" s="52">
        <f>IF(M985="L","Baixa",IF(M985="A","Média",IF(M985="","","Alta")))</f>
        <v/>
      </c>
      <c r="O985" s="53">
        <f>IF(ISBLANK(H985),"",IF(H985="ALI",IF(M985="L",7,IF(M985="A",10,15)),IF(H985="AIE",IF(M985="L",5,IF(M985="A",7,10)),IF(H985="SE",IF(M985="L",4,IF(M985="A",5,7)),IF(OR(H985="EE",H985="CE"),IF(M985="L",3,IF(M985="A",4,6)))))))</f>
        <v/>
      </c>
      <c r="P985" s="54">
        <f>IF(I985="I",O985*Contagem!$W$15,IF(I985="E",O985*Contagem!$W$17,IF(I985="A",O985*Contagem!$W$16,IF(I985="T",O985*Contagem!$W$18,""))))</f>
        <v/>
      </c>
      <c r="Q985" s="55" t="n"/>
    </row>
    <row r="986" ht="12" customHeight="1" s="73">
      <c r="A986" s="14">
        <f>IF(H986="",IF(C986="",A985,A985+1),A985)</f>
        <v/>
      </c>
      <c r="B986" s="48">
        <f>IF(A986=A985,"",CONCATENATE("F",A986))</f>
        <v/>
      </c>
      <c r="C986" s="85" t="n"/>
      <c r="D986" s="142" t="n"/>
      <c r="E986" s="142" t="n"/>
      <c r="F986" s="142" t="n"/>
      <c r="G986" s="143" t="n"/>
      <c r="H986" s="56" t="n"/>
      <c r="I986" s="57" t="n"/>
      <c r="J986" s="56" t="n"/>
      <c r="K986" s="56" t="n"/>
      <c r="L986" s="50">
        <f>CONCATENATE(H986,M986)</f>
        <v/>
      </c>
      <c r="M986" s="51">
        <f>IF(OR(ISBLANK(J986),ISBLANK(K986)),IF(OR(H986="ALI",H986="AIE"),"L",IF(ISBLANK(H986),"","A")),IF(H986="EE",IF(K986&gt;=3,IF(J986&gt;=5,"H","A"),IF(K986&gt;=2,IF(J986&gt;=16,"H",IF(J986&lt;=4,"L","A")),IF(J986&lt;=15,"L","A"))),IF(OR(H986="SE",H986="CE"),IF(K986&gt;=4,IF(J986&gt;=6,"H","A"),IF(K986&gt;=2,IF(J986&gt;=20,"H",IF(J986&lt;=5,"L","A")),IF(J986&lt;=19,"L","A"))),IF(OR(H986="ALI",H986="AIE"),IF(K986&gt;=6,IF(J986&gt;=20,"H","A"),IF(K986&gt;=2,IF(J986&gt;=51,"H",IF(J986&lt;=19,"L","A")),IF(J986&lt;=50,"L","A")))))))</f>
        <v/>
      </c>
      <c r="N986" s="52">
        <f>IF(M986="L","Baixa",IF(M986="A","Média",IF(M986="","","Alta")))</f>
        <v/>
      </c>
      <c r="O986" s="53">
        <f>IF(ISBLANK(H986),"",IF(H986="ALI",IF(M986="L",7,IF(M986="A",10,15)),IF(H986="AIE",IF(M986="L",5,IF(M986="A",7,10)),IF(H986="SE",IF(M986="L",4,IF(M986="A",5,7)),IF(OR(H986="EE",H986="CE"),IF(M986="L",3,IF(M986="A",4,6)))))))</f>
        <v/>
      </c>
      <c r="P986" s="54">
        <f>IF(I986="I",O986*Contagem!$W$15,IF(I986="E",O986*Contagem!$W$17,IF(I986="A",O986*Contagem!$W$16,IF(I986="T",O986*Contagem!$W$18,""))))</f>
        <v/>
      </c>
      <c r="Q986" s="55" t="n"/>
    </row>
    <row r="987" ht="12" customHeight="1" s="73">
      <c r="A987" s="14">
        <f>IF(H987="",IF(C987="",A986,A986+1),A986)</f>
        <v/>
      </c>
      <c r="B987" s="48">
        <f>IF(A987=A986,"",CONCATENATE("F",A987))</f>
        <v/>
      </c>
      <c r="C987" s="85" t="n"/>
      <c r="D987" s="142" t="n"/>
      <c r="E987" s="142" t="n"/>
      <c r="F987" s="142" t="n"/>
      <c r="G987" s="143" t="n"/>
      <c r="H987" s="56" t="n"/>
      <c r="I987" s="57" t="n"/>
      <c r="J987" s="56" t="n"/>
      <c r="K987" s="56" t="n"/>
      <c r="L987" s="50">
        <f>CONCATENATE(H987,M987)</f>
        <v/>
      </c>
      <c r="M987" s="51">
        <f>IF(OR(ISBLANK(J987),ISBLANK(K987)),IF(OR(H987="ALI",H987="AIE"),"L",IF(ISBLANK(H987),"","A")),IF(H987="EE",IF(K987&gt;=3,IF(J987&gt;=5,"H","A"),IF(K987&gt;=2,IF(J987&gt;=16,"H",IF(J987&lt;=4,"L","A")),IF(J987&lt;=15,"L","A"))),IF(OR(H987="SE",H987="CE"),IF(K987&gt;=4,IF(J987&gt;=6,"H","A"),IF(K987&gt;=2,IF(J987&gt;=20,"H",IF(J987&lt;=5,"L","A")),IF(J987&lt;=19,"L","A"))),IF(OR(H987="ALI",H987="AIE"),IF(K987&gt;=6,IF(J987&gt;=20,"H","A"),IF(K987&gt;=2,IF(J987&gt;=51,"H",IF(J987&lt;=19,"L","A")),IF(J987&lt;=50,"L","A")))))))</f>
        <v/>
      </c>
      <c r="N987" s="52">
        <f>IF(M987="L","Baixa",IF(M987="A","Média",IF(M987="","","Alta")))</f>
        <v/>
      </c>
      <c r="O987" s="53">
        <f>IF(ISBLANK(H987),"",IF(H987="ALI",IF(M987="L",7,IF(M987="A",10,15)),IF(H987="AIE",IF(M987="L",5,IF(M987="A",7,10)),IF(H987="SE",IF(M987="L",4,IF(M987="A",5,7)),IF(OR(H987="EE",H987="CE"),IF(M987="L",3,IF(M987="A",4,6)))))))</f>
        <v/>
      </c>
      <c r="P987" s="54">
        <f>IF(I987="I",O987*Contagem!$W$15,IF(I987="E",O987*Contagem!$W$17,IF(I987="A",O987*Contagem!$W$16,IF(I987="T",O987*Contagem!$W$18,""))))</f>
        <v/>
      </c>
      <c r="Q987" s="55" t="n"/>
    </row>
    <row r="988" ht="12" customHeight="1" s="73">
      <c r="A988" s="14">
        <f>IF(H988="",IF(C988="",A987,A987+1),A987)</f>
        <v/>
      </c>
      <c r="B988" s="48">
        <f>IF(A988=A987,"",CONCATENATE("F",A988))</f>
        <v/>
      </c>
      <c r="C988" s="85" t="n"/>
      <c r="D988" s="142" t="n"/>
      <c r="E988" s="142" t="n"/>
      <c r="F988" s="142" t="n"/>
      <c r="G988" s="143" t="n"/>
      <c r="H988" s="56" t="n"/>
      <c r="I988" s="57" t="n"/>
      <c r="J988" s="56" t="n"/>
      <c r="K988" s="56" t="n"/>
      <c r="L988" s="50">
        <f>CONCATENATE(H988,M988)</f>
        <v/>
      </c>
      <c r="M988" s="51">
        <f>IF(OR(ISBLANK(J988),ISBLANK(K988)),IF(OR(H988="ALI",H988="AIE"),"L",IF(ISBLANK(H988),"","A")),IF(H988="EE",IF(K988&gt;=3,IF(J988&gt;=5,"H","A"),IF(K988&gt;=2,IF(J988&gt;=16,"H",IF(J988&lt;=4,"L","A")),IF(J988&lt;=15,"L","A"))),IF(OR(H988="SE",H988="CE"),IF(K988&gt;=4,IF(J988&gt;=6,"H","A"),IF(K988&gt;=2,IF(J988&gt;=20,"H",IF(J988&lt;=5,"L","A")),IF(J988&lt;=19,"L","A"))),IF(OR(H988="ALI",H988="AIE"),IF(K988&gt;=6,IF(J988&gt;=20,"H","A"),IF(K988&gt;=2,IF(J988&gt;=51,"H",IF(J988&lt;=19,"L","A")),IF(J988&lt;=50,"L","A")))))))</f>
        <v/>
      </c>
      <c r="N988" s="52">
        <f>IF(M988="L","Baixa",IF(M988="A","Média",IF(M988="","","Alta")))</f>
        <v/>
      </c>
      <c r="O988" s="53">
        <f>IF(ISBLANK(H988),"",IF(H988="ALI",IF(M988="L",7,IF(M988="A",10,15)),IF(H988="AIE",IF(M988="L",5,IF(M988="A",7,10)),IF(H988="SE",IF(M988="L",4,IF(M988="A",5,7)),IF(OR(H988="EE",H988="CE"),IF(M988="L",3,IF(M988="A",4,6)))))))</f>
        <v/>
      </c>
      <c r="P988" s="54">
        <f>IF(I988="I",O988*Contagem!$W$15,IF(I988="E",O988*Contagem!$W$17,IF(I988="A",O988*Contagem!$W$16,IF(I988="T",O988*Contagem!$W$18,""))))</f>
        <v/>
      </c>
      <c r="Q988" s="55" t="n"/>
    </row>
    <row r="989" ht="12" customHeight="1" s="73">
      <c r="A989" s="14">
        <f>IF(H989="",IF(C989="",A988,A988+1),A988)</f>
        <v/>
      </c>
      <c r="B989" s="48">
        <f>IF(A989=A988,"",CONCATENATE("F",A989))</f>
        <v/>
      </c>
      <c r="C989" s="85" t="n"/>
      <c r="D989" s="142" t="n"/>
      <c r="E989" s="142" t="n"/>
      <c r="F989" s="142" t="n"/>
      <c r="G989" s="143" t="n"/>
      <c r="H989" s="56" t="n"/>
      <c r="I989" s="57" t="n"/>
      <c r="J989" s="56" t="n"/>
      <c r="K989" s="56" t="n"/>
      <c r="L989" s="50">
        <f>CONCATENATE(H989,M989)</f>
        <v/>
      </c>
      <c r="M989" s="51">
        <f>IF(OR(ISBLANK(J989),ISBLANK(K989)),IF(OR(H989="ALI",H989="AIE"),"L",IF(ISBLANK(H989),"","A")),IF(H989="EE",IF(K989&gt;=3,IF(J989&gt;=5,"H","A"),IF(K989&gt;=2,IF(J989&gt;=16,"H",IF(J989&lt;=4,"L","A")),IF(J989&lt;=15,"L","A"))),IF(OR(H989="SE",H989="CE"),IF(K989&gt;=4,IF(J989&gt;=6,"H","A"),IF(K989&gt;=2,IF(J989&gt;=20,"H",IF(J989&lt;=5,"L","A")),IF(J989&lt;=19,"L","A"))),IF(OR(H989="ALI",H989="AIE"),IF(K989&gt;=6,IF(J989&gt;=20,"H","A"),IF(K989&gt;=2,IF(J989&gt;=51,"H",IF(J989&lt;=19,"L","A")),IF(J989&lt;=50,"L","A")))))))</f>
        <v/>
      </c>
      <c r="N989" s="52">
        <f>IF(M989="L","Baixa",IF(M989="A","Média",IF(M989="","","Alta")))</f>
        <v/>
      </c>
      <c r="O989" s="53">
        <f>IF(ISBLANK(H989),"",IF(H989="ALI",IF(M989="L",7,IF(M989="A",10,15)),IF(H989="AIE",IF(M989="L",5,IF(M989="A",7,10)),IF(H989="SE",IF(M989="L",4,IF(M989="A",5,7)),IF(OR(H989="EE",H989="CE"),IF(M989="L",3,IF(M989="A",4,6)))))))</f>
        <v/>
      </c>
      <c r="P989" s="54">
        <f>IF(I989="I",O989*Contagem!$W$15,IF(I989="E",O989*Contagem!$W$17,IF(I989="A",O989*Contagem!$W$16,IF(I989="T",O989*Contagem!$W$18,""))))</f>
        <v/>
      </c>
      <c r="Q989" s="55" t="n"/>
    </row>
    <row r="990" ht="12" customHeight="1" s="73">
      <c r="A990" s="14">
        <f>IF(H990="",IF(C990="",A989,A989+1),A989)</f>
        <v/>
      </c>
      <c r="B990" s="48">
        <f>IF(A990=A989,"",CONCATENATE("F",A990))</f>
        <v/>
      </c>
      <c r="C990" s="85" t="n"/>
      <c r="D990" s="142" t="n"/>
      <c r="E990" s="142" t="n"/>
      <c r="F990" s="142" t="n"/>
      <c r="G990" s="143" t="n"/>
      <c r="H990" s="56" t="n"/>
      <c r="I990" s="57" t="n"/>
      <c r="J990" s="56" t="n"/>
      <c r="K990" s="56" t="n"/>
      <c r="L990" s="50">
        <f>CONCATENATE(H990,M990)</f>
        <v/>
      </c>
      <c r="M990" s="51">
        <f>IF(OR(ISBLANK(J990),ISBLANK(K990)),IF(OR(H990="ALI",H990="AIE"),"L",IF(ISBLANK(H990),"","A")),IF(H990="EE",IF(K990&gt;=3,IF(J990&gt;=5,"H","A"),IF(K990&gt;=2,IF(J990&gt;=16,"H",IF(J990&lt;=4,"L","A")),IF(J990&lt;=15,"L","A"))),IF(OR(H990="SE",H990="CE"),IF(K990&gt;=4,IF(J990&gt;=6,"H","A"),IF(K990&gt;=2,IF(J990&gt;=20,"H",IF(J990&lt;=5,"L","A")),IF(J990&lt;=19,"L","A"))),IF(OR(H990="ALI",H990="AIE"),IF(K990&gt;=6,IF(J990&gt;=20,"H","A"),IF(K990&gt;=2,IF(J990&gt;=51,"H",IF(J990&lt;=19,"L","A")),IF(J990&lt;=50,"L","A")))))))</f>
        <v/>
      </c>
      <c r="N990" s="52">
        <f>IF(M990="L","Baixa",IF(M990="A","Média",IF(M990="","","Alta")))</f>
        <v/>
      </c>
      <c r="O990" s="53">
        <f>IF(ISBLANK(H990),"",IF(H990="ALI",IF(M990="L",7,IF(M990="A",10,15)),IF(H990="AIE",IF(M990="L",5,IF(M990="A",7,10)),IF(H990="SE",IF(M990="L",4,IF(M990="A",5,7)),IF(OR(H990="EE",H990="CE"),IF(M990="L",3,IF(M990="A",4,6)))))))</f>
        <v/>
      </c>
      <c r="P990" s="54">
        <f>IF(I990="I",O990*Contagem!$W$15,IF(I990="E",O990*Contagem!$W$17,IF(I990="A",O990*Contagem!$W$16,IF(I990="T",O990*Contagem!$W$18,""))))</f>
        <v/>
      </c>
      <c r="Q990" s="55" t="n"/>
    </row>
    <row r="991" ht="12" customHeight="1" s="73">
      <c r="A991" s="14">
        <f>IF(H991="",IF(C991="",A990,A990+1),A990)</f>
        <v/>
      </c>
      <c r="B991" s="48">
        <f>IF(A991=A990,"",CONCATENATE("F",A991))</f>
        <v/>
      </c>
      <c r="C991" s="85" t="n"/>
      <c r="D991" s="142" t="n"/>
      <c r="E991" s="142" t="n"/>
      <c r="F991" s="142" t="n"/>
      <c r="G991" s="143" t="n"/>
      <c r="H991" s="56" t="n"/>
      <c r="I991" s="57" t="n"/>
      <c r="J991" s="56" t="n"/>
      <c r="K991" s="56" t="n"/>
      <c r="L991" s="50">
        <f>CONCATENATE(H991,M991)</f>
        <v/>
      </c>
      <c r="M991" s="51">
        <f>IF(OR(ISBLANK(J991),ISBLANK(K991)),IF(OR(H991="ALI",H991="AIE"),"L",IF(ISBLANK(H991),"","A")),IF(H991="EE",IF(K991&gt;=3,IF(J991&gt;=5,"H","A"),IF(K991&gt;=2,IF(J991&gt;=16,"H",IF(J991&lt;=4,"L","A")),IF(J991&lt;=15,"L","A"))),IF(OR(H991="SE",H991="CE"),IF(K991&gt;=4,IF(J991&gt;=6,"H","A"),IF(K991&gt;=2,IF(J991&gt;=20,"H",IF(J991&lt;=5,"L","A")),IF(J991&lt;=19,"L","A"))),IF(OR(H991="ALI",H991="AIE"),IF(K991&gt;=6,IF(J991&gt;=20,"H","A"),IF(K991&gt;=2,IF(J991&gt;=51,"H",IF(J991&lt;=19,"L","A")),IF(J991&lt;=50,"L","A")))))))</f>
        <v/>
      </c>
      <c r="N991" s="52">
        <f>IF(M991="L","Baixa",IF(M991="A","Média",IF(M991="","","Alta")))</f>
        <v/>
      </c>
      <c r="O991" s="53">
        <f>IF(ISBLANK(H991),"",IF(H991="ALI",IF(M991="L",7,IF(M991="A",10,15)),IF(H991="AIE",IF(M991="L",5,IF(M991="A",7,10)),IF(H991="SE",IF(M991="L",4,IF(M991="A",5,7)),IF(OR(H991="EE",H991="CE"),IF(M991="L",3,IF(M991="A",4,6)))))))</f>
        <v/>
      </c>
      <c r="P991" s="54">
        <f>IF(I991="I",O991*Contagem!$W$15,IF(I991="E",O991*Contagem!$W$17,IF(I991="A",O991*Contagem!$W$16,IF(I991="T",O991*Contagem!$W$18,""))))</f>
        <v/>
      </c>
      <c r="Q991" s="55" t="n"/>
    </row>
    <row r="992" ht="12" customHeight="1" s="73">
      <c r="A992" s="14">
        <f>IF(H992="",IF(C992="",A991,A991+1),A991)</f>
        <v/>
      </c>
      <c r="B992" s="48">
        <f>IF(A992=A991,"",CONCATENATE("F",A992))</f>
        <v/>
      </c>
      <c r="C992" s="85" t="n"/>
      <c r="D992" s="142" t="n"/>
      <c r="E992" s="142" t="n"/>
      <c r="F992" s="142" t="n"/>
      <c r="G992" s="143" t="n"/>
      <c r="H992" s="56" t="n"/>
      <c r="I992" s="57" t="n"/>
      <c r="J992" s="56" t="n"/>
      <c r="K992" s="56" t="n"/>
      <c r="L992" s="50">
        <f>CONCATENATE(H992,M992)</f>
        <v/>
      </c>
      <c r="M992" s="51">
        <f>IF(OR(ISBLANK(J992),ISBLANK(K992)),IF(OR(H992="ALI",H992="AIE"),"L",IF(ISBLANK(H992),"","A")),IF(H992="EE",IF(K992&gt;=3,IF(J992&gt;=5,"H","A"),IF(K992&gt;=2,IF(J992&gt;=16,"H",IF(J992&lt;=4,"L","A")),IF(J992&lt;=15,"L","A"))),IF(OR(H992="SE",H992="CE"),IF(K992&gt;=4,IF(J992&gt;=6,"H","A"),IF(K992&gt;=2,IF(J992&gt;=20,"H",IF(J992&lt;=5,"L","A")),IF(J992&lt;=19,"L","A"))),IF(OR(H992="ALI",H992="AIE"),IF(K992&gt;=6,IF(J992&gt;=20,"H","A"),IF(K992&gt;=2,IF(J992&gt;=51,"H",IF(J992&lt;=19,"L","A")),IF(J992&lt;=50,"L","A")))))))</f>
        <v/>
      </c>
      <c r="N992" s="52">
        <f>IF(M992="L","Baixa",IF(M992="A","Média",IF(M992="","","Alta")))</f>
        <v/>
      </c>
      <c r="O992" s="53">
        <f>IF(ISBLANK(H992),"",IF(H992="ALI",IF(M992="L",7,IF(M992="A",10,15)),IF(H992="AIE",IF(M992="L",5,IF(M992="A",7,10)),IF(H992="SE",IF(M992="L",4,IF(M992="A",5,7)),IF(OR(H992="EE",H992="CE"),IF(M992="L",3,IF(M992="A",4,6)))))))</f>
        <v/>
      </c>
      <c r="P992" s="54">
        <f>IF(I992="I",O992*Contagem!$W$15,IF(I992="E",O992*Contagem!$W$17,IF(I992="A",O992*Contagem!$W$16,IF(I992="T",O992*Contagem!$W$18,""))))</f>
        <v/>
      </c>
      <c r="Q992" s="55" t="n"/>
    </row>
    <row r="993" ht="12" customHeight="1" s="73">
      <c r="A993" s="14">
        <f>IF(H993="",IF(C993="",A992,A992+1),A992)</f>
        <v/>
      </c>
      <c r="B993" s="48">
        <f>IF(A993=A992,"",CONCATENATE("F",A993))</f>
        <v/>
      </c>
      <c r="C993" s="85" t="n"/>
      <c r="D993" s="142" t="n"/>
      <c r="E993" s="142" t="n"/>
      <c r="F993" s="142" t="n"/>
      <c r="G993" s="143" t="n"/>
      <c r="H993" s="56" t="n"/>
      <c r="I993" s="57" t="n"/>
      <c r="J993" s="56" t="n"/>
      <c r="K993" s="56" t="n"/>
      <c r="L993" s="50">
        <f>CONCATENATE(H993,M993)</f>
        <v/>
      </c>
      <c r="M993" s="51">
        <f>IF(OR(ISBLANK(J993),ISBLANK(K993)),IF(OR(H993="ALI",H993="AIE"),"L",IF(ISBLANK(H993),"","A")),IF(H993="EE",IF(K993&gt;=3,IF(J993&gt;=5,"H","A"),IF(K993&gt;=2,IF(J993&gt;=16,"H",IF(J993&lt;=4,"L","A")),IF(J993&lt;=15,"L","A"))),IF(OR(H993="SE",H993="CE"),IF(K993&gt;=4,IF(J993&gt;=6,"H","A"),IF(K993&gt;=2,IF(J993&gt;=20,"H",IF(J993&lt;=5,"L","A")),IF(J993&lt;=19,"L","A"))),IF(OR(H993="ALI",H993="AIE"),IF(K993&gt;=6,IF(J993&gt;=20,"H","A"),IF(K993&gt;=2,IF(J993&gt;=51,"H",IF(J993&lt;=19,"L","A")),IF(J993&lt;=50,"L","A")))))))</f>
        <v/>
      </c>
      <c r="N993" s="52">
        <f>IF(M993="L","Baixa",IF(M993="A","Média",IF(M993="","","Alta")))</f>
        <v/>
      </c>
      <c r="O993" s="53">
        <f>IF(ISBLANK(H993),"",IF(H993="ALI",IF(M993="L",7,IF(M993="A",10,15)),IF(H993="AIE",IF(M993="L",5,IF(M993="A",7,10)),IF(H993="SE",IF(M993="L",4,IF(M993="A",5,7)),IF(OR(H993="EE",H993="CE"),IF(M993="L",3,IF(M993="A",4,6)))))))</f>
        <v/>
      </c>
      <c r="P993" s="54">
        <f>IF(I993="I",O993*Contagem!$W$15,IF(I993="E",O993*Contagem!$W$17,IF(I993="A",O993*Contagem!$W$16,IF(I993="T",O993*Contagem!$W$18,""))))</f>
        <v/>
      </c>
      <c r="Q993" s="55" t="n"/>
    </row>
    <row r="994" ht="12" customHeight="1" s="73">
      <c r="A994" s="14">
        <f>IF(H994="",IF(C994="",A993,A993+1),A993)</f>
        <v/>
      </c>
      <c r="B994" s="48">
        <f>IF(A994=A993,"",CONCATENATE("F",A994))</f>
        <v/>
      </c>
      <c r="C994" s="85" t="n"/>
      <c r="D994" s="142" t="n"/>
      <c r="E994" s="142" t="n"/>
      <c r="F994" s="142" t="n"/>
      <c r="G994" s="143" t="n"/>
      <c r="H994" s="56" t="n"/>
      <c r="I994" s="57" t="n"/>
      <c r="J994" s="56" t="n"/>
      <c r="K994" s="56" t="n"/>
      <c r="L994" s="50">
        <f>CONCATENATE(H994,M994)</f>
        <v/>
      </c>
      <c r="M994" s="51">
        <f>IF(OR(ISBLANK(J994),ISBLANK(K994)),IF(OR(H994="ALI",H994="AIE"),"L",IF(ISBLANK(H994),"","A")),IF(H994="EE",IF(K994&gt;=3,IF(J994&gt;=5,"H","A"),IF(K994&gt;=2,IF(J994&gt;=16,"H",IF(J994&lt;=4,"L","A")),IF(J994&lt;=15,"L","A"))),IF(OR(H994="SE",H994="CE"),IF(K994&gt;=4,IF(J994&gt;=6,"H","A"),IF(K994&gt;=2,IF(J994&gt;=20,"H",IF(J994&lt;=5,"L","A")),IF(J994&lt;=19,"L","A"))),IF(OR(H994="ALI",H994="AIE"),IF(K994&gt;=6,IF(J994&gt;=20,"H","A"),IF(K994&gt;=2,IF(J994&gt;=51,"H",IF(J994&lt;=19,"L","A")),IF(J994&lt;=50,"L","A")))))))</f>
        <v/>
      </c>
      <c r="N994" s="52">
        <f>IF(M994="L","Baixa",IF(M994="A","Média",IF(M994="","","Alta")))</f>
        <v/>
      </c>
      <c r="O994" s="53">
        <f>IF(ISBLANK(H994),"",IF(H994="ALI",IF(M994="L",7,IF(M994="A",10,15)),IF(H994="AIE",IF(M994="L",5,IF(M994="A",7,10)),IF(H994="SE",IF(M994="L",4,IF(M994="A",5,7)),IF(OR(H994="EE",H994="CE"),IF(M994="L",3,IF(M994="A",4,6)))))))</f>
        <v/>
      </c>
      <c r="P994" s="54">
        <f>IF(I994="I",O994*Contagem!$W$15,IF(I994="E",O994*Contagem!$W$17,IF(I994="A",O994*Contagem!$W$16,IF(I994="T",O994*Contagem!$W$18,""))))</f>
        <v/>
      </c>
      <c r="Q994" s="55" t="n"/>
    </row>
    <row r="995" ht="12" customHeight="1" s="73">
      <c r="A995" s="14">
        <f>IF(H995="",IF(C995="",A994,A994+1),A994)</f>
        <v/>
      </c>
      <c r="B995" s="48">
        <f>IF(A995=A994,"",CONCATENATE("F",A995))</f>
        <v/>
      </c>
      <c r="C995" s="85" t="n"/>
      <c r="D995" s="142" t="n"/>
      <c r="E995" s="142" t="n"/>
      <c r="F995" s="142" t="n"/>
      <c r="G995" s="143" t="n"/>
      <c r="H995" s="56" t="n"/>
      <c r="I995" s="57" t="n"/>
      <c r="J995" s="56" t="n"/>
      <c r="K995" s="56" t="n"/>
      <c r="L995" s="50">
        <f>CONCATENATE(H995,M995)</f>
        <v/>
      </c>
      <c r="M995" s="51">
        <f>IF(OR(ISBLANK(J995),ISBLANK(K995)),IF(OR(H995="ALI",H995="AIE"),"L",IF(ISBLANK(H995),"","A")),IF(H995="EE",IF(K995&gt;=3,IF(J995&gt;=5,"H","A"),IF(K995&gt;=2,IF(J995&gt;=16,"H",IF(J995&lt;=4,"L","A")),IF(J995&lt;=15,"L","A"))),IF(OR(H995="SE",H995="CE"),IF(K995&gt;=4,IF(J995&gt;=6,"H","A"),IF(K995&gt;=2,IF(J995&gt;=20,"H",IF(J995&lt;=5,"L","A")),IF(J995&lt;=19,"L","A"))),IF(OR(H995="ALI",H995="AIE"),IF(K995&gt;=6,IF(J995&gt;=20,"H","A"),IF(K995&gt;=2,IF(J995&gt;=51,"H",IF(J995&lt;=19,"L","A")),IF(J995&lt;=50,"L","A")))))))</f>
        <v/>
      </c>
      <c r="N995" s="52">
        <f>IF(M995="L","Baixa",IF(M995="A","Média",IF(M995="","","Alta")))</f>
        <v/>
      </c>
      <c r="O995" s="53">
        <f>IF(ISBLANK(H995),"",IF(H995="ALI",IF(M995="L",7,IF(M995="A",10,15)),IF(H995="AIE",IF(M995="L",5,IF(M995="A",7,10)),IF(H995="SE",IF(M995="L",4,IF(M995="A",5,7)),IF(OR(H995="EE",H995="CE"),IF(M995="L",3,IF(M995="A",4,6)))))))</f>
        <v/>
      </c>
      <c r="P995" s="54">
        <f>IF(I995="I",O995*Contagem!$W$15,IF(I995="E",O995*Contagem!$W$17,IF(I995="A",O995*Contagem!$W$16,IF(I995="T",O995*Contagem!$W$18,""))))</f>
        <v/>
      </c>
      <c r="Q995" s="55" t="n"/>
    </row>
    <row r="996" ht="12" customHeight="1" s="73">
      <c r="A996" s="14">
        <f>IF(H996="",IF(C996="",A995,A995+1),A995)</f>
        <v/>
      </c>
      <c r="B996" s="48">
        <f>IF(A996=A995,"",CONCATENATE("F",A996))</f>
        <v/>
      </c>
      <c r="C996" s="85" t="n"/>
      <c r="D996" s="142" t="n"/>
      <c r="E996" s="142" t="n"/>
      <c r="F996" s="142" t="n"/>
      <c r="G996" s="143" t="n"/>
      <c r="H996" s="56" t="n"/>
      <c r="I996" s="57" t="n"/>
      <c r="J996" s="56" t="n"/>
      <c r="K996" s="56" t="n"/>
      <c r="L996" s="50">
        <f>CONCATENATE(H996,M996)</f>
        <v/>
      </c>
      <c r="M996" s="51">
        <f>IF(OR(ISBLANK(J996),ISBLANK(K996)),IF(OR(H996="ALI",H996="AIE"),"L",IF(ISBLANK(H996),"","A")),IF(H996="EE",IF(K996&gt;=3,IF(J996&gt;=5,"H","A"),IF(K996&gt;=2,IF(J996&gt;=16,"H",IF(J996&lt;=4,"L","A")),IF(J996&lt;=15,"L","A"))),IF(OR(H996="SE",H996="CE"),IF(K996&gt;=4,IF(J996&gt;=6,"H","A"),IF(K996&gt;=2,IF(J996&gt;=20,"H",IF(J996&lt;=5,"L","A")),IF(J996&lt;=19,"L","A"))),IF(OR(H996="ALI",H996="AIE"),IF(K996&gt;=6,IF(J996&gt;=20,"H","A"),IF(K996&gt;=2,IF(J996&gt;=51,"H",IF(J996&lt;=19,"L","A")),IF(J996&lt;=50,"L","A")))))))</f>
        <v/>
      </c>
      <c r="N996" s="52">
        <f>IF(M996="L","Baixa",IF(M996="A","Média",IF(M996="","","Alta")))</f>
        <v/>
      </c>
      <c r="O996" s="53">
        <f>IF(ISBLANK(H996),"",IF(H996="ALI",IF(M996="L",7,IF(M996="A",10,15)),IF(H996="AIE",IF(M996="L",5,IF(M996="A",7,10)),IF(H996="SE",IF(M996="L",4,IF(M996="A",5,7)),IF(OR(H996="EE",H996="CE"),IF(M996="L",3,IF(M996="A",4,6)))))))</f>
        <v/>
      </c>
      <c r="P996" s="54">
        <f>IF(I996="I",O996*Contagem!$W$15,IF(I996="E",O996*Contagem!$W$17,IF(I996="A",O996*Contagem!$W$16,IF(I996="T",O996*Contagem!$W$18,""))))</f>
        <v/>
      </c>
      <c r="Q996" s="55" t="n"/>
    </row>
    <row r="997" ht="12" customHeight="1" s="73">
      <c r="A997" s="14">
        <f>IF(H997="",IF(C997="",A996,A996+1),A996)</f>
        <v/>
      </c>
      <c r="B997" s="48">
        <f>IF(A997=A996,"",CONCATENATE("F",A997))</f>
        <v/>
      </c>
      <c r="C997" s="85" t="n"/>
      <c r="D997" s="142" t="n"/>
      <c r="E997" s="142" t="n"/>
      <c r="F997" s="142" t="n"/>
      <c r="G997" s="143" t="n"/>
      <c r="H997" s="56" t="n"/>
      <c r="I997" s="57" t="n"/>
      <c r="J997" s="56" t="n"/>
      <c r="K997" s="56" t="n"/>
      <c r="L997" s="50">
        <f>CONCATENATE(H997,M997)</f>
        <v/>
      </c>
      <c r="M997" s="51">
        <f>IF(OR(ISBLANK(J997),ISBLANK(K997)),IF(OR(H997="ALI",H997="AIE"),"L",IF(ISBLANK(H997),"","A")),IF(H997="EE",IF(K997&gt;=3,IF(J997&gt;=5,"H","A"),IF(K997&gt;=2,IF(J997&gt;=16,"H",IF(J997&lt;=4,"L","A")),IF(J997&lt;=15,"L","A"))),IF(OR(H997="SE",H997="CE"),IF(K997&gt;=4,IF(J997&gt;=6,"H","A"),IF(K997&gt;=2,IF(J997&gt;=20,"H",IF(J997&lt;=5,"L","A")),IF(J997&lt;=19,"L","A"))),IF(OR(H997="ALI",H997="AIE"),IF(K997&gt;=6,IF(J997&gt;=20,"H","A"),IF(K997&gt;=2,IF(J997&gt;=51,"H",IF(J997&lt;=19,"L","A")),IF(J997&lt;=50,"L","A")))))))</f>
        <v/>
      </c>
      <c r="N997" s="52">
        <f>IF(M997="L","Baixa",IF(M997="A","Média",IF(M997="","","Alta")))</f>
        <v/>
      </c>
      <c r="O997" s="53">
        <f>IF(ISBLANK(H997),"",IF(H997="ALI",IF(M997="L",7,IF(M997="A",10,15)),IF(H997="AIE",IF(M997="L",5,IF(M997="A",7,10)),IF(H997="SE",IF(M997="L",4,IF(M997="A",5,7)),IF(OR(H997="EE",H997="CE"),IF(M997="L",3,IF(M997="A",4,6)))))))</f>
        <v/>
      </c>
      <c r="P997" s="54">
        <f>IF(I997="I",O997*Contagem!$W$15,IF(I997="E",O997*Contagem!$W$17,IF(I997="A",O997*Contagem!$W$16,IF(I997="T",O997*Contagem!$W$18,""))))</f>
        <v/>
      </c>
      <c r="Q997" s="55" t="n"/>
    </row>
    <row r="998" ht="12" customHeight="1" s="73">
      <c r="A998" s="14">
        <f>IF(H998="",IF(C998="",A997,A997+1),A997)</f>
        <v/>
      </c>
      <c r="B998" s="48">
        <f>IF(A998=A997,"",CONCATENATE("F",A998))</f>
        <v/>
      </c>
      <c r="C998" s="85" t="n"/>
      <c r="D998" s="142" t="n"/>
      <c r="E998" s="142" t="n"/>
      <c r="F998" s="142" t="n"/>
      <c r="G998" s="143" t="n"/>
      <c r="H998" s="56" t="n"/>
      <c r="I998" s="57" t="n"/>
      <c r="J998" s="56" t="n"/>
      <c r="K998" s="56" t="n"/>
      <c r="L998" s="50">
        <f>CONCATENATE(H998,M998)</f>
        <v/>
      </c>
      <c r="M998" s="51">
        <f>IF(OR(ISBLANK(J998),ISBLANK(K998)),IF(OR(H998="ALI",H998="AIE"),"L",IF(ISBLANK(H998),"","A")),IF(H998="EE",IF(K998&gt;=3,IF(J998&gt;=5,"H","A"),IF(K998&gt;=2,IF(J998&gt;=16,"H",IF(J998&lt;=4,"L","A")),IF(J998&lt;=15,"L","A"))),IF(OR(H998="SE",H998="CE"),IF(K998&gt;=4,IF(J998&gt;=6,"H","A"),IF(K998&gt;=2,IF(J998&gt;=20,"H",IF(J998&lt;=5,"L","A")),IF(J998&lt;=19,"L","A"))),IF(OR(H998="ALI",H998="AIE"),IF(K998&gt;=6,IF(J998&gt;=20,"H","A"),IF(K998&gt;=2,IF(J998&gt;=51,"H",IF(J998&lt;=19,"L","A")),IF(J998&lt;=50,"L","A")))))))</f>
        <v/>
      </c>
      <c r="N998" s="52">
        <f>IF(M998="L","Baixa",IF(M998="A","Média",IF(M998="","","Alta")))</f>
        <v/>
      </c>
      <c r="O998" s="53">
        <f>IF(ISBLANK(H998),"",IF(H998="ALI",IF(M998="L",7,IF(M998="A",10,15)),IF(H998="AIE",IF(M998="L",5,IF(M998="A",7,10)),IF(H998="SE",IF(M998="L",4,IF(M998="A",5,7)),IF(OR(H998="EE",H998="CE"),IF(M998="L",3,IF(M998="A",4,6)))))))</f>
        <v/>
      </c>
      <c r="P998" s="54">
        <f>IF(I998="I",O998*Contagem!$W$15,IF(I998="E",O998*Contagem!$W$17,IF(I998="A",O998*Contagem!$W$16,IF(I998="T",O998*Contagem!$W$18,""))))</f>
        <v/>
      </c>
      <c r="Q998" s="55" t="n"/>
    </row>
    <row r="999" ht="12" customHeight="1" s="73">
      <c r="A999" s="14">
        <f>IF(H999="",IF(C999="",A998,A998+1),A998)</f>
        <v/>
      </c>
      <c r="B999" s="48">
        <f>IF(A999=A998,"",CONCATENATE("F",A999))</f>
        <v/>
      </c>
      <c r="C999" s="85" t="n"/>
      <c r="D999" s="142" t="n"/>
      <c r="E999" s="142" t="n"/>
      <c r="F999" s="142" t="n"/>
      <c r="G999" s="143" t="n"/>
      <c r="H999" s="56" t="n"/>
      <c r="I999" s="57" t="n"/>
      <c r="J999" s="56" t="n"/>
      <c r="K999" s="56" t="n"/>
      <c r="L999" s="50">
        <f>CONCATENATE(H999,M999)</f>
        <v/>
      </c>
      <c r="M999" s="51">
        <f>IF(OR(ISBLANK(J999),ISBLANK(K999)),IF(OR(H999="ALI",H999="AIE"),"L",IF(ISBLANK(H999),"","A")),IF(H999="EE",IF(K999&gt;=3,IF(J999&gt;=5,"H","A"),IF(K999&gt;=2,IF(J999&gt;=16,"H",IF(J999&lt;=4,"L","A")),IF(J999&lt;=15,"L","A"))),IF(OR(H999="SE",H999="CE"),IF(K999&gt;=4,IF(J999&gt;=6,"H","A"),IF(K999&gt;=2,IF(J999&gt;=20,"H",IF(J999&lt;=5,"L","A")),IF(J999&lt;=19,"L","A"))),IF(OR(H999="ALI",H999="AIE"),IF(K999&gt;=6,IF(J999&gt;=20,"H","A"),IF(K999&gt;=2,IF(J999&gt;=51,"H",IF(J999&lt;=19,"L","A")),IF(J999&lt;=50,"L","A")))))))</f>
        <v/>
      </c>
      <c r="N999" s="52">
        <f>IF(M999="L","Baixa",IF(M999="A","Média",IF(M999="","","Alta")))</f>
        <v/>
      </c>
      <c r="O999" s="53">
        <f>IF(ISBLANK(H999),"",IF(H999="ALI",IF(M999="L",7,IF(M999="A",10,15)),IF(H999="AIE",IF(M999="L",5,IF(M999="A",7,10)),IF(H999="SE",IF(M999="L",4,IF(M999="A",5,7)),IF(OR(H999="EE",H999="CE"),IF(M999="L",3,IF(M999="A",4,6)))))))</f>
        <v/>
      </c>
      <c r="P999" s="54">
        <f>IF(I999="I",O999*Contagem!$W$15,IF(I999="E",O999*Contagem!$W$17,IF(I999="A",O999*Contagem!$W$16,IF(I999="T",O999*Contagem!$W$18,""))))</f>
        <v/>
      </c>
      <c r="Q999" s="55" t="n"/>
    </row>
    <row r="1000" ht="12" customHeight="1" s="73">
      <c r="A1000" s="14">
        <f>IF(H1000="",IF(C1000="",A999,A999+1),A999)</f>
        <v/>
      </c>
      <c r="B1000" s="48">
        <f>IF(A1000=A999,"",CONCATENATE("F",A1000))</f>
        <v/>
      </c>
      <c r="C1000" s="85" t="n"/>
      <c r="D1000" s="142" t="n"/>
      <c r="E1000" s="142" t="n"/>
      <c r="F1000" s="142" t="n"/>
      <c r="G1000" s="143" t="n"/>
      <c r="H1000" s="56" t="n"/>
      <c r="I1000" s="57" t="n"/>
      <c r="J1000" s="56" t="n"/>
      <c r="K1000" s="56" t="n"/>
      <c r="L1000" s="50">
        <f>CONCATENATE(H1000,M1000)</f>
        <v/>
      </c>
      <c r="M1000" s="51">
        <f>IF(OR(ISBLANK(J1000),ISBLANK(K1000)),IF(OR(H1000="ALI",H1000="AIE"),"L",IF(ISBLANK(H1000),"","A")),IF(H1000="EE",IF(K1000&gt;=3,IF(J1000&gt;=5,"H","A"),IF(K1000&gt;=2,IF(J1000&gt;=16,"H",IF(J1000&lt;=4,"L","A")),IF(J1000&lt;=15,"L","A"))),IF(OR(H1000="SE",H1000="CE"),IF(K1000&gt;=4,IF(J1000&gt;=6,"H","A"),IF(K1000&gt;=2,IF(J1000&gt;=20,"H",IF(J1000&lt;=5,"L","A")),IF(J1000&lt;=19,"L","A"))),IF(OR(H1000="ALI",H1000="AIE"),IF(K1000&gt;=6,IF(J1000&gt;=20,"H","A"),IF(K1000&gt;=2,IF(J1000&gt;=51,"H",IF(J1000&lt;=19,"L","A")),IF(J1000&lt;=50,"L","A")))))))</f>
        <v/>
      </c>
      <c r="N1000" s="52">
        <f>IF(M1000="L","Baixa",IF(M1000="A","Média",IF(M1000="","","Alta")))</f>
        <v/>
      </c>
      <c r="O1000" s="53">
        <f>IF(ISBLANK(H1000),"",IF(H1000="ALI",IF(M1000="L",7,IF(M1000="A",10,15)),IF(H1000="AIE",IF(M1000="L",5,IF(M1000="A",7,10)),IF(H1000="SE",IF(M1000="L",4,IF(M1000="A",5,7)),IF(OR(H1000="EE",H1000="CE"),IF(M1000="L",3,IF(M1000="A",4,6)))))))</f>
        <v/>
      </c>
      <c r="P1000" s="54">
        <f>IF(I1000="I",O1000*Contagem!$W$15,IF(I1000="E",O1000*Contagem!$W$17,IF(I1000="A",O1000*Contagem!$W$16,IF(I1000="T",O1000*Contagem!$W$18,""))))</f>
        <v/>
      </c>
      <c r="Q1000" s="55" t="n"/>
    </row>
  </sheetData>
  <mergeCells count="1002">
    <mergeCell ref="C540:G540"/>
    <mergeCell ref="C838:G838"/>
    <mergeCell ref="C254:G254"/>
    <mergeCell ref="C83:G83"/>
    <mergeCell ref="C248:G248"/>
    <mergeCell ref="C515:G515"/>
    <mergeCell ref="C490:G490"/>
    <mergeCell ref="C319:G319"/>
    <mergeCell ref="C813:G813"/>
    <mergeCell ref="C175:G175"/>
    <mergeCell ref="C58:G58"/>
    <mergeCell ref="C294:G294"/>
    <mergeCell ref="C604:G604"/>
    <mergeCell ref="C902:G902"/>
    <mergeCell ref="C14:G14"/>
    <mergeCell ref="C579:G579"/>
    <mergeCell ref="C815:G815"/>
    <mergeCell ref="C475:G475"/>
    <mergeCell ref="C393:G393"/>
    <mergeCell ref="C137:G137"/>
    <mergeCell ref="C702:G702"/>
    <mergeCell ref="C693:G693"/>
    <mergeCell ref="C925:G925"/>
    <mergeCell ref="C668:G668"/>
    <mergeCell ref="C201:G201"/>
    <mergeCell ref="C139:G139"/>
    <mergeCell ref="C704:G704"/>
    <mergeCell ref="C241:G241"/>
    <mergeCell ref="C793:G793"/>
    <mergeCell ref="C399:G399"/>
    <mergeCell ref="C228:G228"/>
    <mergeCell ref="C470:G470"/>
    <mergeCell ref="C526:G526"/>
    <mergeCell ref="C203:G203"/>
    <mergeCell ref="C939:G939"/>
    <mergeCell ref="C768:G768"/>
    <mergeCell ref="C762:G762"/>
    <mergeCell ref="C243:G243"/>
    <mergeCell ref="C991:G991"/>
    <mergeCell ref="C607:G607"/>
    <mergeCell ref="C292:G292"/>
    <mergeCell ref="C699:G699"/>
    <mergeCell ref="C528:G528"/>
    <mergeCell ref="C941:G941"/>
    <mergeCell ref="C307:G307"/>
    <mergeCell ref="C101:G101"/>
    <mergeCell ref="C636:G636"/>
    <mergeCell ref="C907:G907"/>
    <mergeCell ref="C465:G465"/>
    <mergeCell ref="C828:G828"/>
    <mergeCell ref="C559:G559"/>
    <mergeCell ref="C108:G108"/>
    <mergeCell ref="C844:G844"/>
    <mergeCell ref="C909:G909"/>
    <mergeCell ref="C325:G325"/>
    <mergeCell ref="C417:G417"/>
    <mergeCell ref="C859:G859"/>
    <mergeCell ref="C20:G20"/>
    <mergeCell ref="C846:G846"/>
    <mergeCell ref="C196:G196"/>
    <mergeCell ref="C318:G318"/>
    <mergeCell ref="C85:G85"/>
    <mergeCell ref="C973:G973"/>
    <mergeCell ref="C112:G112"/>
    <mergeCell ref="C560:G560"/>
    <mergeCell ref="C389:G389"/>
    <mergeCell ref="C256:G256"/>
    <mergeCell ref="C554:G554"/>
    <mergeCell ref="C383:G383"/>
    <mergeCell ref="C625:G625"/>
    <mergeCell ref="C183:G183"/>
    <mergeCell ref="C923:G923"/>
    <mergeCell ref="C541:G541"/>
    <mergeCell ref="C612:G612"/>
    <mergeCell ref="C839:G839"/>
    <mergeCell ref="C717:G717"/>
    <mergeCell ref="C910:G910"/>
    <mergeCell ref="C133:G133"/>
    <mergeCell ref="C127:G127"/>
    <mergeCell ref="C904:G904"/>
    <mergeCell ref="C320:G320"/>
    <mergeCell ref="C198:G198"/>
    <mergeCell ref="C176:G176"/>
    <mergeCell ref="C84:G84"/>
    <mergeCell ref="C418:G418"/>
    <mergeCell ref="C247:G247"/>
    <mergeCell ref="C356:G356"/>
    <mergeCell ref="C412:G412"/>
    <mergeCell ref="C854:G854"/>
    <mergeCell ref="C605:G605"/>
    <mergeCell ref="C483:G483"/>
    <mergeCell ref="C114:G114"/>
    <mergeCell ref="C781:G781"/>
    <mergeCell ref="C841:G841"/>
    <mergeCell ref="C719:G719"/>
    <mergeCell ref="C912:G912"/>
    <mergeCell ref="C51:G51"/>
    <mergeCell ref="C178:G178"/>
    <mergeCell ref="C620:G620"/>
    <mergeCell ref="C887:G887"/>
    <mergeCell ref="C443:G443"/>
    <mergeCell ref="C272:G272"/>
    <mergeCell ref="C929:G929"/>
    <mergeCell ref="C209:G209"/>
    <mergeCell ref="C38:G38"/>
    <mergeCell ref="C743:G743"/>
    <mergeCell ref="C730:G730"/>
    <mergeCell ref="C267:G267"/>
    <mergeCell ref="C534:G534"/>
    <mergeCell ref="C509:G509"/>
    <mergeCell ref="C338:G338"/>
    <mergeCell ref="C47:G47"/>
    <mergeCell ref="C770:G770"/>
    <mergeCell ref="C496:G496"/>
    <mergeCell ref="C794:G794"/>
    <mergeCell ref="C33:G33"/>
    <mergeCell ref="C275:G275"/>
    <mergeCell ref="C104:G104"/>
    <mergeCell ref="C269:G269"/>
    <mergeCell ref="C707:G707"/>
    <mergeCell ref="C536:G536"/>
    <mergeCell ref="C511:G511"/>
    <mergeCell ref="C834:G834"/>
    <mergeCell ref="C809:G809"/>
    <mergeCell ref="C340:G340"/>
    <mergeCell ref="C749:G749"/>
    <mergeCell ref="C231:G231"/>
    <mergeCell ref="C35:G35"/>
    <mergeCell ref="C302:G302"/>
    <mergeCell ref="C333:G333"/>
    <mergeCell ref="C771:G771"/>
    <mergeCell ref="C600:G600"/>
    <mergeCell ref="C121:G121"/>
    <mergeCell ref="C898:G898"/>
    <mergeCell ref="C836:G836"/>
    <mergeCell ref="C934:G934"/>
    <mergeCell ref="C99:G99"/>
    <mergeCell ref="C835:G835"/>
    <mergeCell ref="C900:G900"/>
    <mergeCell ref="C562:G562"/>
    <mergeCell ref="C860:G860"/>
    <mergeCell ref="C689:G689"/>
    <mergeCell ref="C931:G931"/>
    <mergeCell ref="C135:G135"/>
    <mergeCell ref="C328:G328"/>
    <mergeCell ref="C433:G433"/>
    <mergeCell ref="C626:G626"/>
    <mergeCell ref="C122:G122"/>
    <mergeCell ref="C802:G802"/>
    <mergeCell ref="C420:G420"/>
    <mergeCell ref="C862:G862"/>
    <mergeCell ref="C224:G224"/>
    <mergeCell ref="C718:G718"/>
    <mergeCell ref="C989:G989"/>
    <mergeCell ref="C960:G960"/>
    <mergeCell ref="C72:G72"/>
    <mergeCell ref="C789:G789"/>
    <mergeCell ref="C849:G849"/>
    <mergeCell ref="C783:G783"/>
    <mergeCell ref="C547:G547"/>
    <mergeCell ref="C199:G199"/>
    <mergeCell ref="C28:G28"/>
    <mergeCell ref="C497:G497"/>
    <mergeCell ref="C326:G326"/>
    <mergeCell ref="C557:G557"/>
    <mergeCell ref="C435:G435"/>
    <mergeCell ref="C628:G628"/>
    <mergeCell ref="C186:G186"/>
    <mergeCell ref="C655:G655"/>
    <mergeCell ref="C926:G926"/>
    <mergeCell ref="C484:G484"/>
    <mergeCell ref="C720:G720"/>
    <mergeCell ref="C136:G136"/>
    <mergeCell ref="C962:G962"/>
    <mergeCell ref="C913:G913"/>
    <mergeCell ref="C847:G847"/>
    <mergeCell ref="C434:G434"/>
    <mergeCell ref="C323:G323"/>
    <mergeCell ref="C263:G263"/>
    <mergeCell ref="C30:G30"/>
    <mergeCell ref="C499:G499"/>
    <mergeCell ref="C92:G92"/>
    <mergeCell ref="C863:G863"/>
    <mergeCell ref="C657:G657"/>
    <mergeCell ref="C928:G928"/>
    <mergeCell ref="C486:G486"/>
    <mergeCell ref="C955:G955"/>
    <mergeCell ref="C784:G784"/>
    <mergeCell ref="O10:P10"/>
    <mergeCell ref="C957:G957"/>
    <mergeCell ref="C786:G786"/>
    <mergeCell ref="C54:G54"/>
    <mergeCell ref="C212:G212"/>
    <mergeCell ref="C146:G146"/>
    <mergeCell ref="C41:G41"/>
    <mergeCell ref="C510:G510"/>
    <mergeCell ref="C581:G581"/>
    <mergeCell ref="C448:G448"/>
    <mergeCell ref="C277:G277"/>
    <mergeCell ref="C746:G746"/>
    <mergeCell ref="C575:G575"/>
    <mergeCell ref="C404:G404"/>
    <mergeCell ref="C873:G873"/>
    <mergeCell ref="C944:G944"/>
    <mergeCell ref="C252:G252"/>
    <mergeCell ref="C56:G56"/>
    <mergeCell ref="C550:G550"/>
    <mergeCell ref="C276:G276"/>
    <mergeCell ref="C105:G105"/>
    <mergeCell ref="C43:G43"/>
    <mergeCell ref="C512:G512"/>
    <mergeCell ref="C341:G341"/>
    <mergeCell ref="C810:G810"/>
    <mergeCell ref="C639:G639"/>
    <mergeCell ref="C577:G577"/>
    <mergeCell ref="C439:G439"/>
    <mergeCell ref="C316:G316"/>
    <mergeCell ref="C675:G675"/>
    <mergeCell ref="C731:G731"/>
    <mergeCell ref="C120:G120"/>
    <mergeCell ref="C552:G552"/>
    <mergeCell ref="C36:G36"/>
    <mergeCell ref="C850:G850"/>
    <mergeCell ref="C650:G650"/>
    <mergeCell ref="C405:G405"/>
    <mergeCell ref="C837:G837"/>
    <mergeCell ref="C641:G641"/>
    <mergeCell ref="C370:G370"/>
    <mergeCell ref="C174:G174"/>
    <mergeCell ref="C616:G616"/>
    <mergeCell ref="C149:G149"/>
    <mergeCell ref="C410:G410"/>
    <mergeCell ref="C385:G385"/>
    <mergeCell ref="C950:G950"/>
    <mergeCell ref="C670:G670"/>
    <mergeCell ref="C288:G288"/>
    <mergeCell ref="C726:G726"/>
    <mergeCell ref="C505:G505"/>
    <mergeCell ref="C741:G741"/>
    <mergeCell ref="C728:G728"/>
    <mergeCell ref="C200:G200"/>
    <mergeCell ref="C29:G29"/>
    <mergeCell ref="C271:G271"/>
    <mergeCell ref="C436:G436"/>
    <mergeCell ref="C265:G265"/>
    <mergeCell ref="C507:G507"/>
    <mergeCell ref="C563:G563"/>
    <mergeCell ref="C65:G65"/>
    <mergeCell ref="C805:G805"/>
    <mergeCell ref="C721:G721"/>
    <mergeCell ref="C44:G44"/>
    <mergeCell ref="C792:G792"/>
    <mergeCell ref="C373:G373"/>
    <mergeCell ref="C202:G202"/>
    <mergeCell ref="C444:G444"/>
    <mergeCell ref="C329:G329"/>
    <mergeCell ref="C129:G129"/>
    <mergeCell ref="C31:G31"/>
    <mergeCell ref="C736:G736"/>
    <mergeCell ref="C565:G565"/>
    <mergeCell ref="C807:G807"/>
    <mergeCell ref="C365:G365"/>
    <mergeCell ref="C856:G856"/>
    <mergeCell ref="C95:G95"/>
    <mergeCell ref="C60:G60"/>
    <mergeCell ref="C673:G673"/>
    <mergeCell ref="C502:G502"/>
    <mergeCell ref="C331:G331"/>
    <mergeCell ref="C665:G665"/>
    <mergeCell ref="C347:G347"/>
    <mergeCell ref="C268:G268"/>
    <mergeCell ref="C881:G881"/>
    <mergeCell ref="C710:G710"/>
    <mergeCell ref="C360:G360"/>
    <mergeCell ref="C91:G91"/>
    <mergeCell ref="C868:G868"/>
    <mergeCell ref="C362:G362"/>
    <mergeCell ref="C22:G22"/>
    <mergeCell ref="C454:G454"/>
    <mergeCell ref="C818:G818"/>
    <mergeCell ref="C647:G647"/>
    <mergeCell ref="C57:G57"/>
    <mergeCell ref="C883:G883"/>
    <mergeCell ref="C739:G739"/>
    <mergeCell ref="C355:G355"/>
    <mergeCell ref="C293:G293"/>
    <mergeCell ref="C155:G155"/>
    <mergeCell ref="C975:G975"/>
    <mergeCell ref="C391:G391"/>
    <mergeCell ref="C342:G342"/>
    <mergeCell ref="C220:G220"/>
    <mergeCell ref="C518:G518"/>
    <mergeCell ref="C578:G578"/>
    <mergeCell ref="C820:G820"/>
    <mergeCell ref="C876:G876"/>
    <mergeCell ref="C676:G676"/>
    <mergeCell ref="C947:G947"/>
    <mergeCell ref="C649:G649"/>
    <mergeCell ref="C86:G86"/>
    <mergeCell ref="C357:G357"/>
    <mergeCell ref="C157:G157"/>
    <mergeCell ref="C42:G42"/>
    <mergeCell ref="C455:G455"/>
    <mergeCell ref="C284:G284"/>
    <mergeCell ref="C344:G344"/>
    <mergeCell ref="C449:G449"/>
    <mergeCell ref="C586:G586"/>
    <mergeCell ref="C691:G691"/>
    <mergeCell ref="C642:G642"/>
    <mergeCell ref="C884:G884"/>
    <mergeCell ref="C520:G520"/>
    <mergeCell ref="C151:G151"/>
    <mergeCell ref="C878:G878"/>
    <mergeCell ref="C678:G678"/>
    <mergeCell ref="C976:G976"/>
    <mergeCell ref="C386:G386"/>
    <mergeCell ref="C215:G215"/>
    <mergeCell ref="C951:G951"/>
    <mergeCell ref="C644:G644"/>
    <mergeCell ref="C432:G432"/>
    <mergeCell ref="C152:G152"/>
    <mergeCell ref="C978:G978"/>
    <mergeCell ref="C953:G953"/>
    <mergeCell ref="C75:G75"/>
    <mergeCell ref="C531:G531"/>
    <mergeCell ref="C767:G767"/>
    <mergeCell ref="C596:G596"/>
    <mergeCell ref="C12:G12"/>
    <mergeCell ref="C273:G273"/>
    <mergeCell ref="C297:G297"/>
    <mergeCell ref="C533:G533"/>
    <mergeCell ref="C831:G831"/>
    <mergeCell ref="C660:G660"/>
    <mergeCell ref="C39:G39"/>
    <mergeCell ref="C70:G70"/>
    <mergeCell ref="C508:G508"/>
    <mergeCell ref="C337:G337"/>
    <mergeCell ref="C312:G312"/>
    <mergeCell ref="C806:G806"/>
    <mergeCell ref="C635:G635"/>
    <mergeCell ref="C877:G877"/>
    <mergeCell ref="C744:G744"/>
    <mergeCell ref="C610:G610"/>
    <mergeCell ref="C573:G573"/>
    <mergeCell ref="C299:G299"/>
    <mergeCell ref="C597:G597"/>
    <mergeCell ref="C106:G106"/>
    <mergeCell ref="C81:G81"/>
    <mergeCell ref="C32:G32"/>
    <mergeCell ref="C833:G833"/>
    <mergeCell ref="C572:G572"/>
    <mergeCell ref="C339:G339"/>
    <mergeCell ref="C366:G366"/>
    <mergeCell ref="C808:G808"/>
    <mergeCell ref="C637:G637"/>
    <mergeCell ref="C170:G170"/>
    <mergeCell ref="C935:G935"/>
    <mergeCell ref="C468:G468"/>
    <mergeCell ref="K8:Q8"/>
    <mergeCell ref="C145:G145"/>
    <mergeCell ref="C381:G381"/>
    <mergeCell ref="C745:G745"/>
    <mergeCell ref="C574:G574"/>
    <mergeCell ref="C666:G666"/>
    <mergeCell ref="C937:G937"/>
    <mergeCell ref="C966:G966"/>
    <mergeCell ref="C697:G697"/>
    <mergeCell ref="C246:G246"/>
    <mergeCell ref="C392:G392"/>
    <mergeCell ref="C221:G221"/>
    <mergeCell ref="C463:G463"/>
    <mergeCell ref="C50:G50"/>
    <mergeCell ref="C25:G25"/>
    <mergeCell ref="C457:G457"/>
    <mergeCell ref="C286:G286"/>
    <mergeCell ref="C755:G755"/>
    <mergeCell ref="C584:G584"/>
    <mergeCell ref="C997:G997"/>
    <mergeCell ref="C948:G948"/>
    <mergeCell ref="C886:G886"/>
    <mergeCell ref="C826:G826"/>
    <mergeCell ref="C742:G742"/>
    <mergeCell ref="C236:G236"/>
    <mergeCell ref="C984:G984"/>
    <mergeCell ref="C594:G594"/>
    <mergeCell ref="C861:G861"/>
    <mergeCell ref="C394:G394"/>
    <mergeCell ref="C223:G223"/>
    <mergeCell ref="C692:G692"/>
    <mergeCell ref="C963:G963"/>
    <mergeCell ref="C763:G763"/>
    <mergeCell ref="C521:G521"/>
    <mergeCell ref="C350:G350"/>
    <mergeCell ref="C757:G757"/>
    <mergeCell ref="C999:G999"/>
    <mergeCell ref="C977:G977"/>
    <mergeCell ref="C300:G300"/>
    <mergeCell ref="H9:Q9"/>
    <mergeCell ref="C458:G458"/>
    <mergeCell ref="C287:G287"/>
    <mergeCell ref="C585:G585"/>
    <mergeCell ref="C694:G694"/>
    <mergeCell ref="C523:G523"/>
    <mergeCell ref="C992:G992"/>
    <mergeCell ref="C821:G821"/>
    <mergeCell ref="B7:G7"/>
    <mergeCell ref="C979:G979"/>
    <mergeCell ref="C158:G158"/>
    <mergeCell ref="C289:G289"/>
    <mergeCell ref="C758:G758"/>
    <mergeCell ref="C587:G587"/>
    <mergeCell ref="C13:G13"/>
    <mergeCell ref="C249:G249"/>
    <mergeCell ref="C78:G78"/>
    <mergeCell ref="C376:G376"/>
    <mergeCell ref="C618:G618"/>
    <mergeCell ref="C314:G314"/>
    <mergeCell ref="C363:G363"/>
    <mergeCell ref="C539:G539"/>
    <mergeCell ref="C599:G599"/>
    <mergeCell ref="C15:G15"/>
    <mergeCell ref="C897:G897"/>
    <mergeCell ref="C313:G313"/>
    <mergeCell ref="C968:G968"/>
    <mergeCell ref="C191:G191"/>
    <mergeCell ref="C107:G107"/>
    <mergeCell ref="C549:G549"/>
    <mergeCell ref="C816:G816"/>
    <mergeCell ref="C378:G378"/>
    <mergeCell ref="C234:G234"/>
    <mergeCell ref="C476:G476"/>
    <mergeCell ref="C172:G172"/>
    <mergeCell ref="C353:G353"/>
    <mergeCell ref="C712:G712"/>
    <mergeCell ref="C663:G663"/>
    <mergeCell ref="C905:G905"/>
    <mergeCell ref="C961:G961"/>
    <mergeCell ref="C184:G184"/>
    <mergeCell ref="C899:G899"/>
    <mergeCell ref="C315:G315"/>
    <mergeCell ref="C73:G73"/>
    <mergeCell ref="C638:G638"/>
    <mergeCell ref="C613:G613"/>
    <mergeCell ref="C880:G880"/>
    <mergeCell ref="C171:G171"/>
    <mergeCell ref="C874:G874"/>
    <mergeCell ref="C407:G407"/>
    <mergeCell ref="C705:G705"/>
    <mergeCell ref="C972:G972"/>
    <mergeCell ref="C382:G382"/>
    <mergeCell ref="C453:G453"/>
    <mergeCell ref="C811:G811"/>
    <mergeCell ref="C173:G173"/>
    <mergeCell ref="B8:C8"/>
    <mergeCell ref="C471:G471"/>
    <mergeCell ref="C148:G148"/>
    <mergeCell ref="C974:G974"/>
    <mergeCell ref="C669:G669"/>
    <mergeCell ref="C852:G852"/>
    <mergeCell ref="C262:G262"/>
    <mergeCell ref="C700:G700"/>
    <mergeCell ref="C529:G529"/>
    <mergeCell ref="C998:G998"/>
    <mergeCell ref="C827:G827"/>
    <mergeCell ref="C765:G765"/>
    <mergeCell ref="C237:G237"/>
    <mergeCell ref="C66:G66"/>
    <mergeCell ref="C308:G308"/>
    <mergeCell ref="C53:G53"/>
    <mergeCell ref="C102:G102"/>
    <mergeCell ref="C351:G351"/>
    <mergeCell ref="C593:G593"/>
    <mergeCell ref="C829:G829"/>
    <mergeCell ref="C1000:G1000"/>
    <mergeCell ref="C239:G239"/>
    <mergeCell ref="C68:G68"/>
    <mergeCell ref="C310:G310"/>
    <mergeCell ref="C166:G166"/>
    <mergeCell ref="C608:G608"/>
    <mergeCell ref="C464:G464"/>
    <mergeCell ref="C695:G695"/>
    <mergeCell ref="C524:G524"/>
    <mergeCell ref="C766:G766"/>
    <mergeCell ref="C595:G595"/>
    <mergeCell ref="C402:G402"/>
    <mergeCell ref="C893:G893"/>
    <mergeCell ref="C97:G97"/>
    <mergeCell ref="C290:G290"/>
    <mergeCell ref="C624:G624"/>
    <mergeCell ref="C384:G384"/>
    <mergeCell ref="C918:G918"/>
    <mergeCell ref="C321:G321"/>
    <mergeCell ref="C255:G255"/>
    <mergeCell ref="C413:G413"/>
    <mergeCell ref="C684:G684"/>
    <mergeCell ref="C242:G242"/>
    <mergeCell ref="C982:G982"/>
    <mergeCell ref="C478:G478"/>
    <mergeCell ref="C842:G842"/>
    <mergeCell ref="C776:G776"/>
    <mergeCell ref="C192:G192"/>
    <mergeCell ref="C969:G969"/>
    <mergeCell ref="C21:G21"/>
    <mergeCell ref="C379:G379"/>
    <mergeCell ref="C621:G621"/>
    <mergeCell ref="C919:G919"/>
    <mergeCell ref="C882:G882"/>
    <mergeCell ref="C857:G857"/>
    <mergeCell ref="C615:G615"/>
    <mergeCell ref="C713:G713"/>
    <mergeCell ref="C664:G664"/>
    <mergeCell ref="C906:G906"/>
    <mergeCell ref="C840:G840"/>
    <mergeCell ref="C542:G542"/>
    <mergeCell ref="C949:G949"/>
    <mergeCell ref="C23:G23"/>
    <mergeCell ref="C194:G194"/>
    <mergeCell ref="C688:G688"/>
    <mergeCell ref="C492:G492"/>
    <mergeCell ref="C110:G110"/>
    <mergeCell ref="C123:G123"/>
    <mergeCell ref="C181:G181"/>
    <mergeCell ref="C623:G623"/>
    <mergeCell ref="C679:G679"/>
    <mergeCell ref="C479:G479"/>
    <mergeCell ref="C921:G921"/>
    <mergeCell ref="C408:G408"/>
    <mergeCell ref="C777:G777"/>
    <mergeCell ref="C606:G606"/>
    <mergeCell ref="C715:G715"/>
    <mergeCell ref="C544:G544"/>
    <mergeCell ref="C908:G908"/>
    <mergeCell ref="C473:G473"/>
    <mergeCell ref="C423:G423"/>
    <mergeCell ref="C690:G690"/>
    <mergeCell ref="C988:G988"/>
    <mergeCell ref="C481:G481"/>
    <mergeCell ref="C779:G779"/>
    <mergeCell ref="H7:Q7"/>
    <mergeCell ref="C189:G189"/>
    <mergeCell ref="C456:G456"/>
    <mergeCell ref="C18:G18"/>
    <mergeCell ref="C754:G754"/>
    <mergeCell ref="C34:G34"/>
    <mergeCell ref="C568:G568"/>
    <mergeCell ref="C397:G397"/>
    <mergeCell ref="C555:G555"/>
    <mergeCell ref="C334:G334"/>
    <mergeCell ref="C128:G128"/>
    <mergeCell ref="C570:G570"/>
    <mergeCell ref="C426:G426"/>
    <mergeCell ref="C309:G309"/>
    <mergeCell ref="C113:G113"/>
    <mergeCell ref="C103:G103"/>
    <mergeCell ref="C855:G855"/>
    <mergeCell ref="C401:G401"/>
    <mergeCell ref="C205:G205"/>
    <mergeCell ref="C100:G100"/>
    <mergeCell ref="C94:G94"/>
    <mergeCell ref="C336:G336"/>
    <mergeCell ref="C830:G830"/>
    <mergeCell ref="C659:G659"/>
    <mergeCell ref="C901:G901"/>
    <mergeCell ref="C634:G634"/>
    <mergeCell ref="C180:G180"/>
    <mergeCell ref="C895:G895"/>
    <mergeCell ref="C428:G428"/>
    <mergeCell ref="C311:G311"/>
    <mergeCell ref="C167:G167"/>
    <mergeCell ref="C993:G993"/>
    <mergeCell ref="C609:G609"/>
    <mergeCell ref="C142:G142"/>
    <mergeCell ref="C118:G118"/>
    <mergeCell ref="C403:G403"/>
    <mergeCell ref="C80:G80"/>
    <mergeCell ref="C645:G645"/>
    <mergeCell ref="C701:G701"/>
    <mergeCell ref="C832:G832"/>
    <mergeCell ref="C182:G182"/>
    <mergeCell ref="C959:G959"/>
    <mergeCell ref="B10:F10"/>
    <mergeCell ref="C924:G924"/>
    <mergeCell ref="C169:G169"/>
    <mergeCell ref="C611:G611"/>
    <mergeCell ref="C467:G467"/>
    <mergeCell ref="C598:G598"/>
    <mergeCell ref="C703:G703"/>
    <mergeCell ref="C896:G896"/>
    <mergeCell ref="C233:G233"/>
    <mergeCell ref="C640:G640"/>
    <mergeCell ref="C469:G469"/>
    <mergeCell ref="C848:G848"/>
    <mergeCell ref="C131:G131"/>
    <mergeCell ref="C258:G258"/>
    <mergeCell ref="C87:G87"/>
    <mergeCell ref="C500:G500"/>
    <mergeCell ref="C556:G556"/>
    <mergeCell ref="C627:G627"/>
    <mergeCell ref="C494:G494"/>
    <mergeCell ref="C858:G858"/>
    <mergeCell ref="C245:G245"/>
    <mergeCell ref="C714:G714"/>
    <mergeCell ref="C543:G543"/>
    <mergeCell ref="C785:G785"/>
    <mergeCell ref="C614:G614"/>
    <mergeCell ref="C49:G49"/>
    <mergeCell ref="C195:G195"/>
    <mergeCell ref="C24:G24"/>
    <mergeCell ref="C266:G266"/>
    <mergeCell ref="C493:G493"/>
    <mergeCell ref="C322:G322"/>
    <mergeCell ref="C431:G431"/>
    <mergeCell ref="C260:G260"/>
    <mergeCell ref="C116:G116"/>
    <mergeCell ref="C558:G558"/>
    <mergeCell ref="C89:G89"/>
    <mergeCell ref="C922:G922"/>
    <mergeCell ref="C800:G800"/>
    <mergeCell ref="C629:G629"/>
    <mergeCell ref="C716:G716"/>
    <mergeCell ref="C545:G545"/>
    <mergeCell ref="C958:G958"/>
    <mergeCell ref="C843:G843"/>
    <mergeCell ref="C787:G787"/>
    <mergeCell ref="C914:G914"/>
    <mergeCell ref="C259:G259"/>
    <mergeCell ref="C197:G197"/>
    <mergeCell ref="C126:G126"/>
    <mergeCell ref="C495:G495"/>
    <mergeCell ref="C324:G324"/>
    <mergeCell ref="C88:G88"/>
    <mergeCell ref="C26:G26"/>
    <mergeCell ref="C482:G482"/>
    <mergeCell ref="C416:G416"/>
    <mergeCell ref="C780:G780"/>
    <mergeCell ref="C845:G845"/>
    <mergeCell ref="C261:G261"/>
    <mergeCell ref="C117:G117"/>
    <mergeCell ref="C55:G55"/>
    <mergeCell ref="C795:G795"/>
    <mergeCell ref="C546:G546"/>
    <mergeCell ref="C782:G782"/>
    <mergeCell ref="C447:G447"/>
    <mergeCell ref="C115:G115"/>
    <mergeCell ref="C213:G213"/>
    <mergeCell ref="C571:G571"/>
    <mergeCell ref="C400:G400"/>
    <mergeCell ref="C869:G869"/>
    <mergeCell ref="C698:G698"/>
    <mergeCell ref="C940:G940"/>
    <mergeCell ref="C52:G52"/>
    <mergeCell ref="C734:G734"/>
    <mergeCell ref="C150:G150"/>
    <mergeCell ref="C927:G927"/>
    <mergeCell ref="C144:G144"/>
    <mergeCell ref="C411:G411"/>
    <mergeCell ref="C442:G442"/>
    <mergeCell ref="C709:G709"/>
    <mergeCell ref="C513:G513"/>
    <mergeCell ref="C244:G244"/>
    <mergeCell ref="C945:G945"/>
    <mergeCell ref="C871:G871"/>
    <mergeCell ref="C671:G671"/>
    <mergeCell ref="C942:G942"/>
    <mergeCell ref="C727:G727"/>
    <mergeCell ref="C798:G798"/>
    <mergeCell ref="C932:G932"/>
    <mergeCell ref="C548:G548"/>
    <mergeCell ref="C429:G429"/>
    <mergeCell ref="C414:G414"/>
    <mergeCell ref="C352:G352"/>
    <mergeCell ref="C917:G917"/>
    <mergeCell ref="C208:G208"/>
    <mergeCell ref="C773:G773"/>
    <mergeCell ref="C37:G37"/>
    <mergeCell ref="C711:G711"/>
    <mergeCell ref="C686:G686"/>
    <mergeCell ref="C437:G437"/>
    <mergeCell ref="C735:G735"/>
    <mergeCell ref="C419:G419"/>
    <mergeCell ref="C729:G729"/>
    <mergeCell ref="C971:G971"/>
    <mergeCell ref="C406:G406"/>
    <mergeCell ref="C235:G235"/>
    <mergeCell ref="C477:G477"/>
    <mergeCell ref="C210:G210"/>
    <mergeCell ref="C946:G946"/>
    <mergeCell ref="C775:G775"/>
    <mergeCell ref="C185:G185"/>
    <mergeCell ref="C564:G564"/>
    <mergeCell ref="G10:H10"/>
    <mergeCell ref="C63:G63"/>
    <mergeCell ref="C330:G330"/>
    <mergeCell ref="C305:G305"/>
    <mergeCell ref="C134:G134"/>
    <mergeCell ref="C124:G124"/>
    <mergeCell ref="C566:G566"/>
    <mergeCell ref="C422:G422"/>
    <mergeCell ref="C864:G864"/>
    <mergeCell ref="C553:G553"/>
    <mergeCell ref="C851:G851"/>
    <mergeCell ref="C90:G90"/>
    <mergeCell ref="C503:G503"/>
    <mergeCell ref="C388:G388"/>
    <mergeCell ref="C332:G332"/>
    <mergeCell ref="C801:G801"/>
    <mergeCell ref="C630:G630"/>
    <mergeCell ref="C188:G188"/>
    <mergeCell ref="C163:G163"/>
    <mergeCell ref="C424:G424"/>
    <mergeCell ref="C866:G866"/>
    <mergeCell ref="C617:G617"/>
    <mergeCell ref="C722:G722"/>
    <mergeCell ref="C138:G138"/>
    <mergeCell ref="C915:G915"/>
    <mergeCell ref="I10:N10"/>
    <mergeCell ref="C853:G853"/>
    <mergeCell ref="C132:G132"/>
    <mergeCell ref="C27:G27"/>
    <mergeCell ref="C76:G76"/>
    <mergeCell ref="C567:G567"/>
    <mergeCell ref="C119:G119"/>
    <mergeCell ref="C865:G865"/>
    <mergeCell ref="C732:G732"/>
    <mergeCell ref="C803:G803"/>
    <mergeCell ref="C632:G632"/>
    <mergeCell ref="C561:G561"/>
    <mergeCell ref="C930:G930"/>
    <mergeCell ref="C488:G488"/>
    <mergeCell ref="C361:G361"/>
    <mergeCell ref="C790:G790"/>
    <mergeCell ref="C724:G724"/>
    <mergeCell ref="D8:E8"/>
    <mergeCell ref="C498:G498"/>
    <mergeCell ref="C415:G415"/>
    <mergeCell ref="C327:G327"/>
    <mergeCell ref="C425:G425"/>
    <mergeCell ref="C723:G723"/>
    <mergeCell ref="C661:G661"/>
    <mergeCell ref="C788:G788"/>
    <mergeCell ref="C264:G264"/>
    <mergeCell ref="C450:G450"/>
    <mergeCell ref="C279:G279"/>
    <mergeCell ref="C643:G643"/>
    <mergeCell ref="C748:G748"/>
    <mergeCell ref="C819:G819"/>
    <mergeCell ref="C879:G879"/>
    <mergeCell ref="C387:G387"/>
    <mergeCell ref="C216:G216"/>
    <mergeCell ref="C45:G45"/>
    <mergeCell ref="C685:G685"/>
    <mergeCell ref="C514:G514"/>
    <mergeCell ref="C756:G756"/>
    <mergeCell ref="C452:G452"/>
    <mergeCell ref="C343:G343"/>
    <mergeCell ref="C750:G750"/>
    <mergeCell ref="C501:G501"/>
    <mergeCell ref="C943:G943"/>
    <mergeCell ref="C281:G281"/>
    <mergeCell ref="C737:G737"/>
    <mergeCell ref="C147:G147"/>
    <mergeCell ref="C109:G109"/>
    <mergeCell ref="C451:G451"/>
    <mergeCell ref="C280:G280"/>
    <mergeCell ref="C218:G218"/>
    <mergeCell ref="C445:G445"/>
    <mergeCell ref="C274:G274"/>
    <mergeCell ref="C687:G687"/>
    <mergeCell ref="C516:G516"/>
    <mergeCell ref="C345:G345"/>
    <mergeCell ref="C985:G985"/>
    <mergeCell ref="C814:G814"/>
    <mergeCell ref="C193:G193"/>
    <mergeCell ref="B4:Q6"/>
    <mergeCell ref="C491:G491"/>
    <mergeCell ref="C211:G211"/>
    <mergeCell ref="C40:G40"/>
    <mergeCell ref="C282:G282"/>
    <mergeCell ref="C751:G751"/>
    <mergeCell ref="C580:G580"/>
    <mergeCell ref="C987:G987"/>
    <mergeCell ref="C257:G257"/>
    <mergeCell ref="C791:G791"/>
    <mergeCell ref="C778:G778"/>
    <mergeCell ref="C71:G71"/>
    <mergeCell ref="C872:G872"/>
    <mergeCell ref="C592:G592"/>
    <mergeCell ref="C890:G890"/>
    <mergeCell ref="C371:G371"/>
    <mergeCell ref="C936:G936"/>
    <mergeCell ref="C165:G165"/>
    <mergeCell ref="C358:G358"/>
    <mergeCell ref="C656:G656"/>
    <mergeCell ref="C140:G140"/>
    <mergeCell ref="C892:G892"/>
    <mergeCell ref="C438:G438"/>
    <mergeCell ref="C631:G631"/>
    <mergeCell ref="C990:G990"/>
    <mergeCell ref="C569:G569"/>
    <mergeCell ref="C867:G867"/>
    <mergeCell ref="C229:G229"/>
    <mergeCell ref="C938:G938"/>
    <mergeCell ref="C994:G994"/>
    <mergeCell ref="C965:G965"/>
    <mergeCell ref="C77:G77"/>
    <mergeCell ref="C658:G658"/>
    <mergeCell ref="C375:G375"/>
    <mergeCell ref="C204:G204"/>
    <mergeCell ref="C956:G956"/>
    <mergeCell ref="C446:G446"/>
    <mergeCell ref="C179:G179"/>
    <mergeCell ref="C440:G440"/>
    <mergeCell ref="C804:G804"/>
    <mergeCell ref="C738:G738"/>
    <mergeCell ref="C682:G682"/>
    <mergeCell ref="C633:G633"/>
    <mergeCell ref="C489:G489"/>
    <mergeCell ref="C427:G427"/>
    <mergeCell ref="C160:G160"/>
    <mergeCell ref="C725:G725"/>
    <mergeCell ref="C141:G141"/>
    <mergeCell ref="C967:G967"/>
    <mergeCell ref="C796:G796"/>
    <mergeCell ref="C377:G377"/>
    <mergeCell ref="C206:G206"/>
    <mergeCell ref="C504:G504"/>
    <mergeCell ref="C662:G662"/>
    <mergeCell ref="C933:G933"/>
    <mergeCell ref="C143:G143"/>
    <mergeCell ref="C441:G441"/>
    <mergeCell ref="C270:G270"/>
    <mergeCell ref="C506:G506"/>
    <mergeCell ref="C870:G870"/>
    <mergeCell ref="C79:G79"/>
    <mergeCell ref="C522:G522"/>
    <mergeCell ref="C59:G59"/>
    <mergeCell ref="C885:G885"/>
    <mergeCell ref="C130:G130"/>
    <mergeCell ref="C295:G295"/>
    <mergeCell ref="C46:G46"/>
    <mergeCell ref="C409:G409"/>
    <mergeCell ref="C380:G380"/>
    <mergeCell ref="C822:G822"/>
    <mergeCell ref="C651:G651"/>
    <mergeCell ref="C61:G61"/>
    <mergeCell ref="C359:G359"/>
    <mergeCell ref="C159:G159"/>
    <mergeCell ref="C430:G430"/>
    <mergeCell ref="C219:G219"/>
    <mergeCell ref="C153:G153"/>
    <mergeCell ref="C48:G48"/>
    <mergeCell ref="C517:G517"/>
    <mergeCell ref="C395:G395"/>
    <mergeCell ref="C759:G759"/>
    <mergeCell ref="C588:G588"/>
    <mergeCell ref="C346:G346"/>
    <mergeCell ref="C753:G753"/>
    <mergeCell ref="C582:G582"/>
    <mergeCell ref="C995:G995"/>
    <mergeCell ref="C824:G824"/>
    <mergeCell ref="C680:G680"/>
    <mergeCell ref="C653:G653"/>
    <mergeCell ref="C740:G740"/>
    <mergeCell ref="C296:G296"/>
    <mergeCell ref="C125:G125"/>
    <mergeCell ref="C283:G283"/>
    <mergeCell ref="C217:G217"/>
    <mergeCell ref="C161:G161"/>
    <mergeCell ref="C519:G519"/>
    <mergeCell ref="C348:G348"/>
    <mergeCell ref="C817:G817"/>
    <mergeCell ref="C646:G646"/>
    <mergeCell ref="C298:G298"/>
    <mergeCell ref="C154:G154"/>
    <mergeCell ref="C980:G980"/>
    <mergeCell ref="C285:G285"/>
    <mergeCell ref="C390:G390"/>
    <mergeCell ref="C583:G583"/>
    <mergeCell ref="C648:G648"/>
    <mergeCell ref="C677:G677"/>
    <mergeCell ref="C156:G156"/>
    <mergeCell ref="C769:G769"/>
    <mergeCell ref="C74:G74"/>
    <mergeCell ref="C372:G372"/>
    <mergeCell ref="C250:G250"/>
    <mergeCell ref="C875:G875"/>
    <mergeCell ref="C706:G706"/>
    <mergeCell ref="C535:G535"/>
    <mergeCell ref="C16:G16"/>
    <mergeCell ref="C964:G964"/>
    <mergeCell ref="C374:G374"/>
    <mergeCell ref="C230:G230"/>
    <mergeCell ref="C672:G672"/>
    <mergeCell ref="C472:G472"/>
    <mergeCell ref="C301:G301"/>
    <mergeCell ref="C168:G168"/>
    <mergeCell ref="C466:G466"/>
    <mergeCell ref="C733:G733"/>
    <mergeCell ref="C708:G708"/>
    <mergeCell ref="C764:G764"/>
    <mergeCell ref="C537:G537"/>
    <mergeCell ref="C214:G214"/>
    <mergeCell ref="C238:G238"/>
    <mergeCell ref="C232:G232"/>
    <mergeCell ref="C674:G674"/>
    <mergeCell ref="C474:G474"/>
    <mergeCell ref="C530:G530"/>
    <mergeCell ref="C797:G797"/>
    <mergeCell ref="C772:G772"/>
    <mergeCell ref="C601:G601"/>
    <mergeCell ref="C303:G303"/>
    <mergeCell ref="C207:G207"/>
    <mergeCell ref="C11:G11"/>
    <mergeCell ref="C278:G278"/>
    <mergeCell ref="C747:G747"/>
    <mergeCell ref="C576:G576"/>
    <mergeCell ref="C983:G983"/>
    <mergeCell ref="C812:G812"/>
    <mergeCell ref="C532:G532"/>
    <mergeCell ref="C970:G970"/>
    <mergeCell ref="C799:G799"/>
    <mergeCell ref="C67:G67"/>
    <mergeCell ref="C911:G911"/>
    <mergeCell ref="C602:G602"/>
    <mergeCell ref="C69:G69"/>
    <mergeCell ref="C96:G96"/>
    <mergeCell ref="C367:G367"/>
    <mergeCell ref="C603:G603"/>
    <mergeCell ref="C354:G354"/>
    <mergeCell ref="C459:G459"/>
    <mergeCell ref="C823:G823"/>
    <mergeCell ref="C652:G652"/>
    <mergeCell ref="C894:G894"/>
    <mergeCell ref="C761:G761"/>
    <mergeCell ref="C590:G590"/>
    <mergeCell ref="C888:G888"/>
    <mergeCell ref="C421:G421"/>
    <mergeCell ref="C62:G62"/>
    <mergeCell ref="C986:G986"/>
    <mergeCell ref="C98:G98"/>
    <mergeCell ref="C369:G369"/>
    <mergeCell ref="C396:G396"/>
    <mergeCell ref="C667:G667"/>
    <mergeCell ref="C225:G225"/>
    <mergeCell ref="C527:G527"/>
    <mergeCell ref="C461:G461"/>
    <mergeCell ref="C187:G187"/>
    <mergeCell ref="C996:G996"/>
    <mergeCell ref="C825:G825"/>
    <mergeCell ref="C681:G681"/>
    <mergeCell ref="C952:G952"/>
    <mergeCell ref="C752:G752"/>
    <mergeCell ref="C654:G654"/>
    <mergeCell ref="C619:G619"/>
    <mergeCell ref="C485:G485"/>
    <mergeCell ref="C368:G368"/>
    <mergeCell ref="C306:G306"/>
    <mergeCell ref="C162:G162"/>
    <mergeCell ref="C460:G460"/>
    <mergeCell ref="C64:G64"/>
    <mergeCell ref="C398:G398"/>
    <mergeCell ref="C349:G349"/>
    <mergeCell ref="C591:G591"/>
    <mergeCell ref="C696:G696"/>
    <mergeCell ref="C525:G525"/>
    <mergeCell ref="C889:G889"/>
    <mergeCell ref="C227:G227"/>
    <mergeCell ref="B9:G9"/>
    <mergeCell ref="C683:G683"/>
    <mergeCell ref="C954:G954"/>
    <mergeCell ref="C177:G177"/>
    <mergeCell ref="C981:G981"/>
    <mergeCell ref="C226:G226"/>
    <mergeCell ref="C364:G364"/>
    <mergeCell ref="C335:G335"/>
    <mergeCell ref="C164:G164"/>
    <mergeCell ref="C93:G93"/>
    <mergeCell ref="C462:G462"/>
    <mergeCell ref="C291:G291"/>
    <mergeCell ref="C760:G760"/>
    <mergeCell ref="C589:G589"/>
    <mergeCell ref="C891:G891"/>
    <mergeCell ref="C222:G222"/>
    <mergeCell ref="C251:G251"/>
    <mergeCell ref="C487:G487"/>
    <mergeCell ref="C920:G920"/>
    <mergeCell ref="C916:G916"/>
    <mergeCell ref="C17:G17"/>
    <mergeCell ref="C903:G903"/>
    <mergeCell ref="C253:G253"/>
    <mergeCell ref="C82:G82"/>
    <mergeCell ref="C551:G551"/>
    <mergeCell ref="C622:G622"/>
    <mergeCell ref="C240:G240"/>
    <mergeCell ref="C538:G538"/>
    <mergeCell ref="C774:G774"/>
    <mergeCell ref="C190:G190"/>
    <mergeCell ref="C19:G19"/>
    <mergeCell ref="C317:G317"/>
    <mergeCell ref="C111:G111"/>
    <mergeCell ref="C304:G304"/>
    <mergeCell ref="C480:G480"/>
  </mergeCells>
  <conditionalFormatting sqref="I12:I1000">
    <cfRule type="cellIs" priority="1" operator="equal" dxfId="2">
      <formula>"I"</formula>
    </cfRule>
    <cfRule type="cellIs" priority="2" operator="equal" dxfId="1">
      <formula>"A"</formula>
    </cfRule>
    <cfRule type="cellIs" priority="3" operator="equal" dxfId="0">
      <formula>"E"</formula>
    </cfRule>
  </conditionalFormatting>
  <pageMargins left="0.7086614173228347" right="0.7086614173228347" top="0.7480314960629921" bottom="0.7480314960629921" header="0" footer="0"/>
  <pageSetup orientation="landscape" paperSize="9" scale="88" fitToHeight="0"/>
  <headerFooter>
    <oddHeader/>
    <oddFooter>&amp;R&amp;P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00"/>
  <sheetViews>
    <sheetView showGridLines="0" workbookViewId="0">
      <selection activeCell="E57" sqref="E57"/>
    </sheetView>
  </sheetViews>
  <sheetFormatPr baseColWidth="8" defaultColWidth="14.42578125" defaultRowHeight="15" customHeight="1"/>
  <cols>
    <col width="2.85546875" customWidth="1" style="73" min="1" max="1"/>
    <col width="8.28515625" customWidth="1" style="73" min="2" max="2"/>
    <col width="10.7109375" customWidth="1" style="73" min="3" max="3"/>
    <col width="2.28515625" customWidth="1" style="73" min="4" max="4"/>
    <col width="7.7109375" customWidth="1" style="73" min="5" max="5"/>
    <col width="5" customWidth="1" style="73" min="6" max="6"/>
    <col width="10.7109375" customWidth="1" style="73" min="7" max="7"/>
    <col width="4.7109375" customWidth="1" style="73" min="8" max="8"/>
    <col width="6.7109375" customWidth="1" style="73" min="9" max="9"/>
    <col width="4.7109375" customWidth="1" style="73" min="10" max="10"/>
    <col width="9.85546875" customWidth="1" style="73" min="11" max="11"/>
    <col width="9.7109375" customWidth="1" style="73" min="12" max="12"/>
    <col width="9.140625" customWidth="1" style="73" min="13" max="15"/>
  </cols>
  <sheetData>
    <row r="1" ht="13.5" customHeight="1" s="73">
      <c r="A1" s="5" t="n"/>
      <c r="B1" s="5" t="n"/>
      <c r="C1" s="1" t="inlineStr">
        <is>
          <t>Sudoeste Informática</t>
        </is>
      </c>
      <c r="D1" s="5" t="n"/>
      <c r="E1" s="5" t="n"/>
      <c r="F1" s="5" t="n"/>
      <c r="G1" s="5" t="n"/>
      <c r="H1" s="5" t="n"/>
      <c r="I1" s="5" t="n"/>
      <c r="J1" s="5" t="n"/>
      <c r="K1" s="5" t="n"/>
      <c r="L1" s="5" t="n"/>
      <c r="M1" s="5" t="n"/>
      <c r="N1" s="5" t="n"/>
      <c r="O1" s="5" t="n"/>
    </row>
    <row r="2" ht="13.5" customHeight="1" s="73">
      <c r="A2" s="5" t="n"/>
      <c r="B2" s="5" t="n"/>
      <c r="C2" s="1" t="inlineStr">
        <is>
          <t>Sudoeste Informática e Consultoria</t>
        </is>
      </c>
      <c r="D2" s="5" t="n"/>
      <c r="E2" s="5" t="n"/>
      <c r="F2" s="5" t="n"/>
      <c r="G2" s="5" t="n"/>
      <c r="H2" s="5" t="n"/>
      <c r="I2" s="5" t="n"/>
      <c r="J2" s="5" t="n"/>
      <c r="K2" s="5" t="n"/>
      <c r="L2" s="5" t="n"/>
      <c r="M2" s="5" t="n"/>
      <c r="N2" s="5" t="n"/>
      <c r="O2" s="5" t="n"/>
    </row>
    <row r="3" ht="12.75" customHeight="1" s="73">
      <c r="A3" s="5" t="n"/>
      <c r="B3" s="5" t="n"/>
      <c r="C3" s="2" t="inlineStr">
        <is>
          <t>Missão: "Ser a mais completa solução na área de Tecnologia da Informação, de forma a contribuir para a modernização da Gestão pública."</t>
        </is>
      </c>
      <c r="D3" s="5" t="n"/>
      <c r="E3" s="5" t="n"/>
      <c r="F3" s="5" t="n"/>
      <c r="G3" s="5" t="n"/>
      <c r="H3" s="5" t="n"/>
      <c r="I3" s="5" t="n"/>
      <c r="J3" s="5" t="n"/>
      <c r="K3" s="5" t="n"/>
      <c r="L3" s="5" t="n"/>
      <c r="M3" s="5" t="n"/>
      <c r="N3" s="5" t="n"/>
      <c r="O3" s="5" t="n"/>
    </row>
    <row r="4" ht="7.5" customHeight="1" s="73">
      <c r="A4" s="115" t="inlineStr">
        <is>
          <t>Sumário da Contagem</t>
        </is>
      </c>
      <c r="B4" s="116" t="n"/>
      <c r="C4" s="116" t="n"/>
      <c r="D4" s="116" t="n"/>
      <c r="E4" s="116" t="n"/>
      <c r="F4" s="116" t="n"/>
      <c r="G4" s="116" t="n"/>
      <c r="H4" s="116" t="n"/>
      <c r="I4" s="116" t="n"/>
      <c r="J4" s="116" t="n"/>
      <c r="K4" s="116" t="n"/>
      <c r="L4" s="117" t="n"/>
      <c r="M4" s="5" t="n"/>
      <c r="N4" s="5" t="n"/>
      <c r="O4" s="5" t="n"/>
    </row>
    <row r="5" ht="7.5" customHeight="1" s="73">
      <c r="A5" s="118" t="n"/>
      <c r="L5" s="119" t="n"/>
      <c r="M5" s="5" t="n"/>
      <c r="N5" s="5" t="n"/>
      <c r="O5" s="5" t="n"/>
    </row>
    <row r="6" ht="7.5" customHeight="1" s="73">
      <c r="A6" s="120" t="n"/>
      <c r="B6" s="121" t="n"/>
      <c r="C6" s="121" t="n"/>
      <c r="D6" s="121" t="n"/>
      <c r="E6" s="121" t="n"/>
      <c r="F6" s="121" t="n"/>
      <c r="G6" s="121" t="n"/>
      <c r="H6" s="121" t="n"/>
      <c r="I6" s="121" t="n"/>
      <c r="J6" s="121" t="n"/>
      <c r="K6" s="121" t="n"/>
      <c r="L6" s="122" t="n"/>
      <c r="M6" s="5" t="n"/>
      <c r="N6" s="5" t="n"/>
      <c r="O6" s="5" t="n"/>
    </row>
    <row r="7" ht="12" customHeight="1" s="73">
      <c r="A7" s="145">
        <f>Contagem!A8&amp;" : "&amp;Contagem!F8</f>
        <v/>
      </c>
      <c r="B7" s="124" t="n"/>
      <c r="C7" s="124" t="n"/>
      <c r="D7" s="124" t="n"/>
      <c r="E7" s="124" t="n"/>
      <c r="F7" s="146">
        <f>Contagem!A9&amp;" : "&amp;Contagem!F9</f>
        <v/>
      </c>
      <c r="G7" s="116" t="n"/>
      <c r="H7" s="116" t="n"/>
      <c r="I7" s="116" t="n"/>
      <c r="J7" s="116" t="n"/>
      <c r="K7" s="116" t="n"/>
      <c r="L7" s="116" t="n"/>
      <c r="M7" s="5" t="n"/>
      <c r="N7" s="5" t="n"/>
      <c r="O7" s="5" t="n"/>
    </row>
    <row r="8" ht="12" customHeight="1" s="73">
      <c r="A8" s="145" t="inlineStr">
        <is>
          <t>DV Número:</t>
        </is>
      </c>
      <c r="B8" s="124" t="n"/>
      <c r="C8" s="10">
        <f>Contagem!F10</f>
        <v/>
      </c>
      <c r="D8" s="10" t="inlineStr">
        <is>
          <t>Versão:</t>
        </is>
      </c>
      <c r="E8" s="124" t="n"/>
      <c r="F8" s="147">
        <f>Contagem!N10</f>
        <v/>
      </c>
      <c r="G8" s="116" t="n"/>
      <c r="H8" s="15" t="n"/>
      <c r="I8" s="15" t="n"/>
      <c r="J8" s="15" t="n"/>
      <c r="K8" s="15" t="n"/>
      <c r="L8" s="16" t="n"/>
      <c r="M8" s="5" t="n"/>
      <c r="N8" s="5" t="n"/>
      <c r="O8" s="5" t="n"/>
    </row>
    <row r="9" ht="12" customHeight="1" s="73">
      <c r="A9" s="145">
        <f>Contagem!A11&amp;" : "&amp;Contagem!F11</f>
        <v/>
      </c>
      <c r="B9" s="124" t="n"/>
      <c r="C9" s="124" t="n"/>
      <c r="D9" s="124" t="n"/>
      <c r="E9" s="124" t="n"/>
      <c r="F9" s="146">
        <f>Contagem!A12&amp;" : "&amp;Contagem!F12</f>
        <v/>
      </c>
      <c r="G9" s="116" t="n"/>
      <c r="H9" s="116" t="n"/>
      <c r="I9" s="116" t="n"/>
      <c r="J9" s="116" t="n"/>
      <c r="K9" s="116" t="n"/>
      <c r="L9" s="116" t="n"/>
      <c r="M9" s="5" t="n"/>
      <c r="N9" s="5" t="n"/>
      <c r="O9" s="5" t="n"/>
    </row>
    <row r="10" ht="12" customHeight="1" s="73">
      <c r="A10" s="17">
        <f>Contagem!A7&amp;" : "&amp;Contagem!F7</f>
        <v/>
      </c>
      <c r="B10" s="11" t="n"/>
      <c r="C10" s="11" t="n"/>
      <c r="D10" s="18" t="n"/>
      <c r="E10" s="18" t="n"/>
      <c r="F10" s="148">
        <f>Contagem!R7&amp;" = "&amp;VALUE(Contagem!T7)</f>
        <v/>
      </c>
      <c r="G10" s="124" t="n"/>
      <c r="H10" s="148">
        <f>" Custo= "&amp;DOLLAR(Contagem!Y7)</f>
        <v/>
      </c>
      <c r="I10" s="124" t="n"/>
      <c r="J10" s="124" t="n"/>
      <c r="K10" s="149">
        <f>"PF  = "&amp;VALUE(Contagem!Y8)</f>
        <v/>
      </c>
      <c r="L10" s="122" t="n"/>
      <c r="M10" s="5" t="n"/>
      <c r="N10" s="5" t="n"/>
      <c r="O10" s="5" t="n"/>
    </row>
    <row r="11" ht="12" customHeight="1" s="73">
      <c r="A11" s="150" t="inlineStr">
        <is>
          <t>Tipo de Função</t>
        </is>
      </c>
      <c r="B11" s="116" t="n"/>
      <c r="C11" s="151" t="inlineStr">
        <is>
          <t>Complexidade Funcional</t>
        </is>
      </c>
      <c r="D11" s="116" t="n"/>
      <c r="E11" s="116" t="n"/>
      <c r="F11" s="116" t="n"/>
      <c r="G11" s="152" t="inlineStr">
        <is>
          <t>Total por Complexidade</t>
        </is>
      </c>
      <c r="H11" s="152" t="n"/>
      <c r="I11" s="153" t="inlineStr">
        <is>
          <t xml:space="preserve">% </t>
        </is>
      </c>
      <c r="J11" s="119" t="n"/>
      <c r="K11" s="154" t="n"/>
      <c r="L11" s="117" t="n"/>
      <c r="M11" s="5" t="n"/>
      <c r="N11" s="5" t="n"/>
      <c r="O11" s="5" t="n"/>
    </row>
    <row r="12" ht="12" customHeight="1" s="73">
      <c r="A12" s="120" t="n"/>
      <c r="B12" s="121" t="n"/>
      <c r="C12" s="121" t="n"/>
      <c r="D12" s="121" t="n"/>
      <c r="E12" s="121" t="n"/>
      <c r="F12" s="121" t="n"/>
      <c r="G12" s="121" t="n"/>
      <c r="H12" s="121" t="n"/>
      <c r="I12" s="121" t="n"/>
      <c r="J12" s="122" t="n"/>
      <c r="K12" s="121" t="n"/>
      <c r="L12" s="122" t="n"/>
      <c r="M12" s="5" t="n"/>
      <c r="N12" s="5" t="n"/>
      <c r="O12" s="5" t="n"/>
    </row>
    <row r="13" ht="12" customHeight="1" s="73">
      <c r="A13" s="68" t="n"/>
      <c r="B13" s="19" t="n"/>
      <c r="C13" s="19" t="n"/>
      <c r="D13" s="19" t="n"/>
      <c r="E13" s="19" t="n"/>
      <c r="F13" s="19" t="n"/>
      <c r="G13" s="19" t="n"/>
      <c r="H13" s="19" t="n"/>
      <c r="I13" s="19" t="n"/>
      <c r="J13" s="19" t="n"/>
      <c r="K13" s="19" t="n"/>
      <c r="L13" s="20" t="n"/>
      <c r="M13" s="5" t="n"/>
      <c r="N13" s="5" t="n"/>
      <c r="O13" s="5" t="n"/>
    </row>
    <row r="14" ht="12" customHeight="1" s="73">
      <c r="A14" s="21" t="n"/>
      <c r="B14" s="5" t="inlineStr">
        <is>
          <t>EE</t>
        </is>
      </c>
      <c r="C14" s="22">
        <f>COUNTIF(CF,"EEL")</f>
        <v/>
      </c>
      <c r="D14" s="5" t="n"/>
      <c r="E14" s="23" t="inlineStr">
        <is>
          <t>Baixa</t>
        </is>
      </c>
      <c r="F14" s="23" t="inlineStr">
        <is>
          <t>x 3</t>
        </is>
      </c>
      <c r="G14" s="22">
        <f>C14*3</f>
        <v/>
      </c>
      <c r="H14" s="5" t="n"/>
      <c r="I14" s="155" t="n"/>
      <c r="J14" s="5" t="n"/>
      <c r="K14" s="5" t="n"/>
      <c r="L14" s="25" t="n"/>
      <c r="M14" s="5" t="n"/>
      <c r="N14" s="5" t="n"/>
      <c r="O14" s="5" t="n"/>
    </row>
    <row r="15" ht="12" customHeight="1" s="73">
      <c r="A15" s="21" t="n"/>
      <c r="B15" s="5" t="n"/>
      <c r="C15" s="22">
        <f>COUNTIF(CF,"EEA")</f>
        <v/>
      </c>
      <c r="D15" s="5" t="n"/>
      <c r="E15" s="23" t="inlineStr">
        <is>
          <t>Média</t>
        </is>
      </c>
      <c r="F15" s="23" t="inlineStr">
        <is>
          <t>x 4</t>
        </is>
      </c>
      <c r="G15" s="22">
        <f>C15*4</f>
        <v/>
      </c>
      <c r="H15" s="5" t="n"/>
      <c r="I15" s="155" t="n"/>
      <c r="J15" s="5" t="n"/>
      <c r="K15" s="5" t="n"/>
      <c r="L15" s="25" t="n"/>
      <c r="M15" s="5" t="n"/>
      <c r="N15" s="5" t="n"/>
      <c r="O15" s="5" t="n"/>
    </row>
    <row r="16" ht="12" customHeight="1" s="73">
      <c r="A16" s="21" t="n"/>
      <c r="B16" s="5" t="n"/>
      <c r="C16" s="22">
        <f>COUNTIF(CF,"EEH")</f>
        <v/>
      </c>
      <c r="D16" s="5" t="n"/>
      <c r="E16" s="23" t="inlineStr">
        <is>
          <t>Alta</t>
        </is>
      </c>
      <c r="F16" s="23" t="inlineStr">
        <is>
          <t>x 6</t>
        </is>
      </c>
      <c r="G16" s="22">
        <f>C16*6</f>
        <v/>
      </c>
      <c r="H16" s="5" t="n"/>
      <c r="I16" s="155" t="n"/>
      <c r="J16" s="5" t="n"/>
      <c r="K16" s="5" t="n"/>
      <c r="L16" s="26" t="n"/>
      <c r="M16" s="5" t="n"/>
      <c r="N16" s="5" t="n"/>
      <c r="O16" s="5" t="n"/>
    </row>
    <row r="17" ht="6.75" customHeight="1" s="73">
      <c r="A17" s="21" t="n"/>
      <c r="B17" s="5" t="n"/>
      <c r="C17" s="19" t="n"/>
      <c r="D17" s="5" t="n"/>
      <c r="E17" s="5" t="n"/>
      <c r="F17" s="5" t="n"/>
      <c r="G17" s="19" t="n"/>
      <c r="H17" s="5" t="n"/>
      <c r="I17" s="5" t="n"/>
      <c r="J17" s="5" t="n"/>
      <c r="K17" s="5" t="n"/>
      <c r="L17" s="25" t="n"/>
      <c r="M17" s="5" t="n"/>
      <c r="N17" s="5" t="n"/>
      <c r="O17" s="5" t="n"/>
    </row>
    <row r="18" ht="12" customHeight="1" s="73">
      <c r="A18" s="21" t="n"/>
      <c r="B18" s="27" t="inlineStr">
        <is>
          <t>Total</t>
        </is>
      </c>
      <c r="C18" s="22">
        <f>SUM(C14:C16)</f>
        <v/>
      </c>
      <c r="D18" s="5" t="n"/>
      <c r="E18" s="5" t="n"/>
      <c r="F18" s="27" t="inlineStr">
        <is>
          <t>Total</t>
        </is>
      </c>
      <c r="G18" s="22">
        <f>SUM(G14:G16)</f>
        <v/>
      </c>
      <c r="H18" s="5" t="n"/>
      <c r="I18" s="156">
        <f>IF($G$49&lt;&gt;0,G18/$G$49,"")</f>
        <v/>
      </c>
      <c r="J18" s="5" t="n"/>
      <c r="K18" s="5" t="n"/>
      <c r="L18" s="25" t="n"/>
      <c r="M18" s="5" t="n"/>
      <c r="N18" s="5" t="n"/>
      <c r="O18" s="29" t="n"/>
    </row>
    <row r="19" ht="6" customHeight="1" s="73">
      <c r="A19" s="30" t="n"/>
      <c r="B19" s="22" t="n"/>
      <c r="C19" s="22" t="n"/>
      <c r="D19" s="22" t="n"/>
      <c r="E19" s="22" t="n"/>
      <c r="F19" s="22" t="n"/>
      <c r="G19" s="22" t="n"/>
      <c r="H19" s="22" t="n"/>
      <c r="I19" s="22" t="n"/>
      <c r="J19" s="22" t="n"/>
      <c r="K19" s="22" t="n"/>
      <c r="L19" s="31" t="n"/>
      <c r="M19" s="5" t="n"/>
      <c r="N19" s="5" t="n"/>
      <c r="O19" s="5" t="n"/>
    </row>
    <row r="20" ht="12" customHeight="1" s="73">
      <c r="A20" s="21" t="n"/>
      <c r="B20" s="5" t="n"/>
      <c r="C20" s="5" t="n"/>
      <c r="D20" s="5" t="n"/>
      <c r="E20" s="5" t="n"/>
      <c r="F20" s="5" t="n"/>
      <c r="G20" s="5" t="n"/>
      <c r="H20" s="5" t="n"/>
      <c r="I20" s="5" t="n"/>
      <c r="J20" s="5" t="n"/>
      <c r="K20" s="5" t="n"/>
      <c r="L20" s="25" t="n"/>
      <c r="M20" s="5" t="n"/>
      <c r="N20" s="5" t="n"/>
      <c r="O20" s="5" t="n"/>
    </row>
    <row r="21" ht="12" customHeight="1" s="73">
      <c r="A21" s="21" t="n"/>
      <c r="B21" s="5" t="inlineStr">
        <is>
          <t>SE</t>
        </is>
      </c>
      <c r="C21" s="22">
        <f>COUNTIF(CF,"SEL")</f>
        <v/>
      </c>
      <c r="D21" s="5" t="n"/>
      <c r="E21" s="23" t="inlineStr">
        <is>
          <t>Baixa</t>
        </is>
      </c>
      <c r="F21" s="23" t="inlineStr">
        <is>
          <t>x 4</t>
        </is>
      </c>
      <c r="G21" s="22">
        <f>C21*4</f>
        <v/>
      </c>
      <c r="H21" s="5" t="n"/>
      <c r="I21" s="5" t="n"/>
      <c r="J21" s="5" t="n"/>
      <c r="K21" s="5" t="n"/>
      <c r="L21" s="25" t="n"/>
      <c r="M21" s="5" t="n"/>
      <c r="N21" s="5" t="n"/>
      <c r="O21" s="5" t="n"/>
    </row>
    <row r="22" ht="12" customHeight="1" s="73">
      <c r="A22" s="21" t="n"/>
      <c r="B22" s="5" t="n"/>
      <c r="C22" s="22">
        <f>COUNTIF(CF,"SEA")</f>
        <v/>
      </c>
      <c r="D22" s="5" t="n"/>
      <c r="E22" s="23" t="inlineStr">
        <is>
          <t>Média</t>
        </is>
      </c>
      <c r="F22" s="23" t="inlineStr">
        <is>
          <t>x 5</t>
        </is>
      </c>
      <c r="G22" s="22">
        <f>C22*5</f>
        <v/>
      </c>
      <c r="H22" s="5" t="n"/>
      <c r="I22" s="5" t="n"/>
      <c r="J22" s="5" t="n"/>
      <c r="K22" s="5" t="n"/>
      <c r="L22" s="25" t="n"/>
      <c r="M22" s="5" t="n"/>
      <c r="N22" s="5" t="n"/>
      <c r="O22" s="5" t="n"/>
    </row>
    <row r="23" ht="12" customHeight="1" s="73">
      <c r="A23" s="21" t="n"/>
      <c r="B23" s="5" t="n"/>
      <c r="C23" s="22">
        <f>COUNTIF(CF,"SEH")</f>
        <v/>
      </c>
      <c r="D23" s="5" t="n"/>
      <c r="E23" s="23" t="inlineStr">
        <is>
          <t>Alta</t>
        </is>
      </c>
      <c r="F23" s="23" t="inlineStr">
        <is>
          <t>x 7</t>
        </is>
      </c>
      <c r="G23" s="22">
        <f>C23*7</f>
        <v/>
      </c>
      <c r="H23" s="5" t="n"/>
      <c r="I23" s="5" t="n"/>
      <c r="J23" s="5" t="n"/>
      <c r="K23" s="5" t="n"/>
      <c r="L23" s="26" t="n"/>
      <c r="M23" s="5" t="n"/>
      <c r="N23" s="5" t="n"/>
      <c r="O23" s="5" t="n"/>
    </row>
    <row r="24" ht="6.75" customHeight="1" s="73">
      <c r="A24" s="21" t="n"/>
      <c r="B24" s="5" t="n"/>
      <c r="C24" s="19" t="n"/>
      <c r="D24" s="5" t="n"/>
      <c r="E24" s="5" t="n"/>
      <c r="F24" s="5" t="n"/>
      <c r="G24" s="19" t="n"/>
      <c r="H24" s="5" t="n"/>
      <c r="I24" s="5" t="n"/>
      <c r="J24" s="5" t="n"/>
      <c r="K24" s="5" t="n"/>
      <c r="L24" s="25" t="n"/>
      <c r="M24" s="5" t="n"/>
      <c r="N24" s="5" t="n"/>
      <c r="O24" s="5" t="n"/>
    </row>
    <row r="25" ht="12" customHeight="1" s="73">
      <c r="A25" s="21" t="n"/>
      <c r="B25" s="27" t="inlineStr">
        <is>
          <t>Total</t>
        </is>
      </c>
      <c r="C25" s="22">
        <f>SUM(C21:C23)</f>
        <v/>
      </c>
      <c r="D25" s="5" t="n"/>
      <c r="E25" s="5" t="n"/>
      <c r="F25" s="27" t="inlineStr">
        <is>
          <t>Total</t>
        </is>
      </c>
      <c r="G25" s="22">
        <f>SUM(G21:G23)</f>
        <v/>
      </c>
      <c r="H25" s="5" t="n"/>
      <c r="I25" s="157">
        <f>IF($G$49&lt;&gt;0,G25/$G$49,"")</f>
        <v/>
      </c>
      <c r="J25" s="5" t="n"/>
      <c r="K25" s="5" t="n"/>
      <c r="L25" s="25" t="n"/>
      <c r="M25" s="5" t="n"/>
      <c r="N25" s="5" t="n"/>
      <c r="O25" s="5" t="n"/>
    </row>
    <row r="26" ht="6" customHeight="1" s="73">
      <c r="A26" s="30" t="n"/>
      <c r="B26" s="22" t="n"/>
      <c r="C26" s="22" t="n"/>
      <c r="D26" s="22" t="n"/>
      <c r="E26" s="22" t="n"/>
      <c r="F26" s="22" t="n"/>
      <c r="G26" s="22" t="n"/>
      <c r="H26" s="22" t="n"/>
      <c r="I26" s="22" t="n"/>
      <c r="J26" s="22" t="n"/>
      <c r="K26" s="22" t="n"/>
      <c r="L26" s="31" t="n"/>
      <c r="M26" s="5" t="n"/>
      <c r="N26" s="5" t="n"/>
      <c r="O26" s="5" t="n"/>
    </row>
    <row r="27" ht="12" customHeight="1" s="73">
      <c r="A27" s="68" t="n"/>
      <c r="B27" s="19" t="n"/>
      <c r="C27" s="5" t="n"/>
      <c r="D27" s="19" t="n"/>
      <c r="E27" s="19" t="n"/>
      <c r="F27" s="19" t="n"/>
      <c r="G27" s="5" t="n"/>
      <c r="H27" s="19" t="n"/>
      <c r="I27" s="19" t="n"/>
      <c r="J27" s="19" t="n"/>
      <c r="K27" s="19" t="n"/>
      <c r="L27" s="20" t="n"/>
      <c r="M27" s="5" t="n"/>
      <c r="N27" s="5" t="n"/>
      <c r="O27" s="5" t="n"/>
    </row>
    <row r="28" ht="12" customHeight="1" s="73">
      <c r="A28" s="21" t="n"/>
      <c r="B28" s="5" t="inlineStr">
        <is>
          <t>CE</t>
        </is>
      </c>
      <c r="C28" s="22">
        <f>COUNTIF(CF,"CEL")</f>
        <v/>
      </c>
      <c r="D28" s="5" t="n"/>
      <c r="E28" s="23" t="inlineStr">
        <is>
          <t>Baixa</t>
        </is>
      </c>
      <c r="F28" s="23" t="inlineStr">
        <is>
          <t>x 3</t>
        </is>
      </c>
      <c r="G28" s="22">
        <f>C28*3</f>
        <v/>
      </c>
      <c r="H28" s="5" t="n"/>
      <c r="I28" s="5" t="n"/>
      <c r="J28" s="5" t="n"/>
      <c r="K28" s="5" t="n"/>
      <c r="L28" s="25" t="n"/>
      <c r="M28" s="5" t="n"/>
      <c r="N28" s="5" t="n"/>
      <c r="O28" s="5" t="n"/>
    </row>
    <row r="29" ht="12" customHeight="1" s="73">
      <c r="A29" s="21" t="n"/>
      <c r="B29" s="5" t="n"/>
      <c r="C29" s="22">
        <f>COUNTIF(CF,"CEA")</f>
        <v/>
      </c>
      <c r="D29" s="5" t="n"/>
      <c r="E29" s="23" t="inlineStr">
        <is>
          <t>Média</t>
        </is>
      </c>
      <c r="F29" s="23" t="inlineStr">
        <is>
          <t>x 4</t>
        </is>
      </c>
      <c r="G29" s="22">
        <f>C29*4</f>
        <v/>
      </c>
      <c r="H29" s="5" t="n"/>
      <c r="I29" s="5" t="n"/>
      <c r="J29" s="5" t="n"/>
      <c r="K29" s="5" t="n"/>
      <c r="L29" s="25" t="n"/>
      <c r="M29" s="5" t="n"/>
      <c r="N29" s="5" t="n"/>
      <c r="O29" s="5" t="n"/>
    </row>
    <row r="30" ht="12" customHeight="1" s="73">
      <c r="A30" s="21" t="n"/>
      <c r="B30" s="5" t="n"/>
      <c r="C30" s="22">
        <f>COUNTIF(CF,"CEH")</f>
        <v/>
      </c>
      <c r="D30" s="5" t="n"/>
      <c r="E30" s="23" t="inlineStr">
        <is>
          <t>Alta</t>
        </is>
      </c>
      <c r="F30" s="23" t="inlineStr">
        <is>
          <t>x 6</t>
        </is>
      </c>
      <c r="G30" s="22">
        <f>C30*6</f>
        <v/>
      </c>
      <c r="H30" s="5" t="n"/>
      <c r="I30" s="5" t="n"/>
      <c r="J30" s="5" t="n"/>
      <c r="K30" s="5" t="n"/>
      <c r="L30" s="26" t="n"/>
      <c r="M30" s="5" t="n"/>
      <c r="N30" s="5" t="n"/>
      <c r="O30" s="5" t="n"/>
    </row>
    <row r="31" ht="6.75" customHeight="1" s="73">
      <c r="A31" s="21" t="n"/>
      <c r="B31" s="5" t="n"/>
      <c r="C31" s="19" t="n"/>
      <c r="D31" s="5" t="n"/>
      <c r="E31" s="5" t="n"/>
      <c r="F31" s="5" t="n"/>
      <c r="G31" s="19" t="n"/>
      <c r="H31" s="5" t="n"/>
      <c r="I31" s="5" t="n"/>
      <c r="J31" s="5" t="n"/>
      <c r="K31" s="5" t="n"/>
      <c r="L31" s="25" t="n"/>
      <c r="M31" s="5" t="n"/>
      <c r="N31" s="5" t="n"/>
      <c r="O31" s="5" t="n"/>
    </row>
    <row r="32" ht="12" customHeight="1" s="73">
      <c r="A32" s="21" t="n"/>
      <c r="B32" s="27" t="inlineStr">
        <is>
          <t>Total</t>
        </is>
      </c>
      <c r="C32" s="22">
        <f>SUM(C28:C30)</f>
        <v/>
      </c>
      <c r="D32" s="5" t="n"/>
      <c r="E32" s="5" t="n"/>
      <c r="F32" s="27" t="inlineStr">
        <is>
          <t>Total</t>
        </is>
      </c>
      <c r="G32" s="22">
        <f>SUM(G28:G30)</f>
        <v/>
      </c>
      <c r="H32" s="5" t="n"/>
      <c r="I32" s="158">
        <f>IF($G$49&lt;&gt;0,G32/$G$49,"")</f>
        <v/>
      </c>
      <c r="J32" s="5" t="n"/>
      <c r="K32" s="5" t="n"/>
      <c r="L32" s="25" t="n"/>
      <c r="M32" s="5" t="n"/>
      <c r="N32" s="5" t="n"/>
      <c r="O32" s="5" t="n"/>
    </row>
    <row r="33" ht="6" customHeight="1" s="73">
      <c r="A33" s="30" t="n"/>
      <c r="B33" s="22" t="n"/>
      <c r="C33" s="22" t="n"/>
      <c r="D33" s="22" t="n"/>
      <c r="E33" s="22" t="n"/>
      <c r="F33" s="22" t="n"/>
      <c r="G33" s="22" t="n"/>
      <c r="H33" s="22" t="n"/>
      <c r="I33" s="22" t="n"/>
      <c r="J33" s="22" t="n"/>
      <c r="K33" s="22" t="n"/>
      <c r="L33" s="31" t="n"/>
      <c r="M33" s="5" t="n"/>
      <c r="N33" s="5" t="n"/>
      <c r="O33" s="5" t="n"/>
    </row>
    <row r="34" ht="12" customHeight="1" s="73">
      <c r="A34" s="68" t="n"/>
      <c r="B34" s="19" t="n"/>
      <c r="C34" s="5" t="n"/>
      <c r="D34" s="19" t="n"/>
      <c r="E34" s="19" t="n"/>
      <c r="F34" s="19" t="n"/>
      <c r="G34" s="5" t="n"/>
      <c r="H34" s="19" t="n"/>
      <c r="I34" s="19" t="n"/>
      <c r="J34" s="19" t="n"/>
      <c r="K34" s="19" t="n"/>
      <c r="L34" s="20" t="n"/>
      <c r="M34" s="5" t="n"/>
      <c r="N34" s="5" t="n"/>
      <c r="O34" s="5" t="n"/>
    </row>
    <row r="35" ht="12" customHeight="1" s="73">
      <c r="A35" s="21" t="n"/>
      <c r="B35" s="5" t="inlineStr">
        <is>
          <t>ALI</t>
        </is>
      </c>
      <c r="C35" s="22">
        <f>COUNTIF(CF,"ALIL")</f>
        <v/>
      </c>
      <c r="D35" s="5" t="n"/>
      <c r="E35" s="5" t="inlineStr">
        <is>
          <t>Baixa</t>
        </is>
      </c>
      <c r="F35" s="5" t="inlineStr">
        <is>
          <t>x 7</t>
        </is>
      </c>
      <c r="G35" s="22">
        <f>C35*7</f>
        <v/>
      </c>
      <c r="H35" s="5" t="n"/>
      <c r="I35" s="5" t="n"/>
      <c r="J35" s="5" t="n"/>
      <c r="K35" s="5" t="n"/>
      <c r="L35" s="25" t="n"/>
      <c r="M35" s="5" t="n"/>
      <c r="N35" s="5" t="n"/>
      <c r="O35" s="5" t="n"/>
    </row>
    <row r="36" ht="12" customHeight="1" s="73">
      <c r="A36" s="21" t="n"/>
      <c r="B36" s="5" t="n"/>
      <c r="C36" s="22">
        <f>COUNTIF(CF,"ALIA")</f>
        <v/>
      </c>
      <c r="D36" s="5" t="n"/>
      <c r="E36" s="5" t="inlineStr">
        <is>
          <t>Média</t>
        </is>
      </c>
      <c r="F36" s="5" t="inlineStr">
        <is>
          <t>x 10</t>
        </is>
      </c>
      <c r="G36" s="22">
        <f>C36*10</f>
        <v/>
      </c>
      <c r="H36" s="5" t="n"/>
      <c r="I36" s="5" t="n"/>
      <c r="J36" s="5" t="n"/>
      <c r="K36" s="5" t="n"/>
      <c r="L36" s="25" t="n"/>
      <c r="M36" s="5" t="n"/>
      <c r="N36" s="5" t="n"/>
      <c r="O36" s="5" t="n"/>
    </row>
    <row r="37" ht="12" customHeight="1" s="73">
      <c r="A37" s="21" t="n"/>
      <c r="B37" s="5" t="n"/>
      <c r="C37" s="22">
        <f>COUNTIF(CF,"ALIH")</f>
        <v/>
      </c>
      <c r="D37" s="5" t="n"/>
      <c r="E37" s="5" t="inlineStr">
        <is>
          <t>Alta</t>
        </is>
      </c>
      <c r="F37" s="5" t="inlineStr">
        <is>
          <t>x 15</t>
        </is>
      </c>
      <c r="G37" s="22">
        <f>C37*15</f>
        <v/>
      </c>
      <c r="H37" s="5" t="n"/>
      <c r="I37" s="5" t="n"/>
      <c r="J37" s="5" t="n"/>
      <c r="K37" s="5" t="n"/>
      <c r="L37" s="26" t="n"/>
      <c r="M37" s="5" t="n"/>
      <c r="N37" s="5" t="n"/>
      <c r="O37" s="5" t="n"/>
    </row>
    <row r="38" ht="6.75" customHeight="1" s="73">
      <c r="A38" s="21" t="n"/>
      <c r="B38" s="5" t="n"/>
      <c r="C38" s="19" t="n"/>
      <c r="D38" s="5" t="n"/>
      <c r="E38" s="5" t="n"/>
      <c r="F38" s="5" t="n"/>
      <c r="G38" s="19" t="n"/>
      <c r="H38" s="5" t="n"/>
      <c r="I38" s="5" t="n"/>
      <c r="J38" s="5" t="n"/>
      <c r="K38" s="5" t="n"/>
      <c r="L38" s="25" t="n"/>
      <c r="M38" s="5" t="n"/>
      <c r="N38" s="5" t="n"/>
      <c r="O38" s="5" t="n"/>
    </row>
    <row r="39" ht="12" customHeight="1" s="73">
      <c r="A39" s="21" t="n"/>
      <c r="B39" s="27" t="inlineStr">
        <is>
          <t>Total</t>
        </is>
      </c>
      <c r="C39" s="22">
        <f>SUM(C35:C37)</f>
        <v/>
      </c>
      <c r="D39" s="5" t="n"/>
      <c r="E39" s="5" t="n"/>
      <c r="F39" s="27" t="inlineStr">
        <is>
          <t>Total</t>
        </is>
      </c>
      <c r="G39" s="22">
        <f>SUM(G35:G37)</f>
        <v/>
      </c>
      <c r="H39" s="5" t="n"/>
      <c r="I39" s="159">
        <f>IF($G$49&lt;&gt;0,G39/$G$49,"")</f>
        <v/>
      </c>
      <c r="J39" s="5" t="n"/>
      <c r="K39" s="5" t="n"/>
      <c r="L39" s="25" t="n"/>
      <c r="M39" s="5" t="n"/>
      <c r="N39" s="5" t="n"/>
      <c r="O39" s="5" t="n"/>
    </row>
    <row r="40" ht="6" customHeight="1" s="73">
      <c r="A40" s="30" t="n"/>
      <c r="B40" s="22" t="n"/>
      <c r="C40" s="22" t="n"/>
      <c r="D40" s="22" t="n"/>
      <c r="E40" s="22" t="n"/>
      <c r="F40" s="22" t="n"/>
      <c r="G40" s="22" t="n"/>
      <c r="H40" s="22" t="n"/>
      <c r="I40" s="22" t="n"/>
      <c r="J40" s="22" t="n"/>
      <c r="K40" s="22" t="n"/>
      <c r="L40" s="31" t="n"/>
      <c r="M40" s="5" t="n"/>
      <c r="N40" s="5" t="n"/>
      <c r="O40" s="5" t="n"/>
    </row>
    <row r="41" ht="12" customHeight="1" s="73">
      <c r="A41" s="68" t="n"/>
      <c r="B41" s="19" t="n"/>
      <c r="C41" s="5" t="n"/>
      <c r="D41" s="19" t="n"/>
      <c r="E41" s="19" t="n"/>
      <c r="F41" s="19" t="n"/>
      <c r="G41" s="5" t="n"/>
      <c r="H41" s="19" t="n"/>
      <c r="I41" s="19" t="n"/>
      <c r="J41" s="19" t="n"/>
      <c r="K41" s="19" t="n"/>
      <c r="L41" s="20" t="n"/>
      <c r="M41" s="5" t="n"/>
      <c r="N41" s="5" t="n"/>
      <c r="O41" s="5" t="n"/>
    </row>
    <row r="42" ht="12" customHeight="1" s="73">
      <c r="A42" s="21" t="n"/>
      <c r="B42" s="5" t="inlineStr">
        <is>
          <t>AIE</t>
        </is>
      </c>
      <c r="C42" s="22">
        <f>COUNTIF(CF,"AIEL")</f>
        <v/>
      </c>
      <c r="D42" s="5" t="n"/>
      <c r="E42" s="5" t="inlineStr">
        <is>
          <t>Baixa</t>
        </is>
      </c>
      <c r="F42" s="5" t="inlineStr">
        <is>
          <t>x 5</t>
        </is>
      </c>
      <c r="G42" s="22">
        <f>C42*5</f>
        <v/>
      </c>
      <c r="H42" s="5" t="n"/>
      <c r="I42" s="5" t="n"/>
      <c r="J42" s="5" t="n"/>
      <c r="K42" s="5" t="n"/>
      <c r="L42" s="25" t="n"/>
      <c r="M42" s="5" t="n"/>
      <c r="N42" s="5" t="n"/>
      <c r="O42" s="5" t="n"/>
    </row>
    <row r="43" ht="12" customHeight="1" s="73">
      <c r="A43" s="21" t="n"/>
      <c r="B43" s="5" t="n"/>
      <c r="C43" s="22">
        <f>COUNTIF(CF,"AIEA")</f>
        <v/>
      </c>
      <c r="D43" s="5" t="n"/>
      <c r="E43" s="5" t="inlineStr">
        <is>
          <t>Média</t>
        </is>
      </c>
      <c r="F43" s="5" t="inlineStr">
        <is>
          <t>x 7</t>
        </is>
      </c>
      <c r="G43" s="22">
        <f>C43*7</f>
        <v/>
      </c>
      <c r="H43" s="5" t="n"/>
      <c r="I43" s="5" t="n"/>
      <c r="J43" s="5" t="n"/>
      <c r="K43" s="5" t="n"/>
      <c r="L43" s="25" t="n"/>
      <c r="M43" s="5" t="n"/>
      <c r="N43" s="5" t="n"/>
      <c r="O43" s="5" t="n"/>
    </row>
    <row r="44" ht="12" customHeight="1" s="73">
      <c r="A44" s="21" t="n"/>
      <c r="B44" s="5" t="n"/>
      <c r="C44" s="22">
        <f>COUNTIF(CF,"AIEH")</f>
        <v/>
      </c>
      <c r="D44" s="5" t="n"/>
      <c r="E44" s="5" t="inlineStr">
        <is>
          <t>Alta</t>
        </is>
      </c>
      <c r="F44" s="5" t="inlineStr">
        <is>
          <t>x 10</t>
        </is>
      </c>
      <c r="G44" s="22">
        <f>C44*10</f>
        <v/>
      </c>
      <c r="H44" s="5" t="n"/>
      <c r="I44" s="5" t="n"/>
      <c r="J44" s="5" t="n"/>
      <c r="K44" s="5" t="n"/>
      <c r="L44" s="26" t="n"/>
      <c r="M44" s="5" t="n"/>
      <c r="N44" s="5" t="n"/>
      <c r="O44" s="5" t="n"/>
    </row>
    <row r="45" ht="6.75" customHeight="1" s="73">
      <c r="A45" s="21" t="n"/>
      <c r="B45" s="5" t="n"/>
      <c r="C45" s="19" t="n"/>
      <c r="D45" s="5" t="n"/>
      <c r="E45" s="5" t="n"/>
      <c r="F45" s="5" t="n"/>
      <c r="G45" s="19" t="n"/>
      <c r="H45" s="5" t="n"/>
      <c r="I45" s="5" t="n"/>
      <c r="J45" s="5" t="n"/>
      <c r="K45" s="5" t="n"/>
      <c r="L45" s="25" t="n"/>
      <c r="M45" s="5" t="n"/>
      <c r="N45" s="5" t="n"/>
      <c r="O45" s="5" t="n"/>
    </row>
    <row r="46" ht="12" customHeight="1" s="73">
      <c r="A46" s="21" t="n"/>
      <c r="B46" s="27" t="inlineStr">
        <is>
          <t>Total</t>
        </is>
      </c>
      <c r="C46" s="22">
        <f>SUM(C42:C44)</f>
        <v/>
      </c>
      <c r="D46" s="5" t="n"/>
      <c r="E46" s="5" t="n"/>
      <c r="F46" s="27" t="inlineStr">
        <is>
          <t>Total</t>
        </is>
      </c>
      <c r="G46" s="22">
        <f>SUM(G42:G44)</f>
        <v/>
      </c>
      <c r="H46" s="5" t="n"/>
      <c r="I46" s="160">
        <f>IF($G$49&lt;&gt;0,G46/$G$49,"")</f>
        <v/>
      </c>
      <c r="J46" s="5" t="n"/>
      <c r="K46" s="5" t="n"/>
      <c r="L46" s="25" t="n"/>
      <c r="M46" s="5" t="n"/>
      <c r="N46" s="5" t="n"/>
      <c r="O46" s="5" t="n"/>
    </row>
    <row r="47" ht="6" customHeight="1" s="73">
      <c r="A47" s="30" t="n"/>
      <c r="B47" s="22" t="n"/>
      <c r="C47" s="22" t="n"/>
      <c r="D47" s="22" t="n"/>
      <c r="E47" s="22" t="n"/>
      <c r="F47" s="22" t="n"/>
      <c r="G47" s="22" t="n"/>
      <c r="H47" s="22" t="n"/>
      <c r="I47" s="22" t="n"/>
      <c r="J47" s="22" t="n"/>
      <c r="K47" s="22" t="n"/>
      <c r="L47" s="31" t="n"/>
      <c r="M47" s="5" t="n"/>
      <c r="N47" s="5" t="n"/>
      <c r="O47" s="5" t="n"/>
    </row>
    <row r="48" ht="12" customHeight="1" s="73">
      <c r="A48" s="21" t="n"/>
      <c r="B48" s="5" t="n"/>
      <c r="C48" s="5" t="n"/>
      <c r="D48" s="5" t="n"/>
      <c r="E48" s="5" t="n"/>
      <c r="F48" s="5" t="n"/>
      <c r="G48" s="5" t="n"/>
      <c r="H48" s="5" t="n"/>
      <c r="I48" s="5" t="n"/>
      <c r="J48" s="5" t="n"/>
      <c r="K48" s="5" t="n"/>
      <c r="L48" s="25" t="n"/>
      <c r="M48" s="5" t="n"/>
      <c r="N48" s="5" t="n"/>
      <c r="O48" s="5" t="n"/>
    </row>
    <row r="49" ht="12" customHeight="1" s="73">
      <c r="A49" s="21" t="n"/>
      <c r="B49" s="5" t="inlineStr">
        <is>
          <t>Total PF não ajustados (contagem detalhada)</t>
        </is>
      </c>
      <c r="C49" s="5" t="n"/>
      <c r="D49" s="5" t="n"/>
      <c r="E49" s="5" t="n"/>
      <c r="F49" s="5" t="n"/>
      <c r="G49" s="22">
        <f>SUM(G18+G25+G32+G39+G46)</f>
        <v/>
      </c>
      <c r="H49" s="5" t="n"/>
      <c r="I49" s="5" t="n"/>
      <c r="J49" s="5" t="n"/>
      <c r="K49" s="5" t="n"/>
      <c r="L49" s="25" t="n"/>
      <c r="M49" s="5" t="n"/>
      <c r="N49" s="5" t="n"/>
      <c r="O49" s="5" t="n"/>
    </row>
    <row r="50" ht="12" customHeight="1" s="73">
      <c r="A50" s="21" t="n"/>
      <c r="B50" s="5" t="inlineStr">
        <is>
          <t>Total PF não ajustados (contagem estimativa)</t>
        </is>
      </c>
      <c r="C50" s="5" t="n"/>
      <c r="D50" s="5" t="n"/>
      <c r="E50" s="5" t="n"/>
      <c r="F50" s="5" t="n"/>
      <c r="G50" s="22">
        <f>(C14+C15+C16)*4+(C21+C22+C23)*5+(C28+C29+C30)*4+(C35+C36+C37)*7+(C42+C43+C44)*5</f>
        <v/>
      </c>
      <c r="H50" s="5" t="n"/>
      <c r="I50" s="5" t="n"/>
      <c r="J50" s="5" t="n"/>
      <c r="K50" s="5" t="n"/>
      <c r="L50" s="25" t="n"/>
      <c r="M50" s="5" t="n"/>
      <c r="N50" s="5" t="n"/>
      <c r="O50" s="5" t="n"/>
    </row>
    <row r="51" ht="12" customHeight="1" s="73">
      <c r="A51" s="21" t="n"/>
      <c r="B51" s="5" t="inlineStr">
        <is>
          <t>Total PF não ajustados (contagem indicativa)</t>
        </is>
      </c>
      <c r="C51" s="5" t="n"/>
      <c r="D51" s="5" t="n"/>
      <c r="E51" s="5" t="n"/>
      <c r="F51" s="5" t="n"/>
      <c r="G51" s="22">
        <f>(C35+C36+C37)*35+(C42+C43+C44)*15</f>
        <v/>
      </c>
      <c r="H51" s="5" t="n"/>
      <c r="I51" s="5" t="n"/>
      <c r="J51" s="5" t="n"/>
      <c r="K51" s="5" t="n"/>
      <c r="L51" s="25" t="n"/>
      <c r="M51" s="5" t="n"/>
      <c r="N51" s="5" t="n"/>
      <c r="O51" s="5" t="n"/>
    </row>
    <row r="52" ht="12" customHeight="1" s="73">
      <c r="A52" s="21" t="n"/>
      <c r="B52" s="5" t="n"/>
      <c r="C52" s="5" t="n"/>
      <c r="D52" s="5" t="n"/>
      <c r="E52" s="5" t="n"/>
      <c r="F52" s="5" t="n"/>
      <c r="G52" s="5" t="n"/>
      <c r="H52" s="5" t="n"/>
      <c r="I52" s="5" t="n"/>
      <c r="J52" s="5" t="n"/>
      <c r="K52" s="5" t="n"/>
      <c r="L52" s="25" t="n"/>
      <c r="M52" s="5" t="n"/>
      <c r="N52" s="5" t="n"/>
      <c r="O52" s="5" t="n"/>
    </row>
    <row r="53" ht="12" customHeight="1" s="73">
      <c r="A53" s="21" t="n"/>
      <c r="B53" s="5" t="n"/>
      <c r="C53" s="5" t="n"/>
      <c r="D53" s="5" t="n"/>
      <c r="E53" s="5" t="n"/>
      <c r="F53" s="5" t="n"/>
      <c r="G53" s="5" t="n"/>
      <c r="H53" s="5" t="n"/>
      <c r="I53" s="5" t="n"/>
      <c r="J53" s="5" t="n"/>
      <c r="K53" s="5" t="n"/>
      <c r="L53" s="25" t="n"/>
      <c r="M53" s="5" t="n"/>
      <c r="N53" s="5" t="n"/>
      <c r="O53" s="5" t="n"/>
    </row>
    <row r="54" ht="12" customHeight="1" s="73">
      <c r="A54" s="21" t="n"/>
      <c r="B54" s="5" t="n"/>
      <c r="C54" s="5" t="n"/>
      <c r="D54" s="5" t="n"/>
      <c r="E54" s="5" t="n"/>
      <c r="F54" s="5" t="n"/>
      <c r="G54" s="5" t="n"/>
      <c r="H54" s="5" t="n"/>
      <c r="I54" s="5" t="n"/>
      <c r="J54" s="5" t="n"/>
      <c r="K54" s="5" t="n"/>
      <c r="L54" s="25" t="n"/>
      <c r="M54" s="5" t="n"/>
      <c r="N54" s="5" t="n"/>
      <c r="O54" s="5" t="n"/>
    </row>
    <row r="55" ht="12" customHeight="1" s="73">
      <c r="A55" s="21" t="n"/>
      <c r="B55" s="5" t="inlineStr">
        <is>
          <t>Total de PF Local</t>
        </is>
      </c>
      <c r="C55" s="5" t="n"/>
      <c r="D55" s="5" t="n"/>
      <c r="E55" s="5" t="n"/>
      <c r="F55" s="5" t="n"/>
      <c r="G55" s="5" t="n"/>
      <c r="H55" s="5" t="n"/>
      <c r="I55" s="5" t="n"/>
      <c r="J55" s="5" t="n"/>
      <c r="K55" s="5" t="n"/>
      <c r="L55" s="25" t="n"/>
      <c r="M55" s="5" t="n"/>
      <c r="N55" s="5" t="n"/>
      <c r="O55" s="5" t="n"/>
    </row>
    <row r="56" ht="12" customHeight="1" s="73">
      <c r="A56" s="21" t="n"/>
      <c r="B56" s="5" t="n"/>
      <c r="C56" s="5" t="n"/>
      <c r="D56" s="5" t="n"/>
      <c r="E56" s="36" t="inlineStr">
        <is>
          <t>NÃO AJS</t>
        </is>
      </c>
      <c r="F56" s="36" t="inlineStr">
        <is>
          <t>DFL</t>
        </is>
      </c>
      <c r="G56" s="36" t="inlineStr">
        <is>
          <t>LOCAL</t>
        </is>
      </c>
      <c r="H56" s="5" t="n"/>
      <c r="I56" s="5" t="n"/>
      <c r="J56" s="5" t="n"/>
      <c r="K56" s="5" t="n"/>
      <c r="L56" s="25" t="n"/>
      <c r="M56" s="5" t="n"/>
      <c r="N56" s="5" t="n"/>
      <c r="O56" s="5" t="n"/>
    </row>
    <row r="57" ht="12" customHeight="1" s="73">
      <c r="A57" s="21" t="n"/>
      <c r="B57" s="161" t="inlineStr">
        <is>
          <t>INCLUSÃO (ADD)</t>
        </is>
      </c>
      <c r="C57" s="124" t="n"/>
      <c r="D57" s="126" t="n"/>
      <c r="E57" s="37">
        <f>SUMIF(Funções!$I$12:$I$1000,"I",Funções!$O$12:$O$1000)</f>
        <v/>
      </c>
      <c r="F57" s="37">
        <f>Contagem!W15</f>
        <v/>
      </c>
      <c r="G57" s="37">
        <f>F57*E57</f>
        <v/>
      </c>
      <c r="H57" s="38" t="n"/>
      <c r="I57" s="38" t="n"/>
      <c r="J57" s="38" t="n"/>
      <c r="L57" s="25" t="n"/>
      <c r="M57" s="5" t="n"/>
      <c r="N57" s="5" t="n"/>
      <c r="O57" s="5" t="n"/>
    </row>
    <row r="58" ht="12" customHeight="1" s="73">
      <c r="A58" s="21" t="n"/>
      <c r="B58" s="161" t="inlineStr">
        <is>
          <t>ALTERAÇÃO (CHG)</t>
        </is>
      </c>
      <c r="C58" s="124" t="n"/>
      <c r="D58" s="126" t="n"/>
      <c r="E58" s="37">
        <f>SUMIF(Funções!$I$12:$I$1000,"A",Funções!$O$12:$O$1000)</f>
        <v/>
      </c>
      <c r="F58" s="37">
        <f>Contagem!W16</f>
        <v/>
      </c>
      <c r="G58" s="37">
        <f>F58*E58</f>
        <v/>
      </c>
      <c r="H58" s="38" t="n"/>
      <c r="I58" s="38" t="n"/>
      <c r="J58" s="38" t="n"/>
      <c r="K58" s="39" t="inlineStr">
        <is>
          <t>TOTAL</t>
        </is>
      </c>
      <c r="L58" s="25" t="n"/>
      <c r="M58" s="5" t="n"/>
      <c r="N58" s="5" t="n"/>
      <c r="O58" s="5" t="n"/>
    </row>
    <row r="59" ht="12" customHeight="1" s="73">
      <c r="A59" s="21" t="n"/>
      <c r="B59" s="161" t="inlineStr">
        <is>
          <t>EXCLUSÃO (DEL)</t>
        </is>
      </c>
      <c r="C59" s="124" t="n"/>
      <c r="D59" s="126" t="n"/>
      <c r="E59" s="37">
        <f>SUMIF(Funções!$I$12:$I$1000,"E",Funções!$O$12:$O$1000)</f>
        <v/>
      </c>
      <c r="F59" s="37">
        <f>Contagem!W17</f>
        <v/>
      </c>
      <c r="G59" s="37">
        <f>F59*E59</f>
        <v/>
      </c>
      <c r="H59" s="38" t="n"/>
      <c r="I59" s="38" t="n"/>
      <c r="J59" s="38" t="n"/>
      <c r="K59" s="40">
        <f>Contagem!Y8</f>
        <v/>
      </c>
      <c r="L59" s="25" t="n"/>
      <c r="M59" s="5" t="n"/>
      <c r="N59" s="5" t="n"/>
      <c r="O59" s="5" t="n"/>
    </row>
    <row r="60" ht="12" customHeight="1" s="73">
      <c r="A60" s="21" t="n"/>
      <c r="B60" s="161" t="inlineStr">
        <is>
          <t>CONSULTA</t>
        </is>
      </c>
      <c r="C60" s="124" t="n"/>
      <c r="D60" s="126" t="n"/>
      <c r="E60" s="37">
        <f>SUMIF(Funções!$I$12:$I$1000,"C",Funções!$O$12:$O$1000)</f>
        <v/>
      </c>
      <c r="F60" s="37">
        <f>Contagem!W18</f>
        <v/>
      </c>
      <c r="G60" s="37">
        <f>F60*E60</f>
        <v/>
      </c>
      <c r="H60" s="38" t="n"/>
      <c r="I60" s="38" t="n"/>
      <c r="J60" s="38" t="n"/>
      <c r="K60" s="5" t="n"/>
      <c r="L60" s="25" t="n"/>
      <c r="M60" s="5" t="n"/>
      <c r="N60" s="5" t="n"/>
      <c r="O60" s="5" t="n"/>
    </row>
    <row r="61" ht="12" customHeight="1" s="73">
      <c r="A61" s="5" t="n"/>
      <c r="B61" s="5" t="n"/>
      <c r="C61" s="5" t="n"/>
      <c r="D61" s="5" t="n"/>
      <c r="E61" s="5" t="n"/>
      <c r="F61" s="5" t="n"/>
      <c r="G61" s="5" t="n"/>
      <c r="H61" s="5" t="n"/>
      <c r="I61" s="5" t="n"/>
      <c r="J61" s="5" t="n"/>
      <c r="K61" s="5" t="n"/>
      <c r="L61" s="5" t="n"/>
      <c r="M61" s="5" t="n"/>
      <c r="N61" s="5" t="n"/>
      <c r="O61" s="5" t="n"/>
    </row>
    <row r="62" ht="12" customHeight="1" s="73">
      <c r="A62" s="5" t="n"/>
      <c r="B62" s="5" t="n"/>
      <c r="C62" s="5" t="n"/>
      <c r="D62" s="5" t="n"/>
      <c r="E62" s="5" t="n"/>
      <c r="F62" s="5" t="n"/>
      <c r="G62" s="5" t="n"/>
      <c r="H62" s="5" t="n"/>
      <c r="I62" s="5" t="n"/>
      <c r="J62" s="5" t="n"/>
      <c r="K62" s="5" t="n"/>
      <c r="L62" s="5" t="n"/>
      <c r="M62" s="5" t="n"/>
      <c r="N62" s="5" t="n"/>
      <c r="O62" s="5" t="n"/>
    </row>
    <row r="63" ht="12" customHeight="1" s="73">
      <c r="A63" s="5" t="n"/>
      <c r="B63" s="5" t="n"/>
      <c r="C63" s="5" t="n"/>
      <c r="D63" s="5" t="n"/>
      <c r="E63" s="5" t="n"/>
      <c r="F63" s="5" t="n"/>
      <c r="G63" s="5" t="n"/>
      <c r="H63" s="5" t="n"/>
      <c r="I63" s="5" t="n"/>
      <c r="J63" s="5" t="n"/>
      <c r="K63" s="5" t="n"/>
      <c r="L63" s="5" t="n"/>
      <c r="M63" s="5" t="n"/>
      <c r="N63" s="5" t="n"/>
      <c r="O63" s="5" t="n"/>
    </row>
    <row r="64" ht="12" customHeight="1" s="73">
      <c r="A64" s="5" t="n"/>
      <c r="B64" s="5" t="n"/>
      <c r="C64" s="5" t="n"/>
      <c r="D64" s="5" t="n"/>
      <c r="E64" s="5" t="n"/>
      <c r="F64" s="5" t="n"/>
      <c r="G64" s="5" t="n"/>
      <c r="H64" s="5" t="n"/>
      <c r="I64" s="5" t="n"/>
      <c r="J64" s="5" t="n"/>
      <c r="K64" s="5" t="n"/>
      <c r="L64" s="5" t="n"/>
      <c r="M64" s="5" t="n"/>
      <c r="N64" s="5" t="n"/>
      <c r="O64" s="5" t="n"/>
    </row>
    <row r="65" ht="12" customHeight="1" s="73">
      <c r="A65" s="5" t="n"/>
      <c r="B65" s="5" t="n"/>
      <c r="C65" s="5" t="n"/>
      <c r="D65" s="5" t="n"/>
      <c r="E65" s="5" t="n"/>
      <c r="F65" s="5" t="n"/>
      <c r="G65" s="5" t="n"/>
      <c r="H65" s="5" t="n"/>
      <c r="I65" s="5" t="n"/>
      <c r="J65" s="5" t="n"/>
      <c r="K65" s="5" t="n"/>
      <c r="L65" s="5" t="n"/>
      <c r="M65" s="5" t="n"/>
      <c r="N65" s="5" t="n"/>
      <c r="O65" s="5" t="n"/>
    </row>
    <row r="66" ht="12" customHeight="1" s="73">
      <c r="A66" s="5" t="n"/>
      <c r="B66" s="5" t="n"/>
      <c r="C66" s="5" t="n"/>
      <c r="D66" s="5" t="n"/>
      <c r="E66" s="5" t="n"/>
      <c r="F66" s="5" t="n"/>
      <c r="G66" s="5" t="n"/>
      <c r="H66" s="5" t="n"/>
      <c r="I66" s="5" t="n"/>
      <c r="J66" s="5" t="n"/>
      <c r="K66" s="5" t="n"/>
      <c r="L66" s="5" t="n"/>
      <c r="M66" s="5" t="n"/>
      <c r="N66" s="5" t="n"/>
      <c r="O66" s="5" t="n"/>
    </row>
    <row r="67" ht="12" customHeight="1" s="73">
      <c r="A67" s="5" t="n"/>
      <c r="B67" s="5" t="n"/>
      <c r="C67" s="5" t="n"/>
      <c r="D67" s="5" t="n"/>
      <c r="E67" s="5" t="n"/>
      <c r="F67" s="5" t="n"/>
      <c r="G67" s="5" t="n"/>
      <c r="H67" s="5" t="n"/>
      <c r="I67" s="5" t="n"/>
      <c r="J67" s="5" t="n"/>
      <c r="K67" s="5" t="n"/>
      <c r="L67" s="5" t="n"/>
      <c r="M67" s="5" t="n"/>
      <c r="N67" s="5" t="n"/>
      <c r="O67" s="5" t="n"/>
    </row>
    <row r="68" ht="12" customHeight="1" s="73">
      <c r="A68" s="5" t="n"/>
      <c r="B68" s="5" t="n"/>
      <c r="C68" s="5" t="n"/>
      <c r="D68" s="5" t="n"/>
      <c r="E68" s="5" t="n"/>
      <c r="F68" s="5" t="n"/>
      <c r="G68" s="5" t="n"/>
      <c r="H68" s="5" t="n"/>
      <c r="I68" s="5" t="n"/>
      <c r="J68" s="5" t="n"/>
      <c r="K68" s="5" t="n"/>
      <c r="L68" s="5" t="n"/>
      <c r="M68" s="5" t="n"/>
      <c r="N68" s="5" t="n"/>
      <c r="O68" s="5" t="n"/>
    </row>
    <row r="69" ht="12" customHeight="1" s="73">
      <c r="A69" s="5" t="n"/>
      <c r="B69" s="5" t="n"/>
      <c r="C69" s="5" t="n"/>
      <c r="D69" s="5" t="n"/>
      <c r="E69" s="5" t="n"/>
      <c r="F69" s="5" t="n"/>
      <c r="G69" s="5" t="n"/>
      <c r="H69" s="5" t="n"/>
      <c r="I69" s="5" t="n"/>
      <c r="J69" s="5" t="n"/>
      <c r="K69" s="5" t="n"/>
      <c r="L69" s="5" t="n"/>
      <c r="M69" s="5" t="n"/>
      <c r="N69" s="5" t="n"/>
      <c r="O69" s="5" t="n"/>
    </row>
    <row r="70" ht="12" customHeight="1" s="73">
      <c r="A70" s="5" t="n"/>
      <c r="B70" s="5" t="n"/>
      <c r="C70" s="5" t="n"/>
      <c r="D70" s="5" t="n"/>
      <c r="E70" s="5" t="n"/>
      <c r="F70" s="5" t="n"/>
      <c r="G70" s="5" t="n"/>
      <c r="H70" s="5" t="n"/>
      <c r="I70" s="5" t="n"/>
      <c r="J70" s="5" t="n"/>
      <c r="K70" s="5" t="n"/>
      <c r="L70" s="5" t="n"/>
      <c r="M70" s="5" t="n"/>
      <c r="N70" s="5" t="n"/>
      <c r="O70" s="5" t="n"/>
    </row>
    <row r="71" ht="12" customHeight="1" s="73">
      <c r="A71" s="5" t="n"/>
      <c r="B71" s="5" t="n"/>
      <c r="C71" s="5" t="n"/>
      <c r="D71" s="5" t="n"/>
      <c r="E71" s="5" t="n"/>
      <c r="F71" s="5" t="n"/>
      <c r="G71" s="5" t="n"/>
      <c r="H71" s="5" t="n"/>
      <c r="I71" s="5" t="n"/>
      <c r="J71" s="5" t="n"/>
      <c r="K71" s="5" t="n"/>
      <c r="L71" s="5" t="n"/>
      <c r="M71" s="5" t="n"/>
      <c r="N71" s="5" t="n"/>
      <c r="O71" s="5" t="n"/>
    </row>
    <row r="72" ht="12" customHeight="1" s="73">
      <c r="A72" s="5" t="n"/>
      <c r="B72" s="5" t="n"/>
      <c r="C72" s="5" t="n"/>
      <c r="D72" s="5" t="n"/>
      <c r="E72" s="5" t="n"/>
      <c r="F72" s="5" t="n"/>
      <c r="G72" s="5" t="n"/>
      <c r="H72" s="5" t="n"/>
      <c r="I72" s="5" t="n"/>
      <c r="J72" s="5" t="n"/>
      <c r="K72" s="5" t="n"/>
      <c r="L72" s="5" t="n"/>
      <c r="M72" s="5" t="n"/>
      <c r="N72" s="5" t="n"/>
      <c r="O72" s="5" t="n"/>
    </row>
    <row r="73" ht="12" customHeight="1" s="73">
      <c r="A73" s="5" t="n"/>
      <c r="B73" s="5" t="n"/>
      <c r="C73" s="5" t="n"/>
      <c r="D73" s="5" t="n"/>
      <c r="E73" s="5" t="n"/>
      <c r="F73" s="5" t="n"/>
      <c r="G73" s="5" t="n"/>
      <c r="H73" s="5" t="n"/>
      <c r="I73" s="5" t="n"/>
      <c r="J73" s="5" t="n"/>
      <c r="K73" s="5" t="n"/>
      <c r="L73" s="5" t="n"/>
      <c r="M73" s="5" t="n"/>
      <c r="N73" s="5" t="n"/>
      <c r="O73" s="5" t="n"/>
    </row>
    <row r="74" ht="12" customHeight="1" s="73">
      <c r="A74" s="5" t="n"/>
      <c r="B74" s="5" t="n"/>
      <c r="C74" s="5" t="n"/>
      <c r="D74" s="5" t="n"/>
      <c r="E74" s="5" t="n"/>
      <c r="F74" s="5" t="n"/>
      <c r="G74" s="5" t="n"/>
      <c r="H74" s="5" t="n"/>
      <c r="I74" s="5" t="n"/>
      <c r="J74" s="5" t="n"/>
      <c r="K74" s="5" t="n"/>
      <c r="L74" s="5" t="n"/>
      <c r="M74" s="5" t="n"/>
      <c r="N74" s="5" t="n"/>
      <c r="O74" s="5" t="n"/>
    </row>
    <row r="75" ht="12" customHeight="1" s="73">
      <c r="A75" s="5" t="n"/>
      <c r="B75" s="5" t="n"/>
      <c r="C75" s="5" t="n"/>
      <c r="D75" s="5" t="n"/>
      <c r="E75" s="5" t="n"/>
      <c r="F75" s="5" t="n"/>
      <c r="G75" s="5" t="n"/>
      <c r="H75" s="5" t="n"/>
      <c r="I75" s="5" t="n"/>
      <c r="J75" s="5" t="n"/>
      <c r="K75" s="5" t="n"/>
      <c r="L75" s="5" t="n"/>
      <c r="M75" s="5" t="n"/>
      <c r="N75" s="5" t="n"/>
      <c r="O75" s="5" t="n"/>
    </row>
    <row r="76" ht="12" customHeight="1" s="73">
      <c r="A76" s="5" t="n"/>
      <c r="B76" s="5" t="n"/>
      <c r="C76" s="5" t="n"/>
      <c r="D76" s="5" t="n"/>
      <c r="E76" s="5" t="n"/>
      <c r="F76" s="5" t="n"/>
      <c r="G76" s="5" t="n"/>
      <c r="H76" s="5" t="n"/>
      <c r="I76" s="5" t="n"/>
      <c r="J76" s="5" t="n"/>
      <c r="K76" s="5" t="n"/>
      <c r="L76" s="5" t="n"/>
      <c r="M76" s="5" t="n"/>
      <c r="N76" s="5" t="n"/>
      <c r="O76" s="5" t="n"/>
    </row>
    <row r="77" ht="12" customHeight="1" s="73">
      <c r="A77" s="5" t="n"/>
      <c r="B77" s="5" t="n"/>
      <c r="C77" s="5" t="n"/>
      <c r="D77" s="5" t="n"/>
      <c r="E77" s="5" t="n"/>
      <c r="F77" s="5" t="n"/>
      <c r="G77" s="5" t="n"/>
      <c r="H77" s="5" t="n"/>
      <c r="I77" s="5" t="n"/>
      <c r="J77" s="5" t="n"/>
      <c r="K77" s="5" t="n"/>
      <c r="L77" s="5" t="n"/>
      <c r="M77" s="5" t="n"/>
      <c r="N77" s="5" t="n"/>
      <c r="O77" s="5" t="n"/>
    </row>
    <row r="78" ht="12" customHeight="1" s="73">
      <c r="A78" s="5" t="n"/>
      <c r="B78" s="5" t="n"/>
      <c r="C78" s="5" t="n"/>
      <c r="D78" s="5" t="n"/>
      <c r="E78" s="5" t="n"/>
      <c r="F78" s="5" t="n"/>
      <c r="G78" s="5" t="n"/>
      <c r="H78" s="5" t="n"/>
      <c r="I78" s="5" t="n"/>
      <c r="J78" s="5" t="n"/>
      <c r="K78" s="5" t="n"/>
      <c r="L78" s="5" t="n"/>
      <c r="M78" s="5" t="n"/>
      <c r="N78" s="5" t="n"/>
      <c r="O78" s="5" t="n"/>
    </row>
    <row r="79" ht="12" customHeight="1" s="73">
      <c r="A79" s="5" t="n"/>
      <c r="B79" s="5" t="n"/>
      <c r="C79" s="5" t="n"/>
      <c r="D79" s="5" t="n"/>
      <c r="E79" s="5" t="n"/>
      <c r="F79" s="5" t="n"/>
      <c r="G79" s="5" t="n"/>
      <c r="H79" s="5" t="n"/>
      <c r="I79" s="5" t="n"/>
      <c r="J79" s="5" t="n"/>
      <c r="K79" s="5" t="n"/>
      <c r="L79" s="5" t="n"/>
      <c r="M79" s="5" t="n"/>
      <c r="N79" s="5" t="n"/>
      <c r="O79" s="5" t="n"/>
    </row>
    <row r="80" ht="12" customHeight="1" s="73">
      <c r="A80" s="5" t="n"/>
      <c r="B80" s="5" t="n"/>
      <c r="C80" s="5" t="n"/>
      <c r="D80" s="5" t="n"/>
      <c r="E80" s="5" t="n"/>
      <c r="F80" s="5" t="n"/>
      <c r="G80" s="5" t="n"/>
      <c r="H80" s="5" t="n"/>
      <c r="I80" s="5" t="n"/>
      <c r="J80" s="5" t="n"/>
      <c r="K80" s="5" t="n"/>
      <c r="L80" s="5" t="n"/>
      <c r="M80" s="5" t="n"/>
      <c r="N80" s="5" t="n"/>
      <c r="O80" s="5" t="n"/>
    </row>
    <row r="81" ht="12" customHeight="1" s="73">
      <c r="A81" s="5" t="n"/>
      <c r="B81" s="5" t="n"/>
      <c r="C81" s="5" t="n"/>
      <c r="D81" s="5" t="n"/>
      <c r="E81" s="5" t="n"/>
      <c r="F81" s="5" t="n"/>
      <c r="G81" s="5" t="n"/>
      <c r="H81" s="5" t="n"/>
      <c r="I81" s="5" t="n"/>
      <c r="J81" s="5" t="n"/>
      <c r="K81" s="5" t="n"/>
      <c r="L81" s="5" t="n"/>
      <c r="M81" s="5" t="n"/>
      <c r="N81" s="5" t="n"/>
      <c r="O81" s="5" t="n"/>
    </row>
    <row r="82" ht="12" customHeight="1" s="73">
      <c r="A82" s="5" t="n"/>
      <c r="B82" s="5" t="n"/>
      <c r="C82" s="5" t="n"/>
      <c r="D82" s="5" t="n"/>
      <c r="E82" s="5" t="n"/>
      <c r="F82" s="5" t="n"/>
      <c r="G82" s="5" t="n"/>
      <c r="H82" s="5" t="n"/>
      <c r="I82" s="5" t="n"/>
      <c r="J82" s="5" t="n"/>
      <c r="K82" s="5" t="n"/>
      <c r="L82" s="5" t="n"/>
      <c r="M82" s="5" t="n"/>
      <c r="N82" s="5" t="n"/>
      <c r="O82" s="5" t="n"/>
    </row>
    <row r="83" ht="12" customHeight="1" s="73">
      <c r="A83" s="5" t="n"/>
      <c r="B83" s="5" t="n"/>
      <c r="C83" s="5" t="n"/>
      <c r="D83" s="5" t="n"/>
      <c r="E83" s="5" t="n"/>
      <c r="F83" s="5" t="n"/>
      <c r="G83" s="5" t="n"/>
      <c r="H83" s="5" t="n"/>
      <c r="I83" s="5" t="n"/>
      <c r="J83" s="5" t="n"/>
      <c r="K83" s="5" t="n"/>
      <c r="L83" s="5" t="n"/>
      <c r="M83" s="5" t="n"/>
      <c r="N83" s="5" t="n"/>
      <c r="O83" s="5" t="n"/>
    </row>
    <row r="84" ht="12" customHeight="1" s="73">
      <c r="A84" s="5" t="n"/>
      <c r="B84" s="5" t="n"/>
      <c r="C84" s="5" t="n"/>
      <c r="D84" s="5" t="n"/>
      <c r="E84" s="5" t="n"/>
      <c r="F84" s="5" t="n"/>
      <c r="G84" s="5" t="n"/>
      <c r="H84" s="5" t="n"/>
      <c r="I84" s="5" t="n"/>
      <c r="J84" s="5" t="n"/>
      <c r="K84" s="5" t="n"/>
      <c r="L84" s="5" t="n"/>
      <c r="M84" s="5" t="n"/>
      <c r="N84" s="5" t="n"/>
      <c r="O84" s="5" t="n"/>
    </row>
    <row r="85" ht="12" customHeight="1" s="73">
      <c r="A85" s="5" t="n"/>
      <c r="B85" s="5" t="n"/>
      <c r="C85" s="5" t="n"/>
      <c r="D85" s="5" t="n"/>
      <c r="E85" s="5" t="n"/>
      <c r="F85" s="5" t="n"/>
      <c r="G85" s="5" t="n"/>
      <c r="H85" s="5" t="n"/>
      <c r="I85" s="5" t="n"/>
      <c r="J85" s="5" t="n"/>
      <c r="K85" s="5" t="n"/>
      <c r="L85" s="5" t="n"/>
      <c r="M85" s="5" t="n"/>
      <c r="N85" s="5" t="n"/>
      <c r="O85" s="5" t="n"/>
    </row>
    <row r="86" ht="12" customHeight="1" s="73">
      <c r="A86" s="5" t="n"/>
      <c r="B86" s="5" t="n"/>
      <c r="C86" s="5" t="n"/>
      <c r="D86" s="5" t="n"/>
      <c r="E86" s="5" t="n"/>
      <c r="F86" s="5" t="n"/>
      <c r="G86" s="5" t="n"/>
      <c r="H86" s="5" t="n"/>
      <c r="I86" s="5" t="n"/>
      <c r="J86" s="5" t="n"/>
      <c r="K86" s="5" t="n"/>
      <c r="L86" s="5" t="n"/>
      <c r="M86" s="5" t="n"/>
      <c r="N86" s="5" t="n"/>
      <c r="O86" s="5" t="n"/>
    </row>
    <row r="87" ht="12" customHeight="1" s="73">
      <c r="A87" s="5" t="n"/>
      <c r="B87" s="5" t="n"/>
      <c r="C87" s="5" t="n"/>
      <c r="D87" s="5" t="n"/>
      <c r="E87" s="5" t="n"/>
      <c r="F87" s="5" t="n"/>
      <c r="G87" s="5" t="n"/>
      <c r="H87" s="5" t="n"/>
      <c r="I87" s="5" t="n"/>
      <c r="J87" s="5" t="n"/>
      <c r="K87" s="5" t="n"/>
      <c r="L87" s="5" t="n"/>
      <c r="M87" s="5" t="n"/>
      <c r="N87" s="5" t="n"/>
      <c r="O87" s="5" t="n"/>
    </row>
    <row r="88" ht="12" customHeight="1" s="73">
      <c r="A88" s="5" t="n"/>
      <c r="B88" s="5" t="n"/>
      <c r="C88" s="5" t="n"/>
      <c r="D88" s="5" t="n"/>
      <c r="E88" s="5" t="n"/>
      <c r="F88" s="5" t="n"/>
      <c r="G88" s="5" t="n"/>
      <c r="H88" s="5" t="n"/>
      <c r="I88" s="5" t="n"/>
      <c r="J88" s="5" t="n"/>
      <c r="K88" s="5" t="n"/>
      <c r="L88" s="5" t="n"/>
      <c r="M88" s="5" t="n"/>
      <c r="N88" s="5" t="n"/>
      <c r="O88" s="5" t="n"/>
    </row>
    <row r="89" ht="12" customHeight="1" s="73">
      <c r="A89" s="5" t="n"/>
      <c r="B89" s="5" t="n"/>
      <c r="C89" s="5" t="n"/>
      <c r="D89" s="5" t="n"/>
      <c r="E89" s="5" t="n"/>
      <c r="F89" s="5" t="n"/>
      <c r="G89" s="5" t="n"/>
      <c r="H89" s="5" t="n"/>
      <c r="I89" s="5" t="n"/>
      <c r="J89" s="5" t="n"/>
      <c r="K89" s="5" t="n"/>
      <c r="L89" s="5" t="n"/>
      <c r="M89" s="5" t="n"/>
      <c r="N89" s="5" t="n"/>
      <c r="O89" s="5" t="n"/>
    </row>
    <row r="90" ht="12" customHeight="1" s="73">
      <c r="A90" s="5" t="n"/>
      <c r="B90" s="5" t="n"/>
      <c r="C90" s="5" t="n"/>
      <c r="D90" s="5" t="n"/>
      <c r="E90" s="5" t="n"/>
      <c r="F90" s="5" t="n"/>
      <c r="G90" s="5" t="n"/>
      <c r="H90" s="5" t="n"/>
      <c r="I90" s="5" t="n"/>
      <c r="J90" s="5" t="n"/>
      <c r="K90" s="5" t="n"/>
      <c r="L90" s="5" t="n"/>
      <c r="M90" s="5" t="n"/>
      <c r="N90" s="5" t="n"/>
      <c r="O90" s="5" t="n"/>
    </row>
    <row r="91" ht="12" customHeight="1" s="73">
      <c r="A91" s="5" t="n"/>
      <c r="B91" s="5" t="n"/>
      <c r="C91" s="5" t="n"/>
      <c r="D91" s="5" t="n"/>
      <c r="E91" s="5" t="n"/>
      <c r="F91" s="5" t="n"/>
      <c r="G91" s="5" t="n"/>
      <c r="H91" s="5" t="n"/>
      <c r="I91" s="5" t="n"/>
      <c r="J91" s="5" t="n"/>
      <c r="K91" s="5" t="n"/>
      <c r="L91" s="5" t="n"/>
      <c r="M91" s="5" t="n"/>
      <c r="N91" s="5" t="n"/>
      <c r="O91" s="5" t="n"/>
    </row>
    <row r="92" ht="12" customHeight="1" s="73">
      <c r="A92" s="5" t="n"/>
      <c r="B92" s="5" t="n"/>
      <c r="C92" s="5" t="n"/>
      <c r="D92" s="5" t="n"/>
      <c r="E92" s="5" t="n"/>
      <c r="F92" s="5" t="n"/>
      <c r="G92" s="5" t="n"/>
      <c r="H92" s="5" t="n"/>
      <c r="I92" s="5" t="n"/>
      <c r="J92" s="5" t="n"/>
      <c r="K92" s="5" t="n"/>
      <c r="L92" s="5" t="n"/>
      <c r="M92" s="5" t="n"/>
      <c r="N92" s="5" t="n"/>
      <c r="O92" s="5" t="n"/>
    </row>
    <row r="93" ht="12" customHeight="1" s="73">
      <c r="A93" s="5" t="n"/>
      <c r="B93" s="5" t="n"/>
      <c r="C93" s="5" t="n"/>
      <c r="D93" s="5" t="n"/>
      <c r="E93" s="5" t="n"/>
      <c r="F93" s="5" t="n"/>
      <c r="G93" s="5" t="n"/>
      <c r="H93" s="5" t="n"/>
      <c r="I93" s="5" t="n"/>
      <c r="J93" s="5" t="n"/>
      <c r="K93" s="5" t="n"/>
      <c r="L93" s="5" t="n"/>
      <c r="M93" s="5" t="n"/>
      <c r="N93" s="5" t="n"/>
      <c r="O93" s="5" t="n"/>
    </row>
    <row r="94" ht="12" customHeight="1" s="73">
      <c r="A94" s="5" t="n"/>
      <c r="B94" s="5" t="n"/>
      <c r="C94" s="5" t="n"/>
      <c r="D94" s="5" t="n"/>
      <c r="E94" s="5" t="n"/>
      <c r="F94" s="5" t="n"/>
      <c r="G94" s="5" t="n"/>
      <c r="H94" s="5" t="n"/>
      <c r="I94" s="5" t="n"/>
      <c r="J94" s="5" t="n"/>
      <c r="K94" s="5" t="n"/>
      <c r="L94" s="5" t="n"/>
      <c r="M94" s="5" t="n"/>
      <c r="N94" s="5" t="n"/>
      <c r="O94" s="5" t="n"/>
    </row>
    <row r="95" ht="12" customHeight="1" s="73">
      <c r="A95" s="5" t="n"/>
      <c r="B95" s="5" t="n"/>
      <c r="C95" s="5" t="n"/>
      <c r="D95" s="5" t="n"/>
      <c r="E95" s="5" t="n"/>
      <c r="F95" s="5" t="n"/>
      <c r="G95" s="5" t="n"/>
      <c r="H95" s="5" t="n"/>
      <c r="I95" s="5" t="n"/>
      <c r="J95" s="5" t="n"/>
      <c r="K95" s="5" t="n"/>
      <c r="L95" s="5" t="n"/>
      <c r="M95" s="5" t="n"/>
      <c r="N95" s="5" t="n"/>
      <c r="O95" s="5" t="n"/>
    </row>
    <row r="96" ht="12" customHeight="1" s="73">
      <c r="A96" s="5" t="n"/>
      <c r="B96" s="5" t="n"/>
      <c r="C96" s="5" t="n"/>
      <c r="D96" s="5" t="n"/>
      <c r="E96" s="5" t="n"/>
      <c r="F96" s="5" t="n"/>
      <c r="G96" s="5" t="n"/>
      <c r="H96" s="5" t="n"/>
      <c r="I96" s="5" t="n"/>
      <c r="J96" s="5" t="n"/>
      <c r="K96" s="5" t="n"/>
      <c r="L96" s="5" t="n"/>
      <c r="M96" s="5" t="n"/>
      <c r="N96" s="5" t="n"/>
      <c r="O96" s="5" t="n"/>
    </row>
    <row r="97" ht="12" customHeight="1" s="73">
      <c r="A97" s="5" t="n"/>
      <c r="B97" s="5" t="n"/>
      <c r="C97" s="5" t="n"/>
      <c r="D97" s="5" t="n"/>
      <c r="E97" s="5" t="n"/>
      <c r="F97" s="5" t="n"/>
      <c r="G97" s="5" t="n"/>
      <c r="H97" s="5" t="n"/>
      <c r="I97" s="5" t="n"/>
      <c r="J97" s="5" t="n"/>
      <c r="K97" s="5" t="n"/>
      <c r="L97" s="5" t="n"/>
      <c r="M97" s="5" t="n"/>
      <c r="N97" s="5" t="n"/>
      <c r="O97" s="5" t="n"/>
    </row>
    <row r="98" ht="12" customHeight="1" s="73">
      <c r="A98" s="5" t="n"/>
      <c r="B98" s="5" t="n"/>
      <c r="C98" s="5" t="n"/>
      <c r="D98" s="5" t="n"/>
      <c r="E98" s="5" t="n"/>
      <c r="F98" s="5" t="n"/>
      <c r="G98" s="5" t="n"/>
      <c r="H98" s="5" t="n"/>
      <c r="I98" s="5" t="n"/>
      <c r="J98" s="5" t="n"/>
      <c r="K98" s="5" t="n"/>
      <c r="L98" s="5" t="n"/>
      <c r="M98" s="5" t="n"/>
      <c r="N98" s="5" t="n"/>
      <c r="O98" s="5" t="n"/>
    </row>
    <row r="99" ht="12" customHeight="1" s="73">
      <c r="A99" s="5" t="n"/>
      <c r="B99" s="5" t="n"/>
      <c r="C99" s="5" t="n"/>
      <c r="D99" s="5" t="n"/>
      <c r="E99" s="5" t="n"/>
      <c r="F99" s="5" t="n"/>
      <c r="G99" s="5" t="n"/>
      <c r="H99" s="5" t="n"/>
      <c r="I99" s="5" t="n"/>
      <c r="J99" s="5" t="n"/>
      <c r="K99" s="5" t="n"/>
      <c r="L99" s="5" t="n"/>
      <c r="M99" s="5" t="n"/>
      <c r="N99" s="5" t="n"/>
      <c r="O99" s="5" t="n"/>
    </row>
    <row r="100" ht="12" customHeight="1" s="73">
      <c r="A100" s="5" t="n"/>
      <c r="B100" s="5" t="n"/>
      <c r="C100" s="5" t="n"/>
      <c r="D100" s="5" t="n"/>
      <c r="E100" s="5" t="n"/>
      <c r="F100" s="5" t="n"/>
      <c r="G100" s="5" t="n"/>
      <c r="H100" s="5" t="n"/>
      <c r="I100" s="5" t="n"/>
      <c r="J100" s="5" t="n"/>
      <c r="K100" s="5" t="n"/>
      <c r="L100" s="5" t="n"/>
      <c r="M100" s="5" t="n"/>
      <c r="N100" s="5" t="n"/>
      <c r="O100" s="5" t="n"/>
    </row>
    <row r="101" ht="15.75" customHeight="1" s="73"/>
    <row r="102" ht="15.75" customHeight="1" s="73"/>
    <row r="103" ht="15.75" customHeight="1" s="73"/>
    <row r="104" ht="15.75" customHeight="1" s="73"/>
    <row r="105" ht="15.75" customHeight="1" s="73"/>
    <row r="106" ht="15.75" customHeight="1" s="73"/>
    <row r="107" ht="15.75" customHeight="1" s="73"/>
    <row r="108" ht="15.75" customHeight="1" s="73"/>
    <row r="109" ht="15.75" customHeight="1" s="73"/>
    <row r="110" ht="15.75" customHeight="1" s="73"/>
    <row r="111" ht="15.75" customHeight="1" s="73"/>
    <row r="112" ht="15.75" customHeight="1" s="73"/>
    <row r="113" ht="15.75" customHeight="1" s="73"/>
    <row r="114" ht="15.75" customHeight="1" s="73"/>
    <row r="115" ht="15.75" customHeight="1" s="73"/>
    <row r="116" ht="15.75" customHeight="1" s="73"/>
    <row r="117" ht="15.75" customHeight="1" s="73"/>
    <row r="118" ht="15.75" customHeight="1" s="73"/>
    <row r="119" ht="15.75" customHeight="1" s="73"/>
    <row r="120" ht="15.75" customHeight="1" s="73"/>
    <row r="121" ht="15.75" customHeight="1" s="73"/>
    <row r="122" ht="15.75" customHeight="1" s="73"/>
    <row r="123" ht="15.75" customHeight="1" s="73"/>
    <row r="124" ht="15.75" customHeight="1" s="73"/>
    <row r="125" ht="15.75" customHeight="1" s="73"/>
    <row r="126" ht="15.75" customHeight="1" s="73"/>
    <row r="127" ht="15.75" customHeight="1" s="73"/>
    <row r="128" ht="15.75" customHeight="1" s="73"/>
    <row r="129" ht="15.75" customHeight="1" s="73"/>
    <row r="130" ht="15.75" customHeight="1" s="73"/>
    <row r="131" ht="15.75" customHeight="1" s="73"/>
    <row r="132" ht="15.75" customHeight="1" s="73"/>
    <row r="133" ht="15.75" customHeight="1" s="73"/>
    <row r="134" ht="15.75" customHeight="1" s="73"/>
    <row r="135" ht="15.75" customHeight="1" s="73"/>
    <row r="136" ht="15.75" customHeight="1" s="73"/>
    <row r="137" ht="15.75" customHeight="1" s="73"/>
    <row r="138" ht="15.75" customHeight="1" s="73"/>
    <row r="139" ht="15.75" customHeight="1" s="73"/>
    <row r="140" ht="15.75" customHeight="1" s="73"/>
    <row r="141" ht="15.75" customHeight="1" s="73"/>
    <row r="142" ht="15.75" customHeight="1" s="73"/>
    <row r="143" ht="15.75" customHeight="1" s="73"/>
    <row r="144" ht="15.75" customHeight="1" s="73"/>
    <row r="145" ht="15.75" customHeight="1" s="73"/>
    <row r="146" ht="15.75" customHeight="1" s="73"/>
    <row r="147" ht="15.75" customHeight="1" s="73"/>
    <row r="148" ht="15.75" customHeight="1" s="73"/>
    <row r="149" ht="15.75" customHeight="1" s="73"/>
    <row r="150" ht="15.75" customHeight="1" s="73"/>
    <row r="151" ht="15.75" customHeight="1" s="73"/>
    <row r="152" ht="15.75" customHeight="1" s="73"/>
    <row r="153" ht="15.75" customHeight="1" s="73"/>
    <row r="154" ht="15.75" customHeight="1" s="73"/>
    <row r="155" ht="15.75" customHeight="1" s="73"/>
    <row r="156" ht="15.75" customHeight="1" s="73"/>
    <row r="157" ht="15.75" customHeight="1" s="73"/>
    <row r="158" ht="15.75" customHeight="1" s="73"/>
    <row r="159" ht="15.75" customHeight="1" s="73"/>
    <row r="160" ht="15.75" customHeight="1" s="73"/>
    <row r="161" ht="15.75" customHeight="1" s="73"/>
    <row r="162" ht="15.75" customHeight="1" s="73"/>
    <row r="163" ht="15.75" customHeight="1" s="73"/>
    <row r="164" ht="15.75" customHeight="1" s="73"/>
    <row r="165" ht="15.75" customHeight="1" s="73"/>
    <row r="166" ht="15.75" customHeight="1" s="73"/>
    <row r="167" ht="15.75" customHeight="1" s="73"/>
    <row r="168" ht="15.75" customHeight="1" s="73"/>
    <row r="169" ht="15.75" customHeight="1" s="73"/>
    <row r="170" ht="15.75" customHeight="1" s="73"/>
    <row r="171" ht="15.75" customHeight="1" s="73"/>
    <row r="172" ht="15.75" customHeight="1" s="73"/>
    <row r="173" ht="15.75" customHeight="1" s="73"/>
    <row r="174" ht="15.75" customHeight="1" s="73"/>
    <row r="175" ht="15.75" customHeight="1" s="73"/>
    <row r="176" ht="15.75" customHeight="1" s="73"/>
    <row r="177" ht="15.75" customHeight="1" s="73"/>
    <row r="178" ht="15.75" customHeight="1" s="73"/>
    <row r="179" ht="15.75" customHeight="1" s="73"/>
    <row r="180" ht="15.75" customHeight="1" s="73"/>
    <row r="181" ht="15.75" customHeight="1" s="73"/>
    <row r="182" ht="15.75" customHeight="1" s="73"/>
    <row r="183" ht="15.75" customHeight="1" s="73"/>
    <row r="184" ht="15.75" customHeight="1" s="73"/>
    <row r="185" ht="15.75" customHeight="1" s="73"/>
    <row r="186" ht="15.75" customHeight="1" s="73"/>
    <row r="187" ht="15.75" customHeight="1" s="73"/>
    <row r="188" ht="15.75" customHeight="1" s="73"/>
    <row r="189" ht="15.75" customHeight="1" s="73"/>
    <row r="190" ht="15.75" customHeight="1" s="73"/>
    <row r="191" ht="15.75" customHeight="1" s="73"/>
    <row r="192" ht="15.75" customHeight="1" s="73"/>
    <row r="193" ht="15.75" customHeight="1" s="73"/>
    <row r="194" ht="15.75" customHeight="1" s="73"/>
    <row r="195" ht="15.75" customHeight="1" s="73"/>
    <row r="196" ht="15.75" customHeight="1" s="73"/>
    <row r="197" ht="15.75" customHeight="1" s="73"/>
    <row r="198" ht="15.75" customHeight="1" s="73"/>
    <row r="199" ht="15.75" customHeight="1" s="73"/>
    <row r="200" ht="15.75" customHeight="1" s="73"/>
    <row r="201" ht="15.75" customHeight="1" s="73"/>
    <row r="202" ht="15.75" customHeight="1" s="73"/>
    <row r="203" ht="15.75" customHeight="1" s="73"/>
    <row r="204" ht="15.75" customHeight="1" s="73"/>
    <row r="205" ht="15.75" customHeight="1" s="73"/>
    <row r="206" ht="15.75" customHeight="1" s="73"/>
    <row r="207" ht="15.75" customHeight="1" s="73"/>
    <row r="208" ht="15.75" customHeight="1" s="73"/>
    <row r="209" ht="15.75" customHeight="1" s="73"/>
    <row r="210" ht="15.75" customHeight="1" s="73"/>
    <row r="211" ht="15.75" customHeight="1" s="73"/>
    <row r="212" ht="15.75" customHeight="1" s="73"/>
    <row r="213" ht="15.75" customHeight="1" s="73"/>
    <row r="214" ht="15.75" customHeight="1" s="73"/>
    <row r="215" ht="15.75" customHeight="1" s="73"/>
    <row r="216" ht="15.75" customHeight="1" s="73"/>
    <row r="217" ht="15.75" customHeight="1" s="73"/>
    <row r="218" ht="15.75" customHeight="1" s="73"/>
    <row r="219" ht="15.75" customHeight="1" s="73"/>
    <row r="220" ht="15.75" customHeight="1" s="73"/>
    <row r="221" ht="15.75" customHeight="1" s="73"/>
    <row r="222" ht="15.75" customHeight="1" s="73"/>
    <row r="223" ht="15.75" customHeight="1" s="73"/>
    <row r="224" ht="15.75" customHeight="1" s="73"/>
    <row r="225" ht="15.75" customHeight="1" s="73"/>
    <row r="226" ht="15.75" customHeight="1" s="73"/>
    <row r="227" ht="15.75" customHeight="1" s="73"/>
    <row r="228" ht="15.75" customHeight="1" s="73"/>
    <row r="229" ht="15.75" customHeight="1" s="73"/>
    <row r="230" ht="15.75" customHeight="1" s="73"/>
    <row r="231" ht="15.75" customHeight="1" s="73"/>
    <row r="232" ht="15.75" customHeight="1" s="73"/>
    <row r="233" ht="15.75" customHeight="1" s="73"/>
    <row r="234" ht="15.75" customHeight="1" s="73"/>
    <row r="235" ht="15.75" customHeight="1" s="73"/>
    <row r="236" ht="15.75" customHeight="1" s="73"/>
    <row r="237" ht="15.75" customHeight="1" s="73"/>
    <row r="238" ht="15.75" customHeight="1" s="73"/>
    <row r="239" ht="15.75" customHeight="1" s="73"/>
    <row r="240" ht="15.75" customHeight="1" s="73"/>
    <row r="241" ht="15.75" customHeight="1" s="73"/>
    <row r="242" ht="15.75" customHeight="1" s="73"/>
    <row r="243" ht="15.75" customHeight="1" s="73"/>
    <row r="244" ht="15.75" customHeight="1" s="73"/>
    <row r="245" ht="15.75" customHeight="1" s="73"/>
    <row r="246" ht="15.75" customHeight="1" s="73"/>
    <row r="247" ht="15.75" customHeight="1" s="73"/>
    <row r="248" ht="15.75" customHeight="1" s="73"/>
    <row r="249" ht="15.75" customHeight="1" s="73"/>
    <row r="250" ht="15.75" customHeight="1" s="73"/>
    <row r="251" ht="15.75" customHeight="1" s="73"/>
    <row r="252" ht="15.75" customHeight="1" s="73"/>
    <row r="253" ht="15.75" customHeight="1" s="73"/>
    <row r="254" ht="15.75" customHeight="1" s="73"/>
    <row r="255" ht="15.75" customHeight="1" s="73"/>
    <row r="256" ht="15.75" customHeight="1" s="73"/>
    <row r="257" ht="15.75" customHeight="1" s="73"/>
    <row r="258" ht="15.75" customHeight="1" s="73"/>
    <row r="259" ht="15.75" customHeight="1" s="73"/>
    <row r="260" ht="15.75" customHeight="1" s="73"/>
    <row r="261" ht="15.75" customHeight="1" s="73"/>
    <row r="262" ht="15.75" customHeight="1" s="73"/>
    <row r="263" ht="15.75" customHeight="1" s="73"/>
    <row r="264" ht="15.75" customHeight="1" s="73"/>
    <row r="265" ht="15.75" customHeight="1" s="73"/>
    <row r="266" ht="15.75" customHeight="1" s="73"/>
    <row r="267" ht="15.75" customHeight="1" s="73"/>
    <row r="268" ht="15.75" customHeight="1" s="73"/>
    <row r="269" ht="15.75" customHeight="1" s="73"/>
    <row r="270" ht="15.75" customHeight="1" s="73"/>
    <row r="271" ht="15.75" customHeight="1" s="73"/>
    <row r="272" ht="15.75" customHeight="1" s="73"/>
    <row r="273" ht="15.75" customHeight="1" s="73"/>
    <row r="274" ht="15.75" customHeight="1" s="73"/>
    <row r="275" ht="15.75" customHeight="1" s="73"/>
    <row r="276" ht="15.75" customHeight="1" s="73"/>
    <row r="277" ht="15.75" customHeight="1" s="73"/>
    <row r="278" ht="15.75" customHeight="1" s="73"/>
    <row r="279" ht="15.75" customHeight="1" s="73"/>
    <row r="280" ht="15.75" customHeight="1" s="73"/>
    <row r="281" ht="15.75" customHeight="1" s="73"/>
    <row r="282" ht="15.75" customHeight="1" s="73"/>
    <row r="283" ht="15.75" customHeight="1" s="73"/>
    <row r="284" ht="15.75" customHeight="1" s="73"/>
    <row r="285" ht="15.75" customHeight="1" s="73"/>
    <row r="286" ht="15.75" customHeight="1" s="73"/>
    <row r="287" ht="15.75" customHeight="1" s="73"/>
    <row r="288" ht="15.75" customHeight="1" s="73"/>
    <row r="289" ht="15.75" customHeight="1" s="73"/>
    <row r="290" ht="15.75" customHeight="1" s="73"/>
    <row r="291" ht="15.75" customHeight="1" s="73"/>
    <row r="292" ht="15.75" customHeight="1" s="73"/>
    <row r="293" ht="15.75" customHeight="1" s="73"/>
    <row r="294" ht="15.75" customHeight="1" s="73"/>
    <row r="295" ht="15.75" customHeight="1" s="73"/>
    <row r="296" ht="15.75" customHeight="1" s="73"/>
    <row r="297" ht="15.75" customHeight="1" s="73"/>
    <row r="298" ht="15.75" customHeight="1" s="73"/>
    <row r="299" ht="15.75" customHeight="1" s="73"/>
    <row r="300" ht="15.75" customHeight="1" s="73"/>
    <row r="301" ht="15.75" customHeight="1" s="73"/>
    <row r="302" ht="15.75" customHeight="1" s="73"/>
    <row r="303" ht="15.75" customHeight="1" s="73"/>
    <row r="304" ht="15.75" customHeight="1" s="73"/>
    <row r="305" ht="15.75" customHeight="1" s="73"/>
    <row r="306" ht="15.75" customHeight="1" s="73"/>
    <row r="307" ht="15.75" customHeight="1" s="73"/>
    <row r="308" ht="15.75" customHeight="1" s="73"/>
    <row r="309" ht="15.75" customHeight="1" s="73"/>
    <row r="310" ht="15.75" customHeight="1" s="73"/>
    <row r="311" ht="15.75" customHeight="1" s="73"/>
    <row r="312" ht="15.75" customHeight="1" s="73"/>
    <row r="313" ht="15.75" customHeight="1" s="73"/>
    <row r="314" ht="15.75" customHeight="1" s="73"/>
    <row r="315" ht="15.75" customHeight="1" s="73"/>
    <row r="316" ht="15.75" customHeight="1" s="73"/>
    <row r="317" ht="15.75" customHeight="1" s="73"/>
    <row r="318" ht="15.75" customHeight="1" s="73"/>
    <row r="319" ht="15.75" customHeight="1" s="73"/>
    <row r="320" ht="15.75" customHeight="1" s="73"/>
    <row r="321" ht="15.75" customHeight="1" s="73"/>
    <row r="322" ht="15.75" customHeight="1" s="73"/>
    <row r="323" ht="15.75" customHeight="1" s="73"/>
    <row r="324" ht="15.75" customHeight="1" s="73"/>
    <row r="325" ht="15.75" customHeight="1" s="73"/>
    <row r="326" ht="15.75" customHeight="1" s="73"/>
    <row r="327" ht="15.75" customHeight="1" s="73"/>
    <row r="328" ht="15.75" customHeight="1" s="73"/>
    <row r="329" ht="15.75" customHeight="1" s="73"/>
    <row r="330" ht="15.75" customHeight="1" s="73"/>
    <row r="331" ht="15.75" customHeight="1" s="73"/>
    <row r="332" ht="15.75" customHeight="1" s="73"/>
    <row r="333" ht="15.75" customHeight="1" s="73"/>
    <row r="334" ht="15.75" customHeight="1" s="73"/>
    <row r="335" ht="15.75" customHeight="1" s="73"/>
    <row r="336" ht="15.75" customHeight="1" s="73"/>
    <row r="337" ht="15.75" customHeight="1" s="73"/>
    <row r="338" ht="15.75" customHeight="1" s="73"/>
    <row r="339" ht="15.75" customHeight="1" s="73"/>
    <row r="340" ht="15.75" customHeight="1" s="73"/>
    <row r="341" ht="15.75" customHeight="1" s="73"/>
    <row r="342" ht="15.75" customHeight="1" s="73"/>
    <row r="343" ht="15.75" customHeight="1" s="73"/>
    <row r="344" ht="15.75" customHeight="1" s="73"/>
    <row r="345" ht="15.75" customHeight="1" s="73"/>
    <row r="346" ht="15.75" customHeight="1" s="73"/>
    <row r="347" ht="15.75" customHeight="1" s="73"/>
    <row r="348" ht="15.75" customHeight="1" s="73"/>
    <row r="349" ht="15.75" customHeight="1" s="73"/>
    <row r="350" ht="15.75" customHeight="1" s="73"/>
    <row r="351" ht="15.75" customHeight="1" s="73"/>
    <row r="352" ht="15.75" customHeight="1" s="73"/>
    <row r="353" ht="15.75" customHeight="1" s="73"/>
    <row r="354" ht="15.75" customHeight="1" s="73"/>
    <row r="355" ht="15.75" customHeight="1" s="73"/>
    <row r="356" ht="15.75" customHeight="1" s="73"/>
    <row r="357" ht="15.75" customHeight="1" s="73"/>
    <row r="358" ht="15.75" customHeight="1" s="73"/>
    <row r="359" ht="15.75" customHeight="1" s="73"/>
    <row r="360" ht="15.75" customHeight="1" s="73"/>
    <row r="361" ht="15.75" customHeight="1" s="73"/>
    <row r="362" ht="15.75" customHeight="1" s="73"/>
    <row r="363" ht="15.75" customHeight="1" s="73"/>
    <row r="364" ht="15.75" customHeight="1" s="73"/>
    <row r="365" ht="15.75" customHeight="1" s="73"/>
    <row r="366" ht="15.75" customHeight="1" s="73"/>
    <row r="367" ht="15.75" customHeight="1" s="73"/>
    <row r="368" ht="15.75" customHeight="1" s="73"/>
    <row r="369" ht="15.75" customHeight="1" s="73"/>
    <row r="370" ht="15.75" customHeight="1" s="73"/>
    <row r="371" ht="15.75" customHeight="1" s="73"/>
    <row r="372" ht="15.75" customHeight="1" s="73"/>
    <row r="373" ht="15.75" customHeight="1" s="73"/>
    <row r="374" ht="15.75" customHeight="1" s="73"/>
    <row r="375" ht="15.75" customHeight="1" s="73"/>
    <row r="376" ht="15.75" customHeight="1" s="73"/>
    <row r="377" ht="15.75" customHeight="1" s="73"/>
    <row r="378" ht="15.75" customHeight="1" s="73"/>
    <row r="379" ht="15.75" customHeight="1" s="73"/>
    <row r="380" ht="15.75" customHeight="1" s="73"/>
    <row r="381" ht="15.75" customHeight="1" s="73"/>
    <row r="382" ht="15.75" customHeight="1" s="73"/>
    <row r="383" ht="15.75" customHeight="1" s="73"/>
    <row r="384" ht="15.75" customHeight="1" s="73"/>
    <row r="385" ht="15.75" customHeight="1" s="73"/>
    <row r="386" ht="15.75" customHeight="1" s="73"/>
    <row r="387" ht="15.75" customHeight="1" s="73"/>
    <row r="388" ht="15.75" customHeight="1" s="73"/>
    <row r="389" ht="15.75" customHeight="1" s="73"/>
    <row r="390" ht="15.75" customHeight="1" s="73"/>
    <row r="391" ht="15.75" customHeight="1" s="73"/>
    <row r="392" ht="15.75" customHeight="1" s="73"/>
    <row r="393" ht="15.75" customHeight="1" s="73"/>
    <row r="394" ht="15.75" customHeight="1" s="73"/>
    <row r="395" ht="15.75" customHeight="1" s="73"/>
    <row r="396" ht="15.75" customHeight="1" s="73"/>
    <row r="397" ht="15.75" customHeight="1" s="73"/>
    <row r="398" ht="15.75" customHeight="1" s="73"/>
    <row r="399" ht="15.75" customHeight="1" s="73"/>
    <row r="400" ht="15.75" customHeight="1" s="73"/>
    <row r="401" ht="15.75" customHeight="1" s="73"/>
    <row r="402" ht="15.75" customHeight="1" s="73"/>
    <row r="403" ht="15.75" customHeight="1" s="73"/>
    <row r="404" ht="15.75" customHeight="1" s="73"/>
    <row r="405" ht="15.75" customHeight="1" s="73"/>
    <row r="406" ht="15.75" customHeight="1" s="73"/>
    <row r="407" ht="15.75" customHeight="1" s="73"/>
    <row r="408" ht="15.75" customHeight="1" s="73"/>
    <row r="409" ht="15.75" customHeight="1" s="73"/>
    <row r="410" ht="15.75" customHeight="1" s="73"/>
    <row r="411" ht="15.75" customHeight="1" s="73"/>
    <row r="412" ht="15.75" customHeight="1" s="73"/>
    <row r="413" ht="15.75" customHeight="1" s="73"/>
    <row r="414" ht="15.75" customHeight="1" s="73"/>
    <row r="415" ht="15.75" customHeight="1" s="73"/>
    <row r="416" ht="15.75" customHeight="1" s="73"/>
    <row r="417" ht="15.75" customHeight="1" s="73"/>
    <row r="418" ht="15.75" customHeight="1" s="73"/>
    <row r="419" ht="15.75" customHeight="1" s="73"/>
    <row r="420" ht="15.75" customHeight="1" s="73"/>
    <row r="421" ht="15.75" customHeight="1" s="73"/>
    <row r="422" ht="15.75" customHeight="1" s="73"/>
    <row r="423" ht="15.75" customHeight="1" s="73"/>
    <row r="424" ht="15.75" customHeight="1" s="73"/>
    <row r="425" ht="15.75" customHeight="1" s="73"/>
    <row r="426" ht="15.75" customHeight="1" s="73"/>
    <row r="427" ht="15.75" customHeight="1" s="73"/>
    <row r="428" ht="15.75" customHeight="1" s="73"/>
    <row r="429" ht="15.75" customHeight="1" s="73"/>
    <row r="430" ht="15.75" customHeight="1" s="73"/>
    <row r="431" ht="15.75" customHeight="1" s="73"/>
    <row r="432" ht="15.75" customHeight="1" s="73"/>
    <row r="433" ht="15.75" customHeight="1" s="73"/>
    <row r="434" ht="15.75" customHeight="1" s="73"/>
    <row r="435" ht="15.75" customHeight="1" s="73"/>
    <row r="436" ht="15.75" customHeight="1" s="73"/>
    <row r="437" ht="15.75" customHeight="1" s="73"/>
    <row r="438" ht="15.75" customHeight="1" s="73"/>
    <row r="439" ht="15.75" customHeight="1" s="73"/>
    <row r="440" ht="15.75" customHeight="1" s="73"/>
    <row r="441" ht="15.75" customHeight="1" s="73"/>
    <row r="442" ht="15.75" customHeight="1" s="73"/>
    <row r="443" ht="15.75" customHeight="1" s="73"/>
    <row r="444" ht="15.75" customHeight="1" s="73"/>
    <row r="445" ht="15.75" customHeight="1" s="73"/>
    <row r="446" ht="15.75" customHeight="1" s="73"/>
    <row r="447" ht="15.75" customHeight="1" s="73"/>
    <row r="448" ht="15.75" customHeight="1" s="73"/>
    <row r="449" ht="15.75" customHeight="1" s="73"/>
    <row r="450" ht="15.75" customHeight="1" s="73"/>
    <row r="451" ht="15.75" customHeight="1" s="73"/>
    <row r="452" ht="15.75" customHeight="1" s="73"/>
    <row r="453" ht="15.75" customHeight="1" s="73"/>
    <row r="454" ht="15.75" customHeight="1" s="73"/>
    <row r="455" ht="15.75" customHeight="1" s="73"/>
    <row r="456" ht="15.75" customHeight="1" s="73"/>
    <row r="457" ht="15.75" customHeight="1" s="73"/>
    <row r="458" ht="15.75" customHeight="1" s="73"/>
    <row r="459" ht="15.75" customHeight="1" s="73"/>
    <row r="460" ht="15.75" customHeight="1" s="73"/>
    <row r="461" ht="15.75" customHeight="1" s="73"/>
    <row r="462" ht="15.75" customHeight="1" s="73"/>
    <row r="463" ht="15.75" customHeight="1" s="73"/>
    <row r="464" ht="15.75" customHeight="1" s="73"/>
    <row r="465" ht="15.75" customHeight="1" s="73"/>
    <row r="466" ht="15.75" customHeight="1" s="73"/>
    <row r="467" ht="15.75" customHeight="1" s="73"/>
    <row r="468" ht="15.75" customHeight="1" s="73"/>
    <row r="469" ht="15.75" customHeight="1" s="73"/>
    <row r="470" ht="15.75" customHeight="1" s="73"/>
    <row r="471" ht="15.75" customHeight="1" s="73"/>
    <row r="472" ht="15.75" customHeight="1" s="73"/>
    <row r="473" ht="15.75" customHeight="1" s="73"/>
    <row r="474" ht="15.75" customHeight="1" s="73"/>
    <row r="475" ht="15.75" customHeight="1" s="73"/>
    <row r="476" ht="15.75" customHeight="1" s="73"/>
    <row r="477" ht="15.75" customHeight="1" s="73"/>
    <row r="478" ht="15.75" customHeight="1" s="73"/>
    <row r="479" ht="15.75" customHeight="1" s="73"/>
    <row r="480" ht="15.75" customHeight="1" s="73"/>
    <row r="481" ht="15.75" customHeight="1" s="73"/>
    <row r="482" ht="15.75" customHeight="1" s="73"/>
    <row r="483" ht="15.75" customHeight="1" s="73"/>
    <row r="484" ht="15.75" customHeight="1" s="73"/>
    <row r="485" ht="15.75" customHeight="1" s="73"/>
    <row r="486" ht="15.75" customHeight="1" s="73"/>
    <row r="487" ht="15.75" customHeight="1" s="73"/>
    <row r="488" ht="15.75" customHeight="1" s="73"/>
    <row r="489" ht="15.75" customHeight="1" s="73"/>
    <row r="490" ht="15.75" customHeight="1" s="73"/>
    <row r="491" ht="15.75" customHeight="1" s="73"/>
    <row r="492" ht="15.75" customHeight="1" s="73"/>
    <row r="493" ht="15.75" customHeight="1" s="73"/>
    <row r="494" ht="15.75" customHeight="1" s="73"/>
    <row r="495" ht="15.75" customHeight="1" s="73"/>
    <row r="496" ht="15.75" customHeight="1" s="73"/>
    <row r="497" ht="15.75" customHeight="1" s="73"/>
    <row r="498" ht="15.75" customHeight="1" s="73"/>
    <row r="499" ht="15.75" customHeight="1" s="73"/>
    <row r="500" ht="15.75" customHeight="1" s="73"/>
    <row r="501" ht="15.75" customHeight="1" s="73"/>
    <row r="502" ht="15.75" customHeight="1" s="73"/>
    <row r="503" ht="15.75" customHeight="1" s="73"/>
    <row r="504" ht="15.75" customHeight="1" s="73"/>
    <row r="505" ht="15.75" customHeight="1" s="73"/>
    <row r="506" ht="15.75" customHeight="1" s="73"/>
    <row r="507" ht="15.75" customHeight="1" s="73"/>
    <row r="508" ht="15.75" customHeight="1" s="73"/>
    <row r="509" ht="15.75" customHeight="1" s="73"/>
    <row r="510" ht="15.75" customHeight="1" s="73"/>
    <row r="511" ht="15.75" customHeight="1" s="73"/>
    <row r="512" ht="15.75" customHeight="1" s="73"/>
    <row r="513" ht="15.75" customHeight="1" s="73"/>
    <row r="514" ht="15.75" customHeight="1" s="73"/>
    <row r="515" ht="15.75" customHeight="1" s="73"/>
    <row r="516" ht="15.75" customHeight="1" s="73"/>
    <row r="517" ht="15.75" customHeight="1" s="73"/>
    <row r="518" ht="15.75" customHeight="1" s="73"/>
    <row r="519" ht="15.75" customHeight="1" s="73"/>
    <row r="520" ht="15.75" customHeight="1" s="73"/>
    <row r="521" ht="15.75" customHeight="1" s="73"/>
    <row r="522" ht="15.75" customHeight="1" s="73"/>
    <row r="523" ht="15.75" customHeight="1" s="73"/>
    <row r="524" ht="15.75" customHeight="1" s="73"/>
    <row r="525" ht="15.75" customHeight="1" s="73"/>
    <row r="526" ht="15.75" customHeight="1" s="73"/>
    <row r="527" ht="15.75" customHeight="1" s="73"/>
    <row r="528" ht="15.75" customHeight="1" s="73"/>
    <row r="529" ht="15.75" customHeight="1" s="73"/>
    <row r="530" ht="15.75" customHeight="1" s="73"/>
    <row r="531" ht="15.75" customHeight="1" s="73"/>
    <row r="532" ht="15.75" customHeight="1" s="73"/>
    <row r="533" ht="15.75" customHeight="1" s="73"/>
    <row r="534" ht="15.75" customHeight="1" s="73"/>
    <row r="535" ht="15.75" customHeight="1" s="73"/>
    <row r="536" ht="15.75" customHeight="1" s="73"/>
    <row r="537" ht="15.75" customHeight="1" s="73"/>
    <row r="538" ht="15.75" customHeight="1" s="73"/>
    <row r="539" ht="15.75" customHeight="1" s="73"/>
    <row r="540" ht="15.75" customHeight="1" s="73"/>
    <row r="541" ht="15.75" customHeight="1" s="73"/>
    <row r="542" ht="15.75" customHeight="1" s="73"/>
    <row r="543" ht="15.75" customHeight="1" s="73"/>
    <row r="544" ht="15.75" customHeight="1" s="73"/>
    <row r="545" ht="15.75" customHeight="1" s="73"/>
    <row r="546" ht="15.75" customHeight="1" s="73"/>
    <row r="547" ht="15.75" customHeight="1" s="73"/>
    <row r="548" ht="15.75" customHeight="1" s="73"/>
    <row r="549" ht="15.75" customHeight="1" s="73"/>
    <row r="550" ht="15.75" customHeight="1" s="73"/>
    <row r="551" ht="15.75" customHeight="1" s="73"/>
    <row r="552" ht="15.75" customHeight="1" s="73"/>
    <row r="553" ht="15.75" customHeight="1" s="73"/>
    <row r="554" ht="15.75" customHeight="1" s="73"/>
    <row r="555" ht="15.75" customHeight="1" s="73"/>
    <row r="556" ht="15.75" customHeight="1" s="73"/>
    <row r="557" ht="15.75" customHeight="1" s="73"/>
    <row r="558" ht="15.75" customHeight="1" s="73"/>
    <row r="559" ht="15.75" customHeight="1" s="73"/>
    <row r="560" ht="15.75" customHeight="1" s="73"/>
    <row r="561" ht="15.75" customHeight="1" s="73"/>
    <row r="562" ht="15.75" customHeight="1" s="73"/>
    <row r="563" ht="15.75" customHeight="1" s="73"/>
    <row r="564" ht="15.75" customHeight="1" s="73"/>
    <row r="565" ht="15.75" customHeight="1" s="73"/>
    <row r="566" ht="15.75" customHeight="1" s="73"/>
    <row r="567" ht="15.75" customHeight="1" s="73"/>
    <row r="568" ht="15.75" customHeight="1" s="73"/>
    <row r="569" ht="15.75" customHeight="1" s="73"/>
    <row r="570" ht="15.75" customHeight="1" s="73"/>
    <row r="571" ht="15.75" customHeight="1" s="73"/>
    <row r="572" ht="15.75" customHeight="1" s="73"/>
    <row r="573" ht="15.75" customHeight="1" s="73"/>
    <row r="574" ht="15.75" customHeight="1" s="73"/>
    <row r="575" ht="15.75" customHeight="1" s="73"/>
    <row r="576" ht="15.75" customHeight="1" s="73"/>
    <row r="577" ht="15.75" customHeight="1" s="73"/>
    <row r="578" ht="15.75" customHeight="1" s="73"/>
    <row r="579" ht="15.75" customHeight="1" s="73"/>
    <row r="580" ht="15.75" customHeight="1" s="73"/>
    <row r="581" ht="15.75" customHeight="1" s="73"/>
    <row r="582" ht="15.75" customHeight="1" s="73"/>
    <row r="583" ht="15.75" customHeight="1" s="73"/>
    <row r="584" ht="15.75" customHeight="1" s="73"/>
    <row r="585" ht="15.75" customHeight="1" s="73"/>
    <row r="586" ht="15.75" customHeight="1" s="73"/>
    <row r="587" ht="15.75" customHeight="1" s="73"/>
    <row r="588" ht="15.75" customHeight="1" s="73"/>
    <row r="589" ht="15.75" customHeight="1" s="73"/>
    <row r="590" ht="15.75" customHeight="1" s="73"/>
    <row r="591" ht="15.75" customHeight="1" s="73"/>
    <row r="592" ht="15.75" customHeight="1" s="73"/>
    <row r="593" ht="15.75" customHeight="1" s="73"/>
    <row r="594" ht="15.75" customHeight="1" s="73"/>
    <row r="595" ht="15.75" customHeight="1" s="73"/>
    <row r="596" ht="15.75" customHeight="1" s="73"/>
    <row r="597" ht="15.75" customHeight="1" s="73"/>
    <row r="598" ht="15.75" customHeight="1" s="73"/>
    <row r="599" ht="15.75" customHeight="1" s="73"/>
    <row r="600" ht="15.75" customHeight="1" s="73"/>
    <row r="601" ht="15.75" customHeight="1" s="73"/>
    <row r="602" ht="15.75" customHeight="1" s="73"/>
    <row r="603" ht="15.75" customHeight="1" s="73"/>
    <row r="604" ht="15.75" customHeight="1" s="73"/>
    <row r="605" ht="15.75" customHeight="1" s="73"/>
    <row r="606" ht="15.75" customHeight="1" s="73"/>
    <row r="607" ht="15.75" customHeight="1" s="73"/>
    <row r="608" ht="15.75" customHeight="1" s="73"/>
    <row r="609" ht="15.75" customHeight="1" s="73"/>
    <row r="610" ht="15.75" customHeight="1" s="73"/>
    <row r="611" ht="15.75" customHeight="1" s="73"/>
    <row r="612" ht="15.75" customHeight="1" s="73"/>
    <row r="613" ht="15.75" customHeight="1" s="73"/>
    <row r="614" ht="15.75" customHeight="1" s="73"/>
    <row r="615" ht="15.75" customHeight="1" s="73"/>
    <row r="616" ht="15.75" customHeight="1" s="73"/>
    <row r="617" ht="15.75" customHeight="1" s="73"/>
    <row r="618" ht="15.75" customHeight="1" s="73"/>
    <row r="619" ht="15.75" customHeight="1" s="73"/>
    <row r="620" ht="15.75" customHeight="1" s="73"/>
    <row r="621" ht="15.75" customHeight="1" s="73"/>
    <row r="622" ht="15.75" customHeight="1" s="73"/>
    <row r="623" ht="15.75" customHeight="1" s="73"/>
    <row r="624" ht="15.75" customHeight="1" s="73"/>
    <row r="625" ht="15.75" customHeight="1" s="73"/>
    <row r="626" ht="15.75" customHeight="1" s="73"/>
    <row r="627" ht="15.75" customHeight="1" s="73"/>
    <row r="628" ht="15.75" customHeight="1" s="73"/>
    <row r="629" ht="15.75" customHeight="1" s="73"/>
    <row r="630" ht="15.75" customHeight="1" s="73"/>
    <row r="631" ht="15.75" customHeight="1" s="73"/>
    <row r="632" ht="15.75" customHeight="1" s="73"/>
    <row r="633" ht="15.75" customHeight="1" s="73"/>
    <row r="634" ht="15.75" customHeight="1" s="73"/>
    <row r="635" ht="15.75" customHeight="1" s="73"/>
    <row r="636" ht="15.75" customHeight="1" s="73"/>
    <row r="637" ht="15.75" customHeight="1" s="73"/>
    <row r="638" ht="15.75" customHeight="1" s="73"/>
    <row r="639" ht="15.75" customHeight="1" s="73"/>
    <row r="640" ht="15.75" customHeight="1" s="73"/>
    <row r="641" ht="15.75" customHeight="1" s="73"/>
    <row r="642" ht="15.75" customHeight="1" s="73"/>
    <row r="643" ht="15.75" customHeight="1" s="73"/>
    <row r="644" ht="15.75" customHeight="1" s="73"/>
    <row r="645" ht="15.75" customHeight="1" s="73"/>
    <row r="646" ht="15.75" customHeight="1" s="73"/>
    <row r="647" ht="15.75" customHeight="1" s="73"/>
    <row r="648" ht="15.75" customHeight="1" s="73"/>
    <row r="649" ht="15.75" customHeight="1" s="73"/>
    <row r="650" ht="15.75" customHeight="1" s="73"/>
    <row r="651" ht="15.75" customHeight="1" s="73"/>
    <row r="652" ht="15.75" customHeight="1" s="73"/>
    <row r="653" ht="15.75" customHeight="1" s="73"/>
    <row r="654" ht="15.75" customHeight="1" s="73"/>
    <row r="655" ht="15.75" customHeight="1" s="73"/>
    <row r="656" ht="15.75" customHeight="1" s="73"/>
    <row r="657" ht="15.75" customHeight="1" s="73"/>
    <row r="658" ht="15.75" customHeight="1" s="73"/>
    <row r="659" ht="15.75" customHeight="1" s="73"/>
    <row r="660" ht="15.75" customHeight="1" s="73"/>
    <row r="661" ht="15.75" customHeight="1" s="73"/>
    <row r="662" ht="15.75" customHeight="1" s="73"/>
    <row r="663" ht="15.75" customHeight="1" s="73"/>
    <row r="664" ht="15.75" customHeight="1" s="73"/>
    <row r="665" ht="15.75" customHeight="1" s="73"/>
    <row r="666" ht="15.75" customHeight="1" s="73"/>
    <row r="667" ht="15.75" customHeight="1" s="73"/>
    <row r="668" ht="15.75" customHeight="1" s="73"/>
    <row r="669" ht="15.75" customHeight="1" s="73"/>
    <row r="670" ht="15.75" customHeight="1" s="73"/>
    <row r="671" ht="15.75" customHeight="1" s="73"/>
    <row r="672" ht="15.75" customHeight="1" s="73"/>
    <row r="673" ht="15.75" customHeight="1" s="73"/>
    <row r="674" ht="15.75" customHeight="1" s="73"/>
    <row r="675" ht="15.75" customHeight="1" s="73"/>
    <row r="676" ht="15.75" customHeight="1" s="73"/>
    <row r="677" ht="15.75" customHeight="1" s="73"/>
    <row r="678" ht="15.75" customHeight="1" s="73"/>
    <row r="679" ht="15.75" customHeight="1" s="73"/>
    <row r="680" ht="15.75" customHeight="1" s="73"/>
    <row r="681" ht="15.75" customHeight="1" s="73"/>
    <row r="682" ht="15.75" customHeight="1" s="73"/>
    <row r="683" ht="15.75" customHeight="1" s="73"/>
    <row r="684" ht="15.75" customHeight="1" s="73"/>
    <row r="685" ht="15.75" customHeight="1" s="73"/>
    <row r="686" ht="15.75" customHeight="1" s="73"/>
    <row r="687" ht="15.75" customHeight="1" s="73"/>
    <row r="688" ht="15.75" customHeight="1" s="73"/>
    <row r="689" ht="15.75" customHeight="1" s="73"/>
    <row r="690" ht="15.75" customHeight="1" s="73"/>
    <row r="691" ht="15.75" customHeight="1" s="73"/>
    <row r="692" ht="15.75" customHeight="1" s="73"/>
    <row r="693" ht="15.75" customHeight="1" s="73"/>
    <row r="694" ht="15.75" customHeight="1" s="73"/>
    <row r="695" ht="15.75" customHeight="1" s="73"/>
    <row r="696" ht="15.75" customHeight="1" s="73"/>
    <row r="697" ht="15.75" customHeight="1" s="73"/>
    <row r="698" ht="15.75" customHeight="1" s="73"/>
    <row r="699" ht="15.75" customHeight="1" s="73"/>
    <row r="700" ht="15.75" customHeight="1" s="73"/>
    <row r="701" ht="15.75" customHeight="1" s="73"/>
    <row r="702" ht="15.75" customHeight="1" s="73"/>
    <row r="703" ht="15.75" customHeight="1" s="73"/>
    <row r="704" ht="15.75" customHeight="1" s="73"/>
    <row r="705" ht="15.75" customHeight="1" s="73"/>
    <row r="706" ht="15.75" customHeight="1" s="73"/>
    <row r="707" ht="15.75" customHeight="1" s="73"/>
    <row r="708" ht="15.75" customHeight="1" s="73"/>
    <row r="709" ht="15.75" customHeight="1" s="73"/>
    <row r="710" ht="15.75" customHeight="1" s="73"/>
    <row r="711" ht="15.75" customHeight="1" s="73"/>
    <row r="712" ht="15.75" customHeight="1" s="73"/>
    <row r="713" ht="15.75" customHeight="1" s="73"/>
    <row r="714" ht="15.75" customHeight="1" s="73"/>
    <row r="715" ht="15.75" customHeight="1" s="73"/>
    <row r="716" ht="15.75" customHeight="1" s="73"/>
    <row r="717" ht="15.75" customHeight="1" s="73"/>
    <row r="718" ht="15.75" customHeight="1" s="73"/>
    <row r="719" ht="15.75" customHeight="1" s="73"/>
    <row r="720" ht="15.75" customHeight="1" s="73"/>
    <row r="721" ht="15.75" customHeight="1" s="73"/>
    <row r="722" ht="15.75" customHeight="1" s="73"/>
    <row r="723" ht="15.75" customHeight="1" s="73"/>
    <row r="724" ht="15.75" customHeight="1" s="73"/>
    <row r="725" ht="15.75" customHeight="1" s="73"/>
    <row r="726" ht="15.75" customHeight="1" s="73"/>
    <row r="727" ht="15.75" customHeight="1" s="73"/>
    <row r="728" ht="15.75" customHeight="1" s="73"/>
    <row r="729" ht="15.75" customHeight="1" s="73"/>
    <row r="730" ht="15.75" customHeight="1" s="73"/>
    <row r="731" ht="15.75" customHeight="1" s="73"/>
    <row r="732" ht="15.75" customHeight="1" s="73"/>
    <row r="733" ht="15.75" customHeight="1" s="73"/>
    <row r="734" ht="15.75" customHeight="1" s="73"/>
    <row r="735" ht="15.75" customHeight="1" s="73"/>
    <row r="736" ht="15.75" customHeight="1" s="73"/>
    <row r="737" ht="15.75" customHeight="1" s="73"/>
    <row r="738" ht="15.75" customHeight="1" s="73"/>
    <row r="739" ht="15.75" customHeight="1" s="73"/>
    <row r="740" ht="15.75" customHeight="1" s="73"/>
    <row r="741" ht="15.75" customHeight="1" s="73"/>
    <row r="742" ht="15.75" customHeight="1" s="73"/>
    <row r="743" ht="15.75" customHeight="1" s="73"/>
    <row r="744" ht="15.75" customHeight="1" s="73"/>
    <row r="745" ht="15.75" customHeight="1" s="73"/>
    <row r="746" ht="15.75" customHeight="1" s="73"/>
    <row r="747" ht="15.75" customHeight="1" s="73"/>
    <row r="748" ht="15.75" customHeight="1" s="73"/>
    <row r="749" ht="15.75" customHeight="1" s="73"/>
    <row r="750" ht="15.75" customHeight="1" s="73"/>
    <row r="751" ht="15.75" customHeight="1" s="73"/>
    <row r="752" ht="15.75" customHeight="1" s="73"/>
    <row r="753" ht="15.75" customHeight="1" s="73"/>
    <row r="754" ht="15.75" customHeight="1" s="73"/>
    <row r="755" ht="15.75" customHeight="1" s="73"/>
    <row r="756" ht="15.75" customHeight="1" s="73"/>
    <row r="757" ht="15.75" customHeight="1" s="73"/>
    <row r="758" ht="15.75" customHeight="1" s="73"/>
    <row r="759" ht="15.75" customHeight="1" s="73"/>
    <row r="760" ht="15.75" customHeight="1" s="73"/>
    <row r="761" ht="15.75" customHeight="1" s="73"/>
    <row r="762" ht="15.75" customHeight="1" s="73"/>
    <row r="763" ht="15.75" customHeight="1" s="73"/>
    <row r="764" ht="15.75" customHeight="1" s="73"/>
    <row r="765" ht="15.75" customHeight="1" s="73"/>
    <row r="766" ht="15.75" customHeight="1" s="73"/>
    <row r="767" ht="15.75" customHeight="1" s="73"/>
    <row r="768" ht="15.75" customHeight="1" s="73"/>
    <row r="769" ht="15.75" customHeight="1" s="73"/>
    <row r="770" ht="15.75" customHeight="1" s="73"/>
    <row r="771" ht="15.75" customHeight="1" s="73"/>
    <row r="772" ht="15.75" customHeight="1" s="73"/>
    <row r="773" ht="15.75" customHeight="1" s="73"/>
    <row r="774" ht="15.75" customHeight="1" s="73"/>
    <row r="775" ht="15.75" customHeight="1" s="73"/>
    <row r="776" ht="15.75" customHeight="1" s="73"/>
    <row r="777" ht="15.75" customHeight="1" s="73"/>
    <row r="778" ht="15.75" customHeight="1" s="73"/>
    <row r="779" ht="15.75" customHeight="1" s="73"/>
    <row r="780" ht="15.75" customHeight="1" s="73"/>
    <row r="781" ht="15.75" customHeight="1" s="73"/>
    <row r="782" ht="15.75" customHeight="1" s="73"/>
    <row r="783" ht="15.75" customHeight="1" s="73"/>
    <row r="784" ht="15.75" customHeight="1" s="73"/>
    <row r="785" ht="15.75" customHeight="1" s="73"/>
    <row r="786" ht="15.75" customHeight="1" s="73"/>
    <row r="787" ht="15.75" customHeight="1" s="73"/>
    <row r="788" ht="15.75" customHeight="1" s="73"/>
    <row r="789" ht="15.75" customHeight="1" s="73"/>
    <row r="790" ht="15.75" customHeight="1" s="73"/>
    <row r="791" ht="15.75" customHeight="1" s="73"/>
    <row r="792" ht="15.75" customHeight="1" s="73"/>
    <row r="793" ht="15.75" customHeight="1" s="73"/>
    <row r="794" ht="15.75" customHeight="1" s="73"/>
    <row r="795" ht="15.75" customHeight="1" s="73"/>
    <row r="796" ht="15.75" customHeight="1" s="73"/>
    <row r="797" ht="15.75" customHeight="1" s="73"/>
    <row r="798" ht="15.75" customHeight="1" s="73"/>
    <row r="799" ht="15.75" customHeight="1" s="73"/>
    <row r="800" ht="15.75" customHeight="1" s="73"/>
    <row r="801" ht="15.75" customHeight="1" s="73"/>
    <row r="802" ht="15.75" customHeight="1" s="73"/>
    <row r="803" ht="15.75" customHeight="1" s="73"/>
    <row r="804" ht="15.75" customHeight="1" s="73"/>
    <row r="805" ht="15.75" customHeight="1" s="73"/>
    <row r="806" ht="15.75" customHeight="1" s="73"/>
    <row r="807" ht="15.75" customHeight="1" s="73"/>
    <row r="808" ht="15.75" customHeight="1" s="73"/>
    <row r="809" ht="15.75" customHeight="1" s="73"/>
    <row r="810" ht="15.75" customHeight="1" s="73"/>
    <row r="811" ht="15.75" customHeight="1" s="73"/>
    <row r="812" ht="15.75" customHeight="1" s="73"/>
    <row r="813" ht="15.75" customHeight="1" s="73"/>
    <row r="814" ht="15.75" customHeight="1" s="73"/>
    <row r="815" ht="15.75" customHeight="1" s="73"/>
    <row r="816" ht="15.75" customHeight="1" s="73"/>
    <row r="817" ht="15.75" customHeight="1" s="73"/>
    <row r="818" ht="15.75" customHeight="1" s="73"/>
    <row r="819" ht="15.75" customHeight="1" s="73"/>
    <row r="820" ht="15.75" customHeight="1" s="73"/>
    <row r="821" ht="15.75" customHeight="1" s="73"/>
    <row r="822" ht="15.75" customHeight="1" s="73"/>
    <row r="823" ht="15.75" customHeight="1" s="73"/>
    <row r="824" ht="15.75" customHeight="1" s="73"/>
    <row r="825" ht="15.75" customHeight="1" s="73"/>
    <row r="826" ht="15.75" customHeight="1" s="73"/>
    <row r="827" ht="15.75" customHeight="1" s="73"/>
    <row r="828" ht="15.75" customHeight="1" s="73"/>
    <row r="829" ht="15.75" customHeight="1" s="73"/>
    <row r="830" ht="15.75" customHeight="1" s="73"/>
    <row r="831" ht="15.75" customHeight="1" s="73"/>
    <row r="832" ht="15.75" customHeight="1" s="73"/>
    <row r="833" ht="15.75" customHeight="1" s="73"/>
    <row r="834" ht="15.75" customHeight="1" s="73"/>
    <row r="835" ht="15.75" customHeight="1" s="73"/>
    <row r="836" ht="15.75" customHeight="1" s="73"/>
    <row r="837" ht="15.75" customHeight="1" s="73"/>
    <row r="838" ht="15.75" customHeight="1" s="73"/>
    <row r="839" ht="15.75" customHeight="1" s="73"/>
    <row r="840" ht="15.75" customHeight="1" s="73"/>
    <row r="841" ht="15.75" customHeight="1" s="73"/>
    <row r="842" ht="15.75" customHeight="1" s="73"/>
    <row r="843" ht="15.75" customHeight="1" s="73"/>
    <row r="844" ht="15.75" customHeight="1" s="73"/>
    <row r="845" ht="15.75" customHeight="1" s="73"/>
    <row r="846" ht="15.75" customHeight="1" s="73"/>
    <row r="847" ht="15.75" customHeight="1" s="73"/>
    <row r="848" ht="15.75" customHeight="1" s="73"/>
    <row r="849" ht="15.75" customHeight="1" s="73"/>
    <row r="850" ht="15.75" customHeight="1" s="73"/>
    <row r="851" ht="15.75" customHeight="1" s="73"/>
    <row r="852" ht="15.75" customHeight="1" s="73"/>
    <row r="853" ht="15.75" customHeight="1" s="73"/>
    <row r="854" ht="15.75" customHeight="1" s="73"/>
    <row r="855" ht="15.75" customHeight="1" s="73"/>
    <row r="856" ht="15.75" customHeight="1" s="73"/>
    <row r="857" ht="15.75" customHeight="1" s="73"/>
    <row r="858" ht="15.75" customHeight="1" s="73"/>
    <row r="859" ht="15.75" customHeight="1" s="73"/>
    <row r="860" ht="15.75" customHeight="1" s="73"/>
    <row r="861" ht="15.75" customHeight="1" s="73"/>
    <row r="862" ht="15.75" customHeight="1" s="73"/>
    <row r="863" ht="15.75" customHeight="1" s="73"/>
    <row r="864" ht="15.75" customHeight="1" s="73"/>
    <row r="865" ht="15.75" customHeight="1" s="73"/>
    <row r="866" ht="15.75" customHeight="1" s="73"/>
    <row r="867" ht="15.75" customHeight="1" s="73"/>
    <row r="868" ht="15.75" customHeight="1" s="73"/>
    <row r="869" ht="15.75" customHeight="1" s="73"/>
    <row r="870" ht="15.75" customHeight="1" s="73"/>
    <row r="871" ht="15.75" customHeight="1" s="73"/>
    <row r="872" ht="15.75" customHeight="1" s="73"/>
    <row r="873" ht="15.75" customHeight="1" s="73"/>
    <row r="874" ht="15.75" customHeight="1" s="73"/>
    <row r="875" ht="15.75" customHeight="1" s="73"/>
    <row r="876" ht="15.75" customHeight="1" s="73"/>
    <row r="877" ht="15.75" customHeight="1" s="73"/>
    <row r="878" ht="15.75" customHeight="1" s="73"/>
    <row r="879" ht="15.75" customHeight="1" s="73"/>
    <row r="880" ht="15.75" customHeight="1" s="73"/>
    <row r="881" ht="15.75" customHeight="1" s="73"/>
    <row r="882" ht="15.75" customHeight="1" s="73"/>
    <row r="883" ht="15.75" customHeight="1" s="73"/>
    <row r="884" ht="15.75" customHeight="1" s="73"/>
    <row r="885" ht="15.75" customHeight="1" s="73"/>
    <row r="886" ht="15.75" customHeight="1" s="73"/>
    <row r="887" ht="15.75" customHeight="1" s="73"/>
    <row r="888" ht="15.75" customHeight="1" s="73"/>
    <row r="889" ht="15.75" customHeight="1" s="73"/>
    <row r="890" ht="15.75" customHeight="1" s="73"/>
    <row r="891" ht="15.75" customHeight="1" s="73"/>
    <row r="892" ht="15.75" customHeight="1" s="73"/>
    <row r="893" ht="15.75" customHeight="1" s="73"/>
    <row r="894" ht="15.75" customHeight="1" s="73"/>
    <row r="895" ht="15.75" customHeight="1" s="73"/>
    <row r="896" ht="15.75" customHeight="1" s="73"/>
    <row r="897" ht="15.75" customHeight="1" s="73"/>
    <row r="898" ht="15.75" customHeight="1" s="73"/>
    <row r="899" ht="15.75" customHeight="1" s="73"/>
    <row r="900" ht="15.75" customHeight="1" s="73"/>
    <row r="901" ht="15.75" customHeight="1" s="73"/>
    <row r="902" ht="15.75" customHeight="1" s="73"/>
    <row r="903" ht="15.75" customHeight="1" s="73"/>
    <row r="904" ht="15.75" customHeight="1" s="73"/>
    <row r="905" ht="15.75" customHeight="1" s="73"/>
    <row r="906" ht="15.75" customHeight="1" s="73"/>
    <row r="907" ht="15.75" customHeight="1" s="73"/>
    <row r="908" ht="15.75" customHeight="1" s="73"/>
    <row r="909" ht="15.75" customHeight="1" s="73"/>
    <row r="910" ht="15.75" customHeight="1" s="73"/>
    <row r="911" ht="15.75" customHeight="1" s="73"/>
    <row r="912" ht="15.75" customHeight="1" s="73"/>
    <row r="913" ht="15.75" customHeight="1" s="73"/>
    <row r="914" ht="15.75" customHeight="1" s="73"/>
    <row r="915" ht="15.75" customHeight="1" s="73"/>
    <row r="916" ht="15.75" customHeight="1" s="73"/>
    <row r="917" ht="15.75" customHeight="1" s="73"/>
    <row r="918" ht="15.75" customHeight="1" s="73"/>
    <row r="919" ht="15.75" customHeight="1" s="73"/>
    <row r="920" ht="15.75" customHeight="1" s="73"/>
    <row r="921" ht="15.75" customHeight="1" s="73"/>
    <row r="922" ht="15.75" customHeight="1" s="73"/>
    <row r="923" ht="15.75" customHeight="1" s="73"/>
    <row r="924" ht="15.75" customHeight="1" s="73"/>
    <row r="925" ht="15.75" customHeight="1" s="73"/>
    <row r="926" ht="15.75" customHeight="1" s="73"/>
    <row r="927" ht="15.75" customHeight="1" s="73"/>
    <row r="928" ht="15.75" customHeight="1" s="73"/>
    <row r="929" ht="15.75" customHeight="1" s="73"/>
    <row r="930" ht="15.75" customHeight="1" s="73"/>
    <row r="931" ht="15.75" customHeight="1" s="73"/>
    <row r="932" ht="15.75" customHeight="1" s="73"/>
    <row r="933" ht="15.75" customHeight="1" s="73"/>
    <row r="934" ht="15.75" customHeight="1" s="73"/>
    <row r="935" ht="15.75" customHeight="1" s="73"/>
    <row r="936" ht="15.75" customHeight="1" s="73"/>
    <row r="937" ht="15.75" customHeight="1" s="73"/>
    <row r="938" ht="15.75" customHeight="1" s="73"/>
    <row r="939" ht="15.75" customHeight="1" s="73"/>
    <row r="940" ht="15.75" customHeight="1" s="73"/>
    <row r="941" ht="15.75" customHeight="1" s="73"/>
    <row r="942" ht="15.75" customHeight="1" s="73"/>
    <row r="943" ht="15.75" customHeight="1" s="73"/>
    <row r="944" ht="15.75" customHeight="1" s="73"/>
    <row r="945" ht="15.75" customHeight="1" s="73"/>
    <row r="946" ht="15.75" customHeight="1" s="73"/>
    <row r="947" ht="15.75" customHeight="1" s="73"/>
    <row r="948" ht="15.75" customHeight="1" s="73"/>
    <row r="949" ht="15.75" customHeight="1" s="73"/>
    <row r="950" ht="15.75" customHeight="1" s="73"/>
    <row r="951" ht="15.75" customHeight="1" s="73"/>
    <row r="952" ht="15.75" customHeight="1" s="73"/>
    <row r="953" ht="15.75" customHeight="1" s="73"/>
    <row r="954" ht="15.75" customHeight="1" s="73"/>
    <row r="955" ht="15.75" customHeight="1" s="73"/>
    <row r="956" ht="15.75" customHeight="1" s="73"/>
    <row r="957" ht="15.75" customHeight="1" s="73"/>
    <row r="958" ht="15.75" customHeight="1" s="73"/>
    <row r="959" ht="15.75" customHeight="1" s="73"/>
    <row r="960" ht="15.75" customHeight="1" s="73"/>
    <row r="961" ht="15.75" customHeight="1" s="73"/>
    <row r="962" ht="15.75" customHeight="1" s="73"/>
    <row r="963" ht="15.75" customHeight="1" s="73"/>
    <row r="964" ht="15.75" customHeight="1" s="73"/>
    <row r="965" ht="15.75" customHeight="1" s="73"/>
    <row r="966" ht="15.75" customHeight="1" s="73"/>
    <row r="967" ht="15.75" customHeight="1" s="73"/>
    <row r="968" ht="15.75" customHeight="1" s="73"/>
    <row r="969" ht="15.75" customHeight="1" s="73"/>
    <row r="970" ht="15.75" customHeight="1" s="73"/>
    <row r="971" ht="15.75" customHeight="1" s="73"/>
    <row r="972" ht="15.75" customHeight="1" s="73"/>
    <row r="973" ht="15.75" customHeight="1" s="73"/>
    <row r="974" ht="15.75" customHeight="1" s="73"/>
    <row r="975" ht="15.75" customHeight="1" s="73"/>
    <row r="976" ht="15.75" customHeight="1" s="73"/>
    <row r="977" ht="15.75" customHeight="1" s="73"/>
    <row r="978" ht="15.75" customHeight="1" s="73"/>
    <row r="979" ht="15.75" customHeight="1" s="73"/>
    <row r="980" ht="15.75" customHeight="1" s="73"/>
    <row r="981" ht="15.75" customHeight="1" s="73"/>
    <row r="982" ht="15.75" customHeight="1" s="73"/>
    <row r="983" ht="15.75" customHeight="1" s="73"/>
    <row r="984" ht="15.75" customHeight="1" s="73"/>
    <row r="985" ht="15.75" customHeight="1" s="73"/>
    <row r="986" ht="15.75" customHeight="1" s="73"/>
    <row r="987" ht="15.75" customHeight="1" s="73"/>
    <row r="988" ht="15.75" customHeight="1" s="73"/>
    <row r="989" ht="15.75" customHeight="1" s="73"/>
    <row r="990" ht="15.75" customHeight="1" s="73"/>
    <row r="991" ht="15.75" customHeight="1" s="73"/>
    <row r="992" ht="15.75" customHeight="1" s="73"/>
    <row r="993" ht="15.75" customHeight="1" s="73"/>
    <row r="994" ht="15.75" customHeight="1" s="73"/>
    <row r="995" ht="15.75" customHeight="1" s="73"/>
    <row r="996" ht="15.75" customHeight="1" s="73"/>
    <row r="997" ht="15.75" customHeight="1" s="73"/>
    <row r="998" ht="15.75" customHeight="1" s="73"/>
    <row r="999" ht="15.75" customHeight="1" s="73"/>
    <row r="1000" ht="15.75" customHeight="1" s="73"/>
  </sheetData>
  <mergeCells count="21">
    <mergeCell ref="B60:D60"/>
    <mergeCell ref="F10:G10"/>
    <mergeCell ref="B57:D57"/>
    <mergeCell ref="F9:L9"/>
    <mergeCell ref="H11:H12"/>
    <mergeCell ref="A7:E7"/>
    <mergeCell ref="C11:F12"/>
    <mergeCell ref="F8:G8"/>
    <mergeCell ref="F7:L7"/>
    <mergeCell ref="A11:B12"/>
    <mergeCell ref="I11:J12"/>
    <mergeCell ref="A4:L6"/>
    <mergeCell ref="A8:B8"/>
    <mergeCell ref="D8:E8"/>
    <mergeCell ref="B59:D59"/>
    <mergeCell ref="H10:J10"/>
    <mergeCell ref="K10:L10"/>
    <mergeCell ref="B58:D58"/>
    <mergeCell ref="G11:G12"/>
    <mergeCell ref="K11:L12"/>
    <mergeCell ref="A9:E9"/>
  </mergeCells>
  <pageMargins left="0.7" right="0.7" top="0.75" bottom="0.75" header="0" footer="0"/>
  <pageSetup orientation="landscape"/>
  <headerFooter>
    <oddHeader/>
    <oddFooter>&amp;R&amp;F - &amp;A</oddFooter>
    <evenHeader/>
    <evenFooter/>
    <firstHeader/>
    <firstFooter/>
  </headerFooter>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Adriano Fernandes Azevedo</dc:creator>
  <dcterms:created xmlns:dcterms="http://purl.org/dc/terms/" xmlns:xsi="http://www.w3.org/2001/XMLSchema-instance" xsi:type="dcterms:W3CDTF">2023-09-27T13:43:37Z</dcterms:created>
  <dcterms:modified xmlns:dcterms="http://purl.org/dc/terms/" xmlns:xsi="http://www.w3.org/2001/XMLSchema-instance" xsi:type="dcterms:W3CDTF">2026-10-16T20:53:23Z</dcterms:modified>
  <cp:lastModifiedBy>Romeu Dias</cp:lastModifiedBy>
  <cp:lastPrinted>2024-02-06T12:42:43Z</cp:lastPrinted>
</cp:coreProperties>
</file>

<file path=docProps/custom.xml><?xml version="1.0" encoding="utf-8"?>
<Properties xmlns="http://schemas.openxmlformats.org/officeDocument/2006/custom-properties">
  <property name="WorkbookGuid" fmtid="{D5CDD505-2E9C-101B-9397-08002B2CF9AE}" pid="2">
    <vt:lpwstr xmlns:vt="http://schemas.openxmlformats.org/officeDocument/2006/docPropsVTypes">c5ce2a7d-108a-42f7-9300-d6c52862a51a</vt:lpwstr>
  </property>
</Properties>
</file>